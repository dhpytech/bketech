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8580C198-13B6-42EB-9D76-1738DC4E66BF}" xr6:coauthVersionLast="47" xr6:coauthVersionMax="47" xr10:uidLastSave="{00000000-0000-0000-0000-000000000000}"/>
  <bookViews>
    <workbookView xWindow="-120" yWindow="-120" windowWidth="29040" windowHeight="15840" activeTab="2" xr2:uid="{FF7A2F07-D59A-4F65-BD60-E294CA43EB8A}"/>
  </bookViews>
  <sheets>
    <sheet name="115+740" sheetId="2" r:id="rId1"/>
    <sheet name="BC.115+740" sheetId="3" r:id="rId2"/>
    <sheet name="SL.115+74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'115+740'!$A$2:$AB$751</definedName>
    <definedName name="_xlnm.Print_Area" localSheetId="1">'BC.115+740'!$A$1:$AB$537</definedName>
    <definedName name="_xlnm.Print_Area" localSheetId="2">'SL.115+740'!$A$1:$O$599</definedName>
    <definedName name="_xlnm.Print_Titles" localSheetId="0">'115+740'!$12:$13</definedName>
    <definedName name="_xlnm.Print_Titles" localSheetId="1">'BC.115+740'!$1:$12</definedName>
    <definedName name="_xlnm.Print_Titles" localSheetId="2">'SL.115+740'!$12:$13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'115+740'!#REF!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3" i="2" l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4" i="4"/>
  <c r="A714" i="2" l="1"/>
  <c r="C714" i="2"/>
  <c r="D714" i="2"/>
  <c r="K714" i="2"/>
  <c r="L714" i="2"/>
  <c r="M714" i="2"/>
  <c r="B713" i="4"/>
  <c r="A713" i="2"/>
  <c r="C713" i="2"/>
  <c r="D713" i="2"/>
  <c r="K713" i="2"/>
  <c r="L713" i="2"/>
  <c r="M713" i="2"/>
  <c r="B705" i="4"/>
  <c r="B706" i="4"/>
  <c r="B707" i="4"/>
  <c r="B708" i="4" s="1"/>
  <c r="B709" i="4" s="1"/>
  <c r="B710" i="4" s="1"/>
  <c r="B711" i="4" s="1"/>
  <c r="B712" i="4" s="1"/>
  <c r="B718" i="3"/>
  <c r="C718" i="3" s="1"/>
  <c r="D718" i="3"/>
  <c r="K718" i="3"/>
  <c r="Q718" i="3"/>
  <c r="W718" i="3"/>
  <c r="B719" i="3"/>
  <c r="D719" i="3"/>
  <c r="K719" i="3"/>
  <c r="Q719" i="3"/>
  <c r="W719" i="3"/>
  <c r="B720" i="3"/>
  <c r="C720" i="3"/>
  <c r="D720" i="3"/>
  <c r="E720" i="3"/>
  <c r="F720" i="3"/>
  <c r="K720" i="3"/>
  <c r="Q720" i="3"/>
  <c r="W720" i="3"/>
  <c r="B721" i="3"/>
  <c r="C721" i="3"/>
  <c r="D721" i="3"/>
  <c r="F721" i="3" s="1"/>
  <c r="E721" i="3"/>
  <c r="K721" i="3"/>
  <c r="Q721" i="3"/>
  <c r="W721" i="3"/>
  <c r="B722" i="3"/>
  <c r="C722" i="3" s="1"/>
  <c r="K722" i="3"/>
  <c r="Q722" i="3"/>
  <c r="W722" i="3"/>
  <c r="B723" i="3"/>
  <c r="K723" i="3"/>
  <c r="Q723" i="3"/>
  <c r="W723" i="3"/>
  <c r="B724" i="3"/>
  <c r="E724" i="3"/>
  <c r="K724" i="3"/>
  <c r="Q724" i="3"/>
  <c r="W724" i="3"/>
  <c r="B725" i="3"/>
  <c r="C725" i="3"/>
  <c r="E725" i="3"/>
  <c r="K725" i="3"/>
  <c r="Q725" i="3"/>
  <c r="W725" i="3"/>
  <c r="B726" i="3"/>
  <c r="C726" i="3" s="1"/>
  <c r="K726" i="3"/>
  <c r="Q726" i="3"/>
  <c r="W726" i="3"/>
  <c r="B727" i="3"/>
  <c r="E727" i="3"/>
  <c r="K727" i="3"/>
  <c r="Q727" i="3"/>
  <c r="W727" i="3"/>
  <c r="B728" i="3"/>
  <c r="E728" i="3"/>
  <c r="K728" i="3"/>
  <c r="Q728" i="3"/>
  <c r="W728" i="3"/>
  <c r="B729" i="3"/>
  <c r="C729" i="3"/>
  <c r="E729" i="3"/>
  <c r="K729" i="3"/>
  <c r="Q729" i="3"/>
  <c r="W729" i="3"/>
  <c r="B730" i="3"/>
  <c r="C730" i="3" s="1"/>
  <c r="K730" i="3"/>
  <c r="Q730" i="3"/>
  <c r="W730" i="3"/>
  <c r="B731" i="3"/>
  <c r="E731" i="3"/>
  <c r="K731" i="3"/>
  <c r="Q731" i="3"/>
  <c r="W731" i="3"/>
  <c r="B710" i="3"/>
  <c r="A711" i="4" s="1"/>
  <c r="D710" i="3"/>
  <c r="K710" i="3"/>
  <c r="Q710" i="3"/>
  <c r="W710" i="3"/>
  <c r="K711" i="3"/>
  <c r="Q711" i="3"/>
  <c r="W711" i="3"/>
  <c r="K712" i="3"/>
  <c r="Q712" i="3"/>
  <c r="W712" i="3"/>
  <c r="K713" i="3"/>
  <c r="Q713" i="3"/>
  <c r="W713" i="3"/>
  <c r="B714" i="3"/>
  <c r="K714" i="3"/>
  <c r="W714" i="3"/>
  <c r="B715" i="3"/>
  <c r="E715" i="3"/>
  <c r="K715" i="3"/>
  <c r="Q715" i="3"/>
  <c r="W715" i="3"/>
  <c r="B716" i="3"/>
  <c r="C716" i="3" s="1"/>
  <c r="E716" i="3"/>
  <c r="K716" i="3"/>
  <c r="W716" i="3"/>
  <c r="B717" i="3"/>
  <c r="E717" i="3"/>
  <c r="K717" i="3"/>
  <c r="Q717" i="3"/>
  <c r="W717" i="3"/>
  <c r="B712" i="2"/>
  <c r="C705" i="2"/>
  <c r="D705" i="2"/>
  <c r="K705" i="2"/>
  <c r="K706" i="2" s="1"/>
  <c r="L705" i="2"/>
  <c r="L706" i="2" s="1"/>
  <c r="M705" i="2"/>
  <c r="M706" i="2" s="1"/>
  <c r="C706" i="2"/>
  <c r="C707" i="2" s="1"/>
  <c r="D706" i="2"/>
  <c r="D707" i="2" s="1"/>
  <c r="A705" i="2"/>
  <c r="A706" i="2" s="1"/>
  <c r="A707" i="2" s="1"/>
  <c r="A708" i="2" s="1"/>
  <c r="A709" i="2" s="1"/>
  <c r="A710" i="2" s="1"/>
  <c r="A711" i="2" s="1"/>
  <c r="A712" i="2" s="1"/>
  <c r="B7" i="4"/>
  <c r="M7" i="4"/>
  <c r="B8" i="4"/>
  <c r="B9" i="4"/>
  <c r="A11" i="4" s="1"/>
  <c r="E14" i="4"/>
  <c r="B452" i="4"/>
  <c r="B453" i="4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3" i="3"/>
  <c r="J5" i="3"/>
  <c r="C7" i="3"/>
  <c r="N7" i="3"/>
  <c r="C8" i="3"/>
  <c r="C9" i="3"/>
  <c r="B13" i="3"/>
  <c r="A14" i="4" s="1"/>
  <c r="E13" i="3"/>
  <c r="J13" i="3"/>
  <c r="P13" i="3"/>
  <c r="V13" i="3"/>
  <c r="Z13" i="3"/>
  <c r="AA13" i="3" s="1"/>
  <c r="D14" i="4" s="1"/>
  <c r="A16" i="3"/>
  <c r="A17" i="3"/>
  <c r="A18" i="3" s="1"/>
  <c r="A19" i="3" s="1"/>
  <c r="A20" i="3" s="1"/>
  <c r="A21" i="3" s="1"/>
  <c r="K26" i="3"/>
  <c r="Q26" i="3"/>
  <c r="W26" i="3"/>
  <c r="K27" i="3"/>
  <c r="Q27" i="3"/>
  <c r="W27" i="3"/>
  <c r="K28" i="3"/>
  <c r="Q28" i="3"/>
  <c r="W28" i="3"/>
  <c r="K29" i="3"/>
  <c r="Q29" i="3"/>
  <c r="W29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K510" i="3"/>
  <c r="Q510" i="3"/>
  <c r="W510" i="3"/>
  <c r="K511" i="3"/>
  <c r="Q511" i="3"/>
  <c r="W511" i="3"/>
  <c r="K512" i="3"/>
  <c r="Q512" i="3"/>
  <c r="W512" i="3"/>
  <c r="K513" i="3"/>
  <c r="Q513" i="3"/>
  <c r="W513" i="3"/>
  <c r="K514" i="3"/>
  <c r="Q514" i="3"/>
  <c r="W514" i="3"/>
  <c r="K515" i="3"/>
  <c r="Q515" i="3"/>
  <c r="W515" i="3"/>
  <c r="K516" i="3"/>
  <c r="Q516" i="3"/>
  <c r="W516" i="3"/>
  <c r="K517" i="3"/>
  <c r="Q517" i="3"/>
  <c r="W517" i="3"/>
  <c r="K518" i="3"/>
  <c r="Q518" i="3"/>
  <c r="W518" i="3"/>
  <c r="K519" i="3"/>
  <c r="Q519" i="3"/>
  <c r="W519" i="3"/>
  <c r="K520" i="3"/>
  <c r="Q520" i="3"/>
  <c r="W520" i="3"/>
  <c r="K521" i="3"/>
  <c r="Q521" i="3"/>
  <c r="W521" i="3"/>
  <c r="K522" i="3"/>
  <c r="Q522" i="3"/>
  <c r="W522" i="3"/>
  <c r="K523" i="3"/>
  <c r="Q523" i="3"/>
  <c r="W523" i="3"/>
  <c r="K524" i="3"/>
  <c r="Q524" i="3"/>
  <c r="W524" i="3"/>
  <c r="K525" i="3"/>
  <c r="Q525" i="3"/>
  <c r="W525" i="3"/>
  <c r="K526" i="3"/>
  <c r="Q526" i="3"/>
  <c r="W526" i="3"/>
  <c r="K527" i="3"/>
  <c r="Q527" i="3"/>
  <c r="W527" i="3"/>
  <c r="K528" i="3"/>
  <c r="Q528" i="3"/>
  <c r="W528" i="3"/>
  <c r="K529" i="3"/>
  <c r="Q529" i="3"/>
  <c r="W529" i="3"/>
  <c r="K530" i="3"/>
  <c r="Q530" i="3"/>
  <c r="W530" i="3"/>
  <c r="K531" i="3"/>
  <c r="Q531" i="3"/>
  <c r="W531" i="3"/>
  <c r="K532" i="3"/>
  <c r="Q532" i="3"/>
  <c r="W532" i="3"/>
  <c r="K533" i="3"/>
  <c r="Q533" i="3"/>
  <c r="W533" i="3"/>
  <c r="K534" i="3"/>
  <c r="Q534" i="3"/>
  <c r="W534" i="3"/>
  <c r="K535" i="3"/>
  <c r="Q535" i="3"/>
  <c r="W535" i="3"/>
  <c r="K536" i="3"/>
  <c r="Q536" i="3"/>
  <c r="W536" i="3"/>
  <c r="K537" i="3"/>
  <c r="Q537" i="3"/>
  <c r="W537" i="3"/>
  <c r="K538" i="3"/>
  <c r="Q538" i="3"/>
  <c r="W538" i="3"/>
  <c r="K539" i="3"/>
  <c r="Q539" i="3"/>
  <c r="W539" i="3"/>
  <c r="K540" i="3"/>
  <c r="Q540" i="3"/>
  <c r="W540" i="3"/>
  <c r="K541" i="3"/>
  <c r="Q541" i="3"/>
  <c r="W541" i="3"/>
  <c r="K542" i="3"/>
  <c r="Q542" i="3"/>
  <c r="W542" i="3"/>
  <c r="K543" i="3"/>
  <c r="Q543" i="3"/>
  <c r="W543" i="3"/>
  <c r="K544" i="3"/>
  <c r="Q544" i="3"/>
  <c r="W544" i="3"/>
  <c r="K545" i="3"/>
  <c r="Q545" i="3"/>
  <c r="W545" i="3"/>
  <c r="K546" i="3"/>
  <c r="Q546" i="3"/>
  <c r="W546" i="3"/>
  <c r="K547" i="3"/>
  <c r="Q547" i="3"/>
  <c r="W547" i="3"/>
  <c r="K548" i="3"/>
  <c r="Q548" i="3"/>
  <c r="W548" i="3"/>
  <c r="K549" i="3"/>
  <c r="Q549" i="3"/>
  <c r="W549" i="3"/>
  <c r="K550" i="3"/>
  <c r="Q550" i="3"/>
  <c r="W550" i="3"/>
  <c r="K551" i="3"/>
  <c r="Q551" i="3"/>
  <c r="W551" i="3"/>
  <c r="K552" i="3"/>
  <c r="Q552" i="3"/>
  <c r="W552" i="3"/>
  <c r="K553" i="3"/>
  <c r="Q553" i="3"/>
  <c r="W553" i="3"/>
  <c r="K554" i="3"/>
  <c r="Q554" i="3"/>
  <c r="W554" i="3"/>
  <c r="K555" i="3"/>
  <c r="Q555" i="3"/>
  <c r="W555" i="3"/>
  <c r="K556" i="3"/>
  <c r="Q556" i="3"/>
  <c r="W556" i="3"/>
  <c r="K557" i="3"/>
  <c r="Q557" i="3"/>
  <c r="W557" i="3"/>
  <c r="K558" i="3"/>
  <c r="Q558" i="3"/>
  <c r="W558" i="3"/>
  <c r="K559" i="3"/>
  <c r="Q559" i="3"/>
  <c r="W559" i="3"/>
  <c r="K560" i="3"/>
  <c r="Q560" i="3"/>
  <c r="W560" i="3"/>
  <c r="K561" i="3"/>
  <c r="Q561" i="3"/>
  <c r="W561" i="3"/>
  <c r="K562" i="3"/>
  <c r="Q562" i="3"/>
  <c r="W562" i="3"/>
  <c r="K563" i="3"/>
  <c r="Q563" i="3"/>
  <c r="W563" i="3"/>
  <c r="K564" i="3"/>
  <c r="Q564" i="3"/>
  <c r="W564" i="3"/>
  <c r="K565" i="3"/>
  <c r="Q565" i="3"/>
  <c r="W565" i="3"/>
  <c r="K566" i="3"/>
  <c r="Q566" i="3"/>
  <c r="W566" i="3"/>
  <c r="K567" i="3"/>
  <c r="Q567" i="3"/>
  <c r="W567" i="3"/>
  <c r="K568" i="3"/>
  <c r="Q568" i="3"/>
  <c r="W568" i="3"/>
  <c r="K569" i="3"/>
  <c r="Q569" i="3"/>
  <c r="W569" i="3"/>
  <c r="K570" i="3"/>
  <c r="Q570" i="3"/>
  <c r="W570" i="3"/>
  <c r="K571" i="3"/>
  <c r="Q571" i="3"/>
  <c r="W571" i="3"/>
  <c r="K572" i="3"/>
  <c r="Q572" i="3"/>
  <c r="W572" i="3"/>
  <c r="K573" i="3"/>
  <c r="Q573" i="3"/>
  <c r="W573" i="3"/>
  <c r="K574" i="3"/>
  <c r="Q574" i="3"/>
  <c r="W574" i="3"/>
  <c r="K575" i="3"/>
  <c r="Q575" i="3"/>
  <c r="W575" i="3"/>
  <c r="K576" i="3"/>
  <c r="Q576" i="3"/>
  <c r="W576" i="3"/>
  <c r="K577" i="3"/>
  <c r="Q577" i="3"/>
  <c r="W577" i="3"/>
  <c r="K578" i="3"/>
  <c r="Q578" i="3"/>
  <c r="W578" i="3"/>
  <c r="K579" i="3"/>
  <c r="Q579" i="3"/>
  <c r="W579" i="3"/>
  <c r="K580" i="3"/>
  <c r="Q580" i="3"/>
  <c r="W580" i="3"/>
  <c r="K581" i="3"/>
  <c r="Q581" i="3"/>
  <c r="W581" i="3"/>
  <c r="K582" i="3"/>
  <c r="Q582" i="3"/>
  <c r="W582" i="3"/>
  <c r="K583" i="3"/>
  <c r="Q583" i="3"/>
  <c r="W583" i="3"/>
  <c r="K584" i="3"/>
  <c r="Q584" i="3"/>
  <c r="W584" i="3"/>
  <c r="K585" i="3"/>
  <c r="Q585" i="3"/>
  <c r="W585" i="3"/>
  <c r="K586" i="3"/>
  <c r="Q586" i="3"/>
  <c r="W586" i="3"/>
  <c r="K587" i="3"/>
  <c r="Q587" i="3"/>
  <c r="W587" i="3"/>
  <c r="K588" i="3"/>
  <c r="Q588" i="3"/>
  <c r="W588" i="3"/>
  <c r="K589" i="3"/>
  <c r="Q589" i="3"/>
  <c r="W589" i="3"/>
  <c r="K590" i="3"/>
  <c r="Q590" i="3"/>
  <c r="W590" i="3"/>
  <c r="K591" i="3"/>
  <c r="Q591" i="3"/>
  <c r="W591" i="3"/>
  <c r="K592" i="3"/>
  <c r="Q592" i="3"/>
  <c r="W592" i="3"/>
  <c r="K593" i="3"/>
  <c r="Q593" i="3"/>
  <c r="W593" i="3"/>
  <c r="K594" i="3"/>
  <c r="Q594" i="3"/>
  <c r="W594" i="3"/>
  <c r="K595" i="3"/>
  <c r="Q595" i="3"/>
  <c r="W595" i="3"/>
  <c r="K596" i="3"/>
  <c r="Q596" i="3"/>
  <c r="W596" i="3"/>
  <c r="K597" i="3"/>
  <c r="Q597" i="3"/>
  <c r="W597" i="3"/>
  <c r="K598" i="3"/>
  <c r="Q598" i="3"/>
  <c r="W598" i="3"/>
  <c r="K599" i="3"/>
  <c r="Q599" i="3"/>
  <c r="W599" i="3"/>
  <c r="K600" i="3"/>
  <c r="Q600" i="3"/>
  <c r="W600" i="3"/>
  <c r="K601" i="3"/>
  <c r="Q601" i="3"/>
  <c r="W601" i="3"/>
  <c r="K602" i="3"/>
  <c r="Q602" i="3"/>
  <c r="W602" i="3"/>
  <c r="K603" i="3"/>
  <c r="Q603" i="3"/>
  <c r="W603" i="3"/>
  <c r="K604" i="3"/>
  <c r="Q604" i="3"/>
  <c r="W604" i="3"/>
  <c r="K605" i="3"/>
  <c r="Q605" i="3"/>
  <c r="W605" i="3"/>
  <c r="K606" i="3"/>
  <c r="Q606" i="3"/>
  <c r="W606" i="3"/>
  <c r="K607" i="3"/>
  <c r="Q607" i="3"/>
  <c r="W607" i="3"/>
  <c r="K608" i="3"/>
  <c r="Q608" i="3"/>
  <c r="W608" i="3"/>
  <c r="K609" i="3"/>
  <c r="Q609" i="3"/>
  <c r="W609" i="3"/>
  <c r="K610" i="3"/>
  <c r="Q610" i="3"/>
  <c r="W610" i="3"/>
  <c r="K611" i="3"/>
  <c r="Q611" i="3"/>
  <c r="W611" i="3"/>
  <c r="K612" i="3"/>
  <c r="Q612" i="3"/>
  <c r="W612" i="3"/>
  <c r="K613" i="3"/>
  <c r="Q613" i="3"/>
  <c r="W613" i="3"/>
  <c r="K614" i="3"/>
  <c r="Q614" i="3"/>
  <c r="W614" i="3"/>
  <c r="K615" i="3"/>
  <c r="Q615" i="3"/>
  <c r="W615" i="3"/>
  <c r="K616" i="3"/>
  <c r="Q616" i="3"/>
  <c r="W616" i="3"/>
  <c r="K617" i="3"/>
  <c r="Q617" i="3"/>
  <c r="W617" i="3"/>
  <c r="K618" i="3"/>
  <c r="Q618" i="3"/>
  <c r="W618" i="3"/>
  <c r="K619" i="3"/>
  <c r="Q619" i="3"/>
  <c r="W619" i="3"/>
  <c r="K620" i="3"/>
  <c r="Q620" i="3"/>
  <c r="W620" i="3"/>
  <c r="K621" i="3"/>
  <c r="Q621" i="3"/>
  <c r="W621" i="3"/>
  <c r="K622" i="3"/>
  <c r="Q622" i="3"/>
  <c r="W622" i="3"/>
  <c r="K623" i="3"/>
  <c r="Q623" i="3"/>
  <c r="W623" i="3"/>
  <c r="K624" i="3"/>
  <c r="Q624" i="3"/>
  <c r="W624" i="3"/>
  <c r="K625" i="3"/>
  <c r="Q625" i="3"/>
  <c r="W625" i="3"/>
  <c r="K626" i="3"/>
  <c r="Q626" i="3"/>
  <c r="W626" i="3"/>
  <c r="K627" i="3"/>
  <c r="Q627" i="3"/>
  <c r="W627" i="3"/>
  <c r="K628" i="3"/>
  <c r="Q628" i="3"/>
  <c r="W628" i="3"/>
  <c r="K629" i="3"/>
  <c r="Q629" i="3"/>
  <c r="W629" i="3"/>
  <c r="K630" i="3"/>
  <c r="Q630" i="3"/>
  <c r="W630" i="3"/>
  <c r="K631" i="3"/>
  <c r="Q631" i="3"/>
  <c r="W631" i="3"/>
  <c r="K632" i="3"/>
  <c r="Q632" i="3"/>
  <c r="W632" i="3"/>
  <c r="K633" i="3"/>
  <c r="Q633" i="3"/>
  <c r="W633" i="3"/>
  <c r="K634" i="3"/>
  <c r="Q634" i="3"/>
  <c r="W634" i="3"/>
  <c r="K635" i="3"/>
  <c r="Q635" i="3"/>
  <c r="W635" i="3"/>
  <c r="K636" i="3"/>
  <c r="Q636" i="3"/>
  <c r="W636" i="3"/>
  <c r="K637" i="3"/>
  <c r="Q637" i="3"/>
  <c r="W637" i="3"/>
  <c r="K638" i="3"/>
  <c r="Q638" i="3"/>
  <c r="W638" i="3"/>
  <c r="K639" i="3"/>
  <c r="Q639" i="3"/>
  <c r="W639" i="3"/>
  <c r="K640" i="3"/>
  <c r="Q640" i="3"/>
  <c r="W640" i="3"/>
  <c r="K641" i="3"/>
  <c r="Q641" i="3"/>
  <c r="W641" i="3"/>
  <c r="K642" i="3"/>
  <c r="Q642" i="3"/>
  <c r="W642" i="3"/>
  <c r="K643" i="3"/>
  <c r="Q643" i="3"/>
  <c r="W643" i="3"/>
  <c r="K644" i="3"/>
  <c r="Q644" i="3"/>
  <c r="W644" i="3"/>
  <c r="K645" i="3"/>
  <c r="Q645" i="3"/>
  <c r="W645" i="3"/>
  <c r="K646" i="3"/>
  <c r="Q646" i="3"/>
  <c r="W646" i="3"/>
  <c r="K647" i="3"/>
  <c r="Q647" i="3"/>
  <c r="W647" i="3"/>
  <c r="K648" i="3"/>
  <c r="Q648" i="3"/>
  <c r="W648" i="3"/>
  <c r="K649" i="3"/>
  <c r="Q649" i="3"/>
  <c r="W649" i="3"/>
  <c r="K650" i="3"/>
  <c r="Q650" i="3"/>
  <c r="W650" i="3"/>
  <c r="K651" i="3"/>
  <c r="Q651" i="3"/>
  <c r="W651" i="3"/>
  <c r="K652" i="3"/>
  <c r="Q652" i="3"/>
  <c r="W652" i="3"/>
  <c r="K653" i="3"/>
  <c r="Q653" i="3"/>
  <c r="W653" i="3"/>
  <c r="K654" i="3"/>
  <c r="Q654" i="3"/>
  <c r="W654" i="3"/>
  <c r="K655" i="3"/>
  <c r="Q655" i="3"/>
  <c r="W655" i="3"/>
  <c r="K656" i="3"/>
  <c r="Q656" i="3"/>
  <c r="W656" i="3"/>
  <c r="K657" i="3"/>
  <c r="Q657" i="3"/>
  <c r="W657" i="3"/>
  <c r="K658" i="3"/>
  <c r="Q658" i="3"/>
  <c r="W658" i="3"/>
  <c r="K659" i="3"/>
  <c r="Q659" i="3"/>
  <c r="W659" i="3"/>
  <c r="K660" i="3"/>
  <c r="Q660" i="3"/>
  <c r="W660" i="3"/>
  <c r="K661" i="3"/>
  <c r="Q661" i="3"/>
  <c r="W661" i="3"/>
  <c r="K662" i="3"/>
  <c r="Q662" i="3"/>
  <c r="W662" i="3"/>
  <c r="K663" i="3"/>
  <c r="Q663" i="3"/>
  <c r="W663" i="3"/>
  <c r="K664" i="3"/>
  <c r="Q664" i="3"/>
  <c r="W664" i="3"/>
  <c r="K665" i="3"/>
  <c r="Q665" i="3"/>
  <c r="W665" i="3"/>
  <c r="K666" i="3"/>
  <c r="Q666" i="3"/>
  <c r="W666" i="3"/>
  <c r="K667" i="3"/>
  <c r="Q667" i="3"/>
  <c r="W667" i="3"/>
  <c r="K668" i="3"/>
  <c r="Q668" i="3"/>
  <c r="W668" i="3"/>
  <c r="K669" i="3"/>
  <c r="Q669" i="3"/>
  <c r="W669" i="3"/>
  <c r="K670" i="3"/>
  <c r="Q670" i="3"/>
  <c r="W670" i="3"/>
  <c r="K671" i="3"/>
  <c r="Q671" i="3"/>
  <c r="W671" i="3"/>
  <c r="K672" i="3"/>
  <c r="Q672" i="3"/>
  <c r="W672" i="3"/>
  <c r="K673" i="3"/>
  <c r="Q673" i="3"/>
  <c r="W673" i="3"/>
  <c r="K674" i="3"/>
  <c r="Q674" i="3"/>
  <c r="W674" i="3"/>
  <c r="K675" i="3"/>
  <c r="Q675" i="3"/>
  <c r="W675" i="3"/>
  <c r="K676" i="3"/>
  <c r="Q676" i="3"/>
  <c r="W676" i="3"/>
  <c r="K677" i="3"/>
  <c r="Q677" i="3"/>
  <c r="W677" i="3"/>
  <c r="K678" i="3"/>
  <c r="Q678" i="3"/>
  <c r="W678" i="3"/>
  <c r="K679" i="3"/>
  <c r="Q679" i="3"/>
  <c r="W679" i="3"/>
  <c r="K680" i="3"/>
  <c r="Q680" i="3"/>
  <c r="W680" i="3"/>
  <c r="K681" i="3"/>
  <c r="Q681" i="3"/>
  <c r="W681" i="3"/>
  <c r="K682" i="3"/>
  <c r="Q682" i="3"/>
  <c r="W682" i="3"/>
  <c r="K683" i="3"/>
  <c r="Q683" i="3"/>
  <c r="W683" i="3"/>
  <c r="K684" i="3"/>
  <c r="Q684" i="3"/>
  <c r="W684" i="3"/>
  <c r="K685" i="3"/>
  <c r="Q685" i="3"/>
  <c r="W685" i="3"/>
  <c r="K686" i="3"/>
  <c r="Q686" i="3"/>
  <c r="W686" i="3"/>
  <c r="K687" i="3"/>
  <c r="Q687" i="3"/>
  <c r="W687" i="3"/>
  <c r="K688" i="3"/>
  <c r="Q688" i="3"/>
  <c r="W688" i="3"/>
  <c r="K689" i="3"/>
  <c r="Q689" i="3"/>
  <c r="W689" i="3"/>
  <c r="K690" i="3"/>
  <c r="Q690" i="3"/>
  <c r="W690" i="3"/>
  <c r="K691" i="3"/>
  <c r="Q691" i="3"/>
  <c r="W691" i="3"/>
  <c r="K692" i="3"/>
  <c r="Q692" i="3"/>
  <c r="W692" i="3"/>
  <c r="K693" i="3"/>
  <c r="Q693" i="3"/>
  <c r="W693" i="3"/>
  <c r="K694" i="3"/>
  <c r="Q694" i="3"/>
  <c r="W694" i="3"/>
  <c r="K695" i="3"/>
  <c r="Q695" i="3"/>
  <c r="W695" i="3"/>
  <c r="K696" i="3"/>
  <c r="Q696" i="3"/>
  <c r="W696" i="3"/>
  <c r="K697" i="3"/>
  <c r="Q697" i="3"/>
  <c r="W697" i="3"/>
  <c r="K698" i="3"/>
  <c r="Q698" i="3"/>
  <c r="W698" i="3"/>
  <c r="K699" i="3"/>
  <c r="Q699" i="3"/>
  <c r="W699" i="3"/>
  <c r="K700" i="3"/>
  <c r="Q700" i="3"/>
  <c r="W700" i="3"/>
  <c r="K701" i="3"/>
  <c r="Q701" i="3"/>
  <c r="W701" i="3"/>
  <c r="K702" i="3"/>
  <c r="Q702" i="3"/>
  <c r="W702" i="3"/>
  <c r="K703" i="3"/>
  <c r="Q703" i="3"/>
  <c r="W703" i="3"/>
  <c r="K704" i="3"/>
  <c r="Q704" i="3"/>
  <c r="W704" i="3"/>
  <c r="K705" i="3"/>
  <c r="Q705" i="3"/>
  <c r="W705" i="3"/>
  <c r="K706" i="3"/>
  <c r="Q706" i="3"/>
  <c r="W706" i="3"/>
  <c r="K707" i="3"/>
  <c r="Q707" i="3"/>
  <c r="W707" i="3"/>
  <c r="K708" i="3"/>
  <c r="Q708" i="3"/>
  <c r="W708" i="3"/>
  <c r="K709" i="3"/>
  <c r="Q709" i="3"/>
  <c r="W709" i="3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H13" i="3" s="1"/>
  <c r="I14" i="2"/>
  <c r="F14" i="2" s="1"/>
  <c r="J14" i="2"/>
  <c r="G14" i="2" s="1"/>
  <c r="T13" i="3" s="1"/>
  <c r="Q14" i="2"/>
  <c r="K13" i="3" s="1"/>
  <c r="R14" i="2"/>
  <c r="S14" i="2"/>
  <c r="U14" i="2"/>
  <c r="G13" i="3" s="1"/>
  <c r="V14" i="2"/>
  <c r="T14" i="2" s="1"/>
  <c r="W14" i="2"/>
  <c r="B15" i="2"/>
  <c r="B14" i="3" s="1"/>
  <c r="C15" i="2"/>
  <c r="C16" i="2" s="1"/>
  <c r="D15" i="2"/>
  <c r="D16" i="2" s="1"/>
  <c r="K15" i="2"/>
  <c r="K16" i="2" s="1"/>
  <c r="L15" i="2"/>
  <c r="M15" i="2"/>
  <c r="Q15" i="2"/>
  <c r="K14" i="3" s="1"/>
  <c r="L14" i="3" s="1"/>
  <c r="R15" i="2"/>
  <c r="Q14" i="3" s="1"/>
  <c r="R14" i="3" s="1"/>
  <c r="S15" i="2"/>
  <c r="B16" i="2"/>
  <c r="B15" i="3" s="1"/>
  <c r="L16" i="2"/>
  <c r="L17" i="2" s="1"/>
  <c r="M16" i="2"/>
  <c r="M17" i="2" s="1"/>
  <c r="Q16" i="2"/>
  <c r="K15" i="3" s="1"/>
  <c r="R16" i="2"/>
  <c r="Q15" i="3" s="1"/>
  <c r="S16" i="2"/>
  <c r="W15" i="3" s="1"/>
  <c r="B17" i="2"/>
  <c r="B16" i="3" s="1"/>
  <c r="Q17" i="2"/>
  <c r="K16" i="3" s="1"/>
  <c r="R17" i="2"/>
  <c r="Q16" i="3" s="1"/>
  <c r="S17" i="2"/>
  <c r="W16" i="3" s="1"/>
  <c r="L18" i="2"/>
  <c r="L19" i="2" s="1"/>
  <c r="M18" i="2"/>
  <c r="Q18" i="2"/>
  <c r="K17" i="3" s="1"/>
  <c r="R18" i="2"/>
  <c r="Q17" i="3" s="1"/>
  <c r="S18" i="2"/>
  <c r="W17" i="3" s="1"/>
  <c r="M19" i="2"/>
  <c r="M20" i="2" s="1"/>
  <c r="Q19" i="2"/>
  <c r="K18" i="3" s="1"/>
  <c r="R19" i="2"/>
  <c r="Q18" i="3" s="1"/>
  <c r="S19" i="2"/>
  <c r="W18" i="3" s="1"/>
  <c r="Q20" i="2"/>
  <c r="K19" i="3" s="1"/>
  <c r="R20" i="2"/>
  <c r="Q19" i="3" s="1"/>
  <c r="S20" i="2"/>
  <c r="W19" i="3" s="1"/>
  <c r="Q21" i="2"/>
  <c r="K20" i="3" s="1"/>
  <c r="R21" i="2"/>
  <c r="Q20" i="3" s="1"/>
  <c r="S21" i="2"/>
  <c r="W20" i="3" s="1"/>
  <c r="Q22" i="2"/>
  <c r="K21" i="3" s="1"/>
  <c r="R22" i="2"/>
  <c r="Q21" i="3" s="1"/>
  <c r="S22" i="2"/>
  <c r="W21" i="3" s="1"/>
  <c r="Q23" i="2"/>
  <c r="K22" i="3" s="1"/>
  <c r="R23" i="2"/>
  <c r="Q22" i="3" s="1"/>
  <c r="S23" i="2"/>
  <c r="W22" i="3" s="1"/>
  <c r="Q24" i="2"/>
  <c r="K23" i="3" s="1"/>
  <c r="R24" i="2"/>
  <c r="Q23" i="3" s="1"/>
  <c r="S24" i="2"/>
  <c r="W23" i="3" s="1"/>
  <c r="Q25" i="2"/>
  <c r="K24" i="3" s="1"/>
  <c r="R25" i="2"/>
  <c r="Q24" i="3" s="1"/>
  <c r="S25" i="2"/>
  <c r="W24" i="3" s="1"/>
  <c r="Q26" i="2"/>
  <c r="K25" i="3" s="1"/>
  <c r="R26" i="2"/>
  <c r="Q25" i="3" s="1"/>
  <c r="S26" i="2"/>
  <c r="W25" i="3" s="1"/>
  <c r="K30" i="3"/>
  <c r="Q30" i="3"/>
  <c r="W30" i="3"/>
  <c r="K31" i="3"/>
  <c r="Q31" i="3"/>
  <c r="W31" i="3"/>
  <c r="K32" i="3"/>
  <c r="Q32" i="3"/>
  <c r="W32" i="3"/>
  <c r="K33" i="3"/>
  <c r="Q33" i="3"/>
  <c r="W33" i="3"/>
  <c r="A477" i="2"/>
  <c r="A478" i="2" s="1"/>
  <c r="A479" i="2"/>
  <c r="A480" i="2" s="1"/>
  <c r="A481" i="2" s="1"/>
  <c r="A482" i="2"/>
  <c r="A483" i="2" s="1"/>
  <c r="A484" i="2" s="1"/>
  <c r="A485" i="2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B713" i="2" l="1"/>
  <c r="B711" i="3"/>
  <c r="C715" i="3"/>
  <c r="C728" i="3"/>
  <c r="C724" i="3"/>
  <c r="E723" i="3"/>
  <c r="E719" i="3"/>
  <c r="F719" i="3" s="1"/>
  <c r="C731" i="3"/>
  <c r="C727" i="3"/>
  <c r="C723" i="3"/>
  <c r="C719" i="3"/>
  <c r="E730" i="3"/>
  <c r="E726" i="3"/>
  <c r="E722" i="3"/>
  <c r="E718" i="3"/>
  <c r="F718" i="3" s="1"/>
  <c r="D722" i="3"/>
  <c r="C717" i="3"/>
  <c r="E711" i="3"/>
  <c r="D711" i="3"/>
  <c r="E714" i="3"/>
  <c r="E710" i="3"/>
  <c r="F710" i="3" s="1"/>
  <c r="D708" i="2"/>
  <c r="C708" i="2"/>
  <c r="M707" i="2"/>
  <c r="L707" i="2"/>
  <c r="K707" i="2"/>
  <c r="O15" i="2"/>
  <c r="O16" i="2" s="1"/>
  <c r="O17" i="2" s="1"/>
  <c r="P16" i="3" s="1"/>
  <c r="L15" i="3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L715" i="3" s="1"/>
  <c r="L716" i="3" s="1"/>
  <c r="L717" i="3" s="1"/>
  <c r="L718" i="3" s="1"/>
  <c r="L719" i="3" s="1"/>
  <c r="L720" i="3" s="1"/>
  <c r="L721" i="3" s="1"/>
  <c r="L722" i="3" s="1"/>
  <c r="L723" i="3" s="1"/>
  <c r="L724" i="3" s="1"/>
  <c r="L725" i="3" s="1"/>
  <c r="L726" i="3" s="1"/>
  <c r="L727" i="3" s="1"/>
  <c r="L728" i="3" s="1"/>
  <c r="L729" i="3" s="1"/>
  <c r="L730" i="3" s="1"/>
  <c r="L731" i="3" s="1"/>
  <c r="V15" i="2"/>
  <c r="V16" i="2" s="1"/>
  <c r="M15" i="3" s="1"/>
  <c r="M21" i="2"/>
  <c r="L20" i="2"/>
  <c r="W14" i="3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X541" i="3" s="1"/>
  <c r="X542" i="3" s="1"/>
  <c r="X543" i="3" s="1"/>
  <c r="X544" i="3" s="1"/>
  <c r="X545" i="3" s="1"/>
  <c r="X546" i="3" s="1"/>
  <c r="X547" i="3" s="1"/>
  <c r="X548" i="3" s="1"/>
  <c r="X549" i="3" s="1"/>
  <c r="X550" i="3" s="1"/>
  <c r="X551" i="3" s="1"/>
  <c r="X552" i="3" s="1"/>
  <c r="X553" i="3" s="1"/>
  <c r="X554" i="3" s="1"/>
  <c r="X555" i="3" s="1"/>
  <c r="X556" i="3" s="1"/>
  <c r="X557" i="3" s="1"/>
  <c r="X558" i="3" s="1"/>
  <c r="X559" i="3" s="1"/>
  <c r="X560" i="3" s="1"/>
  <c r="X561" i="3" s="1"/>
  <c r="X562" i="3" s="1"/>
  <c r="X563" i="3" s="1"/>
  <c r="X564" i="3" s="1"/>
  <c r="X565" i="3" s="1"/>
  <c r="X566" i="3" s="1"/>
  <c r="X567" i="3" s="1"/>
  <c r="X568" i="3" s="1"/>
  <c r="X569" i="3" s="1"/>
  <c r="X570" i="3" s="1"/>
  <c r="X571" i="3" s="1"/>
  <c r="X572" i="3" s="1"/>
  <c r="X573" i="3" s="1"/>
  <c r="X574" i="3" s="1"/>
  <c r="X575" i="3" s="1"/>
  <c r="X576" i="3" s="1"/>
  <c r="X577" i="3" s="1"/>
  <c r="X578" i="3" s="1"/>
  <c r="X579" i="3" s="1"/>
  <c r="X580" i="3" s="1"/>
  <c r="X581" i="3" s="1"/>
  <c r="X582" i="3" s="1"/>
  <c r="X583" i="3" s="1"/>
  <c r="X584" i="3" s="1"/>
  <c r="X585" i="3" s="1"/>
  <c r="X586" i="3" s="1"/>
  <c r="X587" i="3" s="1"/>
  <c r="X588" i="3" s="1"/>
  <c r="X589" i="3" s="1"/>
  <c r="X590" i="3" s="1"/>
  <c r="X591" i="3" s="1"/>
  <c r="X592" i="3" s="1"/>
  <c r="X593" i="3" s="1"/>
  <c r="X594" i="3" s="1"/>
  <c r="X595" i="3" s="1"/>
  <c r="X596" i="3" s="1"/>
  <c r="X597" i="3" s="1"/>
  <c r="X598" i="3" s="1"/>
  <c r="X599" i="3" s="1"/>
  <c r="X600" i="3" s="1"/>
  <c r="X601" i="3" s="1"/>
  <c r="X602" i="3" s="1"/>
  <c r="X603" i="3" s="1"/>
  <c r="X604" i="3" s="1"/>
  <c r="X605" i="3" s="1"/>
  <c r="X606" i="3" s="1"/>
  <c r="X607" i="3" s="1"/>
  <c r="X608" i="3" s="1"/>
  <c r="X609" i="3" s="1"/>
  <c r="X610" i="3" s="1"/>
  <c r="X611" i="3" s="1"/>
  <c r="X612" i="3" s="1"/>
  <c r="X613" i="3" s="1"/>
  <c r="X614" i="3" s="1"/>
  <c r="X615" i="3" s="1"/>
  <c r="X616" i="3" s="1"/>
  <c r="X617" i="3" s="1"/>
  <c r="X618" i="3" s="1"/>
  <c r="X619" i="3" s="1"/>
  <c r="X620" i="3" s="1"/>
  <c r="X621" i="3" s="1"/>
  <c r="X622" i="3" s="1"/>
  <c r="X623" i="3" s="1"/>
  <c r="X624" i="3" s="1"/>
  <c r="X625" i="3" s="1"/>
  <c r="X626" i="3" s="1"/>
  <c r="X627" i="3" s="1"/>
  <c r="X628" i="3" s="1"/>
  <c r="X629" i="3" s="1"/>
  <c r="X630" i="3" s="1"/>
  <c r="X631" i="3" s="1"/>
  <c r="X632" i="3" s="1"/>
  <c r="X633" i="3" s="1"/>
  <c r="X634" i="3" s="1"/>
  <c r="X635" i="3" s="1"/>
  <c r="X636" i="3" s="1"/>
  <c r="X637" i="3" s="1"/>
  <c r="X638" i="3" s="1"/>
  <c r="X639" i="3" s="1"/>
  <c r="X640" i="3" s="1"/>
  <c r="X641" i="3" s="1"/>
  <c r="X642" i="3" s="1"/>
  <c r="X643" i="3" s="1"/>
  <c r="X644" i="3" s="1"/>
  <c r="X645" i="3" s="1"/>
  <c r="X646" i="3" s="1"/>
  <c r="X647" i="3" s="1"/>
  <c r="X648" i="3" s="1"/>
  <c r="X649" i="3" s="1"/>
  <c r="X650" i="3" s="1"/>
  <c r="X651" i="3" s="1"/>
  <c r="X652" i="3" s="1"/>
  <c r="X653" i="3" s="1"/>
  <c r="X654" i="3" s="1"/>
  <c r="X655" i="3" s="1"/>
  <c r="X656" i="3" s="1"/>
  <c r="X657" i="3" s="1"/>
  <c r="X658" i="3" s="1"/>
  <c r="X659" i="3" s="1"/>
  <c r="X660" i="3" s="1"/>
  <c r="X661" i="3" s="1"/>
  <c r="X662" i="3" s="1"/>
  <c r="X663" i="3" s="1"/>
  <c r="X664" i="3" s="1"/>
  <c r="X665" i="3" s="1"/>
  <c r="X666" i="3" s="1"/>
  <c r="X667" i="3" s="1"/>
  <c r="X668" i="3" s="1"/>
  <c r="X669" i="3" s="1"/>
  <c r="X670" i="3" s="1"/>
  <c r="X671" i="3" s="1"/>
  <c r="X672" i="3" s="1"/>
  <c r="X673" i="3" s="1"/>
  <c r="X674" i="3" s="1"/>
  <c r="X675" i="3" s="1"/>
  <c r="X676" i="3" s="1"/>
  <c r="X677" i="3" s="1"/>
  <c r="X678" i="3" s="1"/>
  <c r="X679" i="3" s="1"/>
  <c r="X680" i="3" s="1"/>
  <c r="X681" i="3" s="1"/>
  <c r="X682" i="3" s="1"/>
  <c r="X683" i="3" s="1"/>
  <c r="X684" i="3" s="1"/>
  <c r="X685" i="3" s="1"/>
  <c r="X686" i="3" s="1"/>
  <c r="X687" i="3" s="1"/>
  <c r="X688" i="3" s="1"/>
  <c r="X689" i="3" s="1"/>
  <c r="X690" i="3" s="1"/>
  <c r="X691" i="3" s="1"/>
  <c r="X692" i="3" s="1"/>
  <c r="X693" i="3" s="1"/>
  <c r="X694" i="3" s="1"/>
  <c r="X695" i="3" s="1"/>
  <c r="X696" i="3" s="1"/>
  <c r="X697" i="3" s="1"/>
  <c r="X698" i="3" s="1"/>
  <c r="X699" i="3" s="1"/>
  <c r="X700" i="3" s="1"/>
  <c r="X701" i="3" s="1"/>
  <c r="X702" i="3" s="1"/>
  <c r="X703" i="3" s="1"/>
  <c r="X704" i="3" s="1"/>
  <c r="X705" i="3" s="1"/>
  <c r="X706" i="3" s="1"/>
  <c r="X707" i="3" s="1"/>
  <c r="X708" i="3" s="1"/>
  <c r="X709" i="3" s="1"/>
  <c r="X710" i="3" s="1"/>
  <c r="X711" i="3" s="1"/>
  <c r="X712" i="3" s="1"/>
  <c r="X713" i="3" s="1"/>
  <c r="X714" i="3" s="1"/>
  <c r="X715" i="3" s="1"/>
  <c r="X716" i="3" s="1"/>
  <c r="X717" i="3" s="1"/>
  <c r="X718" i="3" s="1"/>
  <c r="X719" i="3" s="1"/>
  <c r="X720" i="3" s="1"/>
  <c r="X721" i="3" s="1"/>
  <c r="X722" i="3" s="1"/>
  <c r="X723" i="3" s="1"/>
  <c r="X724" i="3" s="1"/>
  <c r="X725" i="3" s="1"/>
  <c r="X726" i="3" s="1"/>
  <c r="X727" i="3" s="1"/>
  <c r="X728" i="3" s="1"/>
  <c r="X729" i="3" s="1"/>
  <c r="X730" i="3" s="1"/>
  <c r="X731" i="3" s="1"/>
  <c r="W15" i="2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W688" i="2" s="1"/>
  <c r="W689" i="2" s="1"/>
  <c r="W690" i="2" s="1"/>
  <c r="W691" i="2" s="1"/>
  <c r="W692" i="2" s="1"/>
  <c r="W693" i="2" s="1"/>
  <c r="W694" i="2" s="1"/>
  <c r="W695" i="2" s="1"/>
  <c r="W696" i="2" s="1"/>
  <c r="W697" i="2" s="1"/>
  <c r="W698" i="2" s="1"/>
  <c r="W699" i="2" s="1"/>
  <c r="W700" i="2" s="1"/>
  <c r="W701" i="2" s="1"/>
  <c r="W702" i="2" s="1"/>
  <c r="W703" i="2" s="1"/>
  <c r="W704" i="2" s="1"/>
  <c r="W705" i="2" s="1"/>
  <c r="W706" i="2" s="1"/>
  <c r="W707" i="2" s="1"/>
  <c r="W708" i="2" s="1"/>
  <c r="W709" i="2" s="1"/>
  <c r="W710" i="2" s="1"/>
  <c r="W711" i="2" s="1"/>
  <c r="W712" i="2" s="1"/>
  <c r="P15" i="2"/>
  <c r="V14" i="3" s="1"/>
  <c r="D17" i="2"/>
  <c r="E16" i="3" s="1"/>
  <c r="K17" i="2"/>
  <c r="C17" i="2"/>
  <c r="B18" i="2"/>
  <c r="R15" i="3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R567" i="3" s="1"/>
  <c r="R568" i="3" s="1"/>
  <c r="R569" i="3" s="1"/>
  <c r="R570" i="3" s="1"/>
  <c r="R571" i="3" s="1"/>
  <c r="R572" i="3" s="1"/>
  <c r="R573" i="3" s="1"/>
  <c r="R574" i="3" s="1"/>
  <c r="R575" i="3" s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0" i="3" s="1"/>
  <c r="R591" i="3" s="1"/>
  <c r="R592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R613" i="3" s="1"/>
  <c r="R614" i="3" s="1"/>
  <c r="R615" i="3" s="1"/>
  <c r="R616" i="3" s="1"/>
  <c r="R617" i="3" s="1"/>
  <c r="R618" i="3" s="1"/>
  <c r="R619" i="3" s="1"/>
  <c r="R620" i="3" s="1"/>
  <c r="R621" i="3" s="1"/>
  <c r="R622" i="3" s="1"/>
  <c r="R623" i="3" s="1"/>
  <c r="R624" i="3" s="1"/>
  <c r="R625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R639" i="3" s="1"/>
  <c r="R640" i="3" s="1"/>
  <c r="R641" i="3" s="1"/>
  <c r="R642" i="3" s="1"/>
  <c r="R643" i="3" s="1"/>
  <c r="R644" i="3" s="1"/>
  <c r="R645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R672" i="3" s="1"/>
  <c r="R673" i="3" s="1"/>
  <c r="R674" i="3" s="1"/>
  <c r="R675" i="3" s="1"/>
  <c r="R676" i="3" s="1"/>
  <c r="R677" i="3" s="1"/>
  <c r="R678" i="3" s="1"/>
  <c r="R679" i="3" s="1"/>
  <c r="R680" i="3" s="1"/>
  <c r="R681" i="3" s="1"/>
  <c r="R682" i="3" s="1"/>
  <c r="R683" i="3" s="1"/>
  <c r="R684" i="3" s="1"/>
  <c r="R685" i="3" s="1"/>
  <c r="R686" i="3" s="1"/>
  <c r="R687" i="3" s="1"/>
  <c r="R688" i="3" s="1"/>
  <c r="R689" i="3" s="1"/>
  <c r="R690" i="3" s="1"/>
  <c r="R691" i="3" s="1"/>
  <c r="R692" i="3" s="1"/>
  <c r="R693" i="3" s="1"/>
  <c r="R694" i="3" s="1"/>
  <c r="R695" i="3" s="1"/>
  <c r="R696" i="3" s="1"/>
  <c r="R697" i="3" s="1"/>
  <c r="R698" i="3" s="1"/>
  <c r="R699" i="3" s="1"/>
  <c r="R700" i="3" s="1"/>
  <c r="R701" i="3" s="1"/>
  <c r="R702" i="3" s="1"/>
  <c r="R703" i="3" s="1"/>
  <c r="R704" i="3" s="1"/>
  <c r="R705" i="3" s="1"/>
  <c r="R706" i="3" s="1"/>
  <c r="R707" i="3" s="1"/>
  <c r="R708" i="3" s="1"/>
  <c r="R709" i="3" s="1"/>
  <c r="R710" i="3" s="1"/>
  <c r="R711" i="3" s="1"/>
  <c r="R712" i="3" s="1"/>
  <c r="N15" i="2"/>
  <c r="J14" i="3" s="1"/>
  <c r="A15" i="4"/>
  <c r="E14" i="3"/>
  <c r="C14" i="3"/>
  <c r="A16" i="4"/>
  <c r="C15" i="3"/>
  <c r="E15" i="3"/>
  <c r="A17" i="4"/>
  <c r="C16" i="3"/>
  <c r="M9" i="4"/>
  <c r="N9" i="3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M8" i="4"/>
  <c r="N8" i="3"/>
  <c r="S13" i="3"/>
  <c r="D13" i="3"/>
  <c r="G14" i="4"/>
  <c r="L14" i="4" s="1"/>
  <c r="I14" i="4"/>
  <c r="M14" i="4" s="1"/>
  <c r="K14" i="4"/>
  <c r="N13" i="3"/>
  <c r="M13" i="3"/>
  <c r="C14" i="4" s="1"/>
  <c r="T731" i="3" l="1"/>
  <c r="B712" i="3"/>
  <c r="S716" i="3"/>
  <c r="S717" i="3"/>
  <c r="H727" i="3"/>
  <c r="H716" i="3"/>
  <c r="G715" i="3"/>
  <c r="H724" i="3"/>
  <c r="M725" i="3"/>
  <c r="H715" i="3"/>
  <c r="G716" i="3"/>
  <c r="P725" i="3"/>
  <c r="G717" i="3"/>
  <c r="B714" i="2"/>
  <c r="M716" i="3" s="1"/>
  <c r="T720" i="3"/>
  <c r="U720" i="3" s="1"/>
  <c r="J722" i="3"/>
  <c r="N723" i="3"/>
  <c r="P724" i="3"/>
  <c r="J727" i="3"/>
  <c r="C711" i="3"/>
  <c r="A712" i="4"/>
  <c r="J731" i="3"/>
  <c r="M715" i="3"/>
  <c r="J716" i="3"/>
  <c r="G719" i="3"/>
  <c r="S711" i="3"/>
  <c r="W713" i="2"/>
  <c r="G711" i="3"/>
  <c r="U713" i="2"/>
  <c r="F722" i="3"/>
  <c r="D723" i="3"/>
  <c r="R713" i="3"/>
  <c r="G710" i="3"/>
  <c r="S710" i="3"/>
  <c r="F711" i="3"/>
  <c r="D712" i="3"/>
  <c r="P14" i="3"/>
  <c r="P15" i="3"/>
  <c r="I16" i="2"/>
  <c r="F16" i="2" s="1"/>
  <c r="N15" i="3" s="1"/>
  <c r="K708" i="2"/>
  <c r="L708" i="2"/>
  <c r="M708" i="2"/>
  <c r="C709" i="2"/>
  <c r="D709" i="2"/>
  <c r="I15" i="2"/>
  <c r="F15" i="2" s="1"/>
  <c r="N14" i="3" s="1"/>
  <c r="V17" i="2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603" i="2" s="1"/>
  <c r="V604" i="2" s="1"/>
  <c r="V605" i="2" s="1"/>
  <c r="V606" i="2" s="1"/>
  <c r="V607" i="2" s="1"/>
  <c r="V608" i="2" s="1"/>
  <c r="V609" i="2" s="1"/>
  <c r="V610" i="2" s="1"/>
  <c r="V611" i="2" s="1"/>
  <c r="V612" i="2" s="1"/>
  <c r="V613" i="2" s="1"/>
  <c r="V614" i="2" s="1"/>
  <c r="V615" i="2" s="1"/>
  <c r="V616" i="2" s="1"/>
  <c r="V617" i="2" s="1"/>
  <c r="V618" i="2" s="1"/>
  <c r="V619" i="2" s="1"/>
  <c r="V620" i="2" s="1"/>
  <c r="V621" i="2" s="1"/>
  <c r="V622" i="2" s="1"/>
  <c r="V623" i="2" s="1"/>
  <c r="V624" i="2" s="1"/>
  <c r="V625" i="2" s="1"/>
  <c r="V626" i="2" s="1"/>
  <c r="V627" i="2" s="1"/>
  <c r="V628" i="2" s="1"/>
  <c r="V629" i="2" s="1"/>
  <c r="V630" i="2" s="1"/>
  <c r="V631" i="2" s="1"/>
  <c r="V632" i="2" s="1"/>
  <c r="V633" i="2" s="1"/>
  <c r="V634" i="2" s="1"/>
  <c r="V635" i="2" s="1"/>
  <c r="V636" i="2" s="1"/>
  <c r="V637" i="2" s="1"/>
  <c r="V638" i="2" s="1"/>
  <c r="V639" i="2" s="1"/>
  <c r="V640" i="2" s="1"/>
  <c r="V641" i="2" s="1"/>
  <c r="V642" i="2" s="1"/>
  <c r="V643" i="2" s="1"/>
  <c r="V644" i="2" s="1"/>
  <c r="V645" i="2" s="1"/>
  <c r="V646" i="2" s="1"/>
  <c r="V647" i="2" s="1"/>
  <c r="V648" i="2" s="1"/>
  <c r="V649" i="2" s="1"/>
  <c r="V650" i="2" s="1"/>
  <c r="V651" i="2" s="1"/>
  <c r="V652" i="2" s="1"/>
  <c r="V653" i="2" s="1"/>
  <c r="V654" i="2" s="1"/>
  <c r="V655" i="2" s="1"/>
  <c r="V656" i="2" s="1"/>
  <c r="V657" i="2" s="1"/>
  <c r="V658" i="2" s="1"/>
  <c r="V659" i="2" s="1"/>
  <c r="V660" i="2" s="1"/>
  <c r="V661" i="2" s="1"/>
  <c r="V662" i="2" s="1"/>
  <c r="V663" i="2" s="1"/>
  <c r="V664" i="2" s="1"/>
  <c r="V665" i="2" s="1"/>
  <c r="V666" i="2" s="1"/>
  <c r="V667" i="2" s="1"/>
  <c r="V668" i="2" s="1"/>
  <c r="V669" i="2" s="1"/>
  <c r="V670" i="2" s="1"/>
  <c r="V671" i="2" s="1"/>
  <c r="V672" i="2" s="1"/>
  <c r="V673" i="2" s="1"/>
  <c r="V674" i="2" s="1"/>
  <c r="V675" i="2" s="1"/>
  <c r="V676" i="2" s="1"/>
  <c r="V677" i="2" s="1"/>
  <c r="V678" i="2" s="1"/>
  <c r="V679" i="2" s="1"/>
  <c r="V680" i="2" s="1"/>
  <c r="V681" i="2" s="1"/>
  <c r="V682" i="2" s="1"/>
  <c r="V683" i="2" s="1"/>
  <c r="V684" i="2" s="1"/>
  <c r="V685" i="2" s="1"/>
  <c r="V686" i="2" s="1"/>
  <c r="V687" i="2" s="1"/>
  <c r="V688" i="2" s="1"/>
  <c r="V689" i="2" s="1"/>
  <c r="V690" i="2" s="1"/>
  <c r="V691" i="2" s="1"/>
  <c r="V692" i="2" s="1"/>
  <c r="V693" i="2" s="1"/>
  <c r="V694" i="2" s="1"/>
  <c r="V695" i="2" s="1"/>
  <c r="V696" i="2" s="1"/>
  <c r="V697" i="2" s="1"/>
  <c r="V698" i="2" s="1"/>
  <c r="V699" i="2" s="1"/>
  <c r="V700" i="2" s="1"/>
  <c r="V701" i="2" s="1"/>
  <c r="V702" i="2" s="1"/>
  <c r="V703" i="2" s="1"/>
  <c r="V704" i="2" s="1"/>
  <c r="V705" i="2" s="1"/>
  <c r="T15" i="2"/>
  <c r="T16" i="2"/>
  <c r="M14" i="3"/>
  <c r="S14" i="3"/>
  <c r="Y14" i="3" s="1"/>
  <c r="Z14" i="3" s="1"/>
  <c r="AA14" i="3" s="1"/>
  <c r="S16" i="3"/>
  <c r="S15" i="3"/>
  <c r="O18" i="2"/>
  <c r="I17" i="2"/>
  <c r="F17" i="2" s="1"/>
  <c r="N16" i="3" s="1"/>
  <c r="M22" i="2"/>
  <c r="G15" i="3"/>
  <c r="K18" i="2"/>
  <c r="G14" i="3"/>
  <c r="D14" i="3"/>
  <c r="F13" i="3"/>
  <c r="D18" i="2"/>
  <c r="B17" i="3"/>
  <c r="B19" i="2"/>
  <c r="G15" i="4"/>
  <c r="L15" i="4" s="1"/>
  <c r="K15" i="4"/>
  <c r="N15" i="4" s="1"/>
  <c r="J15" i="2"/>
  <c r="G15" i="2" s="1"/>
  <c r="T14" i="3" s="1"/>
  <c r="P16" i="2"/>
  <c r="L21" i="2"/>
  <c r="I17" i="4"/>
  <c r="M17" i="4" s="1"/>
  <c r="C16" i="4"/>
  <c r="AB15" i="3"/>
  <c r="N16" i="2"/>
  <c r="H15" i="2"/>
  <c r="E15" i="2" s="1"/>
  <c r="H14" i="3" s="1"/>
  <c r="G16" i="3"/>
  <c r="C18" i="2"/>
  <c r="N730" i="3" l="1"/>
  <c r="P729" i="3"/>
  <c r="P716" i="3"/>
  <c r="S715" i="3"/>
  <c r="Y716" i="3" s="1"/>
  <c r="Z716" i="3" s="1"/>
  <c r="S731" i="3"/>
  <c r="H731" i="3"/>
  <c r="N724" i="3"/>
  <c r="Y717" i="3"/>
  <c r="Z717" i="3" s="1"/>
  <c r="N717" i="3"/>
  <c r="B713" i="3"/>
  <c r="A714" i="4" s="1"/>
  <c r="G727" i="3"/>
  <c r="M727" i="3"/>
  <c r="S719" i="3"/>
  <c r="G725" i="3"/>
  <c r="N716" i="3"/>
  <c r="H719" i="3"/>
  <c r="I719" i="3" s="1"/>
  <c r="T726" i="3"/>
  <c r="J729" i="3"/>
  <c r="J721" i="3"/>
  <c r="H729" i="3"/>
  <c r="P726" i="3"/>
  <c r="S714" i="3"/>
  <c r="N725" i="3"/>
  <c r="G724" i="3"/>
  <c r="N718" i="3"/>
  <c r="O718" i="3" s="1"/>
  <c r="V722" i="3"/>
  <c r="M717" i="3"/>
  <c r="H726" i="3"/>
  <c r="M728" i="3"/>
  <c r="M720" i="3"/>
  <c r="S725" i="3"/>
  <c r="G714" i="3"/>
  <c r="J723" i="3"/>
  <c r="G723" i="3"/>
  <c r="T716" i="3"/>
  <c r="H720" i="3"/>
  <c r="I720" i="3" s="1"/>
  <c r="T724" i="3"/>
  <c r="N715" i="3"/>
  <c r="P727" i="3"/>
  <c r="P719" i="3"/>
  <c r="S720" i="3"/>
  <c r="P721" i="3"/>
  <c r="V715" i="3"/>
  <c r="N719" i="3"/>
  <c r="O719" i="3" s="1"/>
  <c r="T723" i="3"/>
  <c r="V730" i="3"/>
  <c r="T722" i="3"/>
  <c r="U722" i="3" s="1"/>
  <c r="S726" i="3"/>
  <c r="S718" i="3"/>
  <c r="Y718" i="3" s="1"/>
  <c r="Z718" i="3" s="1"/>
  <c r="H725" i="3"/>
  <c r="P722" i="3"/>
  <c r="V717" i="3"/>
  <c r="T725" i="3"/>
  <c r="H723" i="3"/>
  <c r="P720" i="3"/>
  <c r="V731" i="3"/>
  <c r="M730" i="3"/>
  <c r="N722" i="3"/>
  <c r="O722" i="3" s="1"/>
  <c r="N728" i="3"/>
  <c r="J730" i="3"/>
  <c r="H722" i="3"/>
  <c r="I722" i="3" s="1"/>
  <c r="G726" i="3"/>
  <c r="G718" i="3"/>
  <c r="J717" i="3"/>
  <c r="P718" i="3"/>
  <c r="V724" i="3"/>
  <c r="V719" i="3"/>
  <c r="T719" i="3"/>
  <c r="U719" i="3" s="1"/>
  <c r="V727" i="3"/>
  <c r="S728" i="3"/>
  <c r="J719" i="3"/>
  <c r="G721" i="3"/>
  <c r="V726" i="3"/>
  <c r="V725" i="3"/>
  <c r="T721" i="3"/>
  <c r="U721" i="3" s="1"/>
  <c r="S721" i="3"/>
  <c r="T717" i="3"/>
  <c r="V718" i="3"/>
  <c r="H717" i="3"/>
  <c r="J724" i="3"/>
  <c r="S727" i="3"/>
  <c r="N731" i="3"/>
  <c r="J726" i="3"/>
  <c r="T718" i="3"/>
  <c r="U718" i="3" s="1"/>
  <c r="J725" i="3"/>
  <c r="H721" i="3"/>
  <c r="I721" i="3" s="1"/>
  <c r="V720" i="3"/>
  <c r="V716" i="3"/>
  <c r="M721" i="3"/>
  <c r="M726" i="3"/>
  <c r="P728" i="3"/>
  <c r="M714" i="3"/>
  <c r="H718" i="3"/>
  <c r="I718" i="3" s="1"/>
  <c r="M724" i="3"/>
  <c r="M719" i="3"/>
  <c r="J720" i="3"/>
  <c r="M729" i="3"/>
  <c r="M718" i="3"/>
  <c r="V723" i="3"/>
  <c r="N727" i="3"/>
  <c r="P731" i="3"/>
  <c r="P723" i="3"/>
  <c r="P730" i="3"/>
  <c r="S729" i="3"/>
  <c r="N720" i="3"/>
  <c r="O720" i="3" s="1"/>
  <c r="M722" i="3"/>
  <c r="V721" i="3"/>
  <c r="J715" i="3"/>
  <c r="M723" i="3"/>
  <c r="T728" i="3"/>
  <c r="G720" i="3"/>
  <c r="S724" i="3"/>
  <c r="S730" i="3"/>
  <c r="S722" i="3"/>
  <c r="N729" i="3"/>
  <c r="G728" i="3"/>
  <c r="N726" i="3"/>
  <c r="V729" i="3"/>
  <c r="V728" i="3"/>
  <c r="G731" i="3"/>
  <c r="M731" i="3"/>
  <c r="N721" i="3"/>
  <c r="O721" i="3" s="1"/>
  <c r="T727" i="3"/>
  <c r="J718" i="3"/>
  <c r="S723" i="3"/>
  <c r="T730" i="3"/>
  <c r="G730" i="3"/>
  <c r="G722" i="3"/>
  <c r="G729" i="3"/>
  <c r="J728" i="3"/>
  <c r="P717" i="3"/>
  <c r="H730" i="3"/>
  <c r="T729" i="3"/>
  <c r="T715" i="3"/>
  <c r="P715" i="3"/>
  <c r="A713" i="4"/>
  <c r="E712" i="3"/>
  <c r="F712" i="3" s="1"/>
  <c r="C712" i="3"/>
  <c r="H728" i="3"/>
  <c r="G712" i="3"/>
  <c r="U714" i="2"/>
  <c r="S712" i="3"/>
  <c r="Y712" i="3" s="1"/>
  <c r="Z712" i="3" s="1"/>
  <c r="W714" i="2"/>
  <c r="Y711" i="3"/>
  <c r="Z711" i="3" s="1"/>
  <c r="I16" i="4"/>
  <c r="M16" i="4" s="1"/>
  <c r="C15" i="4"/>
  <c r="I15" i="4"/>
  <c r="M15" i="4" s="1"/>
  <c r="E16" i="4"/>
  <c r="D724" i="3"/>
  <c r="F723" i="3"/>
  <c r="D713" i="3"/>
  <c r="T17" i="2"/>
  <c r="Y15" i="3"/>
  <c r="Z15" i="3" s="1"/>
  <c r="AA15" i="3" s="1"/>
  <c r="D710" i="2"/>
  <c r="C710" i="2"/>
  <c r="M709" i="2"/>
  <c r="L709" i="2"/>
  <c r="T705" i="2"/>
  <c r="V706" i="2"/>
  <c r="K709" i="2"/>
  <c r="M16" i="3"/>
  <c r="AB14" i="3"/>
  <c r="O19" i="2"/>
  <c r="I18" i="2"/>
  <c r="F18" i="2" s="1"/>
  <c r="N17" i="3" s="1"/>
  <c r="Y16" i="3"/>
  <c r="Z16" i="3" s="1"/>
  <c r="B18" i="3"/>
  <c r="B20" i="2"/>
  <c r="K19" i="2"/>
  <c r="N17" i="2"/>
  <c r="J15" i="3"/>
  <c r="H16" i="2"/>
  <c r="E16" i="2" s="1"/>
  <c r="H15" i="3" s="1"/>
  <c r="L22" i="2"/>
  <c r="A18" i="4"/>
  <c r="E17" i="3"/>
  <c r="G17" i="3"/>
  <c r="S17" i="3"/>
  <c r="Y17" i="3" s="1"/>
  <c r="Z17" i="3" s="1"/>
  <c r="M17" i="3"/>
  <c r="C17" i="3"/>
  <c r="P17" i="3"/>
  <c r="F14" i="3"/>
  <c r="D15" i="3"/>
  <c r="P17" i="2"/>
  <c r="J16" i="2"/>
  <c r="G16" i="2" s="1"/>
  <c r="T15" i="3" s="1"/>
  <c r="V15" i="3"/>
  <c r="T18" i="2"/>
  <c r="D19" i="2"/>
  <c r="D15" i="4"/>
  <c r="C19" i="2"/>
  <c r="M23" i="2"/>
  <c r="O13" i="3"/>
  <c r="H14" i="4" s="1"/>
  <c r="U13" i="3"/>
  <c r="J14" i="4" s="1"/>
  <c r="I13" i="3"/>
  <c r="F14" i="4" s="1"/>
  <c r="Y720" i="3" l="1"/>
  <c r="Z720" i="3" s="1"/>
  <c r="Y726" i="3"/>
  <c r="Z726" i="3" s="1"/>
  <c r="Y729" i="3"/>
  <c r="Z729" i="3" s="1"/>
  <c r="Y721" i="3"/>
  <c r="Z721" i="3" s="1"/>
  <c r="Y728" i="3"/>
  <c r="Z728" i="3" s="1"/>
  <c r="Y727" i="3"/>
  <c r="Z727" i="3" s="1"/>
  <c r="E713" i="3"/>
  <c r="F713" i="3" s="1"/>
  <c r="C714" i="3"/>
  <c r="C713" i="3"/>
  <c r="Y725" i="3"/>
  <c r="Z725" i="3" s="1"/>
  <c r="Y723" i="3"/>
  <c r="Z723" i="3" s="1"/>
  <c r="Y722" i="3"/>
  <c r="Z722" i="3" s="1"/>
  <c r="Y731" i="3"/>
  <c r="Z731" i="3" s="1"/>
  <c r="Y730" i="3"/>
  <c r="Z730" i="3" s="1"/>
  <c r="Y724" i="3"/>
  <c r="Z724" i="3" s="1"/>
  <c r="Y715" i="3"/>
  <c r="Z715" i="3" s="1"/>
  <c r="Y719" i="3"/>
  <c r="Z719" i="3" s="1"/>
  <c r="S713" i="3"/>
  <c r="Y714" i="3" s="1"/>
  <c r="Z714" i="3" s="1"/>
  <c r="G713" i="3"/>
  <c r="G16" i="4"/>
  <c r="L16" i="4" s="1"/>
  <c r="E15" i="4"/>
  <c r="C17" i="4"/>
  <c r="K16" i="4"/>
  <c r="N16" i="4" s="1"/>
  <c r="I723" i="3"/>
  <c r="O723" i="3"/>
  <c r="U723" i="3"/>
  <c r="F724" i="3"/>
  <c r="D725" i="3"/>
  <c r="D714" i="3"/>
  <c r="L710" i="2"/>
  <c r="M710" i="2"/>
  <c r="C711" i="2"/>
  <c r="V707" i="2"/>
  <c r="T706" i="2"/>
  <c r="D711" i="2"/>
  <c r="K710" i="2"/>
  <c r="AB16" i="3"/>
  <c r="O20" i="2"/>
  <c r="I19" i="2"/>
  <c r="F19" i="2" s="1"/>
  <c r="N18" i="3" s="1"/>
  <c r="C18" i="4"/>
  <c r="AB17" i="3"/>
  <c r="T19" i="2"/>
  <c r="D20" i="2"/>
  <c r="N18" i="2"/>
  <c r="J16" i="3"/>
  <c r="H17" i="2"/>
  <c r="E17" i="2" s="1"/>
  <c r="H16" i="3" s="1"/>
  <c r="D16" i="4"/>
  <c r="AA16" i="3"/>
  <c r="K20" i="2"/>
  <c r="B19" i="3"/>
  <c r="B21" i="2"/>
  <c r="A19" i="4"/>
  <c r="M18" i="3"/>
  <c r="C18" i="3"/>
  <c r="P18" i="3"/>
  <c r="E18" i="3"/>
  <c r="G18" i="3"/>
  <c r="S18" i="3"/>
  <c r="Y18" i="3" s="1"/>
  <c r="Z18" i="3" s="1"/>
  <c r="M24" i="2"/>
  <c r="P18" i="2"/>
  <c r="V16" i="3"/>
  <c r="J17" i="2"/>
  <c r="G17" i="2" s="1"/>
  <c r="T16" i="3" s="1"/>
  <c r="F15" i="3"/>
  <c r="D16" i="3"/>
  <c r="C20" i="2"/>
  <c r="I14" i="3"/>
  <c r="U14" i="3"/>
  <c r="O14" i="3"/>
  <c r="I18" i="4"/>
  <c r="M18" i="4" s="1"/>
  <c r="L23" i="2"/>
  <c r="Y713" i="3" l="1"/>
  <c r="Z713" i="3" s="1"/>
  <c r="G17" i="4"/>
  <c r="L17" i="4" s="1"/>
  <c r="J15" i="4"/>
  <c r="F15" i="4"/>
  <c r="E18" i="4"/>
  <c r="H15" i="4"/>
  <c r="E17" i="4"/>
  <c r="K17" i="4"/>
  <c r="N17" i="4" s="1"/>
  <c r="F725" i="3"/>
  <c r="D726" i="3"/>
  <c r="I724" i="3"/>
  <c r="U724" i="3"/>
  <c r="O724" i="3"/>
  <c r="F714" i="3"/>
  <c r="D715" i="3"/>
  <c r="D712" i="2"/>
  <c r="V708" i="2"/>
  <c r="T707" i="2"/>
  <c r="C712" i="2"/>
  <c r="M711" i="2"/>
  <c r="K711" i="2"/>
  <c r="L711" i="2"/>
  <c r="O21" i="2"/>
  <c r="I20" i="2"/>
  <c r="F20" i="2" s="1"/>
  <c r="N19" i="3" s="1"/>
  <c r="O15" i="3"/>
  <c r="I15" i="3"/>
  <c r="U15" i="3"/>
  <c r="K21" i="2"/>
  <c r="D17" i="4"/>
  <c r="AA17" i="3"/>
  <c r="N19" i="2"/>
  <c r="H18" i="2"/>
  <c r="E18" i="2" s="1"/>
  <c r="H17" i="3" s="1"/>
  <c r="J17" i="3"/>
  <c r="P19" i="2"/>
  <c r="J18" i="2"/>
  <c r="G18" i="2" s="1"/>
  <c r="T17" i="3" s="1"/>
  <c r="V17" i="3"/>
  <c r="T20" i="2"/>
  <c r="D21" i="2"/>
  <c r="C21" i="2"/>
  <c r="M25" i="2"/>
  <c r="C19" i="4"/>
  <c r="AB18" i="3"/>
  <c r="L24" i="2"/>
  <c r="I19" i="4"/>
  <c r="M19" i="4" s="1"/>
  <c r="B20" i="3"/>
  <c r="B22" i="2"/>
  <c r="F16" i="3"/>
  <c r="D17" i="3"/>
  <c r="A20" i="4"/>
  <c r="M19" i="3"/>
  <c r="C19" i="3"/>
  <c r="P19" i="3"/>
  <c r="E19" i="3"/>
  <c r="G19" i="3"/>
  <c r="S19" i="3"/>
  <c r="Y19" i="3" s="1"/>
  <c r="Z19" i="3" s="1"/>
  <c r="J16" i="4" l="1"/>
  <c r="H16" i="4"/>
  <c r="K18" i="4"/>
  <c r="N18" i="4" s="1"/>
  <c r="G18" i="4"/>
  <c r="L18" i="4" s="1"/>
  <c r="F16" i="4"/>
  <c r="E19" i="4"/>
  <c r="F726" i="3"/>
  <c r="D727" i="3"/>
  <c r="I725" i="3"/>
  <c r="U725" i="3"/>
  <c r="O725" i="3"/>
  <c r="D716" i="3"/>
  <c r="F715" i="3"/>
  <c r="K712" i="2"/>
  <c r="M712" i="2"/>
  <c r="V709" i="2"/>
  <c r="T708" i="2"/>
  <c r="L712" i="2"/>
  <c r="O22" i="2"/>
  <c r="I21" i="2"/>
  <c r="F21" i="2" s="1"/>
  <c r="N20" i="3" s="1"/>
  <c r="N20" i="2"/>
  <c r="J18" i="3"/>
  <c r="H19" i="2"/>
  <c r="E19" i="2" s="1"/>
  <c r="H18" i="3" s="1"/>
  <c r="C22" i="2"/>
  <c r="D18" i="4"/>
  <c r="AA18" i="3"/>
  <c r="T21" i="2"/>
  <c r="D22" i="2"/>
  <c r="A21" i="4"/>
  <c r="E20" i="3"/>
  <c r="G20" i="3"/>
  <c r="S20" i="3"/>
  <c r="Y20" i="3" s="1"/>
  <c r="Z20" i="3" s="1"/>
  <c r="M20" i="3"/>
  <c r="C20" i="3"/>
  <c r="P20" i="3"/>
  <c r="C20" i="4"/>
  <c r="AB19" i="3"/>
  <c r="I20" i="4"/>
  <c r="M20" i="4" s="1"/>
  <c r="L25" i="2"/>
  <c r="K22" i="2"/>
  <c r="P20" i="2"/>
  <c r="J19" i="2"/>
  <c r="G19" i="2" s="1"/>
  <c r="T18" i="3" s="1"/>
  <c r="V18" i="3"/>
  <c r="I16" i="3"/>
  <c r="U16" i="3"/>
  <c r="O16" i="3"/>
  <c r="F17" i="3"/>
  <c r="D18" i="3"/>
  <c r="B21" i="3"/>
  <c r="B23" i="2"/>
  <c r="M26" i="2"/>
  <c r="G19" i="4" l="1"/>
  <c r="L19" i="4" s="1"/>
  <c r="J17" i="4"/>
  <c r="E20" i="4"/>
  <c r="F17" i="4"/>
  <c r="K19" i="4"/>
  <c r="N19" i="4" s="1"/>
  <c r="H17" i="4"/>
  <c r="F727" i="3"/>
  <c r="D728" i="3"/>
  <c r="O726" i="3"/>
  <c r="I726" i="3"/>
  <c r="U726" i="3"/>
  <c r="O715" i="3"/>
  <c r="I715" i="3"/>
  <c r="U715" i="3"/>
  <c r="D717" i="3"/>
  <c r="F717" i="3" s="1"/>
  <c r="F716" i="3"/>
  <c r="V710" i="2"/>
  <c r="T709" i="2"/>
  <c r="O23" i="2"/>
  <c r="I22" i="2"/>
  <c r="F22" i="2" s="1"/>
  <c r="N21" i="3" s="1"/>
  <c r="A22" i="4"/>
  <c r="M21" i="3"/>
  <c r="C21" i="3"/>
  <c r="P21" i="3"/>
  <c r="E21" i="3"/>
  <c r="G21" i="3"/>
  <c r="S21" i="3"/>
  <c r="Y21" i="3" s="1"/>
  <c r="Z21" i="3" s="1"/>
  <c r="C21" i="4"/>
  <c r="AB20" i="3"/>
  <c r="I17" i="3"/>
  <c r="U17" i="3"/>
  <c r="O17" i="3"/>
  <c r="T22" i="2"/>
  <c r="D23" i="2"/>
  <c r="F18" i="3"/>
  <c r="D19" i="3"/>
  <c r="D19" i="4"/>
  <c r="AA19" i="3"/>
  <c r="P21" i="2"/>
  <c r="J20" i="2"/>
  <c r="G20" i="2" s="1"/>
  <c r="T19" i="3" s="1"/>
  <c r="V19" i="3"/>
  <c r="I21" i="4"/>
  <c r="M21" i="4" s="1"/>
  <c r="Y92" i="4"/>
  <c r="C23" i="2"/>
  <c r="K23" i="2"/>
  <c r="M27" i="2"/>
  <c r="B22" i="3"/>
  <c r="B24" i="2"/>
  <c r="L26" i="2"/>
  <c r="N21" i="2"/>
  <c r="H20" i="2"/>
  <c r="E20" i="2" s="1"/>
  <c r="H19" i="3" s="1"/>
  <c r="J19" i="3"/>
  <c r="G20" i="4" l="1"/>
  <c r="L20" i="4" s="1"/>
  <c r="K20" i="4"/>
  <c r="N20" i="4" s="1"/>
  <c r="F18" i="4"/>
  <c r="E21" i="4"/>
  <c r="H18" i="4"/>
  <c r="J18" i="4"/>
  <c r="D729" i="3"/>
  <c r="F728" i="3"/>
  <c r="U727" i="3"/>
  <c r="O727" i="3"/>
  <c r="I727" i="3"/>
  <c r="I716" i="3"/>
  <c r="U716" i="3"/>
  <c r="O716" i="3"/>
  <c r="I717" i="3"/>
  <c r="U717" i="3"/>
  <c r="O717" i="3"/>
  <c r="V711" i="2"/>
  <c r="M710" i="3" s="1"/>
  <c r="T710" i="2"/>
  <c r="O24" i="2"/>
  <c r="I23" i="2"/>
  <c r="F23" i="2" s="1"/>
  <c r="N22" i="3" s="1"/>
  <c r="D20" i="4"/>
  <c r="AA20" i="3"/>
  <c r="B23" i="3"/>
  <c r="B25" i="2"/>
  <c r="C24" i="2"/>
  <c r="L27" i="2"/>
  <c r="A23" i="4"/>
  <c r="M22" i="3"/>
  <c r="C22" i="3"/>
  <c r="P22" i="3"/>
  <c r="E22" i="3"/>
  <c r="G22" i="3"/>
  <c r="S22" i="3"/>
  <c r="Y22" i="3" s="1"/>
  <c r="Z22" i="3" s="1"/>
  <c r="F19" i="3"/>
  <c r="D20" i="3"/>
  <c r="O18" i="3"/>
  <c r="I18" i="3"/>
  <c r="U18" i="3"/>
  <c r="D24" i="2"/>
  <c r="T23" i="2"/>
  <c r="M28" i="2"/>
  <c r="K24" i="2"/>
  <c r="N22" i="2"/>
  <c r="H21" i="2"/>
  <c r="E21" i="2" s="1"/>
  <c r="H20" i="3" s="1"/>
  <c r="J20" i="3"/>
  <c r="C22" i="4"/>
  <c r="AB21" i="3"/>
  <c r="P22" i="2"/>
  <c r="J21" i="2"/>
  <c r="G21" i="2" s="1"/>
  <c r="T20" i="3" s="1"/>
  <c r="V20" i="3"/>
  <c r="I22" i="4"/>
  <c r="M22" i="4" s="1"/>
  <c r="J19" i="4" l="1"/>
  <c r="F19" i="4"/>
  <c r="K21" i="4"/>
  <c r="N21" i="4" s="1"/>
  <c r="H19" i="4"/>
  <c r="E22" i="4"/>
  <c r="G21" i="4"/>
  <c r="L21" i="4" s="1"/>
  <c r="AB710" i="3"/>
  <c r="C711" i="4"/>
  <c r="I728" i="3"/>
  <c r="U728" i="3"/>
  <c r="O728" i="3"/>
  <c r="F729" i="3"/>
  <c r="D730" i="3"/>
  <c r="V712" i="2"/>
  <c r="V713" i="2" s="1"/>
  <c r="V714" i="2" s="1"/>
  <c r="T711" i="2"/>
  <c r="O25" i="2"/>
  <c r="I24" i="2"/>
  <c r="F24" i="2" s="1"/>
  <c r="N23" i="3" s="1"/>
  <c r="M29" i="2"/>
  <c r="I19" i="3"/>
  <c r="U19" i="3"/>
  <c r="O19" i="3"/>
  <c r="I23" i="4"/>
  <c r="M23" i="4" s="1"/>
  <c r="L28" i="2"/>
  <c r="F20" i="3"/>
  <c r="D21" i="3"/>
  <c r="P23" i="2"/>
  <c r="J22" i="2"/>
  <c r="G22" i="2" s="1"/>
  <c r="T21" i="3" s="1"/>
  <c r="V21" i="3"/>
  <c r="D25" i="2"/>
  <c r="T24" i="2"/>
  <c r="C25" i="2"/>
  <c r="B24" i="3"/>
  <c r="B26" i="2"/>
  <c r="A24" i="4"/>
  <c r="G23" i="3"/>
  <c r="S23" i="3"/>
  <c r="Y23" i="3" s="1"/>
  <c r="Z23" i="3" s="1"/>
  <c r="M23" i="3"/>
  <c r="C23" i="3"/>
  <c r="P23" i="3"/>
  <c r="E23" i="3"/>
  <c r="N23" i="2"/>
  <c r="H22" i="2"/>
  <c r="E22" i="2" s="1"/>
  <c r="H21" i="3" s="1"/>
  <c r="J21" i="3"/>
  <c r="D21" i="4"/>
  <c r="AA21" i="3"/>
  <c r="K25" i="2"/>
  <c r="C23" i="4"/>
  <c r="AB22" i="3"/>
  <c r="T714" i="2" l="1"/>
  <c r="M713" i="3"/>
  <c r="C714" i="4" s="1"/>
  <c r="T713" i="2"/>
  <c r="M712" i="3"/>
  <c r="E711" i="4"/>
  <c r="H20" i="4"/>
  <c r="K22" i="4"/>
  <c r="N22" i="4" s="1"/>
  <c r="E23" i="4"/>
  <c r="J20" i="4"/>
  <c r="G22" i="4"/>
  <c r="L22" i="4" s="1"/>
  <c r="F20" i="4"/>
  <c r="F730" i="3"/>
  <c r="D731" i="3"/>
  <c r="F731" i="3" s="1"/>
  <c r="O729" i="3"/>
  <c r="I729" i="3"/>
  <c r="U729" i="3"/>
  <c r="T712" i="2"/>
  <c r="M711" i="3"/>
  <c r="O26" i="2"/>
  <c r="I25" i="2"/>
  <c r="F25" i="2" s="1"/>
  <c r="N24" i="3" s="1"/>
  <c r="D22" i="4"/>
  <c r="AA22" i="3"/>
  <c r="N24" i="2"/>
  <c r="J22" i="3"/>
  <c r="H23" i="2"/>
  <c r="E23" i="2" s="1"/>
  <c r="H22" i="3" s="1"/>
  <c r="I24" i="4"/>
  <c r="M24" i="4" s="1"/>
  <c r="T25" i="2"/>
  <c r="D26" i="2"/>
  <c r="B25" i="3"/>
  <c r="B27" i="2"/>
  <c r="A25" i="4"/>
  <c r="P24" i="3"/>
  <c r="E24" i="3"/>
  <c r="G24" i="3"/>
  <c r="S24" i="3"/>
  <c r="Y24" i="3" s="1"/>
  <c r="Z24" i="3" s="1"/>
  <c r="M24" i="3"/>
  <c r="C24" i="3"/>
  <c r="P24" i="2"/>
  <c r="J23" i="2"/>
  <c r="G23" i="2" s="1"/>
  <c r="T22" i="3" s="1"/>
  <c r="V22" i="3"/>
  <c r="F21" i="3"/>
  <c r="D22" i="3"/>
  <c r="C24" i="4"/>
  <c r="AB23" i="3"/>
  <c r="C26" i="2"/>
  <c r="I20" i="3"/>
  <c r="U20" i="3"/>
  <c r="O20" i="3"/>
  <c r="K26" i="2"/>
  <c r="L29" i="2"/>
  <c r="M30" i="2"/>
  <c r="AB713" i="3" l="1"/>
  <c r="E714" i="4" s="1"/>
  <c r="AB712" i="3"/>
  <c r="C713" i="4"/>
  <c r="E24" i="4"/>
  <c r="K23" i="4"/>
  <c r="N23" i="4" s="1"/>
  <c r="G23" i="4"/>
  <c r="L23" i="4" s="1"/>
  <c r="H21" i="4"/>
  <c r="J21" i="4"/>
  <c r="F21" i="4"/>
  <c r="AB711" i="3"/>
  <c r="C712" i="4"/>
  <c r="U731" i="3"/>
  <c r="O731" i="3"/>
  <c r="I731" i="3"/>
  <c r="O730" i="3"/>
  <c r="I730" i="3"/>
  <c r="U730" i="3"/>
  <c r="O27" i="2"/>
  <c r="I26" i="2"/>
  <c r="F26" i="2" s="1"/>
  <c r="N25" i="3" s="1"/>
  <c r="F22" i="3"/>
  <c r="D23" i="3"/>
  <c r="O21" i="3"/>
  <c r="I21" i="3"/>
  <c r="U21" i="3"/>
  <c r="K27" i="2"/>
  <c r="P25" i="2"/>
  <c r="J24" i="2"/>
  <c r="G24" i="2" s="1"/>
  <c r="T23" i="3" s="1"/>
  <c r="V23" i="3"/>
  <c r="I25" i="4"/>
  <c r="M25" i="4" s="1"/>
  <c r="B26" i="3"/>
  <c r="B28" i="2"/>
  <c r="L30" i="2"/>
  <c r="A26" i="4"/>
  <c r="M25" i="3"/>
  <c r="C25" i="3"/>
  <c r="P25" i="3"/>
  <c r="E25" i="3"/>
  <c r="G25" i="3"/>
  <c r="S25" i="3"/>
  <c r="Y25" i="3" s="1"/>
  <c r="Z25" i="3" s="1"/>
  <c r="N25" i="2"/>
  <c r="J23" i="3"/>
  <c r="H24" i="2"/>
  <c r="E24" i="2" s="1"/>
  <c r="H23" i="3" s="1"/>
  <c r="M31" i="2"/>
  <c r="C27" i="2"/>
  <c r="C25" i="4"/>
  <c r="AB24" i="3"/>
  <c r="T26" i="2"/>
  <c r="D27" i="2"/>
  <c r="D23" i="4"/>
  <c r="AA23" i="3"/>
  <c r="E713" i="4" l="1"/>
  <c r="K24" i="4"/>
  <c r="N24" i="4" s="1"/>
  <c r="E25" i="4"/>
  <c r="G24" i="4"/>
  <c r="L24" i="4" s="1"/>
  <c r="J22" i="4"/>
  <c r="F22" i="4"/>
  <c r="H22" i="4"/>
  <c r="E712" i="4"/>
  <c r="O28" i="2"/>
  <c r="I27" i="2"/>
  <c r="F27" i="2" s="1"/>
  <c r="N26" i="3" s="1"/>
  <c r="T27" i="2"/>
  <c r="D28" i="2"/>
  <c r="L31" i="2"/>
  <c r="K28" i="2"/>
  <c r="B27" i="3"/>
  <c r="B29" i="2"/>
  <c r="A27" i="4"/>
  <c r="M26" i="3"/>
  <c r="C26" i="3"/>
  <c r="P26" i="3"/>
  <c r="E26" i="3"/>
  <c r="G26" i="3"/>
  <c r="S26" i="3"/>
  <c r="Y26" i="3" s="1"/>
  <c r="Z26" i="3" s="1"/>
  <c r="P26" i="2"/>
  <c r="J25" i="2"/>
  <c r="G25" i="2" s="1"/>
  <c r="T24" i="3" s="1"/>
  <c r="V24" i="3"/>
  <c r="C28" i="2"/>
  <c r="D24" i="3"/>
  <c r="F23" i="3"/>
  <c r="M32" i="2"/>
  <c r="O22" i="3"/>
  <c r="I22" i="3"/>
  <c r="U22" i="3"/>
  <c r="D24" i="4"/>
  <c r="AA24" i="3"/>
  <c r="C26" i="4"/>
  <c r="AB25" i="3"/>
  <c r="N26" i="2"/>
  <c r="H25" i="2"/>
  <c r="E25" i="2" s="1"/>
  <c r="H24" i="3" s="1"/>
  <c r="J24" i="3"/>
  <c r="I26" i="4"/>
  <c r="M26" i="4" s="1"/>
  <c r="G25" i="4" l="1"/>
  <c r="L25" i="4" s="1"/>
  <c r="J23" i="4"/>
  <c r="F23" i="4"/>
  <c r="H23" i="4"/>
  <c r="K25" i="4"/>
  <c r="N25" i="4" s="1"/>
  <c r="E26" i="4"/>
  <c r="O29" i="2"/>
  <c r="I28" i="2"/>
  <c r="F28" i="2" s="1"/>
  <c r="N27" i="3" s="1"/>
  <c r="P27" i="2"/>
  <c r="J26" i="2"/>
  <c r="G26" i="2" s="1"/>
  <c r="T25" i="3" s="1"/>
  <c r="V25" i="3"/>
  <c r="I27" i="4"/>
  <c r="M27" i="4" s="1"/>
  <c r="B28" i="3"/>
  <c r="B30" i="2"/>
  <c r="A28" i="4"/>
  <c r="G27" i="3"/>
  <c r="S27" i="3"/>
  <c r="Y27" i="3" s="1"/>
  <c r="Z27" i="3" s="1"/>
  <c r="M27" i="3"/>
  <c r="C27" i="3"/>
  <c r="P27" i="3"/>
  <c r="E27" i="3"/>
  <c r="N27" i="2"/>
  <c r="H26" i="2"/>
  <c r="E26" i="2" s="1"/>
  <c r="H25" i="3" s="1"/>
  <c r="J25" i="3"/>
  <c r="M33" i="2"/>
  <c r="K29" i="2"/>
  <c r="D25" i="4"/>
  <c r="AA25" i="3"/>
  <c r="I23" i="3"/>
  <c r="U23" i="3"/>
  <c r="O23" i="3"/>
  <c r="L32" i="2"/>
  <c r="F24" i="3"/>
  <c r="D25" i="3"/>
  <c r="C29" i="2"/>
  <c r="T28" i="2"/>
  <c r="D29" i="2"/>
  <c r="C27" i="4"/>
  <c r="AB26" i="3"/>
  <c r="E27" i="4" l="1"/>
  <c r="G26" i="4"/>
  <c r="L26" i="4" s="1"/>
  <c r="K26" i="4"/>
  <c r="N26" i="4" s="1"/>
  <c r="F24" i="4"/>
  <c r="H24" i="4"/>
  <c r="J24" i="4"/>
  <c r="O30" i="2"/>
  <c r="I29" i="2"/>
  <c r="F29" i="2" s="1"/>
  <c r="N28" i="3" s="1"/>
  <c r="I28" i="4"/>
  <c r="M28" i="4" s="1"/>
  <c r="B29" i="3"/>
  <c r="B31" i="2"/>
  <c r="N28" i="2"/>
  <c r="H27" i="2"/>
  <c r="E27" i="2" s="1"/>
  <c r="H26" i="3" s="1"/>
  <c r="J26" i="3"/>
  <c r="A29" i="4"/>
  <c r="P28" i="3"/>
  <c r="E28" i="3"/>
  <c r="G28" i="3"/>
  <c r="S28" i="3"/>
  <c r="Y28" i="3" s="1"/>
  <c r="Z28" i="3" s="1"/>
  <c r="M28" i="3"/>
  <c r="C28" i="3"/>
  <c r="C30" i="2"/>
  <c r="T29" i="2"/>
  <c r="D30" i="2"/>
  <c r="D26" i="4"/>
  <c r="AA26" i="3"/>
  <c r="C28" i="4"/>
  <c r="AB27" i="3"/>
  <c r="K30" i="2"/>
  <c r="M34" i="2"/>
  <c r="F25" i="3"/>
  <c r="D26" i="3"/>
  <c r="I24" i="3"/>
  <c r="U24" i="3"/>
  <c r="O24" i="3"/>
  <c r="L33" i="2"/>
  <c r="P28" i="2"/>
  <c r="J27" i="2"/>
  <c r="G27" i="2" s="1"/>
  <c r="T26" i="3" s="1"/>
  <c r="V26" i="3"/>
  <c r="K27" i="4" l="1"/>
  <c r="N27" i="4" s="1"/>
  <c r="G27" i="4"/>
  <c r="L27" i="4" s="1"/>
  <c r="H25" i="4"/>
  <c r="J25" i="4"/>
  <c r="E28" i="4"/>
  <c r="F25" i="4"/>
  <c r="O31" i="2"/>
  <c r="I30" i="2"/>
  <c r="F30" i="2" s="1"/>
  <c r="N29" i="3" s="1"/>
  <c r="C29" i="4"/>
  <c r="AB28" i="3"/>
  <c r="N29" i="2"/>
  <c r="J27" i="3"/>
  <c r="H28" i="2"/>
  <c r="E28" i="2" s="1"/>
  <c r="H27" i="3" s="1"/>
  <c r="B30" i="3"/>
  <c r="B32" i="2"/>
  <c r="L34" i="2"/>
  <c r="F26" i="3"/>
  <c r="D27" i="3"/>
  <c r="D27" i="4"/>
  <c r="AA27" i="3"/>
  <c r="A30" i="4"/>
  <c r="M29" i="3"/>
  <c r="C29" i="3"/>
  <c r="P29" i="3"/>
  <c r="E29" i="3"/>
  <c r="G29" i="3"/>
  <c r="S29" i="3"/>
  <c r="Y29" i="3" s="1"/>
  <c r="Z29" i="3" s="1"/>
  <c r="O25" i="3"/>
  <c r="I25" i="3"/>
  <c r="U25" i="3"/>
  <c r="I29" i="4"/>
  <c r="M29" i="4" s="1"/>
  <c r="M35" i="2"/>
  <c r="T30" i="2"/>
  <c r="D31" i="2"/>
  <c r="K31" i="2"/>
  <c r="P29" i="2"/>
  <c r="J28" i="2"/>
  <c r="G28" i="2" s="1"/>
  <c r="T27" i="3" s="1"/>
  <c r="V27" i="3"/>
  <c r="C31" i="2"/>
  <c r="K28" i="4" l="1"/>
  <c r="N28" i="4" s="1"/>
  <c r="H26" i="4"/>
  <c r="G28" i="4"/>
  <c r="L28" i="4" s="1"/>
  <c r="E29" i="4"/>
  <c r="J26" i="4"/>
  <c r="F26" i="4"/>
  <c r="O32" i="2"/>
  <c r="I31" i="2"/>
  <c r="F31" i="2" s="1"/>
  <c r="N30" i="3" s="1"/>
  <c r="P30" i="2"/>
  <c r="J29" i="2"/>
  <c r="G29" i="2" s="1"/>
  <c r="T28" i="3" s="1"/>
  <c r="V28" i="3"/>
  <c r="A31" i="4"/>
  <c r="M30" i="3"/>
  <c r="C30" i="3"/>
  <c r="P30" i="3"/>
  <c r="E30" i="3"/>
  <c r="G30" i="3"/>
  <c r="S30" i="3"/>
  <c r="Y30" i="3" s="1"/>
  <c r="Z30" i="3" s="1"/>
  <c r="B31" i="3"/>
  <c r="B33" i="2"/>
  <c r="K32" i="2"/>
  <c r="C30" i="4"/>
  <c r="AB29" i="3"/>
  <c r="N30" i="2"/>
  <c r="H29" i="2"/>
  <c r="E29" i="2" s="1"/>
  <c r="H28" i="3" s="1"/>
  <c r="J28" i="3"/>
  <c r="T31" i="2"/>
  <c r="D32" i="2"/>
  <c r="I30" i="4"/>
  <c r="M30" i="4" s="1"/>
  <c r="D28" i="4"/>
  <c r="AA28" i="3"/>
  <c r="M36" i="2"/>
  <c r="D28" i="3"/>
  <c r="F27" i="3"/>
  <c r="C32" i="2"/>
  <c r="O26" i="3"/>
  <c r="U26" i="3"/>
  <c r="I26" i="3"/>
  <c r="L35" i="2"/>
  <c r="F27" i="4" l="1"/>
  <c r="H27" i="4"/>
  <c r="G29" i="4"/>
  <c r="L29" i="4" s="1"/>
  <c r="J27" i="4"/>
  <c r="E30" i="4"/>
  <c r="K29" i="4"/>
  <c r="N29" i="4" s="1"/>
  <c r="O33" i="2"/>
  <c r="I32" i="2"/>
  <c r="F32" i="2" s="1"/>
  <c r="N31" i="3" s="1"/>
  <c r="N31" i="2"/>
  <c r="J29" i="3"/>
  <c r="H30" i="2"/>
  <c r="E30" i="2" s="1"/>
  <c r="H29" i="3" s="1"/>
  <c r="D29" i="4"/>
  <c r="AA29" i="3"/>
  <c r="C33" i="2"/>
  <c r="I27" i="3"/>
  <c r="U27" i="3"/>
  <c r="O27" i="3"/>
  <c r="K33" i="2"/>
  <c r="C31" i="4"/>
  <c r="AB30" i="3"/>
  <c r="F28" i="3"/>
  <c r="D29" i="3"/>
  <c r="B32" i="3"/>
  <c r="B34" i="2"/>
  <c r="M37" i="2"/>
  <c r="A32" i="4"/>
  <c r="G31" i="3"/>
  <c r="S31" i="3"/>
  <c r="Y31" i="3" s="1"/>
  <c r="Z31" i="3" s="1"/>
  <c r="M31" i="3"/>
  <c r="C31" i="3"/>
  <c r="P31" i="3"/>
  <c r="E31" i="3"/>
  <c r="I31" i="4"/>
  <c r="M31" i="4" s="1"/>
  <c r="T32" i="2"/>
  <c r="D33" i="2"/>
  <c r="L36" i="2"/>
  <c r="P31" i="2"/>
  <c r="J30" i="2"/>
  <c r="G30" i="2" s="1"/>
  <c r="T29" i="3" s="1"/>
  <c r="V29" i="3"/>
  <c r="K30" i="4" l="1"/>
  <c r="N30" i="4" s="1"/>
  <c r="J28" i="4"/>
  <c r="F28" i="4"/>
  <c r="G30" i="4"/>
  <c r="L30" i="4" s="1"/>
  <c r="E31" i="4"/>
  <c r="H28" i="4"/>
  <c r="O34" i="2"/>
  <c r="I33" i="2"/>
  <c r="F33" i="2" s="1"/>
  <c r="N32" i="3" s="1"/>
  <c r="K34" i="2"/>
  <c r="I32" i="4"/>
  <c r="M32" i="4" s="1"/>
  <c r="M38" i="2"/>
  <c r="L37" i="2"/>
  <c r="B33" i="3"/>
  <c r="B35" i="2"/>
  <c r="C34" i="2"/>
  <c r="D34" i="2"/>
  <c r="T33" i="2"/>
  <c r="A33" i="4"/>
  <c r="P32" i="3"/>
  <c r="E32" i="3"/>
  <c r="G32" i="3"/>
  <c r="S32" i="3"/>
  <c r="Y32" i="3" s="1"/>
  <c r="Z32" i="3" s="1"/>
  <c r="M32" i="3"/>
  <c r="C32" i="3"/>
  <c r="C32" i="4"/>
  <c r="AB31" i="3"/>
  <c r="F29" i="3"/>
  <c r="D30" i="3"/>
  <c r="D30" i="4"/>
  <c r="AA30" i="3"/>
  <c r="I28" i="3"/>
  <c r="U28" i="3"/>
  <c r="O28" i="3"/>
  <c r="P32" i="2"/>
  <c r="J31" i="2"/>
  <c r="G31" i="2" s="1"/>
  <c r="T30" i="3" s="1"/>
  <c r="V30" i="3"/>
  <c r="N32" i="2"/>
  <c r="J30" i="3"/>
  <c r="H31" i="2"/>
  <c r="E31" i="2" s="1"/>
  <c r="H30" i="3" s="1"/>
  <c r="E32" i="4" l="1"/>
  <c r="G31" i="4"/>
  <c r="L31" i="4" s="1"/>
  <c r="K31" i="4"/>
  <c r="N31" i="4" s="1"/>
  <c r="H29" i="4"/>
  <c r="J29" i="4"/>
  <c r="F29" i="4"/>
  <c r="O35" i="2"/>
  <c r="I34" i="2"/>
  <c r="F34" i="2" s="1"/>
  <c r="N33" i="3" s="1"/>
  <c r="N33" i="2"/>
  <c r="H32" i="2"/>
  <c r="E32" i="2" s="1"/>
  <c r="H31" i="3" s="1"/>
  <c r="J31" i="3"/>
  <c r="I33" i="4"/>
  <c r="M33" i="4" s="1"/>
  <c r="M39" i="2"/>
  <c r="P33" i="2"/>
  <c r="J32" i="2"/>
  <c r="G32" i="2" s="1"/>
  <c r="T31" i="3" s="1"/>
  <c r="V31" i="3"/>
  <c r="C33" i="4"/>
  <c r="AB32" i="3"/>
  <c r="D35" i="2"/>
  <c r="T34" i="2"/>
  <c r="C35" i="2"/>
  <c r="D31" i="4"/>
  <c r="AA31" i="3"/>
  <c r="B34" i="3"/>
  <c r="B36" i="2"/>
  <c r="A34" i="4"/>
  <c r="M33" i="3"/>
  <c r="C33" i="3"/>
  <c r="P33" i="3"/>
  <c r="E33" i="3"/>
  <c r="G33" i="3"/>
  <c r="S33" i="3"/>
  <c r="Y33" i="3" s="1"/>
  <c r="Z33" i="3" s="1"/>
  <c r="F30" i="3"/>
  <c r="D31" i="3"/>
  <c r="L38" i="2"/>
  <c r="O29" i="3"/>
  <c r="I29" i="3"/>
  <c r="U29" i="3"/>
  <c r="K35" i="2"/>
  <c r="K32" i="4" l="1"/>
  <c r="N32" i="4" s="1"/>
  <c r="F30" i="4"/>
  <c r="G32" i="4"/>
  <c r="L32" i="4" s="1"/>
  <c r="J30" i="4"/>
  <c r="H30" i="4"/>
  <c r="E33" i="4"/>
  <c r="O36" i="2"/>
  <c r="I35" i="2"/>
  <c r="F35" i="2" s="1"/>
  <c r="N34" i="3" s="1"/>
  <c r="P34" i="2"/>
  <c r="J33" i="2"/>
  <c r="G33" i="2" s="1"/>
  <c r="T32" i="3" s="1"/>
  <c r="V32" i="3"/>
  <c r="M40" i="2"/>
  <c r="D32" i="4"/>
  <c r="AA32" i="3"/>
  <c r="K36" i="2"/>
  <c r="C36" i="2"/>
  <c r="L39" i="2"/>
  <c r="T35" i="2"/>
  <c r="D36" i="2"/>
  <c r="D32" i="3"/>
  <c r="F31" i="3"/>
  <c r="C34" i="4"/>
  <c r="AB33" i="3"/>
  <c r="O30" i="3"/>
  <c r="I30" i="3"/>
  <c r="U30" i="3"/>
  <c r="I34" i="4"/>
  <c r="M34" i="4" s="1"/>
  <c r="B35" i="3"/>
  <c r="B37" i="2"/>
  <c r="A35" i="4"/>
  <c r="M34" i="3"/>
  <c r="C34" i="3"/>
  <c r="P34" i="3"/>
  <c r="E34" i="3"/>
  <c r="G34" i="3"/>
  <c r="S34" i="3"/>
  <c r="Y34" i="3" s="1"/>
  <c r="Z34" i="3" s="1"/>
  <c r="N34" i="2"/>
  <c r="H33" i="2"/>
  <c r="E33" i="2" s="1"/>
  <c r="H32" i="3" s="1"/>
  <c r="J32" i="3"/>
  <c r="H31" i="4" l="1"/>
  <c r="E34" i="4"/>
  <c r="G33" i="4"/>
  <c r="L33" i="4" s="1"/>
  <c r="J31" i="4"/>
  <c r="F31" i="4"/>
  <c r="K33" i="4"/>
  <c r="N33" i="4" s="1"/>
  <c r="O37" i="2"/>
  <c r="I36" i="2"/>
  <c r="F36" i="2" s="1"/>
  <c r="N35" i="3" s="1"/>
  <c r="C35" i="4"/>
  <c r="AB34" i="3"/>
  <c r="C37" i="2"/>
  <c r="N35" i="2"/>
  <c r="J33" i="3"/>
  <c r="H34" i="2"/>
  <c r="E34" i="2" s="1"/>
  <c r="H33" i="3" s="1"/>
  <c r="I35" i="4"/>
  <c r="M35" i="4" s="1"/>
  <c r="B36" i="3"/>
  <c r="B38" i="2"/>
  <c r="K37" i="2"/>
  <c r="A36" i="4"/>
  <c r="G35" i="3"/>
  <c r="S35" i="3"/>
  <c r="Y35" i="3" s="1"/>
  <c r="Z35" i="3" s="1"/>
  <c r="M35" i="3"/>
  <c r="C35" i="3"/>
  <c r="P35" i="3"/>
  <c r="E35" i="3"/>
  <c r="I31" i="3"/>
  <c r="U31" i="3"/>
  <c r="O31" i="3"/>
  <c r="D33" i="4"/>
  <c r="AA33" i="3"/>
  <c r="F32" i="3"/>
  <c r="D33" i="3"/>
  <c r="T36" i="2"/>
  <c r="D37" i="2"/>
  <c r="M41" i="2"/>
  <c r="L40" i="2"/>
  <c r="P35" i="2"/>
  <c r="J34" i="2"/>
  <c r="G34" i="2" s="1"/>
  <c r="T33" i="3" s="1"/>
  <c r="V33" i="3"/>
  <c r="K34" i="4" l="1"/>
  <c r="N34" i="4" s="1"/>
  <c r="J32" i="4"/>
  <c r="F32" i="4"/>
  <c r="G34" i="4"/>
  <c r="L34" i="4" s="1"/>
  <c r="E35" i="4"/>
  <c r="H32" i="4"/>
  <c r="O38" i="2"/>
  <c r="I37" i="2"/>
  <c r="F37" i="2" s="1"/>
  <c r="N36" i="3" s="1"/>
  <c r="I32" i="3"/>
  <c r="U32" i="3"/>
  <c r="O32" i="3"/>
  <c r="P36" i="2"/>
  <c r="J35" i="2"/>
  <c r="G35" i="2" s="1"/>
  <c r="T34" i="3" s="1"/>
  <c r="V34" i="3"/>
  <c r="L41" i="2"/>
  <c r="I36" i="4"/>
  <c r="M36" i="4" s="1"/>
  <c r="K38" i="2"/>
  <c r="N36" i="2"/>
  <c r="H35" i="2"/>
  <c r="E35" i="2" s="1"/>
  <c r="H34" i="3" s="1"/>
  <c r="J34" i="3"/>
  <c r="M42" i="2"/>
  <c r="B37" i="3"/>
  <c r="B39" i="2"/>
  <c r="C38" i="2"/>
  <c r="D34" i="4"/>
  <c r="AA34" i="3"/>
  <c r="T37" i="2"/>
  <c r="D38" i="2"/>
  <c r="A37" i="4"/>
  <c r="P36" i="3"/>
  <c r="E36" i="3"/>
  <c r="G36" i="3"/>
  <c r="S36" i="3"/>
  <c r="Y36" i="3" s="1"/>
  <c r="Z36" i="3" s="1"/>
  <c r="M36" i="3"/>
  <c r="C36" i="3"/>
  <c r="C36" i="4"/>
  <c r="AB35" i="3"/>
  <c r="F33" i="3"/>
  <c r="D34" i="3"/>
  <c r="K35" i="4" l="1"/>
  <c r="N35" i="4" s="1"/>
  <c r="E36" i="4"/>
  <c r="J33" i="4"/>
  <c r="H33" i="4"/>
  <c r="F33" i="4"/>
  <c r="G35" i="4"/>
  <c r="L35" i="4" s="1"/>
  <c r="O39" i="2"/>
  <c r="I38" i="2"/>
  <c r="F38" i="2" s="1"/>
  <c r="N37" i="3" s="1"/>
  <c r="F34" i="3"/>
  <c r="D35" i="3"/>
  <c r="B38" i="3"/>
  <c r="B40" i="2"/>
  <c r="O33" i="3"/>
  <c r="I33" i="3"/>
  <c r="U33" i="3"/>
  <c r="A38" i="4"/>
  <c r="M37" i="3"/>
  <c r="C37" i="3"/>
  <c r="P37" i="3"/>
  <c r="E37" i="3"/>
  <c r="G37" i="3"/>
  <c r="S37" i="3"/>
  <c r="Y37" i="3" s="1"/>
  <c r="Z37" i="3" s="1"/>
  <c r="M43" i="2"/>
  <c r="T38" i="2"/>
  <c r="D39" i="2"/>
  <c r="L42" i="2"/>
  <c r="C37" i="4"/>
  <c r="AB36" i="3"/>
  <c r="N37" i="2"/>
  <c r="H36" i="2"/>
  <c r="E36" i="2" s="1"/>
  <c r="H35" i="3" s="1"/>
  <c r="J35" i="3"/>
  <c r="D35" i="4"/>
  <c r="AA35" i="3"/>
  <c r="K39" i="2"/>
  <c r="P37" i="2"/>
  <c r="J36" i="2"/>
  <c r="G36" i="2" s="1"/>
  <c r="T35" i="3" s="1"/>
  <c r="V35" i="3"/>
  <c r="I37" i="4"/>
  <c r="M37" i="4" s="1"/>
  <c r="C39" i="2"/>
  <c r="J34" i="4" l="1"/>
  <c r="K36" i="4"/>
  <c r="N36" i="4" s="1"/>
  <c r="E37" i="4"/>
  <c r="F34" i="4"/>
  <c r="H34" i="4"/>
  <c r="G36" i="4"/>
  <c r="L36" i="4" s="1"/>
  <c r="O40" i="2"/>
  <c r="I39" i="2"/>
  <c r="F39" i="2" s="1"/>
  <c r="N38" i="3" s="1"/>
  <c r="P38" i="2"/>
  <c r="J37" i="2"/>
  <c r="G37" i="2" s="1"/>
  <c r="T36" i="3" s="1"/>
  <c r="V36" i="3"/>
  <c r="C40" i="2"/>
  <c r="T39" i="2"/>
  <c r="D40" i="2"/>
  <c r="D36" i="4"/>
  <c r="AA36" i="3"/>
  <c r="M44" i="2"/>
  <c r="C38" i="4"/>
  <c r="AB37" i="3"/>
  <c r="I38" i="4"/>
  <c r="M38" i="4" s="1"/>
  <c r="N38" i="2"/>
  <c r="H37" i="2"/>
  <c r="E37" i="2" s="1"/>
  <c r="H36" i="3" s="1"/>
  <c r="J36" i="3"/>
  <c r="B39" i="3"/>
  <c r="B41" i="2"/>
  <c r="K40" i="2"/>
  <c r="A39" i="4"/>
  <c r="M38" i="3"/>
  <c r="C38" i="3"/>
  <c r="P38" i="3"/>
  <c r="E38" i="3"/>
  <c r="G38" i="3"/>
  <c r="S38" i="3"/>
  <c r="Y38" i="3" s="1"/>
  <c r="Z38" i="3" s="1"/>
  <c r="D36" i="3"/>
  <c r="F35" i="3"/>
  <c r="L43" i="2"/>
  <c r="O34" i="3"/>
  <c r="U34" i="3"/>
  <c r="I34" i="3"/>
  <c r="F35" i="4" l="1"/>
  <c r="J35" i="4"/>
  <c r="H35" i="4"/>
  <c r="G37" i="4"/>
  <c r="L37" i="4" s="1"/>
  <c r="K37" i="4"/>
  <c r="N37" i="4" s="1"/>
  <c r="E38" i="4"/>
  <c r="O41" i="2"/>
  <c r="I40" i="2"/>
  <c r="F40" i="2" s="1"/>
  <c r="N39" i="3" s="1"/>
  <c r="N39" i="2"/>
  <c r="J37" i="3"/>
  <c r="H38" i="2"/>
  <c r="E38" i="2" s="1"/>
  <c r="H37" i="3" s="1"/>
  <c r="D37" i="4"/>
  <c r="AA37" i="3"/>
  <c r="C39" i="4"/>
  <c r="AB38" i="3"/>
  <c r="D41" i="2"/>
  <c r="T40" i="2"/>
  <c r="L44" i="2"/>
  <c r="I35" i="3"/>
  <c r="U35" i="3"/>
  <c r="O35" i="3"/>
  <c r="F36" i="3"/>
  <c r="D37" i="3"/>
  <c r="I39" i="4"/>
  <c r="M39" i="4" s="1"/>
  <c r="C41" i="2"/>
  <c r="K41" i="2"/>
  <c r="B40" i="3"/>
  <c r="B42" i="2"/>
  <c r="A40" i="4"/>
  <c r="G39" i="3"/>
  <c r="S39" i="3"/>
  <c r="Y39" i="3" s="1"/>
  <c r="Z39" i="3" s="1"/>
  <c r="M39" i="3"/>
  <c r="C39" i="3"/>
  <c r="P39" i="3"/>
  <c r="E39" i="3"/>
  <c r="M45" i="2"/>
  <c r="P39" i="2"/>
  <c r="J38" i="2"/>
  <c r="G38" i="2" s="1"/>
  <c r="T37" i="3" s="1"/>
  <c r="V37" i="3"/>
  <c r="K38" i="4" l="1"/>
  <c r="N38" i="4" s="1"/>
  <c r="G38" i="4"/>
  <c r="L38" i="4" s="1"/>
  <c r="E39" i="4"/>
  <c r="H36" i="4"/>
  <c r="J36" i="4"/>
  <c r="F36" i="4"/>
  <c r="O42" i="2"/>
  <c r="I41" i="2"/>
  <c r="F41" i="2" s="1"/>
  <c r="N40" i="3" s="1"/>
  <c r="L45" i="2"/>
  <c r="P40" i="2"/>
  <c r="J39" i="2"/>
  <c r="G39" i="2" s="1"/>
  <c r="T38" i="3" s="1"/>
  <c r="V38" i="3"/>
  <c r="D42" i="2"/>
  <c r="T41" i="2"/>
  <c r="M46" i="2"/>
  <c r="I40" i="4"/>
  <c r="M40" i="4" s="1"/>
  <c r="B41" i="3"/>
  <c r="B43" i="2"/>
  <c r="A41" i="4"/>
  <c r="P40" i="3"/>
  <c r="E40" i="3"/>
  <c r="G40" i="3"/>
  <c r="S40" i="3"/>
  <c r="Y40" i="3" s="1"/>
  <c r="Z40" i="3" s="1"/>
  <c r="M40" i="3"/>
  <c r="C40" i="3"/>
  <c r="F37" i="3"/>
  <c r="D38" i="3"/>
  <c r="D38" i="4"/>
  <c r="AA38" i="3"/>
  <c r="I36" i="3"/>
  <c r="U36" i="3"/>
  <c r="O36" i="3"/>
  <c r="K42" i="2"/>
  <c r="C40" i="4"/>
  <c r="AB39" i="3"/>
  <c r="C42" i="2"/>
  <c r="N40" i="2"/>
  <c r="H39" i="2"/>
  <c r="E39" i="2" s="1"/>
  <c r="H38" i="3" s="1"/>
  <c r="J38" i="3"/>
  <c r="F37" i="4" l="1"/>
  <c r="K39" i="4"/>
  <c r="N39" i="4" s="1"/>
  <c r="E40" i="4"/>
  <c r="G39" i="4"/>
  <c r="L39" i="4" s="1"/>
  <c r="H37" i="4"/>
  <c r="J37" i="4"/>
  <c r="O43" i="2"/>
  <c r="I42" i="2"/>
  <c r="F42" i="2" s="1"/>
  <c r="N41" i="3" s="1"/>
  <c r="M47" i="2"/>
  <c r="D39" i="4"/>
  <c r="AA39" i="3"/>
  <c r="N41" i="2"/>
  <c r="H40" i="2"/>
  <c r="E40" i="2" s="1"/>
  <c r="H39" i="3" s="1"/>
  <c r="J39" i="3"/>
  <c r="O37" i="3"/>
  <c r="I37" i="3"/>
  <c r="U37" i="3"/>
  <c r="I41" i="4"/>
  <c r="M41" i="4" s="1"/>
  <c r="B42" i="3"/>
  <c r="B44" i="2"/>
  <c r="T42" i="2"/>
  <c r="D43" i="2"/>
  <c r="F38" i="3"/>
  <c r="D39" i="3"/>
  <c r="A42" i="4"/>
  <c r="M41" i="3"/>
  <c r="C41" i="3"/>
  <c r="P41" i="3"/>
  <c r="E41" i="3"/>
  <c r="G41" i="3"/>
  <c r="S41" i="3"/>
  <c r="Y41" i="3" s="1"/>
  <c r="Z41" i="3" s="1"/>
  <c r="C43" i="2"/>
  <c r="C41" i="4"/>
  <c r="AB40" i="3"/>
  <c r="P41" i="2"/>
  <c r="J40" i="2"/>
  <c r="G40" i="2" s="1"/>
  <c r="T39" i="3" s="1"/>
  <c r="V39" i="3"/>
  <c r="K43" i="2"/>
  <c r="L46" i="2"/>
  <c r="H38" i="4" l="1"/>
  <c r="F38" i="4"/>
  <c r="K40" i="4"/>
  <c r="N40" i="4" s="1"/>
  <c r="G40" i="4"/>
  <c r="L40" i="4" s="1"/>
  <c r="J38" i="4"/>
  <c r="E41" i="4"/>
  <c r="O44" i="2"/>
  <c r="I43" i="2"/>
  <c r="F43" i="2" s="1"/>
  <c r="N42" i="3" s="1"/>
  <c r="I42" i="4"/>
  <c r="M42" i="4" s="1"/>
  <c r="L47" i="2"/>
  <c r="O38" i="3"/>
  <c r="U38" i="3"/>
  <c r="I38" i="3"/>
  <c r="D40" i="3"/>
  <c r="F39" i="3"/>
  <c r="D44" i="2"/>
  <c r="T43" i="2"/>
  <c r="K44" i="2"/>
  <c r="B43" i="3"/>
  <c r="B45" i="2"/>
  <c r="P42" i="2"/>
  <c r="J41" i="2"/>
  <c r="G41" i="2" s="1"/>
  <c r="T40" i="3" s="1"/>
  <c r="V40" i="3"/>
  <c r="A43" i="4"/>
  <c r="M42" i="3"/>
  <c r="C42" i="3"/>
  <c r="P42" i="3"/>
  <c r="E42" i="3"/>
  <c r="G42" i="3"/>
  <c r="S42" i="3"/>
  <c r="Y42" i="3" s="1"/>
  <c r="Z42" i="3" s="1"/>
  <c r="N42" i="2"/>
  <c r="J40" i="3"/>
  <c r="H41" i="2"/>
  <c r="E41" i="2" s="1"/>
  <c r="H40" i="3" s="1"/>
  <c r="D40" i="4"/>
  <c r="AA40" i="3"/>
  <c r="C44" i="2"/>
  <c r="C42" i="4"/>
  <c r="AB41" i="3"/>
  <c r="M48" i="2"/>
  <c r="F39" i="4" l="1"/>
  <c r="J39" i="4"/>
  <c r="K41" i="4"/>
  <c r="N41" i="4" s="1"/>
  <c r="E42" i="4"/>
  <c r="H39" i="4"/>
  <c r="G41" i="4"/>
  <c r="L41" i="4" s="1"/>
  <c r="O45" i="2"/>
  <c r="I44" i="2"/>
  <c r="F44" i="2" s="1"/>
  <c r="N43" i="3" s="1"/>
  <c r="N43" i="2"/>
  <c r="H42" i="2"/>
  <c r="E42" i="2" s="1"/>
  <c r="H41" i="3" s="1"/>
  <c r="J41" i="3"/>
  <c r="I43" i="4"/>
  <c r="M43" i="4" s="1"/>
  <c r="F40" i="3"/>
  <c r="D41" i="3"/>
  <c r="M49" i="2"/>
  <c r="P43" i="2"/>
  <c r="J42" i="2"/>
  <c r="G42" i="2" s="1"/>
  <c r="T41" i="3" s="1"/>
  <c r="V41" i="3"/>
  <c r="B44" i="3"/>
  <c r="B46" i="2"/>
  <c r="A44" i="4"/>
  <c r="G43" i="3"/>
  <c r="S43" i="3"/>
  <c r="Y43" i="3" s="1"/>
  <c r="Z43" i="3" s="1"/>
  <c r="M43" i="3"/>
  <c r="C43" i="3"/>
  <c r="P43" i="3"/>
  <c r="E43" i="3"/>
  <c r="L48" i="2"/>
  <c r="C45" i="2"/>
  <c r="K45" i="2"/>
  <c r="D41" i="4"/>
  <c r="AA41" i="3"/>
  <c r="C43" i="4"/>
  <c r="AB42" i="3"/>
  <c r="T44" i="2"/>
  <c r="D45" i="2"/>
  <c r="I39" i="3"/>
  <c r="U39" i="3"/>
  <c r="O39" i="3"/>
  <c r="K42" i="4" l="1"/>
  <c r="N42" i="4" s="1"/>
  <c r="H40" i="4"/>
  <c r="F40" i="4"/>
  <c r="J40" i="4"/>
  <c r="G42" i="4"/>
  <c r="L42" i="4" s="1"/>
  <c r="E43" i="4"/>
  <c r="O46" i="2"/>
  <c r="I45" i="2"/>
  <c r="F45" i="2" s="1"/>
  <c r="N44" i="3" s="1"/>
  <c r="F41" i="3"/>
  <c r="D42" i="3"/>
  <c r="C46" i="2"/>
  <c r="I40" i="3"/>
  <c r="U40" i="3"/>
  <c r="O40" i="3"/>
  <c r="T45" i="2"/>
  <c r="D46" i="2"/>
  <c r="I44" i="4"/>
  <c r="M44" i="4" s="1"/>
  <c r="B45" i="3"/>
  <c r="B47" i="2"/>
  <c r="A45" i="4"/>
  <c r="P44" i="3"/>
  <c r="E44" i="3"/>
  <c r="G44" i="3"/>
  <c r="S44" i="3"/>
  <c r="Y44" i="3" s="1"/>
  <c r="Z44" i="3" s="1"/>
  <c r="M44" i="3"/>
  <c r="C44" i="3"/>
  <c r="D42" i="4"/>
  <c r="AA42" i="3"/>
  <c r="C44" i="4"/>
  <c r="AB43" i="3"/>
  <c r="P44" i="2"/>
  <c r="J43" i="2"/>
  <c r="G43" i="2" s="1"/>
  <c r="T42" i="3" s="1"/>
  <c r="V42" i="3"/>
  <c r="L49" i="2"/>
  <c r="K46" i="2"/>
  <c r="M50" i="2"/>
  <c r="N44" i="2"/>
  <c r="J42" i="3"/>
  <c r="H43" i="2"/>
  <c r="E43" i="2" s="1"/>
  <c r="H42" i="3" s="1"/>
  <c r="J41" i="4" l="1"/>
  <c r="F41" i="4"/>
  <c r="G43" i="4"/>
  <c r="L43" i="4" s="1"/>
  <c r="H41" i="4"/>
  <c r="K43" i="4"/>
  <c r="N43" i="4" s="1"/>
  <c r="E44" i="4"/>
  <c r="O47" i="2"/>
  <c r="I46" i="2"/>
  <c r="F46" i="2" s="1"/>
  <c r="N45" i="3" s="1"/>
  <c r="T46" i="2"/>
  <c r="D47" i="2"/>
  <c r="N45" i="2"/>
  <c r="J43" i="3"/>
  <c r="H44" i="2"/>
  <c r="E44" i="2" s="1"/>
  <c r="H43" i="3" s="1"/>
  <c r="D43" i="4"/>
  <c r="AA43" i="3"/>
  <c r="I45" i="4"/>
  <c r="M45" i="4" s="1"/>
  <c r="M51" i="2"/>
  <c r="B46" i="3"/>
  <c r="B48" i="2"/>
  <c r="K47" i="2"/>
  <c r="A46" i="4"/>
  <c r="M45" i="3"/>
  <c r="C45" i="3"/>
  <c r="P45" i="3"/>
  <c r="E45" i="3"/>
  <c r="G45" i="3"/>
  <c r="S45" i="3"/>
  <c r="Y45" i="3" s="1"/>
  <c r="Z45" i="3" s="1"/>
  <c r="C45" i="4"/>
  <c r="AB44" i="3"/>
  <c r="P45" i="2"/>
  <c r="J44" i="2"/>
  <c r="G44" i="2" s="1"/>
  <c r="T43" i="3" s="1"/>
  <c r="V43" i="3"/>
  <c r="L50" i="2"/>
  <c r="C47" i="2"/>
  <c r="F42" i="3"/>
  <c r="D43" i="3"/>
  <c r="O41" i="3"/>
  <c r="I41" i="3"/>
  <c r="U41" i="3"/>
  <c r="F42" i="4" l="1"/>
  <c r="E45" i="4"/>
  <c r="J42" i="4"/>
  <c r="G44" i="4"/>
  <c r="L44" i="4" s="1"/>
  <c r="H42" i="4"/>
  <c r="K44" i="4"/>
  <c r="N44" i="4" s="1"/>
  <c r="O48" i="2"/>
  <c r="I47" i="2"/>
  <c r="F47" i="2" s="1"/>
  <c r="N46" i="3" s="1"/>
  <c r="P46" i="2"/>
  <c r="J45" i="2"/>
  <c r="G45" i="2" s="1"/>
  <c r="T44" i="3" s="1"/>
  <c r="V44" i="3"/>
  <c r="C46" i="4"/>
  <c r="AB45" i="3"/>
  <c r="I46" i="4"/>
  <c r="M46" i="4" s="1"/>
  <c r="D44" i="4"/>
  <c r="AA44" i="3"/>
  <c r="O42" i="3"/>
  <c r="I42" i="3"/>
  <c r="U42" i="3"/>
  <c r="K48" i="2"/>
  <c r="C48" i="2"/>
  <c r="B47" i="3"/>
  <c r="B49" i="2"/>
  <c r="D44" i="3"/>
  <c r="F43" i="3"/>
  <c r="A47" i="4"/>
  <c r="M46" i="3"/>
  <c r="C46" i="3"/>
  <c r="P46" i="3"/>
  <c r="G46" i="3"/>
  <c r="S46" i="3"/>
  <c r="Y46" i="3" s="1"/>
  <c r="Z46" i="3" s="1"/>
  <c r="E46" i="3"/>
  <c r="N46" i="2"/>
  <c r="J44" i="3"/>
  <c r="H45" i="2"/>
  <c r="E45" i="2" s="1"/>
  <c r="H44" i="3" s="1"/>
  <c r="L51" i="2"/>
  <c r="M52" i="2"/>
  <c r="T47" i="2"/>
  <c r="D48" i="2"/>
  <c r="F43" i="4" l="1"/>
  <c r="H43" i="4"/>
  <c r="G45" i="4"/>
  <c r="L45" i="4" s="1"/>
  <c r="K45" i="4"/>
  <c r="N45" i="4" s="1"/>
  <c r="E46" i="4"/>
  <c r="J43" i="4"/>
  <c r="O49" i="2"/>
  <c r="I48" i="2"/>
  <c r="F48" i="2" s="1"/>
  <c r="N47" i="3" s="1"/>
  <c r="F44" i="3"/>
  <c r="D45" i="3"/>
  <c r="A48" i="4"/>
  <c r="G47" i="3"/>
  <c r="S47" i="3"/>
  <c r="Y47" i="3" s="1"/>
  <c r="Z47" i="3" s="1"/>
  <c r="M47" i="3"/>
  <c r="C47" i="3"/>
  <c r="P47" i="3"/>
  <c r="E47" i="3"/>
  <c r="B48" i="3"/>
  <c r="B50" i="2"/>
  <c r="C49" i="2"/>
  <c r="M53" i="2"/>
  <c r="L52" i="2"/>
  <c r="C47" i="4"/>
  <c r="AB46" i="3"/>
  <c r="K49" i="2"/>
  <c r="D49" i="2"/>
  <c r="T48" i="2"/>
  <c r="N47" i="2"/>
  <c r="J45" i="3"/>
  <c r="H46" i="2"/>
  <c r="E46" i="2" s="1"/>
  <c r="H45" i="3" s="1"/>
  <c r="I47" i="4"/>
  <c r="M47" i="4" s="1"/>
  <c r="I43" i="3"/>
  <c r="U43" i="3"/>
  <c r="O43" i="3"/>
  <c r="D45" i="4"/>
  <c r="AA45" i="3"/>
  <c r="P47" i="2"/>
  <c r="J46" i="2"/>
  <c r="G46" i="2" s="1"/>
  <c r="T45" i="3" s="1"/>
  <c r="V45" i="3"/>
  <c r="K46" i="4" l="1"/>
  <c r="N46" i="4" s="1"/>
  <c r="H44" i="4"/>
  <c r="E47" i="4"/>
  <c r="J44" i="4"/>
  <c r="G46" i="4"/>
  <c r="L46" i="4" s="1"/>
  <c r="F44" i="4"/>
  <c r="O50" i="2"/>
  <c r="I49" i="2"/>
  <c r="F49" i="2" s="1"/>
  <c r="N48" i="3" s="1"/>
  <c r="L53" i="2"/>
  <c r="C48" i="4"/>
  <c r="AB47" i="3"/>
  <c r="P48" i="2"/>
  <c r="J47" i="2"/>
  <c r="G47" i="2" s="1"/>
  <c r="T46" i="3" s="1"/>
  <c r="V46" i="3"/>
  <c r="D46" i="4"/>
  <c r="AA46" i="3"/>
  <c r="M54" i="2"/>
  <c r="N48" i="2"/>
  <c r="J46" i="3"/>
  <c r="H47" i="2"/>
  <c r="E47" i="2" s="1"/>
  <c r="H46" i="3" s="1"/>
  <c r="C50" i="2"/>
  <c r="T49" i="2"/>
  <c r="D50" i="2"/>
  <c r="B49" i="3"/>
  <c r="B51" i="2"/>
  <c r="A49" i="4"/>
  <c r="P48" i="3"/>
  <c r="E48" i="3"/>
  <c r="G48" i="3"/>
  <c r="S48" i="3"/>
  <c r="Y48" i="3" s="1"/>
  <c r="Z48" i="3" s="1"/>
  <c r="M48" i="3"/>
  <c r="C48" i="3"/>
  <c r="I48" i="4"/>
  <c r="M48" i="4" s="1"/>
  <c r="K50" i="2"/>
  <c r="F45" i="3"/>
  <c r="D46" i="3"/>
  <c r="I44" i="3"/>
  <c r="U44" i="3"/>
  <c r="O44" i="3"/>
  <c r="K47" i="4" l="1"/>
  <c r="N47" i="4" s="1"/>
  <c r="E48" i="4"/>
  <c r="H45" i="4"/>
  <c r="J45" i="4"/>
  <c r="F45" i="4"/>
  <c r="G47" i="4"/>
  <c r="L47" i="4" s="1"/>
  <c r="O51" i="2"/>
  <c r="I50" i="2"/>
  <c r="F50" i="2" s="1"/>
  <c r="N49" i="3" s="1"/>
  <c r="N49" i="2"/>
  <c r="H48" i="2"/>
  <c r="E48" i="2" s="1"/>
  <c r="H47" i="3" s="1"/>
  <c r="J47" i="3"/>
  <c r="B50" i="3"/>
  <c r="B52" i="2"/>
  <c r="M55" i="2"/>
  <c r="A50" i="4"/>
  <c r="M49" i="3"/>
  <c r="C49" i="3"/>
  <c r="P49" i="3"/>
  <c r="E49" i="3"/>
  <c r="G49" i="3"/>
  <c r="S49" i="3"/>
  <c r="Y49" i="3" s="1"/>
  <c r="Z49" i="3" s="1"/>
  <c r="D47" i="4"/>
  <c r="AA47" i="3"/>
  <c r="I49" i="4"/>
  <c r="M49" i="4" s="1"/>
  <c r="F46" i="3"/>
  <c r="D47" i="3"/>
  <c r="C49" i="4"/>
  <c r="AB48" i="3"/>
  <c r="O45" i="3"/>
  <c r="I45" i="3"/>
  <c r="U45" i="3"/>
  <c r="D51" i="2"/>
  <c r="T50" i="2"/>
  <c r="K51" i="2"/>
  <c r="C51" i="2"/>
  <c r="P49" i="2"/>
  <c r="J48" i="2"/>
  <c r="G48" i="2" s="1"/>
  <c r="T47" i="3" s="1"/>
  <c r="V47" i="3"/>
  <c r="L54" i="2"/>
  <c r="H46" i="4" l="1"/>
  <c r="K48" i="4"/>
  <c r="N48" i="4" s="1"/>
  <c r="G48" i="4"/>
  <c r="L48" i="4" s="1"/>
  <c r="E49" i="4"/>
  <c r="J46" i="4"/>
  <c r="F46" i="4"/>
  <c r="O52" i="2"/>
  <c r="I51" i="2"/>
  <c r="F51" i="2" s="1"/>
  <c r="N50" i="3" s="1"/>
  <c r="L55" i="2"/>
  <c r="D48" i="4"/>
  <c r="AA48" i="3"/>
  <c r="C50" i="4"/>
  <c r="AB49" i="3"/>
  <c r="I50" i="4"/>
  <c r="M50" i="4" s="1"/>
  <c r="T51" i="2"/>
  <c r="D52" i="2"/>
  <c r="P50" i="2"/>
  <c r="J49" i="2"/>
  <c r="G49" i="2" s="1"/>
  <c r="T48" i="3" s="1"/>
  <c r="V48" i="3"/>
  <c r="M56" i="2"/>
  <c r="D48" i="3"/>
  <c r="F47" i="3"/>
  <c r="B51" i="3"/>
  <c r="B53" i="2"/>
  <c r="C52" i="2"/>
  <c r="O46" i="3"/>
  <c r="I46" i="3"/>
  <c r="U46" i="3"/>
  <c r="A51" i="4"/>
  <c r="M50" i="3"/>
  <c r="C50" i="3"/>
  <c r="P50" i="3"/>
  <c r="G50" i="3"/>
  <c r="S50" i="3"/>
  <c r="Y50" i="3" s="1"/>
  <c r="Z50" i="3" s="1"/>
  <c r="E50" i="3"/>
  <c r="K52" i="2"/>
  <c r="N50" i="2"/>
  <c r="J48" i="3"/>
  <c r="H49" i="2"/>
  <c r="E49" i="2" s="1"/>
  <c r="H48" i="3" s="1"/>
  <c r="F47" i="4" l="1"/>
  <c r="E50" i="4"/>
  <c r="J47" i="4"/>
  <c r="G49" i="4"/>
  <c r="L49" i="4" s="1"/>
  <c r="H47" i="4"/>
  <c r="K49" i="4"/>
  <c r="N49" i="4" s="1"/>
  <c r="O53" i="2"/>
  <c r="I52" i="2"/>
  <c r="F52" i="2" s="1"/>
  <c r="N51" i="3" s="1"/>
  <c r="A52" i="4"/>
  <c r="G51" i="3"/>
  <c r="S51" i="3"/>
  <c r="Y51" i="3" s="1"/>
  <c r="Z51" i="3" s="1"/>
  <c r="M51" i="3"/>
  <c r="C51" i="3"/>
  <c r="P51" i="3"/>
  <c r="E51" i="3"/>
  <c r="C51" i="4"/>
  <c r="AB50" i="3"/>
  <c r="I47" i="3"/>
  <c r="U47" i="3"/>
  <c r="O47" i="3"/>
  <c r="B52" i="3"/>
  <c r="B54" i="2"/>
  <c r="N51" i="2"/>
  <c r="H50" i="2"/>
  <c r="E50" i="2" s="1"/>
  <c r="H49" i="3" s="1"/>
  <c r="J49" i="3"/>
  <c r="F48" i="3"/>
  <c r="D49" i="3"/>
  <c r="M57" i="2"/>
  <c r="K53" i="2"/>
  <c r="I51" i="4"/>
  <c r="M51" i="4" s="1"/>
  <c r="P51" i="2"/>
  <c r="J50" i="2"/>
  <c r="G50" i="2" s="1"/>
  <c r="T49" i="3" s="1"/>
  <c r="V49" i="3"/>
  <c r="D49" i="4"/>
  <c r="AA49" i="3"/>
  <c r="D53" i="2"/>
  <c r="T52" i="2"/>
  <c r="C53" i="2"/>
  <c r="L56" i="2"/>
  <c r="F48" i="4" l="1"/>
  <c r="G50" i="4"/>
  <c r="L50" i="4" s="1"/>
  <c r="K50" i="4"/>
  <c r="N50" i="4" s="1"/>
  <c r="E51" i="4"/>
  <c r="H48" i="4"/>
  <c r="J48" i="4"/>
  <c r="O54" i="2"/>
  <c r="I53" i="2"/>
  <c r="F53" i="2" s="1"/>
  <c r="N52" i="3" s="1"/>
  <c r="I48" i="3"/>
  <c r="U48" i="3"/>
  <c r="O48" i="3"/>
  <c r="P52" i="2"/>
  <c r="J51" i="2"/>
  <c r="G51" i="2" s="1"/>
  <c r="T50" i="3" s="1"/>
  <c r="V50" i="3"/>
  <c r="C54" i="2"/>
  <c r="N52" i="2"/>
  <c r="J50" i="3"/>
  <c r="H51" i="2"/>
  <c r="E51" i="2" s="1"/>
  <c r="H50" i="3" s="1"/>
  <c r="C52" i="4"/>
  <c r="AB51" i="3"/>
  <c r="L57" i="2"/>
  <c r="B53" i="3"/>
  <c r="B55" i="2"/>
  <c r="A53" i="4"/>
  <c r="P52" i="3"/>
  <c r="E52" i="3"/>
  <c r="G52" i="3"/>
  <c r="S52" i="3"/>
  <c r="Y52" i="3" s="1"/>
  <c r="Z52" i="3" s="1"/>
  <c r="M52" i="3"/>
  <c r="C52" i="3"/>
  <c r="F49" i="3"/>
  <c r="D50" i="3"/>
  <c r="D54" i="2"/>
  <c r="T53" i="2"/>
  <c r="D50" i="4"/>
  <c r="AA50" i="3"/>
  <c r="K54" i="2"/>
  <c r="M58" i="2"/>
  <c r="I52" i="4"/>
  <c r="M52" i="4" s="1"/>
  <c r="G51" i="4" l="1"/>
  <c r="L51" i="4" s="1"/>
  <c r="K51" i="4"/>
  <c r="N51" i="4" s="1"/>
  <c r="E52" i="4"/>
  <c r="F49" i="4"/>
  <c r="H49" i="4"/>
  <c r="J49" i="4"/>
  <c r="O55" i="2"/>
  <c r="I54" i="2"/>
  <c r="F54" i="2" s="1"/>
  <c r="N53" i="3" s="1"/>
  <c r="N53" i="2"/>
  <c r="H52" i="2"/>
  <c r="E52" i="2" s="1"/>
  <c r="H51" i="3" s="1"/>
  <c r="J51" i="3"/>
  <c r="O49" i="3"/>
  <c r="I49" i="3"/>
  <c r="U49" i="3"/>
  <c r="I53" i="4"/>
  <c r="M53" i="4" s="1"/>
  <c r="B54" i="3"/>
  <c r="B56" i="2"/>
  <c r="F50" i="3"/>
  <c r="D51" i="3"/>
  <c r="A54" i="4"/>
  <c r="M53" i="3"/>
  <c r="C53" i="3"/>
  <c r="E53" i="3"/>
  <c r="G53" i="3"/>
  <c r="S53" i="3"/>
  <c r="Y53" i="3" s="1"/>
  <c r="Z53" i="3" s="1"/>
  <c r="P53" i="3"/>
  <c r="M59" i="2"/>
  <c r="C53" i="4"/>
  <c r="AB52" i="3"/>
  <c r="P53" i="2"/>
  <c r="J52" i="2"/>
  <c r="G52" i="2" s="1"/>
  <c r="T51" i="3" s="1"/>
  <c r="V51" i="3"/>
  <c r="L58" i="2"/>
  <c r="T54" i="2"/>
  <c r="D55" i="2"/>
  <c r="K55" i="2"/>
  <c r="C55" i="2"/>
  <c r="D51" i="4"/>
  <c r="AA51" i="3"/>
  <c r="J50" i="4" l="1"/>
  <c r="E53" i="4"/>
  <c r="F50" i="4"/>
  <c r="H50" i="4"/>
  <c r="G52" i="4"/>
  <c r="L52" i="4" s="1"/>
  <c r="K52" i="4"/>
  <c r="N52" i="4" s="1"/>
  <c r="O56" i="2"/>
  <c r="I55" i="2"/>
  <c r="F55" i="2" s="1"/>
  <c r="N54" i="3" s="1"/>
  <c r="L59" i="2"/>
  <c r="C54" i="4"/>
  <c r="AB53" i="3"/>
  <c r="K56" i="2"/>
  <c r="M60" i="2"/>
  <c r="I54" i="4"/>
  <c r="M54" i="4" s="1"/>
  <c r="C56" i="2"/>
  <c r="D56" i="2"/>
  <c r="T55" i="2"/>
  <c r="D52" i="3"/>
  <c r="F51" i="3"/>
  <c r="P54" i="2"/>
  <c r="J53" i="2"/>
  <c r="G53" i="2" s="1"/>
  <c r="T52" i="3" s="1"/>
  <c r="V52" i="3"/>
  <c r="O50" i="3"/>
  <c r="I50" i="3"/>
  <c r="U50" i="3"/>
  <c r="B55" i="3"/>
  <c r="B57" i="2"/>
  <c r="D52" i="4"/>
  <c r="AA52" i="3"/>
  <c r="A55" i="4"/>
  <c r="C54" i="3"/>
  <c r="P54" i="3"/>
  <c r="G54" i="3"/>
  <c r="S54" i="3"/>
  <c r="Y54" i="3" s="1"/>
  <c r="Z54" i="3" s="1"/>
  <c r="E54" i="3"/>
  <c r="M54" i="3"/>
  <c r="N54" i="2"/>
  <c r="J52" i="3"/>
  <c r="H53" i="2"/>
  <c r="E53" i="2" s="1"/>
  <c r="H52" i="3" s="1"/>
  <c r="G53" i="4" l="1"/>
  <c r="L53" i="4" s="1"/>
  <c r="J51" i="4"/>
  <c r="K53" i="4"/>
  <c r="N53" i="4" s="1"/>
  <c r="E54" i="4"/>
  <c r="F51" i="4"/>
  <c r="H51" i="4"/>
  <c r="O57" i="2"/>
  <c r="I56" i="2"/>
  <c r="F56" i="2" s="1"/>
  <c r="N55" i="3" s="1"/>
  <c r="I55" i="4"/>
  <c r="M55" i="4" s="1"/>
  <c r="P55" i="2"/>
  <c r="J54" i="2"/>
  <c r="G54" i="2" s="1"/>
  <c r="T53" i="3" s="1"/>
  <c r="V53" i="3"/>
  <c r="I51" i="3"/>
  <c r="U51" i="3"/>
  <c r="O51" i="3"/>
  <c r="F52" i="3"/>
  <c r="D53" i="3"/>
  <c r="C55" i="4"/>
  <c r="AB54" i="3"/>
  <c r="D53" i="4"/>
  <c r="AA53" i="3"/>
  <c r="M61" i="2"/>
  <c r="B56" i="3"/>
  <c r="B58" i="2"/>
  <c r="T56" i="2"/>
  <c r="D57" i="2"/>
  <c r="A56" i="4"/>
  <c r="G55" i="3"/>
  <c r="S55" i="3"/>
  <c r="Y55" i="3" s="1"/>
  <c r="Z55" i="3" s="1"/>
  <c r="M55" i="3"/>
  <c r="P55" i="3"/>
  <c r="C55" i="3"/>
  <c r="E55" i="3"/>
  <c r="K57" i="2"/>
  <c r="N55" i="2"/>
  <c r="H54" i="2"/>
  <c r="E54" i="2" s="1"/>
  <c r="H53" i="3" s="1"/>
  <c r="J53" i="3"/>
  <c r="C57" i="2"/>
  <c r="L60" i="2"/>
  <c r="H52" i="4" l="1"/>
  <c r="J52" i="4"/>
  <c r="G54" i="4"/>
  <c r="L54" i="4" s="1"/>
  <c r="K54" i="4"/>
  <c r="N54" i="4" s="1"/>
  <c r="F52" i="4"/>
  <c r="E55" i="4"/>
  <c r="O58" i="2"/>
  <c r="I57" i="2"/>
  <c r="F57" i="2" s="1"/>
  <c r="N56" i="3" s="1"/>
  <c r="L61" i="2"/>
  <c r="B57" i="3"/>
  <c r="B59" i="2"/>
  <c r="A57" i="4"/>
  <c r="P56" i="3"/>
  <c r="E56" i="3"/>
  <c r="M56" i="3"/>
  <c r="S56" i="3"/>
  <c r="Y56" i="3" s="1"/>
  <c r="Z56" i="3" s="1"/>
  <c r="C56" i="3"/>
  <c r="G56" i="3"/>
  <c r="C58" i="2"/>
  <c r="M62" i="2"/>
  <c r="C56" i="4"/>
  <c r="AB55" i="3"/>
  <c r="P56" i="2"/>
  <c r="J55" i="2"/>
  <c r="G55" i="2" s="1"/>
  <c r="T54" i="3" s="1"/>
  <c r="V54" i="3"/>
  <c r="D54" i="4"/>
  <c r="AA54" i="3"/>
  <c r="N56" i="2"/>
  <c r="H55" i="2"/>
  <c r="E55" i="2" s="1"/>
  <c r="H54" i="3" s="1"/>
  <c r="J54" i="3"/>
  <c r="K58" i="2"/>
  <c r="I56" i="4"/>
  <c r="M56" i="4" s="1"/>
  <c r="F53" i="3"/>
  <c r="D54" i="3"/>
  <c r="T57" i="2"/>
  <c r="D58" i="2"/>
  <c r="I52" i="3"/>
  <c r="U52" i="3"/>
  <c r="O52" i="3"/>
  <c r="H53" i="4" l="1"/>
  <c r="F53" i="4"/>
  <c r="K55" i="4"/>
  <c r="N55" i="4" s="1"/>
  <c r="E56" i="4"/>
  <c r="G55" i="4"/>
  <c r="L55" i="4" s="1"/>
  <c r="J53" i="4"/>
  <c r="O59" i="2"/>
  <c r="I58" i="2"/>
  <c r="F58" i="2" s="1"/>
  <c r="N57" i="3" s="1"/>
  <c r="K59" i="2"/>
  <c r="T58" i="2"/>
  <c r="D59" i="2"/>
  <c r="M63" i="2"/>
  <c r="P57" i="2"/>
  <c r="J56" i="2"/>
  <c r="G56" i="2" s="1"/>
  <c r="T55" i="3" s="1"/>
  <c r="V55" i="3"/>
  <c r="D55" i="3"/>
  <c r="F54" i="3"/>
  <c r="N57" i="2"/>
  <c r="J55" i="3"/>
  <c r="H56" i="2"/>
  <c r="E56" i="2" s="1"/>
  <c r="H55" i="3" s="1"/>
  <c r="C59" i="2"/>
  <c r="I57" i="4"/>
  <c r="M57" i="4" s="1"/>
  <c r="O53" i="3"/>
  <c r="U53" i="3"/>
  <c r="I53" i="3"/>
  <c r="D55" i="4"/>
  <c r="AA55" i="3"/>
  <c r="B58" i="3"/>
  <c r="B60" i="2"/>
  <c r="A58" i="4"/>
  <c r="M57" i="3"/>
  <c r="C57" i="3"/>
  <c r="E57" i="3"/>
  <c r="G57" i="3"/>
  <c r="S57" i="3"/>
  <c r="Y57" i="3" s="1"/>
  <c r="Z57" i="3" s="1"/>
  <c r="P57" i="3"/>
  <c r="C57" i="4"/>
  <c r="AB56" i="3"/>
  <c r="L62" i="2"/>
  <c r="K56" i="4" l="1"/>
  <c r="N56" i="4" s="1"/>
  <c r="E57" i="4"/>
  <c r="J54" i="4"/>
  <c r="H54" i="4"/>
  <c r="F54" i="4"/>
  <c r="G56" i="4"/>
  <c r="L56" i="4" s="1"/>
  <c r="O60" i="2"/>
  <c r="I59" i="2"/>
  <c r="F59" i="2" s="1"/>
  <c r="N58" i="3" s="1"/>
  <c r="O54" i="3"/>
  <c r="U54" i="3"/>
  <c r="I54" i="3"/>
  <c r="D56" i="3"/>
  <c r="F55" i="3"/>
  <c r="L63" i="2"/>
  <c r="C58" i="4"/>
  <c r="AB57" i="3"/>
  <c r="I58" i="4"/>
  <c r="M58" i="4" s="1"/>
  <c r="P58" i="2"/>
  <c r="J57" i="2"/>
  <c r="G57" i="2" s="1"/>
  <c r="T56" i="3" s="1"/>
  <c r="V56" i="3"/>
  <c r="B59" i="3"/>
  <c r="B61" i="2"/>
  <c r="A59" i="4"/>
  <c r="C58" i="3"/>
  <c r="P58" i="3"/>
  <c r="G58" i="3"/>
  <c r="S58" i="3"/>
  <c r="Y58" i="3" s="1"/>
  <c r="Z58" i="3" s="1"/>
  <c r="M58" i="3"/>
  <c r="E58" i="3"/>
  <c r="C60" i="2"/>
  <c r="M64" i="2"/>
  <c r="D56" i="4"/>
  <c r="AA56" i="3"/>
  <c r="T59" i="2"/>
  <c r="D60" i="2"/>
  <c r="N58" i="2"/>
  <c r="H57" i="2"/>
  <c r="E57" i="2" s="1"/>
  <c r="H56" i="3" s="1"/>
  <c r="J56" i="3"/>
  <c r="K60" i="2"/>
  <c r="G57" i="4" l="1"/>
  <c r="L57" i="4" s="1"/>
  <c r="E58" i="4"/>
  <c r="J55" i="4"/>
  <c r="F55" i="4"/>
  <c r="H55" i="4"/>
  <c r="K57" i="4"/>
  <c r="N57" i="4" s="1"/>
  <c r="O61" i="2"/>
  <c r="I60" i="2"/>
  <c r="F60" i="2" s="1"/>
  <c r="N59" i="3" s="1"/>
  <c r="M65" i="2"/>
  <c r="C61" i="2"/>
  <c r="K61" i="2"/>
  <c r="I59" i="4"/>
  <c r="M59" i="4" s="1"/>
  <c r="B60" i="3"/>
  <c r="B62" i="2"/>
  <c r="N59" i="2"/>
  <c r="H58" i="2"/>
  <c r="E58" i="2" s="1"/>
  <c r="H57" i="3" s="1"/>
  <c r="J57" i="3"/>
  <c r="A60" i="4"/>
  <c r="G59" i="3"/>
  <c r="S59" i="3"/>
  <c r="Y59" i="3" s="1"/>
  <c r="Z59" i="3" s="1"/>
  <c r="P59" i="3"/>
  <c r="C59" i="3"/>
  <c r="E59" i="3"/>
  <c r="M59" i="3"/>
  <c r="L64" i="2"/>
  <c r="D61" i="2"/>
  <c r="T60" i="2"/>
  <c r="C59" i="4"/>
  <c r="AB58" i="3"/>
  <c r="I55" i="3"/>
  <c r="U55" i="3"/>
  <c r="O55" i="3"/>
  <c r="P59" i="2"/>
  <c r="J58" i="2"/>
  <c r="G58" i="2" s="1"/>
  <c r="T57" i="3" s="1"/>
  <c r="V57" i="3"/>
  <c r="F56" i="3"/>
  <c r="D57" i="3"/>
  <c r="D57" i="4"/>
  <c r="AA57" i="3"/>
  <c r="F56" i="4" l="1"/>
  <c r="G58" i="4"/>
  <c r="L58" i="4" s="1"/>
  <c r="K58" i="4"/>
  <c r="N58" i="4" s="1"/>
  <c r="E59" i="4"/>
  <c r="H56" i="4"/>
  <c r="J56" i="4"/>
  <c r="O62" i="2"/>
  <c r="I61" i="2"/>
  <c r="F61" i="2" s="1"/>
  <c r="N60" i="3" s="1"/>
  <c r="F57" i="3"/>
  <c r="D58" i="3"/>
  <c r="T61" i="2"/>
  <c r="D62" i="2"/>
  <c r="I56" i="3"/>
  <c r="U56" i="3"/>
  <c r="O56" i="3"/>
  <c r="L65" i="2"/>
  <c r="I60" i="4"/>
  <c r="M60" i="4" s="1"/>
  <c r="K62" i="2"/>
  <c r="P60" i="2"/>
  <c r="J59" i="2"/>
  <c r="G59" i="2" s="1"/>
  <c r="T58" i="3" s="1"/>
  <c r="V58" i="3"/>
  <c r="C60" i="4"/>
  <c r="AB59" i="3"/>
  <c r="N60" i="2"/>
  <c r="J58" i="3"/>
  <c r="H59" i="2"/>
  <c r="E59" i="2" s="1"/>
  <c r="H58" i="3" s="1"/>
  <c r="B61" i="3"/>
  <c r="B63" i="2"/>
  <c r="C62" i="2"/>
  <c r="A61" i="4"/>
  <c r="P60" i="3"/>
  <c r="E60" i="3"/>
  <c r="M60" i="3"/>
  <c r="S60" i="3"/>
  <c r="Y60" i="3" s="1"/>
  <c r="Z60" i="3" s="1"/>
  <c r="C60" i="3"/>
  <c r="G60" i="3"/>
  <c r="D58" i="4"/>
  <c r="AA58" i="3"/>
  <c r="M66" i="2"/>
  <c r="H57" i="4" l="1"/>
  <c r="J57" i="4"/>
  <c r="G59" i="4"/>
  <c r="L59" i="4" s="1"/>
  <c r="E60" i="4"/>
  <c r="K59" i="4"/>
  <c r="N59" i="4" s="1"/>
  <c r="F57" i="4"/>
  <c r="O63" i="2"/>
  <c r="I62" i="2"/>
  <c r="F62" i="2" s="1"/>
  <c r="N61" i="3" s="1"/>
  <c r="D59" i="4"/>
  <c r="AA59" i="3"/>
  <c r="N61" i="2"/>
  <c r="J59" i="3"/>
  <c r="H60" i="2"/>
  <c r="E60" i="2" s="1"/>
  <c r="H59" i="3" s="1"/>
  <c r="M67" i="2"/>
  <c r="L66" i="2"/>
  <c r="I61" i="4"/>
  <c r="M61" i="4" s="1"/>
  <c r="C63" i="2"/>
  <c r="P61" i="2"/>
  <c r="J60" i="2"/>
  <c r="G60" i="2" s="1"/>
  <c r="T59" i="3" s="1"/>
  <c r="V59" i="3"/>
  <c r="K63" i="2"/>
  <c r="B62" i="3"/>
  <c r="B64" i="2"/>
  <c r="D63" i="2"/>
  <c r="T62" i="2"/>
  <c r="A62" i="4"/>
  <c r="M61" i="3"/>
  <c r="C61" i="3"/>
  <c r="E61" i="3"/>
  <c r="G61" i="3"/>
  <c r="P61" i="3"/>
  <c r="S61" i="3"/>
  <c r="Y61" i="3" s="1"/>
  <c r="Z61" i="3" s="1"/>
  <c r="D59" i="3"/>
  <c r="F58" i="3"/>
  <c r="C61" i="4"/>
  <c r="AB60" i="3"/>
  <c r="O57" i="3"/>
  <c r="U57" i="3"/>
  <c r="I57" i="3"/>
  <c r="H58" i="4" l="1"/>
  <c r="G60" i="4"/>
  <c r="L60" i="4" s="1"/>
  <c r="J58" i="4"/>
  <c r="F58" i="4"/>
  <c r="K60" i="4"/>
  <c r="N60" i="4" s="1"/>
  <c r="E61" i="4"/>
  <c r="O64" i="2"/>
  <c r="I63" i="2"/>
  <c r="F63" i="2" s="1"/>
  <c r="N62" i="3" s="1"/>
  <c r="A63" i="4"/>
  <c r="G62" i="3"/>
  <c r="S62" i="3"/>
  <c r="Y62" i="3" s="1"/>
  <c r="Z62" i="3" s="1"/>
  <c r="P62" i="3"/>
  <c r="C62" i="3"/>
  <c r="E62" i="3"/>
  <c r="M62" i="3"/>
  <c r="L67" i="2"/>
  <c r="P62" i="2"/>
  <c r="J61" i="2"/>
  <c r="G61" i="2" s="1"/>
  <c r="T60" i="3" s="1"/>
  <c r="V60" i="3"/>
  <c r="I58" i="3"/>
  <c r="O58" i="3"/>
  <c r="U58" i="3"/>
  <c r="C62" i="4"/>
  <c r="AB61" i="3"/>
  <c r="M68" i="2"/>
  <c r="D60" i="3"/>
  <c r="F59" i="3"/>
  <c r="I62" i="4"/>
  <c r="M62" i="4" s="1"/>
  <c r="C64" i="2"/>
  <c r="K64" i="2"/>
  <c r="N62" i="2"/>
  <c r="H61" i="2"/>
  <c r="E61" i="2" s="1"/>
  <c r="H60" i="3" s="1"/>
  <c r="J60" i="3"/>
  <c r="T63" i="2"/>
  <c r="D64" i="2"/>
  <c r="D60" i="4"/>
  <c r="AA60" i="3"/>
  <c r="B63" i="3"/>
  <c r="B65" i="2"/>
  <c r="E62" i="4" l="1"/>
  <c r="J59" i="4"/>
  <c r="G61" i="4"/>
  <c r="L61" i="4" s="1"/>
  <c r="H59" i="4"/>
  <c r="F59" i="4"/>
  <c r="K61" i="4"/>
  <c r="N61" i="4" s="1"/>
  <c r="O65" i="2"/>
  <c r="I64" i="2"/>
  <c r="F64" i="2" s="1"/>
  <c r="N63" i="3" s="1"/>
  <c r="M69" i="2"/>
  <c r="B64" i="3"/>
  <c r="B66" i="2"/>
  <c r="C63" i="4"/>
  <c r="AB62" i="3"/>
  <c r="A64" i="4"/>
  <c r="G63" i="3"/>
  <c r="S63" i="3"/>
  <c r="Y63" i="3" s="1"/>
  <c r="Z63" i="3" s="1"/>
  <c r="P63" i="3"/>
  <c r="M63" i="3"/>
  <c r="E63" i="3"/>
  <c r="C63" i="3"/>
  <c r="C65" i="2"/>
  <c r="D61" i="4"/>
  <c r="AA61" i="3"/>
  <c r="K65" i="2"/>
  <c r="D65" i="2"/>
  <c r="T64" i="2"/>
  <c r="P63" i="2"/>
  <c r="J62" i="2"/>
  <c r="G62" i="2" s="1"/>
  <c r="T61" i="3" s="1"/>
  <c r="V61" i="3"/>
  <c r="N63" i="2"/>
  <c r="J61" i="3"/>
  <c r="H62" i="2"/>
  <c r="E62" i="2" s="1"/>
  <c r="H61" i="3" s="1"/>
  <c r="I59" i="3"/>
  <c r="U59" i="3"/>
  <c r="O59" i="3"/>
  <c r="F60" i="3"/>
  <c r="D61" i="3"/>
  <c r="L68" i="2"/>
  <c r="I63" i="4"/>
  <c r="M63" i="4" s="1"/>
  <c r="K62" i="4" l="1"/>
  <c r="N62" i="4" s="1"/>
  <c r="J60" i="4"/>
  <c r="H60" i="4"/>
  <c r="F60" i="4"/>
  <c r="E63" i="4"/>
  <c r="G62" i="4"/>
  <c r="L62" i="4" s="1"/>
  <c r="O66" i="2"/>
  <c r="I65" i="2"/>
  <c r="F65" i="2" s="1"/>
  <c r="N64" i="3" s="1"/>
  <c r="D62" i="4"/>
  <c r="AA62" i="3"/>
  <c r="K66" i="2"/>
  <c r="C66" i="2"/>
  <c r="N64" i="2"/>
  <c r="H63" i="2"/>
  <c r="E63" i="2" s="1"/>
  <c r="H62" i="3" s="1"/>
  <c r="J62" i="3"/>
  <c r="I64" i="4"/>
  <c r="M64" i="4" s="1"/>
  <c r="L69" i="2"/>
  <c r="P64" i="2"/>
  <c r="J63" i="2"/>
  <c r="G63" i="2" s="1"/>
  <c r="T62" i="3" s="1"/>
  <c r="V62" i="3"/>
  <c r="B65" i="3"/>
  <c r="B67" i="2"/>
  <c r="F61" i="3"/>
  <c r="D62" i="3"/>
  <c r="D66" i="2"/>
  <c r="T65" i="2"/>
  <c r="A65" i="4"/>
  <c r="P64" i="3"/>
  <c r="M64" i="3"/>
  <c r="S64" i="3"/>
  <c r="Y64" i="3" s="1"/>
  <c r="Z64" i="3" s="1"/>
  <c r="C64" i="3"/>
  <c r="E64" i="3"/>
  <c r="G64" i="3"/>
  <c r="O60" i="3"/>
  <c r="U60" i="3"/>
  <c r="I60" i="3"/>
  <c r="C64" i="4"/>
  <c r="AB63" i="3"/>
  <c r="M70" i="2"/>
  <c r="K63" i="4" l="1"/>
  <c r="N63" i="4" s="1"/>
  <c r="G63" i="4"/>
  <c r="L63" i="4" s="1"/>
  <c r="F61" i="4"/>
  <c r="J61" i="4"/>
  <c r="H61" i="4"/>
  <c r="E64" i="4"/>
  <c r="O67" i="2"/>
  <c r="I66" i="2"/>
  <c r="F66" i="2" s="1"/>
  <c r="N65" i="3" s="1"/>
  <c r="B66" i="3"/>
  <c r="B68" i="2"/>
  <c r="M71" i="2"/>
  <c r="A66" i="4"/>
  <c r="M65" i="3"/>
  <c r="C65" i="3"/>
  <c r="S65" i="3"/>
  <c r="Y65" i="3" s="1"/>
  <c r="Z65" i="3" s="1"/>
  <c r="E65" i="3"/>
  <c r="G65" i="3"/>
  <c r="P65" i="3"/>
  <c r="O61" i="3"/>
  <c r="I61" i="3"/>
  <c r="U61" i="3"/>
  <c r="N65" i="2"/>
  <c r="J63" i="3"/>
  <c r="H64" i="2"/>
  <c r="E64" i="2" s="1"/>
  <c r="H63" i="3" s="1"/>
  <c r="C65" i="4"/>
  <c r="AB64" i="3"/>
  <c r="P65" i="2"/>
  <c r="J64" i="2"/>
  <c r="G64" i="2" s="1"/>
  <c r="T63" i="3" s="1"/>
  <c r="V63" i="3"/>
  <c r="C67" i="2"/>
  <c r="I65" i="4"/>
  <c r="M65" i="4" s="1"/>
  <c r="L70" i="2"/>
  <c r="K67" i="2"/>
  <c r="T66" i="2"/>
  <c r="D67" i="2"/>
  <c r="D63" i="4"/>
  <c r="AA63" i="3"/>
  <c r="D63" i="3"/>
  <c r="F62" i="3"/>
  <c r="E65" i="4" l="1"/>
  <c r="K64" i="4"/>
  <c r="N64" i="4" s="1"/>
  <c r="G64" i="4"/>
  <c r="L64" i="4" s="1"/>
  <c r="J62" i="4"/>
  <c r="F62" i="4"/>
  <c r="H62" i="4"/>
  <c r="O68" i="2"/>
  <c r="I67" i="2"/>
  <c r="F67" i="2" s="1"/>
  <c r="N66" i="3" s="1"/>
  <c r="D64" i="3"/>
  <c r="F63" i="3"/>
  <c r="D64" i="4"/>
  <c r="AA64" i="3"/>
  <c r="N66" i="2"/>
  <c r="H65" i="2"/>
  <c r="E65" i="2" s="1"/>
  <c r="H64" i="3" s="1"/>
  <c r="J64" i="3"/>
  <c r="T67" i="2"/>
  <c r="D68" i="2"/>
  <c r="C66" i="4"/>
  <c r="AB65" i="3"/>
  <c r="C68" i="2"/>
  <c r="I66" i="4"/>
  <c r="M66" i="4" s="1"/>
  <c r="K68" i="2"/>
  <c r="M72" i="2"/>
  <c r="U62" i="3"/>
  <c r="I62" i="3"/>
  <c r="O62" i="3"/>
  <c r="B67" i="3"/>
  <c r="B69" i="2"/>
  <c r="L71" i="2"/>
  <c r="P66" i="2"/>
  <c r="J65" i="2"/>
  <c r="G65" i="2" s="1"/>
  <c r="T64" i="3" s="1"/>
  <c r="V64" i="3"/>
  <c r="A67" i="4"/>
  <c r="G66" i="3"/>
  <c r="M66" i="3"/>
  <c r="P66" i="3"/>
  <c r="E66" i="3"/>
  <c r="S66" i="3"/>
  <c r="Y66" i="3" s="1"/>
  <c r="Z66" i="3" s="1"/>
  <c r="C66" i="3"/>
  <c r="G65" i="4" l="1"/>
  <c r="L65" i="4" s="1"/>
  <c r="F63" i="4"/>
  <c r="H63" i="4"/>
  <c r="K65" i="4"/>
  <c r="N65" i="4" s="1"/>
  <c r="J63" i="4"/>
  <c r="E66" i="4"/>
  <c r="O69" i="2"/>
  <c r="I68" i="2"/>
  <c r="F68" i="2" s="1"/>
  <c r="N67" i="3" s="1"/>
  <c r="K69" i="2"/>
  <c r="T68" i="2"/>
  <c r="D69" i="2"/>
  <c r="M73" i="2"/>
  <c r="I67" i="4"/>
  <c r="M67" i="4" s="1"/>
  <c r="L72" i="2"/>
  <c r="C67" i="4"/>
  <c r="AB66" i="3"/>
  <c r="B68" i="3"/>
  <c r="B70" i="2"/>
  <c r="A68" i="4"/>
  <c r="G67" i="3"/>
  <c r="S67" i="3"/>
  <c r="Y67" i="3" s="1"/>
  <c r="Z67" i="3" s="1"/>
  <c r="M67" i="3"/>
  <c r="P67" i="3"/>
  <c r="C67" i="3"/>
  <c r="E67" i="3"/>
  <c r="N67" i="2"/>
  <c r="H66" i="2"/>
  <c r="E66" i="2" s="1"/>
  <c r="H65" i="3" s="1"/>
  <c r="J65" i="3"/>
  <c r="D65" i="4"/>
  <c r="AA65" i="3"/>
  <c r="I63" i="3"/>
  <c r="U63" i="3"/>
  <c r="O63" i="3"/>
  <c r="P67" i="2"/>
  <c r="J66" i="2"/>
  <c r="G66" i="2" s="1"/>
  <c r="T65" i="3" s="1"/>
  <c r="V65" i="3"/>
  <c r="C69" i="2"/>
  <c r="F64" i="3"/>
  <c r="D65" i="3"/>
  <c r="G66" i="4" l="1"/>
  <c r="L66" i="4" s="1"/>
  <c r="E67" i="4"/>
  <c r="K66" i="4"/>
  <c r="N66" i="4" s="1"/>
  <c r="H64" i="4"/>
  <c r="J64" i="4"/>
  <c r="F64" i="4"/>
  <c r="O70" i="2"/>
  <c r="I69" i="2"/>
  <c r="F69" i="2" s="1"/>
  <c r="N68" i="3" s="1"/>
  <c r="F65" i="3"/>
  <c r="D66" i="3"/>
  <c r="O64" i="3"/>
  <c r="U64" i="3"/>
  <c r="I64" i="3"/>
  <c r="C70" i="2"/>
  <c r="N68" i="2"/>
  <c r="J66" i="3"/>
  <c r="H67" i="2"/>
  <c r="E67" i="2" s="1"/>
  <c r="H66" i="3" s="1"/>
  <c r="I68" i="4"/>
  <c r="M68" i="4" s="1"/>
  <c r="D66" i="4"/>
  <c r="AA66" i="3"/>
  <c r="B69" i="3"/>
  <c r="B71" i="2"/>
  <c r="M74" i="2"/>
  <c r="A69" i="4"/>
  <c r="P68" i="3"/>
  <c r="M68" i="3"/>
  <c r="C68" i="3"/>
  <c r="S68" i="3"/>
  <c r="Y68" i="3" s="1"/>
  <c r="Z68" i="3" s="1"/>
  <c r="E68" i="3"/>
  <c r="G68" i="3"/>
  <c r="D70" i="2"/>
  <c r="T69" i="2"/>
  <c r="P68" i="2"/>
  <c r="J67" i="2"/>
  <c r="G67" i="2" s="1"/>
  <c r="T66" i="3" s="1"/>
  <c r="V66" i="3"/>
  <c r="L73" i="2"/>
  <c r="C68" i="4"/>
  <c r="AB67" i="3"/>
  <c r="K70" i="2"/>
  <c r="F65" i="4" l="1"/>
  <c r="E68" i="4"/>
  <c r="K67" i="4"/>
  <c r="N67" i="4" s="1"/>
  <c r="H65" i="4"/>
  <c r="G67" i="4"/>
  <c r="L67" i="4" s="1"/>
  <c r="J65" i="4"/>
  <c r="O71" i="2"/>
  <c r="I70" i="2"/>
  <c r="F70" i="2" s="1"/>
  <c r="N69" i="3" s="1"/>
  <c r="M75" i="2"/>
  <c r="B70" i="3"/>
  <c r="B72" i="2"/>
  <c r="N69" i="2"/>
  <c r="H68" i="2"/>
  <c r="E68" i="2" s="1"/>
  <c r="H67" i="3" s="1"/>
  <c r="J67" i="3"/>
  <c r="A70" i="4"/>
  <c r="M69" i="3"/>
  <c r="C69" i="3"/>
  <c r="P69" i="3"/>
  <c r="E69" i="3"/>
  <c r="S69" i="3"/>
  <c r="Y69" i="3" s="1"/>
  <c r="Z69" i="3" s="1"/>
  <c r="G69" i="3"/>
  <c r="D67" i="4"/>
  <c r="AA67" i="3"/>
  <c r="K71" i="2"/>
  <c r="L74" i="2"/>
  <c r="C71" i="2"/>
  <c r="I69" i="4"/>
  <c r="M69" i="4" s="1"/>
  <c r="P69" i="2"/>
  <c r="J68" i="2"/>
  <c r="G68" i="2" s="1"/>
  <c r="T67" i="3" s="1"/>
  <c r="V67" i="3"/>
  <c r="C69" i="4"/>
  <c r="AB68" i="3"/>
  <c r="F66" i="3"/>
  <c r="D67" i="3"/>
  <c r="T70" i="2"/>
  <c r="D71" i="2"/>
  <c r="O65" i="3"/>
  <c r="U65" i="3"/>
  <c r="I65" i="3"/>
  <c r="F66" i="4" l="1"/>
  <c r="G68" i="4"/>
  <c r="L68" i="4" s="1"/>
  <c r="E69" i="4"/>
  <c r="J66" i="4"/>
  <c r="H66" i="4"/>
  <c r="K68" i="4"/>
  <c r="N68" i="4" s="1"/>
  <c r="O72" i="2"/>
  <c r="I71" i="2"/>
  <c r="F71" i="2" s="1"/>
  <c r="N70" i="3" s="1"/>
  <c r="P70" i="2"/>
  <c r="J69" i="2"/>
  <c r="G69" i="2" s="1"/>
  <c r="T68" i="3" s="1"/>
  <c r="V68" i="3"/>
  <c r="K72" i="2"/>
  <c r="L75" i="2"/>
  <c r="D68" i="4"/>
  <c r="AA68" i="3"/>
  <c r="C70" i="4"/>
  <c r="AB69" i="3"/>
  <c r="T71" i="2"/>
  <c r="D72" i="2"/>
  <c r="I70" i="4"/>
  <c r="M70" i="4" s="1"/>
  <c r="D68" i="3"/>
  <c r="F67" i="3"/>
  <c r="N70" i="2"/>
  <c r="J68" i="3"/>
  <c r="H69" i="2"/>
  <c r="E69" i="2" s="1"/>
  <c r="H68" i="3" s="1"/>
  <c r="U66" i="3"/>
  <c r="I66" i="3"/>
  <c r="O66" i="3"/>
  <c r="C72" i="2"/>
  <c r="B71" i="3"/>
  <c r="B73" i="2"/>
  <c r="A71" i="4"/>
  <c r="P70" i="3"/>
  <c r="C70" i="3"/>
  <c r="E70" i="3"/>
  <c r="S70" i="3"/>
  <c r="Y70" i="3" s="1"/>
  <c r="Z70" i="3" s="1"/>
  <c r="G70" i="3"/>
  <c r="M70" i="3"/>
  <c r="M76" i="2"/>
  <c r="E70" i="4" l="1"/>
  <c r="H67" i="4"/>
  <c r="F67" i="4"/>
  <c r="J67" i="4"/>
  <c r="G69" i="4"/>
  <c r="L69" i="4" s="1"/>
  <c r="K69" i="4"/>
  <c r="N69" i="4" s="1"/>
  <c r="O73" i="2"/>
  <c r="I72" i="2"/>
  <c r="F72" i="2" s="1"/>
  <c r="N71" i="3" s="1"/>
  <c r="N71" i="2"/>
  <c r="J69" i="3"/>
  <c r="H70" i="2"/>
  <c r="E70" i="2" s="1"/>
  <c r="H69" i="3" s="1"/>
  <c r="M77" i="2"/>
  <c r="I71" i="4"/>
  <c r="M71" i="4" s="1"/>
  <c r="I67" i="3"/>
  <c r="U67" i="3"/>
  <c r="O67" i="3"/>
  <c r="C71" i="4"/>
  <c r="AB70" i="3"/>
  <c r="B72" i="3"/>
  <c r="B74" i="2"/>
  <c r="F68" i="3"/>
  <c r="D69" i="3"/>
  <c r="D69" i="4"/>
  <c r="AA69" i="3"/>
  <c r="A72" i="4"/>
  <c r="G71" i="3"/>
  <c r="P71" i="3"/>
  <c r="C71" i="3"/>
  <c r="E71" i="3"/>
  <c r="S71" i="3"/>
  <c r="Y71" i="3" s="1"/>
  <c r="Z71" i="3" s="1"/>
  <c r="M71" i="3"/>
  <c r="C73" i="2"/>
  <c r="L76" i="2"/>
  <c r="K73" i="2"/>
  <c r="D73" i="2"/>
  <c r="T72" i="2"/>
  <c r="P71" i="2"/>
  <c r="J70" i="2"/>
  <c r="G70" i="2" s="1"/>
  <c r="T69" i="3" s="1"/>
  <c r="V69" i="3"/>
  <c r="H68" i="4" l="1"/>
  <c r="F68" i="4"/>
  <c r="E71" i="4"/>
  <c r="J68" i="4"/>
  <c r="G70" i="4"/>
  <c r="L70" i="4" s="1"/>
  <c r="K70" i="4"/>
  <c r="N70" i="4" s="1"/>
  <c r="O74" i="2"/>
  <c r="I73" i="2"/>
  <c r="F73" i="2" s="1"/>
  <c r="N72" i="3" s="1"/>
  <c r="C72" i="4"/>
  <c r="AB71" i="3"/>
  <c r="D70" i="4"/>
  <c r="AA70" i="3"/>
  <c r="C74" i="2"/>
  <c r="P72" i="2"/>
  <c r="J71" i="2"/>
  <c r="G71" i="2" s="1"/>
  <c r="T70" i="3" s="1"/>
  <c r="V70" i="3"/>
  <c r="I72" i="4"/>
  <c r="M72" i="4" s="1"/>
  <c r="D70" i="3"/>
  <c r="F69" i="3"/>
  <c r="O68" i="3"/>
  <c r="I68" i="3"/>
  <c r="U68" i="3"/>
  <c r="D74" i="2"/>
  <c r="T73" i="2"/>
  <c r="B73" i="3"/>
  <c r="B75" i="2"/>
  <c r="A73" i="4"/>
  <c r="M72" i="3"/>
  <c r="C72" i="3"/>
  <c r="P72" i="3"/>
  <c r="E72" i="3"/>
  <c r="G72" i="3"/>
  <c r="S72" i="3"/>
  <c r="Y72" i="3" s="1"/>
  <c r="Z72" i="3" s="1"/>
  <c r="K74" i="2"/>
  <c r="M78" i="2"/>
  <c r="L77" i="2"/>
  <c r="N72" i="2"/>
  <c r="H71" i="2"/>
  <c r="E71" i="2" s="1"/>
  <c r="H70" i="3" s="1"/>
  <c r="J70" i="3"/>
  <c r="K71" i="4" l="1"/>
  <c r="N71" i="4" s="1"/>
  <c r="J69" i="4"/>
  <c r="E72" i="4"/>
  <c r="G71" i="4"/>
  <c r="L71" i="4" s="1"/>
  <c r="F69" i="4"/>
  <c r="H69" i="4"/>
  <c r="O75" i="2"/>
  <c r="I74" i="2"/>
  <c r="F74" i="2" s="1"/>
  <c r="N73" i="3" s="1"/>
  <c r="D75" i="2"/>
  <c r="T74" i="2"/>
  <c r="N73" i="2"/>
  <c r="H72" i="2"/>
  <c r="E72" i="2" s="1"/>
  <c r="H71" i="3" s="1"/>
  <c r="J71" i="3"/>
  <c r="P73" i="2"/>
  <c r="J72" i="2"/>
  <c r="G72" i="2" s="1"/>
  <c r="T71" i="3" s="1"/>
  <c r="V71" i="3"/>
  <c r="L78" i="2"/>
  <c r="O69" i="3"/>
  <c r="U69" i="3"/>
  <c r="I69" i="3"/>
  <c r="C75" i="2"/>
  <c r="M79" i="2"/>
  <c r="D71" i="3"/>
  <c r="F70" i="3"/>
  <c r="C73" i="4"/>
  <c r="AB72" i="3"/>
  <c r="D71" i="4"/>
  <c r="AA71" i="3"/>
  <c r="K75" i="2"/>
  <c r="I73" i="4"/>
  <c r="M73" i="4" s="1"/>
  <c r="B74" i="3"/>
  <c r="B76" i="2"/>
  <c r="A74" i="4"/>
  <c r="M73" i="3"/>
  <c r="C73" i="3"/>
  <c r="P73" i="3"/>
  <c r="E73" i="3"/>
  <c r="G73" i="3"/>
  <c r="S73" i="3"/>
  <c r="Y73" i="3" s="1"/>
  <c r="Z73" i="3" s="1"/>
  <c r="H70" i="4" l="1"/>
  <c r="G72" i="4"/>
  <c r="L72" i="4" s="1"/>
  <c r="K72" i="4"/>
  <c r="N72" i="4" s="1"/>
  <c r="E73" i="4"/>
  <c r="F70" i="4"/>
  <c r="J70" i="4"/>
  <c r="O76" i="2"/>
  <c r="I75" i="2"/>
  <c r="F75" i="2" s="1"/>
  <c r="N74" i="3" s="1"/>
  <c r="B75" i="3"/>
  <c r="B77" i="2"/>
  <c r="A75" i="4"/>
  <c r="G74" i="3"/>
  <c r="S74" i="3"/>
  <c r="Y74" i="3" s="1"/>
  <c r="Z74" i="3" s="1"/>
  <c r="M74" i="3"/>
  <c r="E74" i="3"/>
  <c r="P74" i="3"/>
  <c r="C74" i="3"/>
  <c r="L79" i="2"/>
  <c r="O70" i="3"/>
  <c r="U70" i="3"/>
  <c r="I70" i="3"/>
  <c r="D72" i="3"/>
  <c r="F71" i="3"/>
  <c r="P74" i="2"/>
  <c r="J73" i="2"/>
  <c r="G73" i="2" s="1"/>
  <c r="T72" i="3" s="1"/>
  <c r="V72" i="3"/>
  <c r="M80" i="2"/>
  <c r="I74" i="4"/>
  <c r="M74" i="4" s="1"/>
  <c r="C76" i="2"/>
  <c r="N74" i="2"/>
  <c r="J72" i="3"/>
  <c r="H73" i="2"/>
  <c r="E73" i="2" s="1"/>
  <c r="H72" i="3" s="1"/>
  <c r="C74" i="4"/>
  <c r="AB73" i="3"/>
  <c r="K76" i="2"/>
  <c r="D72" i="4"/>
  <c r="AA72" i="3"/>
  <c r="D76" i="2"/>
  <c r="T75" i="2"/>
  <c r="K73" i="4" l="1"/>
  <c r="N73" i="4" s="1"/>
  <c r="E74" i="4"/>
  <c r="F71" i="4"/>
  <c r="J71" i="4"/>
  <c r="G73" i="4"/>
  <c r="L73" i="4" s="1"/>
  <c r="H71" i="4"/>
  <c r="O77" i="2"/>
  <c r="I76" i="2"/>
  <c r="F76" i="2" s="1"/>
  <c r="N75" i="3" s="1"/>
  <c r="N75" i="2"/>
  <c r="J73" i="3"/>
  <c r="H74" i="2"/>
  <c r="E74" i="2" s="1"/>
  <c r="H73" i="3" s="1"/>
  <c r="C77" i="2"/>
  <c r="P75" i="2"/>
  <c r="J74" i="2"/>
  <c r="G74" i="2" s="1"/>
  <c r="T73" i="3" s="1"/>
  <c r="V73" i="3"/>
  <c r="C75" i="4"/>
  <c r="AB74" i="3"/>
  <c r="D77" i="2"/>
  <c r="T76" i="2"/>
  <c r="I71" i="3"/>
  <c r="O71" i="3"/>
  <c r="U71" i="3"/>
  <c r="D73" i="4"/>
  <c r="AA73" i="3"/>
  <c r="F72" i="3"/>
  <c r="D73" i="3"/>
  <c r="K77" i="2"/>
  <c r="L80" i="2"/>
  <c r="I75" i="4"/>
  <c r="M75" i="4" s="1"/>
  <c r="M81" i="2"/>
  <c r="B76" i="3"/>
  <c r="B78" i="2"/>
  <c r="A76" i="4"/>
  <c r="C75" i="3"/>
  <c r="P75" i="3"/>
  <c r="E75" i="3"/>
  <c r="G75" i="3"/>
  <c r="S75" i="3"/>
  <c r="Y75" i="3" s="1"/>
  <c r="Z75" i="3" s="1"/>
  <c r="M75" i="3"/>
  <c r="E75" i="4" l="1"/>
  <c r="G74" i="4"/>
  <c r="L74" i="4" s="1"/>
  <c r="H72" i="4"/>
  <c r="F72" i="4"/>
  <c r="K74" i="4"/>
  <c r="N74" i="4" s="1"/>
  <c r="J72" i="4"/>
  <c r="O78" i="2"/>
  <c r="I77" i="2"/>
  <c r="F77" i="2" s="1"/>
  <c r="N76" i="3" s="1"/>
  <c r="I76" i="4"/>
  <c r="M76" i="4" s="1"/>
  <c r="C76" i="4"/>
  <c r="AB75" i="3"/>
  <c r="B77" i="3"/>
  <c r="B79" i="2"/>
  <c r="A77" i="4"/>
  <c r="M76" i="3"/>
  <c r="C76" i="3"/>
  <c r="P76" i="3"/>
  <c r="E76" i="3"/>
  <c r="G76" i="3"/>
  <c r="S76" i="3"/>
  <c r="Y76" i="3" s="1"/>
  <c r="Z76" i="3" s="1"/>
  <c r="K78" i="2"/>
  <c r="M82" i="2"/>
  <c r="F73" i="3"/>
  <c r="D74" i="3"/>
  <c r="O72" i="3"/>
  <c r="U72" i="3"/>
  <c r="I72" i="3"/>
  <c r="D74" i="4"/>
  <c r="AA74" i="3"/>
  <c r="P76" i="2"/>
  <c r="J75" i="2"/>
  <c r="G75" i="2" s="1"/>
  <c r="T74" i="3" s="1"/>
  <c r="V74" i="3"/>
  <c r="C78" i="2"/>
  <c r="L81" i="2"/>
  <c r="D78" i="2"/>
  <c r="T77" i="2"/>
  <c r="N76" i="2"/>
  <c r="H75" i="2"/>
  <c r="E75" i="2" s="1"/>
  <c r="H74" i="3" s="1"/>
  <c r="J74" i="3"/>
  <c r="H73" i="4" l="1"/>
  <c r="J73" i="4"/>
  <c r="G75" i="4"/>
  <c r="L75" i="4" s="1"/>
  <c r="F73" i="4"/>
  <c r="E76" i="4"/>
  <c r="K75" i="4"/>
  <c r="N75" i="4" s="1"/>
  <c r="O79" i="2"/>
  <c r="I78" i="2"/>
  <c r="F78" i="2" s="1"/>
  <c r="N77" i="3" s="1"/>
  <c r="I77" i="4"/>
  <c r="M77" i="4" s="1"/>
  <c r="P77" i="2"/>
  <c r="J76" i="2"/>
  <c r="G76" i="2" s="1"/>
  <c r="T75" i="3" s="1"/>
  <c r="V75" i="3"/>
  <c r="B78" i="3"/>
  <c r="B80" i="2"/>
  <c r="N77" i="2"/>
  <c r="J75" i="3"/>
  <c r="H76" i="2"/>
  <c r="E76" i="2" s="1"/>
  <c r="H75" i="3" s="1"/>
  <c r="D75" i="4"/>
  <c r="AA75" i="3"/>
  <c r="A78" i="4"/>
  <c r="M77" i="3"/>
  <c r="C77" i="3"/>
  <c r="P77" i="3"/>
  <c r="E77" i="3"/>
  <c r="S77" i="3"/>
  <c r="Y77" i="3" s="1"/>
  <c r="Z77" i="3" s="1"/>
  <c r="G77" i="3"/>
  <c r="T78" i="2"/>
  <c r="D79" i="2"/>
  <c r="L82" i="2"/>
  <c r="F74" i="3"/>
  <c r="D75" i="3"/>
  <c r="I73" i="3"/>
  <c r="U73" i="3"/>
  <c r="O73" i="3"/>
  <c r="K79" i="2"/>
  <c r="C77" i="4"/>
  <c r="AB76" i="3"/>
  <c r="C79" i="2"/>
  <c r="M83" i="2"/>
  <c r="G76" i="4" l="1"/>
  <c r="L76" i="4" s="1"/>
  <c r="K76" i="4"/>
  <c r="N76" i="4" s="1"/>
  <c r="H74" i="4"/>
  <c r="E77" i="4"/>
  <c r="F74" i="4"/>
  <c r="J74" i="4"/>
  <c r="O80" i="2"/>
  <c r="I79" i="2"/>
  <c r="F79" i="2" s="1"/>
  <c r="N78" i="3" s="1"/>
  <c r="N78" i="2"/>
  <c r="J76" i="3"/>
  <c r="H77" i="2"/>
  <c r="E77" i="2" s="1"/>
  <c r="H76" i="3" s="1"/>
  <c r="F75" i="3"/>
  <c r="D76" i="3"/>
  <c r="B79" i="3"/>
  <c r="B81" i="2"/>
  <c r="M84" i="2"/>
  <c r="I74" i="3"/>
  <c r="U74" i="3"/>
  <c r="O74" i="3"/>
  <c r="A79" i="4"/>
  <c r="G78" i="3"/>
  <c r="S78" i="3"/>
  <c r="Y78" i="3" s="1"/>
  <c r="Z78" i="3" s="1"/>
  <c r="M78" i="3"/>
  <c r="E78" i="3"/>
  <c r="C78" i="3"/>
  <c r="P78" i="3"/>
  <c r="C80" i="2"/>
  <c r="L83" i="2"/>
  <c r="C78" i="4"/>
  <c r="AB77" i="3"/>
  <c r="P78" i="2"/>
  <c r="J77" i="2"/>
  <c r="G77" i="2" s="1"/>
  <c r="T76" i="3" s="1"/>
  <c r="V76" i="3"/>
  <c r="T79" i="2"/>
  <c r="D80" i="2"/>
  <c r="I78" i="4"/>
  <c r="M78" i="4" s="1"/>
  <c r="K80" i="2"/>
  <c r="D76" i="4"/>
  <c r="AA76" i="3"/>
  <c r="F75" i="4" l="1"/>
  <c r="J75" i="4"/>
  <c r="G77" i="4"/>
  <c r="L77" i="4" s="1"/>
  <c r="K77" i="4"/>
  <c r="N77" i="4" s="1"/>
  <c r="E78" i="4"/>
  <c r="H75" i="4"/>
  <c r="O81" i="2"/>
  <c r="I80" i="2"/>
  <c r="F80" i="2" s="1"/>
  <c r="N79" i="3" s="1"/>
  <c r="M85" i="2"/>
  <c r="K81" i="2"/>
  <c r="P79" i="2"/>
  <c r="J78" i="2"/>
  <c r="G78" i="2" s="1"/>
  <c r="T77" i="3" s="1"/>
  <c r="V77" i="3"/>
  <c r="C79" i="4"/>
  <c r="AB78" i="3"/>
  <c r="B80" i="3"/>
  <c r="B82" i="2"/>
  <c r="A80" i="4"/>
  <c r="C79" i="3"/>
  <c r="P79" i="3"/>
  <c r="E79" i="3"/>
  <c r="G79" i="3"/>
  <c r="S79" i="3"/>
  <c r="Y79" i="3" s="1"/>
  <c r="Z79" i="3" s="1"/>
  <c r="M79" i="3"/>
  <c r="D77" i="4"/>
  <c r="AA77" i="3"/>
  <c r="L84" i="2"/>
  <c r="F76" i="3"/>
  <c r="D77" i="3"/>
  <c r="O75" i="3"/>
  <c r="I75" i="3"/>
  <c r="U75" i="3"/>
  <c r="D81" i="2"/>
  <c r="T80" i="2"/>
  <c r="C81" i="2"/>
  <c r="I79" i="4"/>
  <c r="M79" i="4" s="1"/>
  <c r="N79" i="2"/>
  <c r="H78" i="2"/>
  <c r="E78" i="2" s="1"/>
  <c r="H77" i="3" s="1"/>
  <c r="J77" i="3"/>
  <c r="H76" i="4" l="1"/>
  <c r="E79" i="4"/>
  <c r="K78" i="4"/>
  <c r="N78" i="4" s="1"/>
  <c r="G78" i="4"/>
  <c r="L78" i="4" s="1"/>
  <c r="J76" i="4"/>
  <c r="F76" i="4"/>
  <c r="O82" i="2"/>
  <c r="I81" i="2"/>
  <c r="F81" i="2" s="1"/>
  <c r="N80" i="3" s="1"/>
  <c r="C82" i="2"/>
  <c r="I80" i="4"/>
  <c r="M80" i="4" s="1"/>
  <c r="C80" i="4"/>
  <c r="AB79" i="3"/>
  <c r="T81" i="2"/>
  <c r="D82" i="2"/>
  <c r="A81" i="4"/>
  <c r="M80" i="3"/>
  <c r="C80" i="3"/>
  <c r="P80" i="3"/>
  <c r="E80" i="3"/>
  <c r="G80" i="3"/>
  <c r="S80" i="3"/>
  <c r="Y80" i="3" s="1"/>
  <c r="Z80" i="3" s="1"/>
  <c r="B81" i="3"/>
  <c r="B83" i="2"/>
  <c r="N80" i="2"/>
  <c r="H79" i="2"/>
  <c r="E79" i="2" s="1"/>
  <c r="H78" i="3" s="1"/>
  <c r="J78" i="3"/>
  <c r="D78" i="3"/>
  <c r="F77" i="3"/>
  <c r="P80" i="2"/>
  <c r="J79" i="2"/>
  <c r="G79" i="2" s="1"/>
  <c r="T78" i="3" s="1"/>
  <c r="V78" i="3"/>
  <c r="O76" i="3"/>
  <c r="I76" i="3"/>
  <c r="U76" i="3"/>
  <c r="K82" i="2"/>
  <c r="L85" i="2"/>
  <c r="M86" i="2"/>
  <c r="D78" i="4"/>
  <c r="AA78" i="3"/>
  <c r="E80" i="4" l="1"/>
  <c r="G79" i="4"/>
  <c r="L79" i="4" s="1"/>
  <c r="J77" i="4"/>
  <c r="F77" i="4"/>
  <c r="H77" i="4"/>
  <c r="K79" i="4"/>
  <c r="N79" i="4" s="1"/>
  <c r="O83" i="2"/>
  <c r="I82" i="2"/>
  <c r="F82" i="2" s="1"/>
  <c r="N81" i="3" s="1"/>
  <c r="D79" i="4"/>
  <c r="AA79" i="3"/>
  <c r="P81" i="2"/>
  <c r="J80" i="2"/>
  <c r="G80" i="2" s="1"/>
  <c r="T79" i="3" s="1"/>
  <c r="V79" i="3"/>
  <c r="I77" i="3"/>
  <c r="U77" i="3"/>
  <c r="O77" i="3"/>
  <c r="M87" i="2"/>
  <c r="F78" i="3"/>
  <c r="D79" i="3"/>
  <c r="L86" i="2"/>
  <c r="K83" i="2"/>
  <c r="N81" i="2"/>
  <c r="H80" i="2"/>
  <c r="E80" i="2" s="1"/>
  <c r="H79" i="3" s="1"/>
  <c r="J79" i="3"/>
  <c r="B82" i="3"/>
  <c r="B84" i="2"/>
  <c r="C81" i="4"/>
  <c r="AB80" i="3"/>
  <c r="A82" i="4"/>
  <c r="M81" i="3"/>
  <c r="C81" i="3"/>
  <c r="P81" i="3"/>
  <c r="E81" i="3"/>
  <c r="G81" i="3"/>
  <c r="S81" i="3"/>
  <c r="Y81" i="3" s="1"/>
  <c r="Z81" i="3" s="1"/>
  <c r="I81" i="4"/>
  <c r="M81" i="4" s="1"/>
  <c r="T82" i="2"/>
  <c r="D83" i="2"/>
  <c r="C83" i="2"/>
  <c r="F78" i="4" l="1"/>
  <c r="K80" i="4"/>
  <c r="N80" i="4" s="1"/>
  <c r="E81" i="4"/>
  <c r="H78" i="4"/>
  <c r="J78" i="4"/>
  <c r="G80" i="4"/>
  <c r="L80" i="4" s="1"/>
  <c r="O84" i="2"/>
  <c r="I83" i="2"/>
  <c r="F83" i="2" s="1"/>
  <c r="N82" i="3" s="1"/>
  <c r="I82" i="4"/>
  <c r="M82" i="4" s="1"/>
  <c r="F79" i="3"/>
  <c r="D80" i="3"/>
  <c r="I78" i="3"/>
  <c r="U78" i="3"/>
  <c r="O78" i="3"/>
  <c r="C84" i="2"/>
  <c r="T83" i="2"/>
  <c r="D84" i="2"/>
  <c r="M88" i="2"/>
  <c r="A83" i="4"/>
  <c r="G82" i="3"/>
  <c r="S82" i="3"/>
  <c r="Y82" i="3" s="1"/>
  <c r="Z82" i="3" s="1"/>
  <c r="M82" i="3"/>
  <c r="E82" i="3"/>
  <c r="P82" i="3"/>
  <c r="C82" i="3"/>
  <c r="N82" i="2"/>
  <c r="J80" i="3"/>
  <c r="H81" i="2"/>
  <c r="E81" i="2" s="1"/>
  <c r="H80" i="3" s="1"/>
  <c r="K84" i="2"/>
  <c r="B83" i="3"/>
  <c r="B85" i="2"/>
  <c r="C82" i="4"/>
  <c r="AB81" i="3"/>
  <c r="P82" i="2"/>
  <c r="J81" i="2"/>
  <c r="G81" i="2" s="1"/>
  <c r="T80" i="3" s="1"/>
  <c r="V80" i="3"/>
  <c r="L87" i="2"/>
  <c r="D80" i="4"/>
  <c r="AA80" i="3"/>
  <c r="G81" i="4" l="1"/>
  <c r="L81" i="4" s="1"/>
  <c r="J79" i="4"/>
  <c r="F79" i="4"/>
  <c r="K81" i="4"/>
  <c r="N81" i="4" s="1"/>
  <c r="E82" i="4"/>
  <c r="H79" i="4"/>
  <c r="O85" i="2"/>
  <c r="I84" i="2"/>
  <c r="F84" i="2" s="1"/>
  <c r="N83" i="3" s="1"/>
  <c r="L88" i="2"/>
  <c r="N83" i="2"/>
  <c r="J81" i="3"/>
  <c r="H82" i="2"/>
  <c r="E82" i="2" s="1"/>
  <c r="H81" i="3" s="1"/>
  <c r="I83" i="4"/>
  <c r="M83" i="4" s="1"/>
  <c r="F80" i="3"/>
  <c r="D81" i="3"/>
  <c r="M89" i="2"/>
  <c r="O79" i="3"/>
  <c r="I79" i="3"/>
  <c r="U79" i="3"/>
  <c r="P83" i="2"/>
  <c r="J82" i="2"/>
  <c r="G82" i="2" s="1"/>
  <c r="T81" i="3" s="1"/>
  <c r="V81" i="3"/>
  <c r="D85" i="2"/>
  <c r="T84" i="2"/>
  <c r="C83" i="4"/>
  <c r="AB82" i="3"/>
  <c r="D81" i="4"/>
  <c r="AA81" i="3"/>
  <c r="B84" i="3"/>
  <c r="B86" i="2"/>
  <c r="C85" i="2"/>
  <c r="K85" i="2"/>
  <c r="A84" i="4"/>
  <c r="C83" i="3"/>
  <c r="P83" i="3"/>
  <c r="E83" i="3"/>
  <c r="G83" i="3"/>
  <c r="S83" i="3"/>
  <c r="Y83" i="3" s="1"/>
  <c r="Z83" i="3" s="1"/>
  <c r="M83" i="3"/>
  <c r="F80" i="4" l="1"/>
  <c r="G82" i="4"/>
  <c r="L82" i="4" s="1"/>
  <c r="E83" i="4"/>
  <c r="H80" i="4"/>
  <c r="K82" i="4"/>
  <c r="N82" i="4" s="1"/>
  <c r="J80" i="4"/>
  <c r="O86" i="2"/>
  <c r="I85" i="2"/>
  <c r="F85" i="2" s="1"/>
  <c r="N84" i="3" s="1"/>
  <c r="C84" i="4"/>
  <c r="AB83" i="3"/>
  <c r="K86" i="2"/>
  <c r="D86" i="2"/>
  <c r="T85" i="2"/>
  <c r="C86" i="2"/>
  <c r="P84" i="2"/>
  <c r="J83" i="2"/>
  <c r="G83" i="2" s="1"/>
  <c r="T82" i="3" s="1"/>
  <c r="V82" i="3"/>
  <c r="B85" i="3"/>
  <c r="B87" i="2"/>
  <c r="A85" i="4"/>
  <c r="M84" i="3"/>
  <c r="C84" i="3"/>
  <c r="P84" i="3"/>
  <c r="E84" i="3"/>
  <c r="G84" i="3"/>
  <c r="S84" i="3"/>
  <c r="Y84" i="3" s="1"/>
  <c r="Z84" i="3" s="1"/>
  <c r="D82" i="4"/>
  <c r="AA82" i="3"/>
  <c r="O80" i="3"/>
  <c r="U80" i="3"/>
  <c r="I80" i="3"/>
  <c r="M90" i="2"/>
  <c r="N84" i="2"/>
  <c r="J82" i="3"/>
  <c r="H83" i="2"/>
  <c r="E83" i="2" s="1"/>
  <c r="H82" i="3" s="1"/>
  <c r="I84" i="4"/>
  <c r="M84" i="4" s="1"/>
  <c r="L89" i="2"/>
  <c r="F81" i="3"/>
  <c r="D82" i="3"/>
  <c r="H81" i="4" l="1"/>
  <c r="K83" i="4"/>
  <c r="N83" i="4" s="1"/>
  <c r="G83" i="4"/>
  <c r="L83" i="4" s="1"/>
  <c r="F81" i="4"/>
  <c r="E84" i="4"/>
  <c r="J81" i="4"/>
  <c r="O87" i="2"/>
  <c r="I86" i="2"/>
  <c r="F86" i="2" s="1"/>
  <c r="N85" i="3" s="1"/>
  <c r="F82" i="3"/>
  <c r="D83" i="3"/>
  <c r="N85" i="2"/>
  <c r="J83" i="3"/>
  <c r="H84" i="2"/>
  <c r="E84" i="2" s="1"/>
  <c r="H83" i="3" s="1"/>
  <c r="P85" i="2"/>
  <c r="J84" i="2"/>
  <c r="G84" i="2" s="1"/>
  <c r="T83" i="3" s="1"/>
  <c r="V83" i="3"/>
  <c r="I81" i="3"/>
  <c r="U81" i="3"/>
  <c r="O81" i="3"/>
  <c r="M91" i="2"/>
  <c r="L90" i="2"/>
  <c r="C87" i="2"/>
  <c r="D83" i="4"/>
  <c r="AA83" i="3"/>
  <c r="C85" i="4"/>
  <c r="AB84" i="3"/>
  <c r="T86" i="2"/>
  <c r="D87" i="2"/>
  <c r="I85" i="4"/>
  <c r="M85" i="4" s="1"/>
  <c r="K87" i="2"/>
  <c r="B86" i="3"/>
  <c r="B88" i="2"/>
  <c r="A86" i="4"/>
  <c r="M85" i="3"/>
  <c r="C85" i="3"/>
  <c r="P85" i="3"/>
  <c r="E85" i="3"/>
  <c r="S85" i="3"/>
  <c r="Y85" i="3" s="1"/>
  <c r="Z85" i="3" s="1"/>
  <c r="G85" i="3"/>
  <c r="J82" i="4" l="1"/>
  <c r="K84" i="4"/>
  <c r="N84" i="4" s="1"/>
  <c r="F82" i="4"/>
  <c r="G84" i="4"/>
  <c r="L84" i="4" s="1"/>
  <c r="E85" i="4"/>
  <c r="H82" i="4"/>
  <c r="O88" i="2"/>
  <c r="I87" i="2"/>
  <c r="F87" i="2" s="1"/>
  <c r="N86" i="3" s="1"/>
  <c r="B87" i="3"/>
  <c r="B89" i="2"/>
  <c r="A87" i="4"/>
  <c r="G86" i="3"/>
  <c r="S86" i="3"/>
  <c r="Y86" i="3" s="1"/>
  <c r="Z86" i="3" s="1"/>
  <c r="M86" i="3"/>
  <c r="E86" i="3"/>
  <c r="C86" i="3"/>
  <c r="P86" i="3"/>
  <c r="K88" i="2"/>
  <c r="D84" i="4"/>
  <c r="AA84" i="3"/>
  <c r="C88" i="2"/>
  <c r="P86" i="2"/>
  <c r="J85" i="2"/>
  <c r="G85" i="2" s="1"/>
  <c r="T84" i="3" s="1"/>
  <c r="V84" i="3"/>
  <c r="C86" i="4"/>
  <c r="AB85" i="3"/>
  <c r="N86" i="2"/>
  <c r="J84" i="3"/>
  <c r="H85" i="2"/>
  <c r="E85" i="2" s="1"/>
  <c r="H84" i="3" s="1"/>
  <c r="I86" i="4"/>
  <c r="M86" i="4" s="1"/>
  <c r="L91" i="2"/>
  <c r="F83" i="3"/>
  <c r="D84" i="3"/>
  <c r="T87" i="2"/>
  <c r="D88" i="2"/>
  <c r="M92" i="2"/>
  <c r="I82" i="3"/>
  <c r="U82" i="3"/>
  <c r="O82" i="3"/>
  <c r="H83" i="4" l="1"/>
  <c r="G85" i="4"/>
  <c r="L85" i="4" s="1"/>
  <c r="J83" i="4"/>
  <c r="E86" i="4"/>
  <c r="K85" i="4"/>
  <c r="N85" i="4" s="1"/>
  <c r="F83" i="4"/>
  <c r="O89" i="2"/>
  <c r="I88" i="2"/>
  <c r="F88" i="2" s="1"/>
  <c r="N87" i="3" s="1"/>
  <c r="P87" i="2"/>
  <c r="J86" i="2"/>
  <c r="G86" i="2" s="1"/>
  <c r="T85" i="3" s="1"/>
  <c r="V85" i="3"/>
  <c r="C87" i="4"/>
  <c r="AB86" i="3"/>
  <c r="M93" i="2"/>
  <c r="C89" i="2"/>
  <c r="D89" i="2"/>
  <c r="T88" i="2"/>
  <c r="D85" i="4"/>
  <c r="AA85" i="3"/>
  <c r="F84" i="3"/>
  <c r="D85" i="3"/>
  <c r="N87" i="2"/>
  <c r="J85" i="3"/>
  <c r="H86" i="2"/>
  <c r="E86" i="2" s="1"/>
  <c r="H85" i="3" s="1"/>
  <c r="K89" i="2"/>
  <c r="I87" i="4"/>
  <c r="M87" i="4" s="1"/>
  <c r="O83" i="3"/>
  <c r="I83" i="3"/>
  <c r="U83" i="3"/>
  <c r="B88" i="3"/>
  <c r="B90" i="2"/>
  <c r="L92" i="2"/>
  <c r="A88" i="4"/>
  <c r="C87" i="3"/>
  <c r="P87" i="3"/>
  <c r="E87" i="3"/>
  <c r="G87" i="3"/>
  <c r="S87" i="3"/>
  <c r="Y87" i="3" s="1"/>
  <c r="Z87" i="3" s="1"/>
  <c r="M87" i="3"/>
  <c r="E87" i="4" l="1"/>
  <c r="G86" i="4"/>
  <c r="L86" i="4" s="1"/>
  <c r="J84" i="4"/>
  <c r="K86" i="4"/>
  <c r="N86" i="4" s="1"/>
  <c r="F84" i="4"/>
  <c r="H84" i="4"/>
  <c r="O90" i="2"/>
  <c r="I89" i="2"/>
  <c r="F89" i="2" s="1"/>
  <c r="N88" i="3" s="1"/>
  <c r="I88" i="4"/>
  <c r="M88" i="4" s="1"/>
  <c r="D90" i="2"/>
  <c r="T89" i="2"/>
  <c r="C88" i="4"/>
  <c r="AB87" i="3"/>
  <c r="L93" i="2"/>
  <c r="B89" i="3"/>
  <c r="B91" i="2"/>
  <c r="K90" i="2"/>
  <c r="C90" i="2"/>
  <c r="A89" i="4"/>
  <c r="M88" i="3"/>
  <c r="C88" i="3"/>
  <c r="P88" i="3"/>
  <c r="E88" i="3"/>
  <c r="G88" i="3"/>
  <c r="S88" i="3"/>
  <c r="Y88" i="3" s="1"/>
  <c r="Z88" i="3" s="1"/>
  <c r="M94" i="2"/>
  <c r="N88" i="2"/>
  <c r="H87" i="2"/>
  <c r="E87" i="2" s="1"/>
  <c r="H86" i="3" s="1"/>
  <c r="J86" i="3"/>
  <c r="D86" i="3"/>
  <c r="F85" i="3"/>
  <c r="O84" i="3"/>
  <c r="I84" i="3"/>
  <c r="U84" i="3"/>
  <c r="D86" i="4"/>
  <c r="AA86" i="3"/>
  <c r="P88" i="2"/>
  <c r="J87" i="2"/>
  <c r="G87" i="2" s="1"/>
  <c r="T86" i="3" s="1"/>
  <c r="V86" i="3"/>
  <c r="K87" i="4" l="1"/>
  <c r="N87" i="4" s="1"/>
  <c r="E88" i="4"/>
  <c r="J85" i="4"/>
  <c r="G87" i="4"/>
  <c r="L87" i="4" s="1"/>
  <c r="F85" i="4"/>
  <c r="H85" i="4"/>
  <c r="O91" i="2"/>
  <c r="I90" i="2"/>
  <c r="F90" i="2" s="1"/>
  <c r="N89" i="3" s="1"/>
  <c r="N89" i="2"/>
  <c r="J87" i="3"/>
  <c r="H88" i="2"/>
  <c r="E88" i="2" s="1"/>
  <c r="H87" i="3" s="1"/>
  <c r="C89" i="4"/>
  <c r="AB88" i="3"/>
  <c r="P89" i="2"/>
  <c r="J88" i="2"/>
  <c r="G88" i="2" s="1"/>
  <c r="T87" i="3" s="1"/>
  <c r="V87" i="3"/>
  <c r="M95" i="2"/>
  <c r="I89" i="4"/>
  <c r="M89" i="4" s="1"/>
  <c r="D87" i="4"/>
  <c r="AA87" i="3"/>
  <c r="T90" i="2"/>
  <c r="D91" i="2"/>
  <c r="C91" i="2"/>
  <c r="K91" i="2"/>
  <c r="I85" i="3"/>
  <c r="U85" i="3"/>
  <c r="O85" i="3"/>
  <c r="B90" i="3"/>
  <c r="B92" i="2"/>
  <c r="F86" i="3"/>
  <c r="D87" i="3"/>
  <c r="A90" i="4"/>
  <c r="M89" i="3"/>
  <c r="C89" i="3"/>
  <c r="P89" i="3"/>
  <c r="E89" i="3"/>
  <c r="G89" i="3"/>
  <c r="S89" i="3"/>
  <c r="Y89" i="3" s="1"/>
  <c r="Z89" i="3" s="1"/>
  <c r="L94" i="2"/>
  <c r="K88" i="4" l="1"/>
  <c r="N88" i="4" s="1"/>
  <c r="J86" i="4"/>
  <c r="E89" i="4"/>
  <c r="G88" i="4"/>
  <c r="L88" i="4" s="1"/>
  <c r="H86" i="4"/>
  <c r="F86" i="4"/>
  <c r="O92" i="2"/>
  <c r="I91" i="2"/>
  <c r="F91" i="2" s="1"/>
  <c r="N90" i="3" s="1"/>
  <c r="L95" i="2"/>
  <c r="I90" i="4"/>
  <c r="M90" i="4" s="1"/>
  <c r="C92" i="2"/>
  <c r="F87" i="3"/>
  <c r="D88" i="3"/>
  <c r="M96" i="2"/>
  <c r="I86" i="3"/>
  <c r="U86" i="3"/>
  <c r="O86" i="3"/>
  <c r="T91" i="2"/>
  <c r="D92" i="2"/>
  <c r="B91" i="3"/>
  <c r="B93" i="2"/>
  <c r="A91" i="4"/>
  <c r="G90" i="3"/>
  <c r="S90" i="3"/>
  <c r="Y90" i="3" s="1"/>
  <c r="Z90" i="3" s="1"/>
  <c r="M90" i="3"/>
  <c r="E90" i="3"/>
  <c r="P90" i="3"/>
  <c r="C90" i="3"/>
  <c r="D88" i="4"/>
  <c r="AA88" i="3"/>
  <c r="P90" i="2"/>
  <c r="J89" i="2"/>
  <c r="G89" i="2" s="1"/>
  <c r="T88" i="3" s="1"/>
  <c r="V88" i="3"/>
  <c r="K92" i="2"/>
  <c r="C90" i="4"/>
  <c r="AB89" i="3"/>
  <c r="N90" i="2"/>
  <c r="H89" i="2"/>
  <c r="E89" i="2" s="1"/>
  <c r="H88" i="3" s="1"/>
  <c r="J88" i="3"/>
  <c r="G89" i="4" l="1"/>
  <c r="L89" i="4" s="1"/>
  <c r="H87" i="4"/>
  <c r="J87" i="4"/>
  <c r="K89" i="4"/>
  <c r="N89" i="4" s="1"/>
  <c r="F87" i="4"/>
  <c r="E90" i="4"/>
  <c r="O93" i="2"/>
  <c r="I92" i="2"/>
  <c r="F92" i="2" s="1"/>
  <c r="N91" i="3" s="1"/>
  <c r="O87" i="3"/>
  <c r="I87" i="3"/>
  <c r="U87" i="3"/>
  <c r="B92" i="3"/>
  <c r="B94" i="2"/>
  <c r="A92" i="4"/>
  <c r="C91" i="3"/>
  <c r="P91" i="3"/>
  <c r="E91" i="3"/>
  <c r="G91" i="3"/>
  <c r="S91" i="3"/>
  <c r="Y91" i="3" s="1"/>
  <c r="Z91" i="3" s="1"/>
  <c r="M91" i="3"/>
  <c r="I91" i="4"/>
  <c r="M91" i="4" s="1"/>
  <c r="N91" i="2"/>
  <c r="H90" i="2"/>
  <c r="E90" i="2" s="1"/>
  <c r="H89" i="3" s="1"/>
  <c r="J89" i="3"/>
  <c r="C93" i="2"/>
  <c r="D93" i="2"/>
  <c r="T92" i="2"/>
  <c r="C91" i="4"/>
  <c r="AB90" i="3"/>
  <c r="K93" i="2"/>
  <c r="P91" i="2"/>
  <c r="J90" i="2"/>
  <c r="G90" i="2" s="1"/>
  <c r="T89" i="3" s="1"/>
  <c r="V89" i="3"/>
  <c r="M97" i="2"/>
  <c r="L96" i="2"/>
  <c r="D89" i="4"/>
  <c r="AA89" i="3"/>
  <c r="F88" i="3"/>
  <c r="D89" i="3"/>
  <c r="E91" i="4" l="1"/>
  <c r="G90" i="4"/>
  <c r="L90" i="4" s="1"/>
  <c r="J88" i="4"/>
  <c r="K90" i="4"/>
  <c r="N90" i="4" s="1"/>
  <c r="F88" i="4"/>
  <c r="H88" i="4"/>
  <c r="O94" i="2"/>
  <c r="I93" i="2"/>
  <c r="F93" i="2" s="1"/>
  <c r="N92" i="3" s="1"/>
  <c r="K94" i="2"/>
  <c r="N92" i="2"/>
  <c r="J90" i="3"/>
  <c r="H91" i="2"/>
  <c r="E91" i="2" s="1"/>
  <c r="H90" i="3" s="1"/>
  <c r="O88" i="3"/>
  <c r="U88" i="3"/>
  <c r="I88" i="3"/>
  <c r="D90" i="4"/>
  <c r="AA90" i="3"/>
  <c r="T93" i="2"/>
  <c r="D94" i="2"/>
  <c r="L97" i="2"/>
  <c r="I92" i="4"/>
  <c r="M92" i="4" s="1"/>
  <c r="F89" i="3"/>
  <c r="D90" i="3"/>
  <c r="M98" i="2"/>
  <c r="C92" i="4"/>
  <c r="AB91" i="3"/>
  <c r="B93" i="3"/>
  <c r="B95" i="2"/>
  <c r="A93" i="4"/>
  <c r="M92" i="3"/>
  <c r="C92" i="3"/>
  <c r="P92" i="3"/>
  <c r="E92" i="3"/>
  <c r="G92" i="3"/>
  <c r="S92" i="3"/>
  <c r="Y92" i="3" s="1"/>
  <c r="Z92" i="3" s="1"/>
  <c r="C94" i="2"/>
  <c r="P92" i="2"/>
  <c r="J91" i="2"/>
  <c r="G91" i="2" s="1"/>
  <c r="T90" i="3" s="1"/>
  <c r="V90" i="3"/>
  <c r="F89" i="4" l="1"/>
  <c r="J89" i="4"/>
  <c r="H89" i="4"/>
  <c r="K91" i="4"/>
  <c r="N91" i="4" s="1"/>
  <c r="G91" i="4"/>
  <c r="L91" i="4" s="1"/>
  <c r="E92" i="4"/>
  <c r="O95" i="2"/>
  <c r="I94" i="2"/>
  <c r="F94" i="2" s="1"/>
  <c r="N93" i="3" s="1"/>
  <c r="M99" i="2"/>
  <c r="I89" i="3"/>
  <c r="U89" i="3"/>
  <c r="O89" i="3"/>
  <c r="C93" i="4"/>
  <c r="AB92" i="3"/>
  <c r="C95" i="2"/>
  <c r="I93" i="4"/>
  <c r="M93" i="4" s="1"/>
  <c r="P93" i="2"/>
  <c r="J92" i="2"/>
  <c r="G92" i="2" s="1"/>
  <c r="T91" i="3" s="1"/>
  <c r="V91" i="3"/>
  <c r="B94" i="3"/>
  <c r="B96" i="2"/>
  <c r="F90" i="3"/>
  <c r="D91" i="3"/>
  <c r="A94" i="4"/>
  <c r="M93" i="3"/>
  <c r="C93" i="3"/>
  <c r="P93" i="3"/>
  <c r="E93" i="3"/>
  <c r="S93" i="3"/>
  <c r="Y93" i="3" s="1"/>
  <c r="Z93" i="3" s="1"/>
  <c r="G93" i="3"/>
  <c r="N93" i="2"/>
  <c r="J91" i="3"/>
  <c r="H92" i="2"/>
  <c r="E92" i="2" s="1"/>
  <c r="H91" i="3" s="1"/>
  <c r="D91" i="4"/>
  <c r="AA91" i="3"/>
  <c r="L98" i="2"/>
  <c r="K95" i="2"/>
  <c r="T94" i="2"/>
  <c r="D95" i="2"/>
  <c r="E93" i="4" l="1"/>
  <c r="H90" i="4"/>
  <c r="J90" i="4"/>
  <c r="F90" i="4"/>
  <c r="G92" i="4"/>
  <c r="L92" i="4" s="1"/>
  <c r="K92" i="4"/>
  <c r="N92" i="4" s="1"/>
  <c r="O96" i="2"/>
  <c r="I95" i="2"/>
  <c r="F95" i="2" s="1"/>
  <c r="N94" i="3" s="1"/>
  <c r="N94" i="2"/>
  <c r="H93" i="2"/>
  <c r="E93" i="2" s="1"/>
  <c r="H92" i="3" s="1"/>
  <c r="J92" i="3"/>
  <c r="I94" i="4"/>
  <c r="M94" i="4" s="1"/>
  <c r="T95" i="2"/>
  <c r="D96" i="2"/>
  <c r="I90" i="3"/>
  <c r="U90" i="3"/>
  <c r="O90" i="3"/>
  <c r="F91" i="3"/>
  <c r="D92" i="3"/>
  <c r="B95" i="3"/>
  <c r="B97" i="2"/>
  <c r="K96" i="2"/>
  <c r="A95" i="4"/>
  <c r="G94" i="3"/>
  <c r="S94" i="3"/>
  <c r="Y94" i="3" s="1"/>
  <c r="Z94" i="3" s="1"/>
  <c r="M94" i="3"/>
  <c r="E94" i="3"/>
  <c r="C94" i="3"/>
  <c r="P94" i="3"/>
  <c r="C96" i="2"/>
  <c r="L99" i="2"/>
  <c r="P94" i="2"/>
  <c r="J93" i="2"/>
  <c r="G93" i="2" s="1"/>
  <c r="T92" i="3" s="1"/>
  <c r="V92" i="3"/>
  <c r="D92" i="4"/>
  <c r="AA92" i="3"/>
  <c r="C94" i="4"/>
  <c r="AB93" i="3"/>
  <c r="M100" i="2"/>
  <c r="H91" i="4" l="1"/>
  <c r="J91" i="4"/>
  <c r="K93" i="4"/>
  <c r="N93" i="4" s="1"/>
  <c r="F91" i="4"/>
  <c r="E94" i="4"/>
  <c r="G93" i="4"/>
  <c r="L93" i="4" s="1"/>
  <c r="O97" i="2"/>
  <c r="I96" i="2"/>
  <c r="F96" i="2" s="1"/>
  <c r="N95" i="3" s="1"/>
  <c r="T96" i="2"/>
  <c r="D97" i="2"/>
  <c r="M101" i="2"/>
  <c r="I95" i="4"/>
  <c r="M95" i="4" s="1"/>
  <c r="C97" i="2"/>
  <c r="K97" i="2"/>
  <c r="D93" i="4"/>
  <c r="AA93" i="3"/>
  <c r="B96" i="3"/>
  <c r="B98" i="2"/>
  <c r="A96" i="4"/>
  <c r="C95" i="3"/>
  <c r="P95" i="3"/>
  <c r="E95" i="3"/>
  <c r="G95" i="3"/>
  <c r="S95" i="3"/>
  <c r="Y95" i="3" s="1"/>
  <c r="Z95" i="3" s="1"/>
  <c r="M95" i="3"/>
  <c r="C95" i="4"/>
  <c r="AB94" i="3"/>
  <c r="F92" i="3"/>
  <c r="D93" i="3"/>
  <c r="O91" i="3"/>
  <c r="I91" i="3"/>
  <c r="U91" i="3"/>
  <c r="P95" i="2"/>
  <c r="J94" i="2"/>
  <c r="G94" i="2" s="1"/>
  <c r="T93" i="3" s="1"/>
  <c r="V93" i="3"/>
  <c r="L100" i="2"/>
  <c r="N95" i="2"/>
  <c r="J93" i="3"/>
  <c r="H94" i="2"/>
  <c r="E94" i="2" s="1"/>
  <c r="H93" i="3" s="1"/>
  <c r="H92" i="4" l="1"/>
  <c r="E95" i="4"/>
  <c r="G94" i="4"/>
  <c r="L94" i="4" s="1"/>
  <c r="J92" i="4"/>
  <c r="K94" i="4"/>
  <c r="N94" i="4" s="1"/>
  <c r="F92" i="4"/>
  <c r="O98" i="2"/>
  <c r="I97" i="2"/>
  <c r="F97" i="2" s="1"/>
  <c r="N96" i="3" s="1"/>
  <c r="D94" i="3"/>
  <c r="F93" i="3"/>
  <c r="C98" i="2"/>
  <c r="L101" i="2"/>
  <c r="C96" i="4"/>
  <c r="AB95" i="3"/>
  <c r="B97" i="3"/>
  <c r="B99" i="2"/>
  <c r="A97" i="4"/>
  <c r="M96" i="3"/>
  <c r="C96" i="3"/>
  <c r="P96" i="3"/>
  <c r="E96" i="3"/>
  <c r="G96" i="3"/>
  <c r="S96" i="3"/>
  <c r="Y96" i="3" s="1"/>
  <c r="Z96" i="3" s="1"/>
  <c r="D94" i="4"/>
  <c r="AA94" i="3"/>
  <c r="N96" i="2"/>
  <c r="J94" i="3"/>
  <c r="H95" i="2"/>
  <c r="E95" i="2" s="1"/>
  <c r="H94" i="3" s="1"/>
  <c r="P96" i="2"/>
  <c r="J95" i="2"/>
  <c r="G95" i="2" s="1"/>
  <c r="T94" i="3" s="1"/>
  <c r="V94" i="3"/>
  <c r="M102" i="2"/>
  <c r="O92" i="3"/>
  <c r="I92" i="3"/>
  <c r="U92" i="3"/>
  <c r="I96" i="4"/>
  <c r="M96" i="4" s="1"/>
  <c r="K98" i="2"/>
  <c r="D98" i="2"/>
  <c r="T97" i="2"/>
  <c r="J93" i="4" l="1"/>
  <c r="F93" i="4"/>
  <c r="H93" i="4"/>
  <c r="G95" i="4"/>
  <c r="L95" i="4" s="1"/>
  <c r="E96" i="4"/>
  <c r="K95" i="4"/>
  <c r="N95" i="4" s="1"/>
  <c r="O99" i="2"/>
  <c r="I98" i="2"/>
  <c r="F98" i="2" s="1"/>
  <c r="N97" i="3" s="1"/>
  <c r="I97" i="4"/>
  <c r="M97" i="4" s="1"/>
  <c r="B98" i="3"/>
  <c r="B100" i="2"/>
  <c r="T98" i="2"/>
  <c r="D99" i="2"/>
  <c r="A98" i="4"/>
  <c r="M97" i="3"/>
  <c r="P97" i="3"/>
  <c r="E97" i="3"/>
  <c r="S97" i="3"/>
  <c r="Y97" i="3" s="1"/>
  <c r="Z97" i="3" s="1"/>
  <c r="C97" i="3"/>
  <c r="G97" i="3"/>
  <c r="M103" i="2"/>
  <c r="K99" i="2"/>
  <c r="L102" i="2"/>
  <c r="P97" i="2"/>
  <c r="J96" i="2"/>
  <c r="G96" i="2" s="1"/>
  <c r="T95" i="3" s="1"/>
  <c r="V95" i="3"/>
  <c r="C99" i="2"/>
  <c r="N97" i="2"/>
  <c r="H96" i="2"/>
  <c r="E96" i="2" s="1"/>
  <c r="H95" i="3" s="1"/>
  <c r="J95" i="3"/>
  <c r="I93" i="3"/>
  <c r="U93" i="3"/>
  <c r="O93" i="3"/>
  <c r="D95" i="4"/>
  <c r="AA95" i="3"/>
  <c r="C97" i="4"/>
  <c r="AB96" i="3"/>
  <c r="F94" i="3"/>
  <c r="D95" i="3"/>
  <c r="G96" i="4" l="1"/>
  <c r="L96" i="4" s="1"/>
  <c r="E97" i="4"/>
  <c r="H94" i="4"/>
  <c r="K96" i="4"/>
  <c r="N96" i="4" s="1"/>
  <c r="J94" i="4"/>
  <c r="F94" i="4"/>
  <c r="O100" i="2"/>
  <c r="I99" i="2"/>
  <c r="F99" i="2" s="1"/>
  <c r="N98" i="3" s="1"/>
  <c r="N98" i="2"/>
  <c r="H97" i="2"/>
  <c r="E97" i="2" s="1"/>
  <c r="H96" i="3" s="1"/>
  <c r="J96" i="3"/>
  <c r="M104" i="2"/>
  <c r="F95" i="3"/>
  <c r="D96" i="3"/>
  <c r="C100" i="2"/>
  <c r="D100" i="2"/>
  <c r="T99" i="2"/>
  <c r="I98" i="4"/>
  <c r="M98" i="4" s="1"/>
  <c r="I94" i="3"/>
  <c r="U94" i="3"/>
  <c r="O94" i="3"/>
  <c r="B99" i="3"/>
  <c r="B101" i="2"/>
  <c r="D96" i="4"/>
  <c r="AA96" i="3"/>
  <c r="A99" i="4"/>
  <c r="G98" i="3"/>
  <c r="S98" i="3"/>
  <c r="Y98" i="3" s="1"/>
  <c r="Z98" i="3" s="1"/>
  <c r="M98" i="3"/>
  <c r="E98" i="3"/>
  <c r="C98" i="3"/>
  <c r="P98" i="3"/>
  <c r="P98" i="2"/>
  <c r="J97" i="2"/>
  <c r="G97" i="2" s="1"/>
  <c r="T96" i="3" s="1"/>
  <c r="V96" i="3"/>
  <c r="L103" i="2"/>
  <c r="K100" i="2"/>
  <c r="C98" i="4"/>
  <c r="AB97" i="3"/>
  <c r="K97" i="4" l="1"/>
  <c r="N97" i="4" s="1"/>
  <c r="J95" i="4"/>
  <c r="E98" i="4"/>
  <c r="G97" i="4"/>
  <c r="L97" i="4" s="1"/>
  <c r="H95" i="4"/>
  <c r="F95" i="4"/>
  <c r="O101" i="2"/>
  <c r="I100" i="2"/>
  <c r="F100" i="2" s="1"/>
  <c r="N99" i="3" s="1"/>
  <c r="B100" i="3"/>
  <c r="B102" i="2"/>
  <c r="T100" i="2"/>
  <c r="D101" i="2"/>
  <c r="C99" i="4"/>
  <c r="AB98" i="3"/>
  <c r="K101" i="2"/>
  <c r="C101" i="2"/>
  <c r="D97" i="3"/>
  <c r="F96" i="3"/>
  <c r="L104" i="2"/>
  <c r="O95" i="3"/>
  <c r="I95" i="3"/>
  <c r="U95" i="3"/>
  <c r="A100" i="4"/>
  <c r="C99" i="3"/>
  <c r="P99" i="3"/>
  <c r="E99" i="3"/>
  <c r="G99" i="3"/>
  <c r="S99" i="3"/>
  <c r="Y99" i="3" s="1"/>
  <c r="Z99" i="3" s="1"/>
  <c r="M99" i="3"/>
  <c r="M105" i="2"/>
  <c r="P99" i="2"/>
  <c r="J98" i="2"/>
  <c r="G98" i="2" s="1"/>
  <c r="T97" i="3" s="1"/>
  <c r="V97" i="3"/>
  <c r="I99" i="4"/>
  <c r="M99" i="4" s="1"/>
  <c r="D97" i="4"/>
  <c r="AA97" i="3"/>
  <c r="N99" i="2"/>
  <c r="J97" i="3"/>
  <c r="H98" i="2"/>
  <c r="E98" i="2" s="1"/>
  <c r="H97" i="3" s="1"/>
  <c r="E99" i="4" l="1"/>
  <c r="K98" i="4"/>
  <c r="N98" i="4" s="1"/>
  <c r="G98" i="4"/>
  <c r="L98" i="4" s="1"/>
  <c r="J96" i="4"/>
  <c r="F96" i="4"/>
  <c r="H96" i="4"/>
  <c r="O102" i="2"/>
  <c r="I101" i="2"/>
  <c r="F101" i="2" s="1"/>
  <c r="N100" i="3" s="1"/>
  <c r="P100" i="2"/>
  <c r="J99" i="2"/>
  <c r="G99" i="2" s="1"/>
  <c r="T98" i="3" s="1"/>
  <c r="V98" i="3"/>
  <c r="N100" i="2"/>
  <c r="J98" i="3"/>
  <c r="H99" i="2"/>
  <c r="E99" i="2" s="1"/>
  <c r="H98" i="3" s="1"/>
  <c r="D98" i="4"/>
  <c r="AA98" i="3"/>
  <c r="M106" i="2"/>
  <c r="I100" i="4"/>
  <c r="M100" i="4" s="1"/>
  <c r="K102" i="2"/>
  <c r="C100" i="4"/>
  <c r="AB99" i="3"/>
  <c r="D102" i="2"/>
  <c r="T101" i="2"/>
  <c r="L105" i="2"/>
  <c r="C102" i="2"/>
  <c r="O96" i="3"/>
  <c r="U96" i="3"/>
  <c r="I96" i="3"/>
  <c r="B101" i="3"/>
  <c r="B103" i="2"/>
  <c r="D98" i="3"/>
  <c r="F97" i="3"/>
  <c r="A101" i="4"/>
  <c r="M100" i="3"/>
  <c r="C100" i="3"/>
  <c r="P100" i="3"/>
  <c r="E100" i="3"/>
  <c r="G100" i="3"/>
  <c r="S100" i="3"/>
  <c r="Y100" i="3" s="1"/>
  <c r="Z100" i="3" s="1"/>
  <c r="J97" i="4" l="1"/>
  <c r="H97" i="4"/>
  <c r="F97" i="4"/>
  <c r="G99" i="4"/>
  <c r="L99" i="4" s="1"/>
  <c r="K99" i="4"/>
  <c r="N99" i="4" s="1"/>
  <c r="E100" i="4"/>
  <c r="O103" i="2"/>
  <c r="I102" i="2"/>
  <c r="F102" i="2" s="1"/>
  <c r="N101" i="3" s="1"/>
  <c r="F98" i="3"/>
  <c r="D99" i="3"/>
  <c r="I97" i="3"/>
  <c r="U97" i="3"/>
  <c r="O97" i="3"/>
  <c r="B102" i="3"/>
  <c r="B104" i="2"/>
  <c r="M107" i="2"/>
  <c r="A102" i="4"/>
  <c r="M101" i="3"/>
  <c r="P101" i="3"/>
  <c r="E101" i="3"/>
  <c r="S101" i="3"/>
  <c r="Y101" i="3" s="1"/>
  <c r="Z101" i="3" s="1"/>
  <c r="C101" i="3"/>
  <c r="G101" i="3"/>
  <c r="D99" i="4"/>
  <c r="AA99" i="3"/>
  <c r="I101" i="4"/>
  <c r="M101" i="4" s="1"/>
  <c r="T102" i="2"/>
  <c r="D103" i="2"/>
  <c r="K103" i="2"/>
  <c r="N101" i="2"/>
  <c r="J99" i="3"/>
  <c r="H100" i="2"/>
  <c r="E100" i="2" s="1"/>
  <c r="H99" i="3" s="1"/>
  <c r="L106" i="2"/>
  <c r="C103" i="2"/>
  <c r="C101" i="4"/>
  <c r="AB100" i="3"/>
  <c r="P101" i="2"/>
  <c r="J100" i="2"/>
  <c r="G100" i="2" s="1"/>
  <c r="T99" i="3" s="1"/>
  <c r="V99" i="3"/>
  <c r="K100" i="4" l="1"/>
  <c r="N100" i="4" s="1"/>
  <c r="H98" i="4"/>
  <c r="E101" i="4"/>
  <c r="J98" i="4"/>
  <c r="F98" i="4"/>
  <c r="G100" i="4"/>
  <c r="L100" i="4" s="1"/>
  <c r="O104" i="2"/>
  <c r="I103" i="2"/>
  <c r="F103" i="2" s="1"/>
  <c r="N102" i="3" s="1"/>
  <c r="I102" i="4"/>
  <c r="M102" i="4" s="1"/>
  <c r="D100" i="4"/>
  <c r="AA100" i="3"/>
  <c r="P102" i="2"/>
  <c r="J101" i="2"/>
  <c r="G101" i="2" s="1"/>
  <c r="T100" i="3" s="1"/>
  <c r="V100" i="3"/>
  <c r="K104" i="2"/>
  <c r="N102" i="2"/>
  <c r="H101" i="2"/>
  <c r="E101" i="2" s="1"/>
  <c r="H100" i="3" s="1"/>
  <c r="J100" i="3"/>
  <c r="D104" i="2"/>
  <c r="T103" i="2"/>
  <c r="M108" i="2"/>
  <c r="B103" i="3"/>
  <c r="B105" i="2"/>
  <c r="C104" i="2"/>
  <c r="A103" i="4"/>
  <c r="G102" i="3"/>
  <c r="S102" i="3"/>
  <c r="Y102" i="3" s="1"/>
  <c r="Z102" i="3" s="1"/>
  <c r="M102" i="3"/>
  <c r="E102" i="3"/>
  <c r="P102" i="3"/>
  <c r="C102" i="3"/>
  <c r="L107" i="2"/>
  <c r="F99" i="3"/>
  <c r="D100" i="3"/>
  <c r="C102" i="4"/>
  <c r="AB101" i="3"/>
  <c r="I98" i="3"/>
  <c r="U98" i="3"/>
  <c r="O98" i="3"/>
  <c r="G101" i="4" l="1"/>
  <c r="L101" i="4" s="1"/>
  <c r="F99" i="4"/>
  <c r="H99" i="4"/>
  <c r="J99" i="4"/>
  <c r="E102" i="4"/>
  <c r="K101" i="4"/>
  <c r="N101" i="4" s="1"/>
  <c r="O105" i="2"/>
  <c r="I104" i="2"/>
  <c r="F104" i="2" s="1"/>
  <c r="N103" i="3" s="1"/>
  <c r="K105" i="2"/>
  <c r="C103" i="4"/>
  <c r="AB102" i="3"/>
  <c r="A104" i="4"/>
  <c r="C103" i="3"/>
  <c r="P103" i="3"/>
  <c r="E103" i="3"/>
  <c r="G103" i="3"/>
  <c r="S103" i="3"/>
  <c r="Y103" i="3" s="1"/>
  <c r="Z103" i="3" s="1"/>
  <c r="M103" i="3"/>
  <c r="P103" i="2"/>
  <c r="J102" i="2"/>
  <c r="G102" i="2" s="1"/>
  <c r="T101" i="3" s="1"/>
  <c r="V101" i="3"/>
  <c r="B104" i="3"/>
  <c r="B106" i="2"/>
  <c r="M109" i="2"/>
  <c r="D101" i="4"/>
  <c r="AA101" i="3"/>
  <c r="D101" i="3"/>
  <c r="F100" i="3"/>
  <c r="O99" i="3"/>
  <c r="I99" i="3"/>
  <c r="U99" i="3"/>
  <c r="T104" i="2"/>
  <c r="D105" i="2"/>
  <c r="L108" i="2"/>
  <c r="I103" i="4"/>
  <c r="M103" i="4" s="1"/>
  <c r="C105" i="2"/>
  <c r="N103" i="2"/>
  <c r="H102" i="2"/>
  <c r="E102" i="2" s="1"/>
  <c r="H101" i="3" s="1"/>
  <c r="J101" i="3"/>
  <c r="F100" i="4" l="1"/>
  <c r="H100" i="4"/>
  <c r="G102" i="4"/>
  <c r="L102" i="4" s="1"/>
  <c r="E103" i="4"/>
  <c r="K102" i="4"/>
  <c r="N102" i="4" s="1"/>
  <c r="J100" i="4"/>
  <c r="O106" i="2"/>
  <c r="I105" i="2"/>
  <c r="F105" i="2" s="1"/>
  <c r="N104" i="3" s="1"/>
  <c r="M110" i="2"/>
  <c r="L109" i="2"/>
  <c r="N104" i="2"/>
  <c r="H103" i="2"/>
  <c r="E103" i="2" s="1"/>
  <c r="H102" i="3" s="1"/>
  <c r="J102" i="3"/>
  <c r="T105" i="2"/>
  <c r="D106" i="2"/>
  <c r="B105" i="3"/>
  <c r="B107" i="2"/>
  <c r="C106" i="2"/>
  <c r="A105" i="4"/>
  <c r="M104" i="3"/>
  <c r="C104" i="3"/>
  <c r="P104" i="3"/>
  <c r="E104" i="3"/>
  <c r="G104" i="3"/>
  <c r="S104" i="3"/>
  <c r="Y104" i="3" s="1"/>
  <c r="Z104" i="3" s="1"/>
  <c r="P104" i="2"/>
  <c r="J103" i="2"/>
  <c r="G103" i="2" s="1"/>
  <c r="T102" i="3" s="1"/>
  <c r="V102" i="3"/>
  <c r="I104" i="4"/>
  <c r="M104" i="4" s="1"/>
  <c r="C104" i="4"/>
  <c r="AB103" i="3"/>
  <c r="O100" i="3"/>
  <c r="I100" i="3"/>
  <c r="U100" i="3"/>
  <c r="D102" i="3"/>
  <c r="F101" i="3"/>
  <c r="D102" i="4"/>
  <c r="AA102" i="3"/>
  <c r="K106" i="2"/>
  <c r="G103" i="4" l="1"/>
  <c r="L103" i="4" s="1"/>
  <c r="K103" i="4"/>
  <c r="N103" i="4" s="1"/>
  <c r="J101" i="4"/>
  <c r="F101" i="4"/>
  <c r="H101" i="4"/>
  <c r="E104" i="4"/>
  <c r="O107" i="2"/>
  <c r="I106" i="2"/>
  <c r="F106" i="2" s="1"/>
  <c r="N105" i="3" s="1"/>
  <c r="B106" i="3"/>
  <c r="B108" i="2"/>
  <c r="A106" i="4"/>
  <c r="M105" i="3"/>
  <c r="P105" i="3"/>
  <c r="E105" i="3"/>
  <c r="C105" i="3"/>
  <c r="G105" i="3"/>
  <c r="S105" i="3"/>
  <c r="Y105" i="3" s="1"/>
  <c r="Z105" i="3" s="1"/>
  <c r="D107" i="2"/>
  <c r="T106" i="2"/>
  <c r="K107" i="2"/>
  <c r="D103" i="4"/>
  <c r="AA103" i="3"/>
  <c r="I101" i="3"/>
  <c r="U101" i="3"/>
  <c r="O101" i="3"/>
  <c r="F102" i="3"/>
  <c r="D103" i="3"/>
  <c r="C105" i="4"/>
  <c r="AB104" i="3"/>
  <c r="N105" i="2"/>
  <c r="J103" i="3"/>
  <c r="H104" i="2"/>
  <c r="E104" i="2" s="1"/>
  <c r="H103" i="3" s="1"/>
  <c r="P105" i="2"/>
  <c r="J104" i="2"/>
  <c r="G104" i="2" s="1"/>
  <c r="T103" i="3" s="1"/>
  <c r="V103" i="3"/>
  <c r="I105" i="4"/>
  <c r="M105" i="4" s="1"/>
  <c r="L110" i="2"/>
  <c r="C107" i="2"/>
  <c r="M111" i="2"/>
  <c r="H102" i="4" l="1"/>
  <c r="J102" i="4"/>
  <c r="F102" i="4"/>
  <c r="K104" i="4"/>
  <c r="N104" i="4" s="1"/>
  <c r="E105" i="4"/>
  <c r="G104" i="4"/>
  <c r="L104" i="4" s="1"/>
  <c r="O108" i="2"/>
  <c r="I107" i="2"/>
  <c r="F107" i="2" s="1"/>
  <c r="N106" i="3" s="1"/>
  <c r="C108" i="2"/>
  <c r="D104" i="4"/>
  <c r="AA104" i="3"/>
  <c r="M112" i="2"/>
  <c r="P106" i="2"/>
  <c r="J105" i="2"/>
  <c r="G105" i="2" s="1"/>
  <c r="T104" i="3" s="1"/>
  <c r="V104" i="3"/>
  <c r="K108" i="2"/>
  <c r="C106" i="4"/>
  <c r="AB105" i="3"/>
  <c r="L111" i="2"/>
  <c r="N106" i="2"/>
  <c r="J104" i="3"/>
  <c r="H105" i="2"/>
  <c r="E105" i="2" s="1"/>
  <c r="H104" i="3" s="1"/>
  <c r="T107" i="2"/>
  <c r="D108" i="2"/>
  <c r="I106" i="4"/>
  <c r="M106" i="4" s="1"/>
  <c r="F103" i="3"/>
  <c r="D104" i="3"/>
  <c r="B107" i="3"/>
  <c r="B109" i="2"/>
  <c r="I102" i="3"/>
  <c r="U102" i="3"/>
  <c r="O102" i="3"/>
  <c r="A107" i="4"/>
  <c r="G106" i="3"/>
  <c r="S106" i="3"/>
  <c r="Y106" i="3" s="1"/>
  <c r="Z106" i="3" s="1"/>
  <c r="M106" i="3"/>
  <c r="E106" i="3"/>
  <c r="P106" i="3"/>
  <c r="C106" i="3"/>
  <c r="K105" i="4" l="1"/>
  <c r="N105" i="4" s="1"/>
  <c r="F103" i="4"/>
  <c r="G105" i="4"/>
  <c r="L105" i="4" s="1"/>
  <c r="E106" i="4"/>
  <c r="H103" i="4"/>
  <c r="J103" i="4"/>
  <c r="O109" i="2"/>
  <c r="I108" i="2"/>
  <c r="F108" i="2" s="1"/>
  <c r="N107" i="3" s="1"/>
  <c r="K109" i="2"/>
  <c r="D109" i="2"/>
  <c r="T108" i="2"/>
  <c r="I107" i="4"/>
  <c r="M107" i="4" s="1"/>
  <c r="B108" i="3"/>
  <c r="B110" i="2"/>
  <c r="P107" i="2"/>
  <c r="J106" i="2"/>
  <c r="G106" i="2" s="1"/>
  <c r="T105" i="3" s="1"/>
  <c r="V105" i="3"/>
  <c r="C107" i="4"/>
  <c r="AB106" i="3"/>
  <c r="A108" i="4"/>
  <c r="C107" i="3"/>
  <c r="P107" i="3"/>
  <c r="E107" i="3"/>
  <c r="G107" i="3"/>
  <c r="S107" i="3"/>
  <c r="Y107" i="3" s="1"/>
  <c r="Z107" i="3" s="1"/>
  <c r="M107" i="3"/>
  <c r="D105" i="3"/>
  <c r="F104" i="3"/>
  <c r="M113" i="2"/>
  <c r="O103" i="3"/>
  <c r="I103" i="3"/>
  <c r="U103" i="3"/>
  <c r="N107" i="2"/>
  <c r="J105" i="3"/>
  <c r="H106" i="2"/>
  <c r="E106" i="2" s="1"/>
  <c r="H105" i="3" s="1"/>
  <c r="D105" i="4"/>
  <c r="AA105" i="3"/>
  <c r="L112" i="2"/>
  <c r="C109" i="2"/>
  <c r="H104" i="4" l="1"/>
  <c r="K106" i="4"/>
  <c r="N106" i="4" s="1"/>
  <c r="J104" i="4"/>
  <c r="G106" i="4"/>
  <c r="L106" i="4" s="1"/>
  <c r="F104" i="4"/>
  <c r="E107" i="4"/>
  <c r="O110" i="2"/>
  <c r="I109" i="2"/>
  <c r="F109" i="2" s="1"/>
  <c r="N108" i="3" s="1"/>
  <c r="M114" i="2"/>
  <c r="C110" i="2"/>
  <c r="A109" i="4"/>
  <c r="M108" i="3"/>
  <c r="C108" i="3"/>
  <c r="P108" i="3"/>
  <c r="E108" i="3"/>
  <c r="G108" i="3"/>
  <c r="S108" i="3"/>
  <c r="Y108" i="3" s="1"/>
  <c r="Z108" i="3" s="1"/>
  <c r="O104" i="3"/>
  <c r="I104" i="3"/>
  <c r="U104" i="3"/>
  <c r="L113" i="2"/>
  <c r="F105" i="3"/>
  <c r="D106" i="3"/>
  <c r="I108" i="4"/>
  <c r="M108" i="4" s="1"/>
  <c r="D106" i="4"/>
  <c r="AA106" i="3"/>
  <c r="C108" i="4"/>
  <c r="AB107" i="3"/>
  <c r="T109" i="2"/>
  <c r="D110" i="2"/>
  <c r="N108" i="2"/>
  <c r="J106" i="3"/>
  <c r="H107" i="2"/>
  <c r="E107" i="2" s="1"/>
  <c r="H106" i="3" s="1"/>
  <c r="P108" i="2"/>
  <c r="J107" i="2"/>
  <c r="G107" i="2" s="1"/>
  <c r="T106" i="3" s="1"/>
  <c r="V106" i="3"/>
  <c r="K110" i="2"/>
  <c r="B109" i="3"/>
  <c r="B111" i="2"/>
  <c r="H105" i="4" l="1"/>
  <c r="E108" i="4"/>
  <c r="K107" i="4"/>
  <c r="N107" i="4" s="1"/>
  <c r="G107" i="4"/>
  <c r="L107" i="4" s="1"/>
  <c r="J105" i="4"/>
  <c r="F105" i="4"/>
  <c r="O111" i="2"/>
  <c r="I110" i="2"/>
  <c r="F110" i="2" s="1"/>
  <c r="N109" i="3" s="1"/>
  <c r="B110" i="3"/>
  <c r="B112" i="2"/>
  <c r="I105" i="3"/>
  <c r="U105" i="3"/>
  <c r="O105" i="3"/>
  <c r="A110" i="4"/>
  <c r="M109" i="3"/>
  <c r="P109" i="3"/>
  <c r="E109" i="3"/>
  <c r="C109" i="3"/>
  <c r="G109" i="3"/>
  <c r="S109" i="3"/>
  <c r="Y109" i="3" s="1"/>
  <c r="Z109" i="3" s="1"/>
  <c r="L114" i="2"/>
  <c r="F106" i="3"/>
  <c r="D107" i="3"/>
  <c r="K111" i="2"/>
  <c r="D107" i="4"/>
  <c r="AA107" i="3"/>
  <c r="C109" i="4"/>
  <c r="AB108" i="3"/>
  <c r="I109" i="4"/>
  <c r="M109" i="4" s="1"/>
  <c r="P109" i="2"/>
  <c r="J108" i="2"/>
  <c r="G108" i="2" s="1"/>
  <c r="T107" i="3" s="1"/>
  <c r="V107" i="3"/>
  <c r="C111" i="2"/>
  <c r="N109" i="2"/>
  <c r="H108" i="2"/>
  <c r="E108" i="2" s="1"/>
  <c r="H107" i="3" s="1"/>
  <c r="J107" i="3"/>
  <c r="D111" i="2"/>
  <c r="T110" i="2"/>
  <c r="M115" i="2"/>
  <c r="H106" i="4" l="1"/>
  <c r="E109" i="4"/>
  <c r="G108" i="4"/>
  <c r="L108" i="4" s="1"/>
  <c r="J106" i="4"/>
  <c r="F106" i="4"/>
  <c r="K108" i="4"/>
  <c r="N108" i="4" s="1"/>
  <c r="O112" i="2"/>
  <c r="I111" i="2"/>
  <c r="F111" i="2" s="1"/>
  <c r="N110" i="3" s="1"/>
  <c r="M116" i="2"/>
  <c r="K112" i="2"/>
  <c r="P110" i="2"/>
  <c r="J109" i="2"/>
  <c r="G109" i="2" s="1"/>
  <c r="T108" i="3" s="1"/>
  <c r="V108" i="3"/>
  <c r="F107" i="3"/>
  <c r="D108" i="3"/>
  <c r="C110" i="4"/>
  <c r="AB109" i="3"/>
  <c r="I106" i="3"/>
  <c r="U106" i="3"/>
  <c r="O106" i="3"/>
  <c r="T111" i="2"/>
  <c r="D112" i="2"/>
  <c r="L115" i="2"/>
  <c r="I110" i="4"/>
  <c r="M110" i="4" s="1"/>
  <c r="N110" i="2"/>
  <c r="J108" i="3"/>
  <c r="H109" i="2"/>
  <c r="E109" i="2" s="1"/>
  <c r="H108" i="3" s="1"/>
  <c r="B111" i="3"/>
  <c r="B113" i="2"/>
  <c r="C112" i="2"/>
  <c r="D108" i="4"/>
  <c r="AA108" i="3"/>
  <c r="A111" i="4"/>
  <c r="G110" i="3"/>
  <c r="S110" i="3"/>
  <c r="Y110" i="3" s="1"/>
  <c r="Z110" i="3" s="1"/>
  <c r="M110" i="3"/>
  <c r="E110" i="3"/>
  <c r="C110" i="3"/>
  <c r="P110" i="3"/>
  <c r="F107" i="4" l="1"/>
  <c r="K109" i="4"/>
  <c r="N109" i="4" s="1"/>
  <c r="G109" i="4"/>
  <c r="L109" i="4" s="1"/>
  <c r="E110" i="4"/>
  <c r="H107" i="4"/>
  <c r="J107" i="4"/>
  <c r="O113" i="2"/>
  <c r="I112" i="2"/>
  <c r="F112" i="2" s="1"/>
  <c r="N111" i="3" s="1"/>
  <c r="I111" i="4"/>
  <c r="M111" i="4" s="1"/>
  <c r="D109" i="4"/>
  <c r="AA109" i="3"/>
  <c r="C113" i="2"/>
  <c r="D109" i="3"/>
  <c r="F108" i="3"/>
  <c r="O107" i="3"/>
  <c r="U107" i="3"/>
  <c r="I107" i="3"/>
  <c r="C111" i="4"/>
  <c r="AB110" i="3"/>
  <c r="B112" i="3"/>
  <c r="B114" i="2"/>
  <c r="L116" i="2"/>
  <c r="A112" i="4"/>
  <c r="C111" i="3"/>
  <c r="P111" i="3"/>
  <c r="E111" i="3"/>
  <c r="G111" i="3"/>
  <c r="S111" i="3"/>
  <c r="Y111" i="3" s="1"/>
  <c r="Z111" i="3" s="1"/>
  <c r="M111" i="3"/>
  <c r="D113" i="2"/>
  <c r="T112" i="2"/>
  <c r="P111" i="2"/>
  <c r="J110" i="2"/>
  <c r="G110" i="2" s="1"/>
  <c r="T109" i="3" s="1"/>
  <c r="V109" i="3"/>
  <c r="K113" i="2"/>
  <c r="N111" i="2"/>
  <c r="J109" i="3"/>
  <c r="H110" i="2"/>
  <c r="E110" i="2" s="1"/>
  <c r="H109" i="3" s="1"/>
  <c r="M117" i="2"/>
  <c r="J108" i="4" l="1"/>
  <c r="H108" i="4"/>
  <c r="G110" i="4"/>
  <c r="L110" i="4" s="1"/>
  <c r="F108" i="4"/>
  <c r="K110" i="4"/>
  <c r="N110" i="4" s="1"/>
  <c r="E111" i="4"/>
  <c r="O114" i="2"/>
  <c r="I113" i="2"/>
  <c r="F113" i="2" s="1"/>
  <c r="N112" i="3" s="1"/>
  <c r="D110" i="3"/>
  <c r="F109" i="3"/>
  <c r="M118" i="2"/>
  <c r="D114" i="2"/>
  <c r="T113" i="2"/>
  <c r="I112" i="4"/>
  <c r="M112" i="4" s="1"/>
  <c r="C112" i="4"/>
  <c r="AB111" i="3"/>
  <c r="L117" i="2"/>
  <c r="C114" i="2"/>
  <c r="B113" i="3"/>
  <c r="B115" i="2"/>
  <c r="D110" i="4"/>
  <c r="AA110" i="3"/>
  <c r="N112" i="2"/>
  <c r="H111" i="2"/>
  <c r="E111" i="2" s="1"/>
  <c r="H110" i="3" s="1"/>
  <c r="J110" i="3"/>
  <c r="A113" i="4"/>
  <c r="M112" i="3"/>
  <c r="C112" i="3"/>
  <c r="P112" i="3"/>
  <c r="E112" i="3"/>
  <c r="G112" i="3"/>
  <c r="S112" i="3"/>
  <c r="Y112" i="3" s="1"/>
  <c r="Z112" i="3" s="1"/>
  <c r="K114" i="2"/>
  <c r="P112" i="2"/>
  <c r="J111" i="2"/>
  <c r="G111" i="2" s="1"/>
  <c r="T110" i="3" s="1"/>
  <c r="V110" i="3"/>
  <c r="O108" i="3"/>
  <c r="U108" i="3"/>
  <c r="I108" i="3"/>
  <c r="E112" i="4" l="1"/>
  <c r="F109" i="4"/>
  <c r="H109" i="4"/>
  <c r="J109" i="4"/>
  <c r="G111" i="4"/>
  <c r="L111" i="4" s="1"/>
  <c r="K111" i="4"/>
  <c r="N111" i="4" s="1"/>
  <c r="O115" i="2"/>
  <c r="I114" i="2"/>
  <c r="F114" i="2" s="1"/>
  <c r="N113" i="3" s="1"/>
  <c r="B114" i="3"/>
  <c r="B116" i="2"/>
  <c r="A114" i="4"/>
  <c r="M113" i="3"/>
  <c r="P113" i="3"/>
  <c r="E113" i="3"/>
  <c r="S113" i="3"/>
  <c r="Y113" i="3" s="1"/>
  <c r="Z113" i="3" s="1"/>
  <c r="C113" i="3"/>
  <c r="G113" i="3"/>
  <c r="C115" i="2"/>
  <c r="D111" i="4"/>
  <c r="AA111" i="3"/>
  <c r="P113" i="2"/>
  <c r="J112" i="2"/>
  <c r="G112" i="2" s="1"/>
  <c r="T111" i="3" s="1"/>
  <c r="V111" i="3"/>
  <c r="C113" i="4"/>
  <c r="AB112" i="3"/>
  <c r="D115" i="2"/>
  <c r="T114" i="2"/>
  <c r="K115" i="2"/>
  <c r="I113" i="4"/>
  <c r="M113" i="4" s="1"/>
  <c r="L118" i="2"/>
  <c r="M119" i="2"/>
  <c r="I109" i="3"/>
  <c r="U109" i="3"/>
  <c r="O109" i="3"/>
  <c r="N113" i="2"/>
  <c r="H112" i="2"/>
  <c r="E112" i="2" s="1"/>
  <c r="H111" i="3" s="1"/>
  <c r="J111" i="3"/>
  <c r="F110" i="3"/>
  <c r="D111" i="3"/>
  <c r="G112" i="4" l="1"/>
  <c r="L112" i="4" s="1"/>
  <c r="E113" i="4"/>
  <c r="K112" i="4"/>
  <c r="N112" i="4" s="1"/>
  <c r="H110" i="4"/>
  <c r="J110" i="4"/>
  <c r="F110" i="4"/>
  <c r="O116" i="2"/>
  <c r="I115" i="2"/>
  <c r="F115" i="2" s="1"/>
  <c r="N114" i="3" s="1"/>
  <c r="I110" i="3"/>
  <c r="U110" i="3"/>
  <c r="O110" i="3"/>
  <c r="P114" i="2"/>
  <c r="J113" i="2"/>
  <c r="G113" i="2" s="1"/>
  <c r="T112" i="3" s="1"/>
  <c r="V112" i="3"/>
  <c r="N114" i="2"/>
  <c r="J112" i="3"/>
  <c r="H113" i="2"/>
  <c r="E113" i="2" s="1"/>
  <c r="H112" i="3" s="1"/>
  <c r="D112" i="4"/>
  <c r="AA112" i="3"/>
  <c r="F111" i="3"/>
  <c r="D112" i="3"/>
  <c r="C114" i="4"/>
  <c r="AB113" i="3"/>
  <c r="C116" i="2"/>
  <c r="K116" i="2"/>
  <c r="L119" i="2"/>
  <c r="I114" i="4"/>
  <c r="M114" i="4" s="1"/>
  <c r="M120" i="2"/>
  <c r="B115" i="3"/>
  <c r="B117" i="2"/>
  <c r="T115" i="2"/>
  <c r="D116" i="2"/>
  <c r="A115" i="4"/>
  <c r="G114" i="3"/>
  <c r="S114" i="3"/>
  <c r="Y114" i="3" s="1"/>
  <c r="Z114" i="3" s="1"/>
  <c r="M114" i="3"/>
  <c r="E114" i="3"/>
  <c r="C114" i="3"/>
  <c r="P114" i="3"/>
  <c r="G113" i="4" l="1"/>
  <c r="L113" i="4" s="1"/>
  <c r="K113" i="4"/>
  <c r="N113" i="4" s="1"/>
  <c r="E114" i="4"/>
  <c r="H111" i="4"/>
  <c r="J111" i="4"/>
  <c r="F111" i="4"/>
  <c r="O117" i="2"/>
  <c r="I116" i="2"/>
  <c r="F116" i="2" s="1"/>
  <c r="N115" i="3" s="1"/>
  <c r="I115" i="4"/>
  <c r="M115" i="4" s="1"/>
  <c r="O111" i="3"/>
  <c r="I111" i="3"/>
  <c r="U111" i="3"/>
  <c r="D113" i="4"/>
  <c r="AA113" i="3"/>
  <c r="L120" i="2"/>
  <c r="B116" i="3"/>
  <c r="B118" i="2"/>
  <c r="C115" i="4"/>
  <c r="AB114" i="3"/>
  <c r="A116" i="4"/>
  <c r="C115" i="3"/>
  <c r="P115" i="3"/>
  <c r="E115" i="3"/>
  <c r="S115" i="3"/>
  <c r="Y115" i="3" s="1"/>
  <c r="Z115" i="3" s="1"/>
  <c r="G115" i="3"/>
  <c r="M115" i="3"/>
  <c r="K117" i="2"/>
  <c r="N115" i="2"/>
  <c r="J113" i="3"/>
  <c r="H114" i="2"/>
  <c r="E114" i="2" s="1"/>
  <c r="H113" i="3" s="1"/>
  <c r="C117" i="2"/>
  <c r="D117" i="2"/>
  <c r="T116" i="2"/>
  <c r="M121" i="2"/>
  <c r="P115" i="2"/>
  <c r="J114" i="2"/>
  <c r="G114" i="2" s="1"/>
  <c r="T113" i="3" s="1"/>
  <c r="V113" i="3"/>
  <c r="D113" i="3"/>
  <c r="F112" i="3"/>
  <c r="K114" i="4" l="1"/>
  <c r="N114" i="4" s="1"/>
  <c r="G114" i="4"/>
  <c r="L114" i="4" s="1"/>
  <c r="J112" i="4"/>
  <c r="F112" i="4"/>
  <c r="H112" i="4"/>
  <c r="E115" i="4"/>
  <c r="O118" i="2"/>
  <c r="I117" i="2"/>
  <c r="F117" i="2" s="1"/>
  <c r="N116" i="3" s="1"/>
  <c r="L121" i="2"/>
  <c r="O112" i="3"/>
  <c r="U112" i="3"/>
  <c r="I112" i="3"/>
  <c r="C118" i="2"/>
  <c r="D114" i="4"/>
  <c r="AA114" i="3"/>
  <c r="D114" i="3"/>
  <c r="F113" i="3"/>
  <c r="N116" i="2"/>
  <c r="J114" i="3"/>
  <c r="H115" i="2"/>
  <c r="E115" i="2" s="1"/>
  <c r="H114" i="3" s="1"/>
  <c r="P116" i="2"/>
  <c r="J115" i="2"/>
  <c r="G115" i="2" s="1"/>
  <c r="T114" i="3" s="1"/>
  <c r="V114" i="3"/>
  <c r="K118" i="2"/>
  <c r="I116" i="4"/>
  <c r="M116" i="4" s="1"/>
  <c r="M122" i="2"/>
  <c r="C116" i="4"/>
  <c r="AB115" i="3"/>
  <c r="B117" i="3"/>
  <c r="B119" i="2"/>
  <c r="T117" i="2"/>
  <c r="D118" i="2"/>
  <c r="A117" i="4"/>
  <c r="M116" i="3"/>
  <c r="E116" i="3"/>
  <c r="G116" i="3"/>
  <c r="P116" i="3"/>
  <c r="C116" i="3"/>
  <c r="S116" i="3"/>
  <c r="Y116" i="3" s="1"/>
  <c r="Z116" i="3" s="1"/>
  <c r="E116" i="4" l="1"/>
  <c r="F113" i="4"/>
  <c r="G115" i="4"/>
  <c r="L115" i="4" s="1"/>
  <c r="K115" i="4"/>
  <c r="N115" i="4" s="1"/>
  <c r="J113" i="4"/>
  <c r="H113" i="4"/>
  <c r="O119" i="2"/>
  <c r="I118" i="2"/>
  <c r="F118" i="2" s="1"/>
  <c r="N117" i="3" s="1"/>
  <c r="T118" i="2"/>
  <c r="D119" i="2"/>
  <c r="F114" i="3"/>
  <c r="D115" i="3"/>
  <c r="I113" i="3"/>
  <c r="U113" i="3"/>
  <c r="O113" i="3"/>
  <c r="D115" i="4"/>
  <c r="AA115" i="3"/>
  <c r="B118" i="3"/>
  <c r="B120" i="2"/>
  <c r="K119" i="2"/>
  <c r="C119" i="2"/>
  <c r="A118" i="4"/>
  <c r="E117" i="3"/>
  <c r="M117" i="3"/>
  <c r="P117" i="3"/>
  <c r="C117" i="3"/>
  <c r="S117" i="3"/>
  <c r="Y117" i="3" s="1"/>
  <c r="Z117" i="3" s="1"/>
  <c r="G117" i="3"/>
  <c r="I117" i="4"/>
  <c r="M117" i="4" s="1"/>
  <c r="P117" i="2"/>
  <c r="J116" i="2"/>
  <c r="G116" i="2" s="1"/>
  <c r="T115" i="3" s="1"/>
  <c r="V115" i="3"/>
  <c r="M123" i="2"/>
  <c r="C117" i="4"/>
  <c r="AB116" i="3"/>
  <c r="N117" i="2"/>
  <c r="H116" i="2"/>
  <c r="E116" i="2" s="1"/>
  <c r="H115" i="3" s="1"/>
  <c r="J115" i="3"/>
  <c r="L122" i="2"/>
  <c r="F114" i="4" l="1"/>
  <c r="G116" i="4"/>
  <c r="L116" i="4" s="1"/>
  <c r="E117" i="4"/>
  <c r="H114" i="4"/>
  <c r="J114" i="4"/>
  <c r="K116" i="4"/>
  <c r="N116" i="4" s="1"/>
  <c r="O120" i="2"/>
  <c r="I119" i="2"/>
  <c r="F119" i="2" s="1"/>
  <c r="N118" i="3" s="1"/>
  <c r="B119" i="3"/>
  <c r="B121" i="2"/>
  <c r="A119" i="4"/>
  <c r="G118" i="3"/>
  <c r="S118" i="3"/>
  <c r="Y118" i="3" s="1"/>
  <c r="Z118" i="3" s="1"/>
  <c r="P118" i="3"/>
  <c r="C118" i="3"/>
  <c r="E118" i="3"/>
  <c r="M118" i="3"/>
  <c r="L123" i="2"/>
  <c r="C118" i="4"/>
  <c r="AB117" i="3"/>
  <c r="D116" i="4"/>
  <c r="AA116" i="3"/>
  <c r="N118" i="2"/>
  <c r="H117" i="2"/>
  <c r="E117" i="2" s="1"/>
  <c r="H116" i="3" s="1"/>
  <c r="J116" i="3"/>
  <c r="I118" i="4"/>
  <c r="M118" i="4" s="1"/>
  <c r="F115" i="3"/>
  <c r="D116" i="3"/>
  <c r="P118" i="2"/>
  <c r="J117" i="2"/>
  <c r="G117" i="2" s="1"/>
  <c r="T116" i="3" s="1"/>
  <c r="V116" i="3"/>
  <c r="U114" i="3"/>
  <c r="I114" i="3"/>
  <c r="O114" i="3"/>
  <c r="M124" i="2"/>
  <c r="C120" i="2"/>
  <c r="T119" i="2"/>
  <c r="D120" i="2"/>
  <c r="K120" i="2"/>
  <c r="G117" i="4" l="1"/>
  <c r="L117" i="4" s="1"/>
  <c r="H115" i="4"/>
  <c r="F115" i="4"/>
  <c r="J115" i="4"/>
  <c r="E118" i="4"/>
  <c r="K117" i="4"/>
  <c r="N117" i="4" s="1"/>
  <c r="O121" i="2"/>
  <c r="I120" i="2"/>
  <c r="F120" i="2" s="1"/>
  <c r="N119" i="3" s="1"/>
  <c r="K121" i="2"/>
  <c r="D121" i="2"/>
  <c r="T120" i="2"/>
  <c r="N119" i="2"/>
  <c r="H118" i="2"/>
  <c r="E118" i="2" s="1"/>
  <c r="H117" i="3" s="1"/>
  <c r="J117" i="3"/>
  <c r="P119" i="2"/>
  <c r="J118" i="2"/>
  <c r="G118" i="2" s="1"/>
  <c r="T117" i="3" s="1"/>
  <c r="V117" i="3"/>
  <c r="D117" i="4"/>
  <c r="AA117" i="3"/>
  <c r="F116" i="3"/>
  <c r="D117" i="3"/>
  <c r="C121" i="2"/>
  <c r="O115" i="3"/>
  <c r="U115" i="3"/>
  <c r="I115" i="3"/>
  <c r="L124" i="2"/>
  <c r="I119" i="4"/>
  <c r="M119" i="4" s="1"/>
  <c r="M125" i="2"/>
  <c r="C119" i="4"/>
  <c r="AB118" i="3"/>
  <c r="B120" i="3"/>
  <c r="B122" i="2"/>
  <c r="A120" i="4"/>
  <c r="C119" i="3"/>
  <c r="P119" i="3"/>
  <c r="E119" i="3"/>
  <c r="S119" i="3"/>
  <c r="Y119" i="3" s="1"/>
  <c r="Z119" i="3" s="1"/>
  <c r="G119" i="3"/>
  <c r="M119" i="3"/>
  <c r="E119" i="4" l="1"/>
  <c r="H116" i="4"/>
  <c r="G118" i="4"/>
  <c r="L118" i="4" s="1"/>
  <c r="J116" i="4"/>
  <c r="K118" i="4"/>
  <c r="N118" i="4" s="1"/>
  <c r="F116" i="4"/>
  <c r="O122" i="2"/>
  <c r="I121" i="2"/>
  <c r="F121" i="2" s="1"/>
  <c r="N120" i="3" s="1"/>
  <c r="B121" i="3"/>
  <c r="B123" i="2"/>
  <c r="L125" i="2"/>
  <c r="C120" i="4"/>
  <c r="AB119" i="3"/>
  <c r="A121" i="4"/>
  <c r="M120" i="3"/>
  <c r="G120" i="3"/>
  <c r="P120" i="3"/>
  <c r="C120" i="3"/>
  <c r="E120" i="3"/>
  <c r="S120" i="3"/>
  <c r="Y120" i="3" s="1"/>
  <c r="Z120" i="3" s="1"/>
  <c r="P120" i="2"/>
  <c r="J119" i="2"/>
  <c r="G119" i="2" s="1"/>
  <c r="T118" i="3" s="1"/>
  <c r="V118" i="3"/>
  <c r="I120" i="4"/>
  <c r="M120" i="4" s="1"/>
  <c r="M126" i="2"/>
  <c r="N120" i="2"/>
  <c r="J118" i="3"/>
  <c r="H119" i="2"/>
  <c r="E119" i="2" s="1"/>
  <c r="H118" i="3" s="1"/>
  <c r="C122" i="2"/>
  <c r="D122" i="2"/>
  <c r="T121" i="2"/>
  <c r="D118" i="3"/>
  <c r="F117" i="3"/>
  <c r="I116" i="3"/>
  <c r="O116" i="3"/>
  <c r="U116" i="3"/>
  <c r="D118" i="4"/>
  <c r="AA118" i="3"/>
  <c r="K122" i="2"/>
  <c r="G119" i="4" l="1"/>
  <c r="L119" i="4" s="1"/>
  <c r="J117" i="4"/>
  <c r="E120" i="4"/>
  <c r="H117" i="4"/>
  <c r="F117" i="4"/>
  <c r="K119" i="4"/>
  <c r="N119" i="4" s="1"/>
  <c r="O123" i="2"/>
  <c r="I122" i="2"/>
  <c r="F122" i="2" s="1"/>
  <c r="N121" i="3" s="1"/>
  <c r="T122" i="2"/>
  <c r="D123" i="2"/>
  <c r="C123" i="2"/>
  <c r="K123" i="2"/>
  <c r="D119" i="4"/>
  <c r="AA119" i="3"/>
  <c r="C121" i="4"/>
  <c r="AB120" i="3"/>
  <c r="P121" i="2"/>
  <c r="J120" i="2"/>
  <c r="G120" i="2" s="1"/>
  <c r="T119" i="3" s="1"/>
  <c r="V119" i="3"/>
  <c r="I121" i="4"/>
  <c r="M121" i="4" s="1"/>
  <c r="N121" i="2"/>
  <c r="H120" i="2"/>
  <c r="E120" i="2" s="1"/>
  <c r="H119" i="3" s="1"/>
  <c r="J119" i="3"/>
  <c r="I117" i="3"/>
  <c r="U117" i="3"/>
  <c r="O117" i="3"/>
  <c r="M127" i="2"/>
  <c r="F118" i="3"/>
  <c r="D119" i="3"/>
  <c r="B122" i="3"/>
  <c r="B124" i="2"/>
  <c r="L126" i="2"/>
  <c r="A122" i="4"/>
  <c r="G121" i="3"/>
  <c r="M121" i="3"/>
  <c r="P121" i="3"/>
  <c r="C121" i="3"/>
  <c r="E121" i="3"/>
  <c r="S121" i="3"/>
  <c r="Y121" i="3" s="1"/>
  <c r="Z121" i="3" s="1"/>
  <c r="E121" i="4" l="1"/>
  <c r="H118" i="4"/>
  <c r="J118" i="4"/>
  <c r="F118" i="4"/>
  <c r="G120" i="4"/>
  <c r="L120" i="4" s="1"/>
  <c r="K120" i="4"/>
  <c r="N120" i="4" s="1"/>
  <c r="O124" i="2"/>
  <c r="I123" i="2"/>
  <c r="F123" i="2" s="1"/>
  <c r="N122" i="3" s="1"/>
  <c r="I122" i="4"/>
  <c r="M122" i="4" s="1"/>
  <c r="L127" i="2"/>
  <c r="N122" i="2"/>
  <c r="J120" i="3"/>
  <c r="H121" i="2"/>
  <c r="E121" i="2" s="1"/>
  <c r="H120" i="3" s="1"/>
  <c r="D120" i="4"/>
  <c r="AA120" i="3"/>
  <c r="B123" i="3"/>
  <c r="B125" i="2"/>
  <c r="A123" i="4"/>
  <c r="G122" i="3"/>
  <c r="S122" i="3"/>
  <c r="Y122" i="3" s="1"/>
  <c r="Z122" i="3" s="1"/>
  <c r="M122" i="3"/>
  <c r="P122" i="3"/>
  <c r="C122" i="3"/>
  <c r="E122" i="3"/>
  <c r="F119" i="3"/>
  <c r="D120" i="3"/>
  <c r="K124" i="2"/>
  <c r="O118" i="3"/>
  <c r="U118" i="3"/>
  <c r="I118" i="3"/>
  <c r="C124" i="2"/>
  <c r="C122" i="4"/>
  <c r="AB121" i="3"/>
  <c r="M128" i="2"/>
  <c r="D124" i="2"/>
  <c r="T123" i="2"/>
  <c r="P122" i="2"/>
  <c r="J121" i="2"/>
  <c r="G121" i="2" s="1"/>
  <c r="T120" i="3" s="1"/>
  <c r="V120" i="3"/>
  <c r="F119" i="4" l="1"/>
  <c r="G121" i="4"/>
  <c r="L121" i="4" s="1"/>
  <c r="K121" i="4"/>
  <c r="N121" i="4" s="1"/>
  <c r="J119" i="4"/>
  <c r="H119" i="4"/>
  <c r="E122" i="4"/>
  <c r="O125" i="2"/>
  <c r="I124" i="2"/>
  <c r="F124" i="2" s="1"/>
  <c r="N123" i="3" s="1"/>
  <c r="C125" i="2"/>
  <c r="P123" i="2"/>
  <c r="J122" i="2"/>
  <c r="G122" i="2" s="1"/>
  <c r="T121" i="3" s="1"/>
  <c r="V121" i="3"/>
  <c r="N123" i="2"/>
  <c r="J121" i="3"/>
  <c r="H122" i="2"/>
  <c r="E122" i="2" s="1"/>
  <c r="H121" i="3" s="1"/>
  <c r="C123" i="4"/>
  <c r="AB122" i="3"/>
  <c r="L128" i="2"/>
  <c r="D125" i="2"/>
  <c r="T124" i="2"/>
  <c r="K125" i="2"/>
  <c r="M129" i="2"/>
  <c r="F120" i="3"/>
  <c r="D121" i="3"/>
  <c r="O119" i="3"/>
  <c r="U119" i="3"/>
  <c r="I119" i="3"/>
  <c r="I123" i="4"/>
  <c r="M123" i="4" s="1"/>
  <c r="B124" i="3"/>
  <c r="B126" i="2"/>
  <c r="A124" i="4"/>
  <c r="C123" i="3"/>
  <c r="P123" i="3"/>
  <c r="M123" i="3"/>
  <c r="E123" i="3"/>
  <c r="S123" i="3"/>
  <c r="Y123" i="3" s="1"/>
  <c r="Z123" i="3" s="1"/>
  <c r="G123" i="3"/>
  <c r="D121" i="4"/>
  <c r="AA121" i="3"/>
  <c r="G122" i="4" l="1"/>
  <c r="L122" i="4" s="1"/>
  <c r="J120" i="4"/>
  <c r="H120" i="4"/>
  <c r="F120" i="4"/>
  <c r="K122" i="4"/>
  <c r="N122" i="4" s="1"/>
  <c r="E123" i="4"/>
  <c r="O126" i="2"/>
  <c r="I125" i="2"/>
  <c r="F125" i="2" s="1"/>
  <c r="N124" i="3" s="1"/>
  <c r="L129" i="2"/>
  <c r="I124" i="4"/>
  <c r="M124" i="4" s="1"/>
  <c r="D122" i="3"/>
  <c r="F121" i="3"/>
  <c r="U120" i="3"/>
  <c r="I120" i="3"/>
  <c r="O120" i="3"/>
  <c r="A125" i="4"/>
  <c r="M124" i="3"/>
  <c r="P124" i="3"/>
  <c r="C124" i="3"/>
  <c r="E124" i="3"/>
  <c r="S124" i="3"/>
  <c r="Y124" i="3" s="1"/>
  <c r="Z124" i="3" s="1"/>
  <c r="G124" i="3"/>
  <c r="M130" i="2"/>
  <c r="N124" i="2"/>
  <c r="J122" i="3"/>
  <c r="H123" i="2"/>
  <c r="E123" i="2" s="1"/>
  <c r="H122" i="3" s="1"/>
  <c r="D122" i="4"/>
  <c r="AA122" i="3"/>
  <c r="K126" i="2"/>
  <c r="P124" i="2"/>
  <c r="J123" i="2"/>
  <c r="G123" i="2" s="1"/>
  <c r="T122" i="3" s="1"/>
  <c r="V122" i="3"/>
  <c r="B125" i="3"/>
  <c r="B127" i="2"/>
  <c r="D126" i="2"/>
  <c r="T125" i="2"/>
  <c r="C126" i="2"/>
  <c r="C124" i="4"/>
  <c r="AB123" i="3"/>
  <c r="E124" i="4" l="1"/>
  <c r="H121" i="4"/>
  <c r="F121" i="4"/>
  <c r="J121" i="4"/>
  <c r="G123" i="4"/>
  <c r="L123" i="4" s="1"/>
  <c r="K123" i="4"/>
  <c r="N123" i="4" s="1"/>
  <c r="O127" i="2"/>
  <c r="I126" i="2"/>
  <c r="F126" i="2" s="1"/>
  <c r="N125" i="3" s="1"/>
  <c r="P125" i="2"/>
  <c r="J124" i="2"/>
  <c r="G124" i="2" s="1"/>
  <c r="T123" i="3" s="1"/>
  <c r="V123" i="3"/>
  <c r="K127" i="2"/>
  <c r="I121" i="3"/>
  <c r="U121" i="3"/>
  <c r="O121" i="3"/>
  <c r="C127" i="2"/>
  <c r="F122" i="3"/>
  <c r="D123" i="3"/>
  <c r="D123" i="4"/>
  <c r="AA123" i="3"/>
  <c r="T126" i="2"/>
  <c r="D127" i="2"/>
  <c r="N125" i="2"/>
  <c r="J123" i="3"/>
  <c r="H124" i="2"/>
  <c r="E124" i="2" s="1"/>
  <c r="H123" i="3" s="1"/>
  <c r="B126" i="3"/>
  <c r="B128" i="2"/>
  <c r="C125" i="4"/>
  <c r="AB124" i="3"/>
  <c r="A126" i="4"/>
  <c r="P125" i="3"/>
  <c r="C125" i="3"/>
  <c r="E125" i="3"/>
  <c r="S125" i="3"/>
  <c r="Y125" i="3" s="1"/>
  <c r="Z125" i="3" s="1"/>
  <c r="G125" i="3"/>
  <c r="M125" i="3"/>
  <c r="M131" i="2"/>
  <c r="I125" i="4"/>
  <c r="M125" i="4" s="1"/>
  <c r="L130" i="2"/>
  <c r="H122" i="4" l="1"/>
  <c r="J122" i="4"/>
  <c r="F122" i="4"/>
  <c r="E125" i="4"/>
  <c r="G124" i="4"/>
  <c r="L124" i="4" s="1"/>
  <c r="K124" i="4"/>
  <c r="N124" i="4" s="1"/>
  <c r="O128" i="2"/>
  <c r="I127" i="2"/>
  <c r="F127" i="2" s="1"/>
  <c r="N126" i="3" s="1"/>
  <c r="C126" i="4"/>
  <c r="AB125" i="3"/>
  <c r="O122" i="3"/>
  <c r="U122" i="3"/>
  <c r="I122" i="3"/>
  <c r="B127" i="3"/>
  <c r="B129" i="2"/>
  <c r="C128" i="2"/>
  <c r="L131" i="2"/>
  <c r="A127" i="4"/>
  <c r="C126" i="3"/>
  <c r="P126" i="3"/>
  <c r="E126" i="3"/>
  <c r="S126" i="3"/>
  <c r="Y126" i="3" s="1"/>
  <c r="Z126" i="3" s="1"/>
  <c r="G126" i="3"/>
  <c r="M126" i="3"/>
  <c r="N126" i="2"/>
  <c r="J124" i="3"/>
  <c r="H125" i="2"/>
  <c r="E125" i="2" s="1"/>
  <c r="H124" i="3" s="1"/>
  <c r="T127" i="2"/>
  <c r="D128" i="2"/>
  <c r="K128" i="2"/>
  <c r="D124" i="4"/>
  <c r="AA124" i="3"/>
  <c r="M132" i="2"/>
  <c r="I126" i="4"/>
  <c r="M126" i="4" s="1"/>
  <c r="D124" i="3"/>
  <c r="F123" i="3"/>
  <c r="P126" i="2"/>
  <c r="J125" i="2"/>
  <c r="G125" i="2" s="1"/>
  <c r="T124" i="3" s="1"/>
  <c r="V124" i="3"/>
  <c r="F123" i="4" l="1"/>
  <c r="G125" i="4"/>
  <c r="L125" i="4" s="1"/>
  <c r="J123" i="4"/>
  <c r="K125" i="4"/>
  <c r="N125" i="4" s="1"/>
  <c r="E126" i="4"/>
  <c r="H123" i="4"/>
  <c r="O129" i="2"/>
  <c r="I128" i="2"/>
  <c r="F128" i="2" s="1"/>
  <c r="N127" i="3" s="1"/>
  <c r="M133" i="2"/>
  <c r="D125" i="4"/>
  <c r="AA125" i="3"/>
  <c r="C129" i="2"/>
  <c r="L132" i="2"/>
  <c r="P127" i="2"/>
  <c r="J126" i="2"/>
  <c r="G126" i="2" s="1"/>
  <c r="T125" i="3" s="1"/>
  <c r="V125" i="3"/>
  <c r="C127" i="4"/>
  <c r="AB126" i="3"/>
  <c r="O123" i="3"/>
  <c r="U123" i="3"/>
  <c r="I123" i="3"/>
  <c r="D125" i="3"/>
  <c r="F124" i="3"/>
  <c r="K129" i="2"/>
  <c r="B128" i="3"/>
  <c r="B130" i="2"/>
  <c r="D129" i="2"/>
  <c r="T128" i="2"/>
  <c r="A128" i="4"/>
  <c r="C127" i="3"/>
  <c r="M127" i="3"/>
  <c r="P127" i="3"/>
  <c r="E127" i="3"/>
  <c r="S127" i="3"/>
  <c r="Y127" i="3" s="1"/>
  <c r="Z127" i="3" s="1"/>
  <c r="G127" i="3"/>
  <c r="N127" i="2"/>
  <c r="J125" i="3"/>
  <c r="H126" i="2"/>
  <c r="E126" i="2" s="1"/>
  <c r="H125" i="3" s="1"/>
  <c r="I127" i="4"/>
  <c r="M127" i="4" s="1"/>
  <c r="K126" i="4" l="1"/>
  <c r="N126" i="4" s="1"/>
  <c r="G126" i="4"/>
  <c r="L126" i="4" s="1"/>
  <c r="F124" i="4"/>
  <c r="H124" i="4"/>
  <c r="J124" i="4"/>
  <c r="E127" i="4"/>
  <c r="O130" i="2"/>
  <c r="I129" i="2"/>
  <c r="F129" i="2" s="1"/>
  <c r="N128" i="3" s="1"/>
  <c r="B129" i="3"/>
  <c r="B131" i="2"/>
  <c r="A129" i="4"/>
  <c r="M128" i="3"/>
  <c r="C128" i="3"/>
  <c r="P128" i="3"/>
  <c r="E128" i="3"/>
  <c r="S128" i="3"/>
  <c r="Y128" i="3" s="1"/>
  <c r="Z128" i="3" s="1"/>
  <c r="G128" i="3"/>
  <c r="P128" i="2"/>
  <c r="J127" i="2"/>
  <c r="G127" i="2" s="1"/>
  <c r="T126" i="3" s="1"/>
  <c r="V126" i="3"/>
  <c r="K130" i="2"/>
  <c r="L133" i="2"/>
  <c r="O124" i="3"/>
  <c r="U124" i="3"/>
  <c r="I124" i="3"/>
  <c r="T129" i="2"/>
  <c r="D130" i="2"/>
  <c r="D126" i="3"/>
  <c r="F125" i="3"/>
  <c r="C128" i="4"/>
  <c r="AB127" i="3"/>
  <c r="C130" i="2"/>
  <c r="D126" i="4"/>
  <c r="AA126" i="3"/>
  <c r="N128" i="2"/>
  <c r="H127" i="2"/>
  <c r="E127" i="2" s="1"/>
  <c r="H126" i="3" s="1"/>
  <c r="J126" i="3"/>
  <c r="I128" i="4"/>
  <c r="M128" i="4" s="1"/>
  <c r="M134" i="2"/>
  <c r="F125" i="4" l="1"/>
  <c r="G127" i="4"/>
  <c r="L127" i="4" s="1"/>
  <c r="J125" i="4"/>
  <c r="H125" i="4"/>
  <c r="K127" i="4"/>
  <c r="N127" i="4" s="1"/>
  <c r="E128" i="4"/>
  <c r="O131" i="2"/>
  <c r="I130" i="2"/>
  <c r="F130" i="2" s="1"/>
  <c r="N129" i="3" s="1"/>
  <c r="D127" i="4"/>
  <c r="AA127" i="3"/>
  <c r="M135" i="2"/>
  <c r="C131" i="2"/>
  <c r="L134" i="2"/>
  <c r="K131" i="2"/>
  <c r="I125" i="3"/>
  <c r="U125" i="3"/>
  <c r="O125" i="3"/>
  <c r="C129" i="4"/>
  <c r="AB128" i="3"/>
  <c r="T130" i="2"/>
  <c r="D131" i="2"/>
  <c r="P129" i="2"/>
  <c r="J128" i="2"/>
  <c r="G128" i="2" s="1"/>
  <c r="T127" i="3" s="1"/>
  <c r="V127" i="3"/>
  <c r="I129" i="4"/>
  <c r="M129" i="4" s="1"/>
  <c r="B130" i="3"/>
  <c r="B132" i="2"/>
  <c r="F126" i="3"/>
  <c r="D127" i="3"/>
  <c r="N129" i="2"/>
  <c r="J127" i="3"/>
  <c r="H128" i="2"/>
  <c r="E128" i="2" s="1"/>
  <c r="H127" i="3" s="1"/>
  <c r="A130" i="4"/>
  <c r="M129" i="3"/>
  <c r="C129" i="3"/>
  <c r="P129" i="3"/>
  <c r="E129" i="3"/>
  <c r="S129" i="3"/>
  <c r="Y129" i="3" s="1"/>
  <c r="Z129" i="3" s="1"/>
  <c r="G129" i="3"/>
  <c r="J126" i="4" l="1"/>
  <c r="F126" i="4"/>
  <c r="H126" i="4"/>
  <c r="K128" i="4"/>
  <c r="N128" i="4" s="1"/>
  <c r="G128" i="4"/>
  <c r="L128" i="4" s="1"/>
  <c r="E129" i="4"/>
  <c r="O132" i="2"/>
  <c r="I131" i="2"/>
  <c r="F131" i="2" s="1"/>
  <c r="N130" i="3" s="1"/>
  <c r="I130" i="4"/>
  <c r="M130" i="4" s="1"/>
  <c r="N130" i="2"/>
  <c r="J128" i="3"/>
  <c r="H129" i="2"/>
  <c r="E129" i="2" s="1"/>
  <c r="H128" i="3" s="1"/>
  <c r="D128" i="3"/>
  <c r="F127" i="3"/>
  <c r="P130" i="2"/>
  <c r="J129" i="2"/>
  <c r="G129" i="2" s="1"/>
  <c r="T128" i="3" s="1"/>
  <c r="V128" i="3"/>
  <c r="L135" i="2"/>
  <c r="O126" i="3"/>
  <c r="U126" i="3"/>
  <c r="I126" i="3"/>
  <c r="K132" i="2"/>
  <c r="B131" i="3"/>
  <c r="B133" i="2"/>
  <c r="T131" i="2"/>
  <c r="D132" i="2"/>
  <c r="A131" i="4"/>
  <c r="C130" i="3"/>
  <c r="P130" i="3"/>
  <c r="E130" i="3"/>
  <c r="S130" i="3"/>
  <c r="Y130" i="3" s="1"/>
  <c r="Z130" i="3" s="1"/>
  <c r="G130" i="3"/>
  <c r="M130" i="3"/>
  <c r="C132" i="2"/>
  <c r="M136" i="2"/>
  <c r="D128" i="4"/>
  <c r="AA128" i="3"/>
  <c r="C130" i="4"/>
  <c r="AB129" i="3"/>
  <c r="E130" i="4" l="1"/>
  <c r="J127" i="4"/>
  <c r="K129" i="4"/>
  <c r="N129" i="4" s="1"/>
  <c r="G129" i="4"/>
  <c r="L129" i="4" s="1"/>
  <c r="F127" i="4"/>
  <c r="H127" i="4"/>
  <c r="O133" i="2"/>
  <c r="I132" i="2"/>
  <c r="F132" i="2" s="1"/>
  <c r="N131" i="3" s="1"/>
  <c r="B132" i="3"/>
  <c r="B134" i="2"/>
  <c r="O127" i="3"/>
  <c r="U127" i="3"/>
  <c r="I127" i="3"/>
  <c r="C131" i="4"/>
  <c r="AB130" i="3"/>
  <c r="P131" i="2"/>
  <c r="J130" i="2"/>
  <c r="G130" i="2" s="1"/>
  <c r="T129" i="3" s="1"/>
  <c r="V129" i="3"/>
  <c r="A132" i="4"/>
  <c r="C131" i="3"/>
  <c r="M131" i="3"/>
  <c r="P131" i="3"/>
  <c r="E131" i="3"/>
  <c r="S131" i="3"/>
  <c r="Y131" i="3" s="1"/>
  <c r="Z131" i="3" s="1"/>
  <c r="G131" i="3"/>
  <c r="D129" i="3"/>
  <c r="F128" i="3"/>
  <c r="D129" i="4"/>
  <c r="AA129" i="3"/>
  <c r="K133" i="2"/>
  <c r="M137" i="2"/>
  <c r="N131" i="2"/>
  <c r="J129" i="3"/>
  <c r="H130" i="2"/>
  <c r="E130" i="2" s="1"/>
  <c r="H129" i="3" s="1"/>
  <c r="C133" i="2"/>
  <c r="L136" i="2"/>
  <c r="I131" i="4"/>
  <c r="M131" i="4" s="1"/>
  <c r="D133" i="2"/>
  <c r="T132" i="2"/>
  <c r="K130" i="4" l="1"/>
  <c r="N130" i="4" s="1"/>
  <c r="E131" i="4"/>
  <c r="F128" i="4"/>
  <c r="G130" i="4"/>
  <c r="L130" i="4" s="1"/>
  <c r="J128" i="4"/>
  <c r="H128" i="4"/>
  <c r="O134" i="2"/>
  <c r="I133" i="2"/>
  <c r="F133" i="2" s="1"/>
  <c r="N132" i="3" s="1"/>
  <c r="O128" i="3"/>
  <c r="U128" i="3"/>
  <c r="I128" i="3"/>
  <c r="C134" i="2"/>
  <c r="D130" i="3"/>
  <c r="F129" i="3"/>
  <c r="I132" i="4"/>
  <c r="M132" i="4" s="1"/>
  <c r="D134" i="2"/>
  <c r="T133" i="2"/>
  <c r="P132" i="2"/>
  <c r="J131" i="2"/>
  <c r="G131" i="2" s="1"/>
  <c r="T130" i="3" s="1"/>
  <c r="V130" i="3"/>
  <c r="N132" i="2"/>
  <c r="J130" i="3"/>
  <c r="H131" i="2"/>
  <c r="E131" i="2" s="1"/>
  <c r="H130" i="3" s="1"/>
  <c r="M138" i="2"/>
  <c r="K134" i="2"/>
  <c r="L137" i="2"/>
  <c r="D130" i="4"/>
  <c r="AA130" i="3"/>
  <c r="C132" i="4"/>
  <c r="AB131" i="3"/>
  <c r="B133" i="3"/>
  <c r="B135" i="2"/>
  <c r="A133" i="4"/>
  <c r="M132" i="3"/>
  <c r="C132" i="3"/>
  <c r="P132" i="3"/>
  <c r="E132" i="3"/>
  <c r="S132" i="3"/>
  <c r="Y132" i="3" s="1"/>
  <c r="Z132" i="3" s="1"/>
  <c r="G132" i="3"/>
  <c r="J129" i="4" l="1"/>
  <c r="K131" i="4"/>
  <c r="N131" i="4" s="1"/>
  <c r="H129" i="4"/>
  <c r="G131" i="4"/>
  <c r="L131" i="4" s="1"/>
  <c r="F129" i="4"/>
  <c r="E132" i="4"/>
  <c r="O135" i="2"/>
  <c r="I134" i="2"/>
  <c r="F134" i="2" s="1"/>
  <c r="N133" i="3" s="1"/>
  <c r="I133" i="4"/>
  <c r="M133" i="4" s="1"/>
  <c r="M139" i="2"/>
  <c r="A134" i="4"/>
  <c r="M133" i="3"/>
  <c r="C133" i="3"/>
  <c r="P133" i="3"/>
  <c r="E133" i="3"/>
  <c r="S133" i="3"/>
  <c r="Y133" i="3" s="1"/>
  <c r="Z133" i="3" s="1"/>
  <c r="G133" i="3"/>
  <c r="N133" i="2"/>
  <c r="J131" i="3"/>
  <c r="H132" i="2"/>
  <c r="E132" i="2" s="1"/>
  <c r="H131" i="3" s="1"/>
  <c r="I129" i="3"/>
  <c r="U129" i="3"/>
  <c r="O129" i="3"/>
  <c r="D131" i="4"/>
  <c r="AA131" i="3"/>
  <c r="F130" i="3"/>
  <c r="D131" i="3"/>
  <c r="P133" i="2"/>
  <c r="J132" i="2"/>
  <c r="G132" i="2" s="1"/>
  <c r="T131" i="3" s="1"/>
  <c r="V131" i="3"/>
  <c r="C135" i="2"/>
  <c r="L138" i="2"/>
  <c r="C133" i="4"/>
  <c r="AB132" i="3"/>
  <c r="T134" i="2"/>
  <c r="D135" i="2"/>
  <c r="K135" i="2"/>
  <c r="B134" i="3"/>
  <c r="B136" i="2"/>
  <c r="K132" i="4" l="1"/>
  <c r="N132" i="4" s="1"/>
  <c r="H130" i="4"/>
  <c r="E133" i="4"/>
  <c r="J130" i="4"/>
  <c r="F130" i="4"/>
  <c r="G132" i="4"/>
  <c r="L132" i="4" s="1"/>
  <c r="O136" i="2"/>
  <c r="I135" i="2"/>
  <c r="F135" i="2" s="1"/>
  <c r="N134" i="3" s="1"/>
  <c r="C136" i="2"/>
  <c r="A135" i="4"/>
  <c r="M134" i="3"/>
  <c r="C134" i="3"/>
  <c r="P134" i="3"/>
  <c r="E134" i="3"/>
  <c r="G134" i="3"/>
  <c r="S134" i="3"/>
  <c r="Y134" i="3" s="1"/>
  <c r="Z134" i="3" s="1"/>
  <c r="B135" i="3"/>
  <c r="B137" i="2"/>
  <c r="K136" i="2"/>
  <c r="N134" i="2"/>
  <c r="H133" i="2"/>
  <c r="E133" i="2" s="1"/>
  <c r="H132" i="3" s="1"/>
  <c r="J132" i="3"/>
  <c r="I134" i="4"/>
  <c r="M134" i="4" s="1"/>
  <c r="P134" i="2"/>
  <c r="J133" i="2"/>
  <c r="G133" i="2" s="1"/>
  <c r="T132" i="3" s="1"/>
  <c r="V132" i="3"/>
  <c r="M140" i="2"/>
  <c r="T135" i="2"/>
  <c r="D136" i="2"/>
  <c r="D132" i="3"/>
  <c r="F131" i="3"/>
  <c r="O130" i="3"/>
  <c r="U130" i="3"/>
  <c r="I130" i="3"/>
  <c r="D132" i="4"/>
  <c r="AA132" i="3"/>
  <c r="L139" i="2"/>
  <c r="C134" i="4"/>
  <c r="AB133" i="3"/>
  <c r="K133" i="4" l="1"/>
  <c r="N133" i="4" s="1"/>
  <c r="G133" i="4"/>
  <c r="L133" i="4" s="1"/>
  <c r="J131" i="4"/>
  <c r="E134" i="4"/>
  <c r="F131" i="4"/>
  <c r="H131" i="4"/>
  <c r="O137" i="2"/>
  <c r="I136" i="2"/>
  <c r="F136" i="2" s="1"/>
  <c r="N135" i="3" s="1"/>
  <c r="D137" i="2"/>
  <c r="T136" i="2"/>
  <c r="M141" i="2"/>
  <c r="L140" i="2"/>
  <c r="N135" i="2"/>
  <c r="J133" i="3"/>
  <c r="H134" i="2"/>
  <c r="E134" i="2" s="1"/>
  <c r="H133" i="3" s="1"/>
  <c r="D133" i="4"/>
  <c r="AA133" i="3"/>
  <c r="C135" i="4"/>
  <c r="AB134" i="3"/>
  <c r="K137" i="2"/>
  <c r="P135" i="2"/>
  <c r="J134" i="2"/>
  <c r="G134" i="2" s="1"/>
  <c r="T133" i="3" s="1"/>
  <c r="V133" i="3"/>
  <c r="B136" i="3"/>
  <c r="B138" i="2"/>
  <c r="A136" i="4"/>
  <c r="C135" i="3"/>
  <c r="G135" i="3"/>
  <c r="M135" i="3"/>
  <c r="P135" i="3"/>
  <c r="E135" i="3"/>
  <c r="S135" i="3"/>
  <c r="Y135" i="3" s="1"/>
  <c r="Z135" i="3" s="1"/>
  <c r="I135" i="4"/>
  <c r="M135" i="4" s="1"/>
  <c r="O131" i="3"/>
  <c r="I131" i="3"/>
  <c r="U131" i="3"/>
  <c r="D133" i="3"/>
  <c r="F132" i="3"/>
  <c r="C137" i="2"/>
  <c r="G134" i="4" l="1"/>
  <c r="L134" i="4" s="1"/>
  <c r="J132" i="4"/>
  <c r="K134" i="4"/>
  <c r="N134" i="4" s="1"/>
  <c r="H132" i="4"/>
  <c r="F132" i="4"/>
  <c r="E135" i="4"/>
  <c r="O138" i="2"/>
  <c r="I137" i="2"/>
  <c r="F137" i="2" s="1"/>
  <c r="N136" i="3" s="1"/>
  <c r="D134" i="4"/>
  <c r="AA134" i="3"/>
  <c r="C138" i="2"/>
  <c r="I136" i="4"/>
  <c r="M136" i="4" s="1"/>
  <c r="B137" i="3"/>
  <c r="B139" i="2"/>
  <c r="I132" i="3"/>
  <c r="O132" i="3"/>
  <c r="U132" i="3"/>
  <c r="A137" i="4"/>
  <c r="G136" i="3"/>
  <c r="S136" i="3"/>
  <c r="Y136" i="3" s="1"/>
  <c r="Z136" i="3" s="1"/>
  <c r="M136" i="3"/>
  <c r="C136" i="3"/>
  <c r="E136" i="3"/>
  <c r="P136" i="3"/>
  <c r="N136" i="2"/>
  <c r="J134" i="3"/>
  <c r="H135" i="2"/>
  <c r="E135" i="2" s="1"/>
  <c r="H134" i="3" s="1"/>
  <c r="D134" i="3"/>
  <c r="F133" i="3"/>
  <c r="L141" i="2"/>
  <c r="P136" i="2"/>
  <c r="J135" i="2"/>
  <c r="G135" i="2" s="1"/>
  <c r="T134" i="3" s="1"/>
  <c r="V134" i="3"/>
  <c r="M142" i="2"/>
  <c r="C136" i="4"/>
  <c r="AB135" i="3"/>
  <c r="K138" i="2"/>
  <c r="D138" i="2"/>
  <c r="T137" i="2"/>
  <c r="J133" i="4" l="1"/>
  <c r="F133" i="4"/>
  <c r="K135" i="4"/>
  <c r="N135" i="4" s="1"/>
  <c r="H133" i="4"/>
  <c r="E136" i="4"/>
  <c r="G135" i="4"/>
  <c r="L135" i="4" s="1"/>
  <c r="O139" i="2"/>
  <c r="I138" i="2"/>
  <c r="F138" i="2" s="1"/>
  <c r="N137" i="3" s="1"/>
  <c r="P137" i="2"/>
  <c r="J136" i="2"/>
  <c r="G136" i="2" s="1"/>
  <c r="T135" i="3" s="1"/>
  <c r="V135" i="3"/>
  <c r="T138" i="2"/>
  <c r="D139" i="2"/>
  <c r="L142" i="2"/>
  <c r="C137" i="4"/>
  <c r="AB136" i="3"/>
  <c r="A138" i="4"/>
  <c r="C137" i="3"/>
  <c r="P137" i="3"/>
  <c r="G137" i="3"/>
  <c r="S137" i="3"/>
  <c r="Y137" i="3" s="1"/>
  <c r="Z137" i="3" s="1"/>
  <c r="E137" i="3"/>
  <c r="M137" i="3"/>
  <c r="I133" i="3"/>
  <c r="U133" i="3"/>
  <c r="O133" i="3"/>
  <c r="K139" i="2"/>
  <c r="F134" i="3"/>
  <c r="D135" i="3"/>
  <c r="N137" i="2"/>
  <c r="J135" i="3"/>
  <c r="H136" i="2"/>
  <c r="E136" i="2" s="1"/>
  <c r="H135" i="3" s="1"/>
  <c r="I137" i="4"/>
  <c r="M137" i="4" s="1"/>
  <c r="C139" i="2"/>
  <c r="M143" i="2"/>
  <c r="D135" i="4"/>
  <c r="AA135" i="3"/>
  <c r="B138" i="3"/>
  <c r="B140" i="2"/>
  <c r="E137" i="4" l="1"/>
  <c r="G136" i="4"/>
  <c r="L136" i="4" s="1"/>
  <c r="H134" i="4"/>
  <c r="J134" i="4"/>
  <c r="F134" i="4"/>
  <c r="K136" i="4"/>
  <c r="N136" i="4" s="1"/>
  <c r="O140" i="2"/>
  <c r="I139" i="2"/>
  <c r="F139" i="2" s="1"/>
  <c r="N138" i="3" s="1"/>
  <c r="B139" i="3"/>
  <c r="B141" i="2"/>
  <c r="I138" i="4"/>
  <c r="M138" i="4" s="1"/>
  <c r="A139" i="4"/>
  <c r="M138" i="3"/>
  <c r="C138" i="3"/>
  <c r="P138" i="3"/>
  <c r="E138" i="3"/>
  <c r="G138" i="3"/>
  <c r="S138" i="3"/>
  <c r="Y138" i="3" s="1"/>
  <c r="Z138" i="3" s="1"/>
  <c r="C138" i="4"/>
  <c r="AB137" i="3"/>
  <c r="D136" i="4"/>
  <c r="AA136" i="3"/>
  <c r="L143" i="2"/>
  <c r="M144" i="2"/>
  <c r="N138" i="2"/>
  <c r="H137" i="2"/>
  <c r="E137" i="2" s="1"/>
  <c r="H136" i="3" s="1"/>
  <c r="J136" i="3"/>
  <c r="T139" i="2"/>
  <c r="D140" i="2"/>
  <c r="C140" i="2"/>
  <c r="F135" i="3"/>
  <c r="D136" i="3"/>
  <c r="U134" i="3"/>
  <c r="I134" i="3"/>
  <c r="O134" i="3"/>
  <c r="K140" i="2"/>
  <c r="P138" i="2"/>
  <c r="J137" i="2"/>
  <c r="G137" i="2" s="1"/>
  <c r="T136" i="3" s="1"/>
  <c r="V136" i="3"/>
  <c r="K137" i="4" l="1"/>
  <c r="N137" i="4" s="1"/>
  <c r="G137" i="4"/>
  <c r="L137" i="4" s="1"/>
  <c r="H135" i="4"/>
  <c r="F135" i="4"/>
  <c r="J135" i="4"/>
  <c r="E138" i="4"/>
  <c r="O141" i="2"/>
  <c r="I140" i="2"/>
  <c r="F140" i="2" s="1"/>
  <c r="N139" i="3" s="1"/>
  <c r="C139" i="4"/>
  <c r="AB138" i="3"/>
  <c r="D137" i="4"/>
  <c r="AA137" i="3"/>
  <c r="P139" i="2"/>
  <c r="J138" i="2"/>
  <c r="G138" i="2" s="1"/>
  <c r="T137" i="3" s="1"/>
  <c r="V137" i="3"/>
  <c r="D141" i="2"/>
  <c r="T140" i="2"/>
  <c r="I139" i="4"/>
  <c r="M139" i="4" s="1"/>
  <c r="K141" i="2"/>
  <c r="N139" i="2"/>
  <c r="H138" i="2"/>
  <c r="E138" i="2" s="1"/>
  <c r="H137" i="3" s="1"/>
  <c r="J137" i="3"/>
  <c r="F136" i="3"/>
  <c r="D137" i="3"/>
  <c r="O135" i="3"/>
  <c r="U135" i="3"/>
  <c r="I135" i="3"/>
  <c r="L144" i="2"/>
  <c r="B140" i="3"/>
  <c r="B142" i="2"/>
  <c r="M145" i="2"/>
  <c r="C141" i="2"/>
  <c r="A140" i="4"/>
  <c r="M139" i="3"/>
  <c r="C139" i="3"/>
  <c r="P139" i="3"/>
  <c r="E139" i="3"/>
  <c r="G139" i="3"/>
  <c r="S139" i="3"/>
  <c r="Y139" i="3" s="1"/>
  <c r="Z139" i="3" s="1"/>
  <c r="K138" i="4" l="1"/>
  <c r="N138" i="4" s="1"/>
  <c r="H136" i="4"/>
  <c r="J136" i="4"/>
  <c r="G138" i="4"/>
  <c r="L138" i="4" s="1"/>
  <c r="E139" i="4"/>
  <c r="F136" i="4"/>
  <c r="O142" i="2"/>
  <c r="I141" i="2"/>
  <c r="F141" i="2" s="1"/>
  <c r="N140" i="3" s="1"/>
  <c r="I140" i="4"/>
  <c r="M140" i="4" s="1"/>
  <c r="I136" i="3"/>
  <c r="U136" i="3"/>
  <c r="O136" i="3"/>
  <c r="C142" i="2"/>
  <c r="M146" i="2"/>
  <c r="D142" i="2"/>
  <c r="T141" i="2"/>
  <c r="F137" i="3"/>
  <c r="D138" i="3"/>
  <c r="N140" i="2"/>
  <c r="J138" i="3"/>
  <c r="H139" i="2"/>
  <c r="E139" i="2" s="1"/>
  <c r="H138" i="3" s="1"/>
  <c r="B141" i="3"/>
  <c r="B143" i="2"/>
  <c r="A141" i="4"/>
  <c r="G140" i="3"/>
  <c r="S140" i="3"/>
  <c r="Y140" i="3" s="1"/>
  <c r="Z140" i="3" s="1"/>
  <c r="M140" i="3"/>
  <c r="C140" i="3"/>
  <c r="P140" i="3"/>
  <c r="E140" i="3"/>
  <c r="K142" i="2"/>
  <c r="P140" i="2"/>
  <c r="J139" i="2"/>
  <c r="G139" i="2" s="1"/>
  <c r="T138" i="3" s="1"/>
  <c r="V138" i="3"/>
  <c r="D138" i="4"/>
  <c r="AA138" i="3"/>
  <c r="C140" i="4"/>
  <c r="AB139" i="3"/>
  <c r="L145" i="2"/>
  <c r="E140" i="4" l="1"/>
  <c r="H137" i="4"/>
  <c r="J137" i="4"/>
  <c r="K139" i="4"/>
  <c r="N139" i="4" s="1"/>
  <c r="F137" i="4"/>
  <c r="G139" i="4"/>
  <c r="L139" i="4" s="1"/>
  <c r="O143" i="2"/>
  <c r="I142" i="2"/>
  <c r="F142" i="2" s="1"/>
  <c r="N141" i="3" s="1"/>
  <c r="B142" i="3"/>
  <c r="B144" i="2"/>
  <c r="A142" i="4"/>
  <c r="C141" i="3"/>
  <c r="P141" i="3"/>
  <c r="G141" i="3"/>
  <c r="S141" i="3"/>
  <c r="Y141" i="3" s="1"/>
  <c r="Z141" i="3" s="1"/>
  <c r="E141" i="3"/>
  <c r="M141" i="3"/>
  <c r="L146" i="2"/>
  <c r="C143" i="2"/>
  <c r="N141" i="2"/>
  <c r="J139" i="3"/>
  <c r="H140" i="2"/>
  <c r="E140" i="2" s="1"/>
  <c r="H139" i="3" s="1"/>
  <c r="D139" i="4"/>
  <c r="AA139" i="3"/>
  <c r="F138" i="3"/>
  <c r="D139" i="3"/>
  <c r="C141" i="4"/>
  <c r="AB140" i="3"/>
  <c r="O137" i="3"/>
  <c r="I137" i="3"/>
  <c r="U137" i="3"/>
  <c r="T142" i="2"/>
  <c r="D143" i="2"/>
  <c r="P141" i="2"/>
  <c r="J140" i="2"/>
  <c r="G140" i="2" s="1"/>
  <c r="T139" i="3" s="1"/>
  <c r="V139" i="3"/>
  <c r="K143" i="2"/>
  <c r="I141" i="4"/>
  <c r="M141" i="4" s="1"/>
  <c r="M147" i="2"/>
  <c r="F138" i="4" l="1"/>
  <c r="H138" i="4"/>
  <c r="E141" i="4"/>
  <c r="K140" i="4"/>
  <c r="N140" i="4" s="1"/>
  <c r="G140" i="4"/>
  <c r="L140" i="4" s="1"/>
  <c r="J138" i="4"/>
  <c r="O144" i="2"/>
  <c r="I143" i="2"/>
  <c r="F143" i="2" s="1"/>
  <c r="N142" i="3" s="1"/>
  <c r="P142" i="2"/>
  <c r="J141" i="2"/>
  <c r="G141" i="2" s="1"/>
  <c r="T140" i="3" s="1"/>
  <c r="V140" i="3"/>
  <c r="M148" i="2"/>
  <c r="D140" i="4"/>
  <c r="AA140" i="3"/>
  <c r="N142" i="2"/>
  <c r="H141" i="2"/>
  <c r="E141" i="2" s="1"/>
  <c r="H140" i="3" s="1"/>
  <c r="J140" i="3"/>
  <c r="C144" i="2"/>
  <c r="T143" i="2"/>
  <c r="D144" i="2"/>
  <c r="K144" i="2"/>
  <c r="L147" i="2"/>
  <c r="I142" i="4"/>
  <c r="M142" i="4" s="1"/>
  <c r="F139" i="3"/>
  <c r="D140" i="3"/>
  <c r="C142" i="4"/>
  <c r="AB141" i="3"/>
  <c r="B143" i="3"/>
  <c r="B145" i="2"/>
  <c r="O138" i="3"/>
  <c r="I138" i="3"/>
  <c r="U138" i="3"/>
  <c r="A143" i="4"/>
  <c r="M142" i="3"/>
  <c r="C142" i="3"/>
  <c r="P142" i="3"/>
  <c r="E142" i="3"/>
  <c r="G142" i="3"/>
  <c r="S142" i="3"/>
  <c r="Y142" i="3" s="1"/>
  <c r="Z142" i="3" s="1"/>
  <c r="K141" i="4" l="1"/>
  <c r="N141" i="4" s="1"/>
  <c r="J139" i="4"/>
  <c r="F139" i="4"/>
  <c r="G141" i="4"/>
  <c r="L141" i="4" s="1"/>
  <c r="E142" i="4"/>
  <c r="H139" i="4"/>
  <c r="O145" i="2"/>
  <c r="I144" i="2"/>
  <c r="F144" i="2" s="1"/>
  <c r="N143" i="3" s="1"/>
  <c r="B144" i="3"/>
  <c r="B146" i="2"/>
  <c r="L148" i="2"/>
  <c r="N143" i="2"/>
  <c r="H142" i="2"/>
  <c r="E142" i="2" s="1"/>
  <c r="H141" i="3" s="1"/>
  <c r="J141" i="3"/>
  <c r="I143" i="4"/>
  <c r="M143" i="4" s="1"/>
  <c r="A144" i="4"/>
  <c r="M143" i="3"/>
  <c r="C143" i="3"/>
  <c r="P143" i="3"/>
  <c r="E143" i="3"/>
  <c r="S143" i="3"/>
  <c r="Y143" i="3" s="1"/>
  <c r="Z143" i="3" s="1"/>
  <c r="G143" i="3"/>
  <c r="D141" i="4"/>
  <c r="AA141" i="3"/>
  <c r="K145" i="2"/>
  <c r="M149" i="2"/>
  <c r="F140" i="3"/>
  <c r="D141" i="3"/>
  <c r="D145" i="2"/>
  <c r="T144" i="2"/>
  <c r="I139" i="3"/>
  <c r="U139" i="3"/>
  <c r="O139" i="3"/>
  <c r="C143" i="4"/>
  <c r="AB142" i="3"/>
  <c r="C145" i="2"/>
  <c r="P143" i="2"/>
  <c r="J142" i="2"/>
  <c r="G142" i="2" s="1"/>
  <c r="T141" i="3" s="1"/>
  <c r="V141" i="3"/>
  <c r="G142" i="4" l="1"/>
  <c r="L142" i="4" s="1"/>
  <c r="K142" i="4"/>
  <c r="N142" i="4" s="1"/>
  <c r="F140" i="4"/>
  <c r="E143" i="4"/>
  <c r="H140" i="4"/>
  <c r="J140" i="4"/>
  <c r="O146" i="2"/>
  <c r="I145" i="2"/>
  <c r="F145" i="2" s="1"/>
  <c r="N144" i="3" s="1"/>
  <c r="D146" i="2"/>
  <c r="T145" i="2"/>
  <c r="P144" i="2"/>
  <c r="J143" i="2"/>
  <c r="G143" i="2" s="1"/>
  <c r="T142" i="3" s="1"/>
  <c r="V142" i="3"/>
  <c r="F141" i="3"/>
  <c r="D142" i="3"/>
  <c r="I140" i="3"/>
  <c r="U140" i="3"/>
  <c r="O140" i="3"/>
  <c r="C146" i="2"/>
  <c r="M150" i="2"/>
  <c r="C144" i="4"/>
  <c r="AB143" i="3"/>
  <c r="N144" i="2"/>
  <c r="H143" i="2"/>
  <c r="E143" i="2" s="1"/>
  <c r="H142" i="3" s="1"/>
  <c r="J142" i="3"/>
  <c r="K146" i="2"/>
  <c r="L149" i="2"/>
  <c r="D142" i="4"/>
  <c r="AA142" i="3"/>
  <c r="I144" i="4"/>
  <c r="M144" i="4" s="1"/>
  <c r="B145" i="3"/>
  <c r="B147" i="2"/>
  <c r="A145" i="4"/>
  <c r="G144" i="3"/>
  <c r="S144" i="3"/>
  <c r="Y144" i="3" s="1"/>
  <c r="Z144" i="3" s="1"/>
  <c r="M144" i="3"/>
  <c r="C144" i="3"/>
  <c r="E144" i="3"/>
  <c r="P144" i="3"/>
  <c r="H141" i="4" l="1"/>
  <c r="G143" i="4"/>
  <c r="L143" i="4" s="1"/>
  <c r="K143" i="4"/>
  <c r="N143" i="4" s="1"/>
  <c r="F141" i="4"/>
  <c r="E144" i="4"/>
  <c r="J141" i="4"/>
  <c r="O147" i="2"/>
  <c r="I146" i="2"/>
  <c r="F146" i="2" s="1"/>
  <c r="N145" i="3" s="1"/>
  <c r="B146" i="3"/>
  <c r="B148" i="2"/>
  <c r="I145" i="4"/>
  <c r="M145" i="4" s="1"/>
  <c r="A146" i="4"/>
  <c r="C145" i="3"/>
  <c r="P145" i="3"/>
  <c r="G145" i="3"/>
  <c r="S145" i="3"/>
  <c r="Y145" i="3" s="1"/>
  <c r="Z145" i="3" s="1"/>
  <c r="E145" i="3"/>
  <c r="M145" i="3"/>
  <c r="K147" i="2"/>
  <c r="F142" i="3"/>
  <c r="D143" i="3"/>
  <c r="N145" i="2"/>
  <c r="J143" i="3"/>
  <c r="H144" i="2"/>
  <c r="E144" i="2" s="1"/>
  <c r="H143" i="3" s="1"/>
  <c r="O141" i="3"/>
  <c r="I141" i="3"/>
  <c r="U141" i="3"/>
  <c r="C145" i="4"/>
  <c r="AB144" i="3"/>
  <c r="L150" i="2"/>
  <c r="P145" i="2"/>
  <c r="J144" i="2"/>
  <c r="G144" i="2" s="1"/>
  <c r="T143" i="3" s="1"/>
  <c r="V143" i="3"/>
  <c r="D143" i="4"/>
  <c r="AA143" i="3"/>
  <c r="M151" i="2"/>
  <c r="C147" i="2"/>
  <c r="T146" i="2"/>
  <c r="D147" i="2"/>
  <c r="J142" i="4" l="1"/>
  <c r="E145" i="4"/>
  <c r="H142" i="4"/>
  <c r="F142" i="4"/>
  <c r="K144" i="4"/>
  <c r="N144" i="4" s="1"/>
  <c r="G144" i="4"/>
  <c r="L144" i="4" s="1"/>
  <c r="O148" i="2"/>
  <c r="I147" i="2"/>
  <c r="F147" i="2" s="1"/>
  <c r="N146" i="3" s="1"/>
  <c r="F143" i="3"/>
  <c r="D144" i="3"/>
  <c r="T147" i="2"/>
  <c r="D148" i="2"/>
  <c r="K148" i="2"/>
  <c r="L151" i="2"/>
  <c r="I146" i="4"/>
  <c r="M146" i="4" s="1"/>
  <c r="C148" i="2"/>
  <c r="C146" i="4"/>
  <c r="AB145" i="3"/>
  <c r="O142" i="3"/>
  <c r="I142" i="3"/>
  <c r="U142" i="3"/>
  <c r="M152" i="2"/>
  <c r="D144" i="4"/>
  <c r="AA144" i="3"/>
  <c r="P146" i="2"/>
  <c r="J145" i="2"/>
  <c r="G145" i="2" s="1"/>
  <c r="T144" i="3" s="1"/>
  <c r="V144" i="3"/>
  <c r="B147" i="3"/>
  <c r="B149" i="2"/>
  <c r="N146" i="2"/>
  <c r="J144" i="3"/>
  <c r="H145" i="2"/>
  <c r="E145" i="2" s="1"/>
  <c r="H144" i="3" s="1"/>
  <c r="A147" i="4"/>
  <c r="M146" i="3"/>
  <c r="C146" i="3"/>
  <c r="P146" i="3"/>
  <c r="E146" i="3"/>
  <c r="G146" i="3"/>
  <c r="S146" i="3"/>
  <c r="Y146" i="3" s="1"/>
  <c r="Z146" i="3" s="1"/>
  <c r="K145" i="4" l="1"/>
  <c r="N145" i="4" s="1"/>
  <c r="J143" i="4"/>
  <c r="F143" i="4"/>
  <c r="G145" i="4"/>
  <c r="L145" i="4" s="1"/>
  <c r="H143" i="4"/>
  <c r="E146" i="4"/>
  <c r="O149" i="2"/>
  <c r="I148" i="2"/>
  <c r="F148" i="2" s="1"/>
  <c r="N147" i="3" s="1"/>
  <c r="I147" i="4"/>
  <c r="M147" i="4" s="1"/>
  <c r="N147" i="2"/>
  <c r="J145" i="3"/>
  <c r="H146" i="2"/>
  <c r="E146" i="2" s="1"/>
  <c r="H145" i="3" s="1"/>
  <c r="B148" i="3"/>
  <c r="B150" i="2"/>
  <c r="L152" i="2"/>
  <c r="A148" i="4"/>
  <c r="M147" i="3"/>
  <c r="C147" i="3"/>
  <c r="P147" i="3"/>
  <c r="E147" i="3"/>
  <c r="G147" i="3"/>
  <c r="S147" i="3"/>
  <c r="Y147" i="3" s="1"/>
  <c r="Z147" i="3" s="1"/>
  <c r="K149" i="2"/>
  <c r="D149" i="2"/>
  <c r="T148" i="2"/>
  <c r="P147" i="2"/>
  <c r="J146" i="2"/>
  <c r="G146" i="2" s="1"/>
  <c r="T145" i="3" s="1"/>
  <c r="V145" i="3"/>
  <c r="C149" i="2"/>
  <c r="D145" i="4"/>
  <c r="AA145" i="3"/>
  <c r="F144" i="3"/>
  <c r="D145" i="3"/>
  <c r="C147" i="4"/>
  <c r="AB146" i="3"/>
  <c r="M153" i="2"/>
  <c r="I143" i="3"/>
  <c r="U143" i="3"/>
  <c r="O143" i="3"/>
  <c r="K146" i="4" l="1"/>
  <c r="N146" i="4" s="1"/>
  <c r="F144" i="4"/>
  <c r="E147" i="4"/>
  <c r="G146" i="4"/>
  <c r="L146" i="4" s="1"/>
  <c r="H144" i="4"/>
  <c r="J144" i="4"/>
  <c r="O150" i="2"/>
  <c r="I149" i="2"/>
  <c r="F149" i="2" s="1"/>
  <c r="N148" i="3" s="1"/>
  <c r="B149" i="3"/>
  <c r="B151" i="2"/>
  <c r="A149" i="4"/>
  <c r="G148" i="3"/>
  <c r="S148" i="3"/>
  <c r="Y148" i="3" s="1"/>
  <c r="Z148" i="3" s="1"/>
  <c r="M148" i="3"/>
  <c r="C148" i="3"/>
  <c r="E148" i="3"/>
  <c r="P148" i="3"/>
  <c r="C150" i="2"/>
  <c r="P148" i="2"/>
  <c r="J147" i="2"/>
  <c r="G147" i="2" s="1"/>
  <c r="T146" i="3" s="1"/>
  <c r="V146" i="3"/>
  <c r="N148" i="2"/>
  <c r="H147" i="2"/>
  <c r="E147" i="2" s="1"/>
  <c r="H146" i="3" s="1"/>
  <c r="J146" i="3"/>
  <c r="M154" i="2"/>
  <c r="D150" i="2"/>
  <c r="T149" i="2"/>
  <c r="C148" i="4"/>
  <c r="AB147" i="3"/>
  <c r="F145" i="3"/>
  <c r="D146" i="3"/>
  <c r="I144" i="3"/>
  <c r="U144" i="3"/>
  <c r="O144" i="3"/>
  <c r="D146" i="4"/>
  <c r="AA146" i="3"/>
  <c r="K150" i="2"/>
  <c r="I148" i="4"/>
  <c r="M148" i="4" s="1"/>
  <c r="L153" i="2"/>
  <c r="E148" i="4" l="1"/>
  <c r="G147" i="4"/>
  <c r="L147" i="4" s="1"/>
  <c r="H145" i="4"/>
  <c r="K147" i="4"/>
  <c r="N147" i="4" s="1"/>
  <c r="F145" i="4"/>
  <c r="J145" i="4"/>
  <c r="O151" i="2"/>
  <c r="I150" i="2"/>
  <c r="F150" i="2" s="1"/>
  <c r="N149" i="3" s="1"/>
  <c r="M155" i="2"/>
  <c r="L154" i="2"/>
  <c r="N149" i="2"/>
  <c r="J147" i="3"/>
  <c r="H148" i="2"/>
  <c r="E148" i="2" s="1"/>
  <c r="H147" i="3" s="1"/>
  <c r="F146" i="3"/>
  <c r="D147" i="3"/>
  <c r="C149" i="4"/>
  <c r="AB148" i="3"/>
  <c r="O145" i="3"/>
  <c r="I145" i="3"/>
  <c r="U145" i="3"/>
  <c r="P149" i="2"/>
  <c r="J148" i="2"/>
  <c r="G148" i="2" s="1"/>
  <c r="T147" i="3" s="1"/>
  <c r="V147" i="3"/>
  <c r="C151" i="2"/>
  <c r="K151" i="2"/>
  <c r="T150" i="2"/>
  <c r="D151" i="2"/>
  <c r="I149" i="4"/>
  <c r="M149" i="4" s="1"/>
  <c r="B150" i="3"/>
  <c r="B152" i="2"/>
  <c r="D147" i="4"/>
  <c r="AA147" i="3"/>
  <c r="A150" i="4"/>
  <c r="C149" i="3"/>
  <c r="P149" i="3"/>
  <c r="G149" i="3"/>
  <c r="S149" i="3"/>
  <c r="Y149" i="3" s="1"/>
  <c r="Z149" i="3" s="1"/>
  <c r="E149" i="3"/>
  <c r="M149" i="3"/>
  <c r="H146" i="4" l="1"/>
  <c r="E149" i="4"/>
  <c r="G148" i="4"/>
  <c r="L148" i="4" s="1"/>
  <c r="K148" i="4"/>
  <c r="N148" i="4" s="1"/>
  <c r="J146" i="4"/>
  <c r="F146" i="4"/>
  <c r="O152" i="2"/>
  <c r="I151" i="2"/>
  <c r="F151" i="2" s="1"/>
  <c r="N150" i="3" s="1"/>
  <c r="D148" i="4"/>
  <c r="AA148" i="3"/>
  <c r="C150" i="4"/>
  <c r="AB149" i="3"/>
  <c r="B151" i="3"/>
  <c r="B153" i="2"/>
  <c r="K152" i="2"/>
  <c r="F147" i="3"/>
  <c r="D148" i="3"/>
  <c r="A151" i="4"/>
  <c r="M150" i="3"/>
  <c r="C150" i="3"/>
  <c r="P150" i="3"/>
  <c r="E150" i="3"/>
  <c r="G150" i="3"/>
  <c r="S150" i="3"/>
  <c r="Y150" i="3" s="1"/>
  <c r="Z150" i="3" s="1"/>
  <c r="C152" i="2"/>
  <c r="O146" i="3"/>
  <c r="I146" i="3"/>
  <c r="U146" i="3"/>
  <c r="N150" i="2"/>
  <c r="H149" i="2"/>
  <c r="E149" i="2" s="1"/>
  <c r="H148" i="3" s="1"/>
  <c r="J148" i="3"/>
  <c r="I150" i="4"/>
  <c r="M150" i="4" s="1"/>
  <c r="P150" i="2"/>
  <c r="J149" i="2"/>
  <c r="G149" i="2" s="1"/>
  <c r="T148" i="3" s="1"/>
  <c r="V148" i="3"/>
  <c r="L155" i="2"/>
  <c r="T151" i="2"/>
  <c r="D152" i="2"/>
  <c r="M156" i="2"/>
  <c r="J147" i="4" l="1"/>
  <c r="F147" i="4"/>
  <c r="G149" i="4"/>
  <c r="L149" i="4" s="1"/>
  <c r="H147" i="4"/>
  <c r="E150" i="4"/>
  <c r="K149" i="4"/>
  <c r="N149" i="4" s="1"/>
  <c r="O153" i="2"/>
  <c r="I152" i="2"/>
  <c r="F152" i="2" s="1"/>
  <c r="N151" i="3" s="1"/>
  <c r="C151" i="4"/>
  <c r="AB150" i="3"/>
  <c r="I151" i="4"/>
  <c r="M151" i="4" s="1"/>
  <c r="M157" i="2"/>
  <c r="F148" i="3"/>
  <c r="D149" i="3"/>
  <c r="I147" i="3"/>
  <c r="U147" i="3"/>
  <c r="O147" i="3"/>
  <c r="D153" i="2"/>
  <c r="T152" i="2"/>
  <c r="K153" i="2"/>
  <c r="L156" i="2"/>
  <c r="B152" i="3"/>
  <c r="B154" i="2"/>
  <c r="N151" i="2"/>
  <c r="J149" i="3"/>
  <c r="H150" i="2"/>
  <c r="E150" i="2" s="1"/>
  <c r="H149" i="3" s="1"/>
  <c r="A152" i="4"/>
  <c r="M151" i="3"/>
  <c r="C151" i="3"/>
  <c r="P151" i="3"/>
  <c r="E151" i="3"/>
  <c r="G151" i="3"/>
  <c r="S151" i="3"/>
  <c r="Y151" i="3" s="1"/>
  <c r="Z151" i="3" s="1"/>
  <c r="P151" i="2"/>
  <c r="J150" i="2"/>
  <c r="G150" i="2" s="1"/>
  <c r="T149" i="3" s="1"/>
  <c r="V149" i="3"/>
  <c r="D149" i="4"/>
  <c r="AA149" i="3"/>
  <c r="C153" i="2"/>
  <c r="J148" i="4" l="1"/>
  <c r="F148" i="4"/>
  <c r="H148" i="4"/>
  <c r="G150" i="4"/>
  <c r="L150" i="4" s="1"/>
  <c r="K150" i="4"/>
  <c r="N150" i="4" s="1"/>
  <c r="E151" i="4"/>
  <c r="O154" i="2"/>
  <c r="I153" i="2"/>
  <c r="F153" i="2" s="1"/>
  <c r="N152" i="3" s="1"/>
  <c r="A153" i="4"/>
  <c r="G152" i="3"/>
  <c r="S152" i="3"/>
  <c r="Y152" i="3" s="1"/>
  <c r="Z152" i="3" s="1"/>
  <c r="M152" i="3"/>
  <c r="C152" i="3"/>
  <c r="E152" i="3"/>
  <c r="P152" i="3"/>
  <c r="M158" i="2"/>
  <c r="I148" i="3"/>
  <c r="U148" i="3"/>
  <c r="O148" i="3"/>
  <c r="C154" i="2"/>
  <c r="L157" i="2"/>
  <c r="D150" i="4"/>
  <c r="AA150" i="3"/>
  <c r="C152" i="4"/>
  <c r="AB151" i="3"/>
  <c r="K154" i="2"/>
  <c r="P152" i="2"/>
  <c r="J151" i="2"/>
  <c r="G151" i="2" s="1"/>
  <c r="T150" i="3" s="1"/>
  <c r="V150" i="3"/>
  <c r="I152" i="4"/>
  <c r="M152" i="4" s="1"/>
  <c r="D154" i="2"/>
  <c r="T153" i="2"/>
  <c r="B153" i="3"/>
  <c r="B155" i="2"/>
  <c r="F149" i="3"/>
  <c r="D150" i="3"/>
  <c r="N152" i="2"/>
  <c r="H151" i="2"/>
  <c r="E151" i="2" s="1"/>
  <c r="H150" i="3" s="1"/>
  <c r="J150" i="3"/>
  <c r="K151" i="4" l="1"/>
  <c r="N151" i="4" s="1"/>
  <c r="F149" i="4"/>
  <c r="J149" i="4"/>
  <c r="E152" i="4"/>
  <c r="G151" i="4"/>
  <c r="L151" i="4" s="1"/>
  <c r="H149" i="4"/>
  <c r="O155" i="2"/>
  <c r="I154" i="2"/>
  <c r="F154" i="2" s="1"/>
  <c r="N153" i="3" s="1"/>
  <c r="D151" i="4"/>
  <c r="AA151" i="3"/>
  <c r="N153" i="2"/>
  <c r="J151" i="3"/>
  <c r="H152" i="2"/>
  <c r="E152" i="2" s="1"/>
  <c r="H151" i="3" s="1"/>
  <c r="L158" i="2"/>
  <c r="F150" i="3"/>
  <c r="D151" i="3"/>
  <c r="B154" i="3"/>
  <c r="B156" i="2"/>
  <c r="C155" i="2"/>
  <c r="C153" i="4"/>
  <c r="AB152" i="3"/>
  <c r="A154" i="4"/>
  <c r="C153" i="3"/>
  <c r="P153" i="3"/>
  <c r="G153" i="3"/>
  <c r="S153" i="3"/>
  <c r="Y153" i="3" s="1"/>
  <c r="Z153" i="3" s="1"/>
  <c r="E153" i="3"/>
  <c r="M153" i="3"/>
  <c r="P153" i="2"/>
  <c r="J152" i="2"/>
  <c r="G152" i="2" s="1"/>
  <c r="T151" i="3" s="1"/>
  <c r="V151" i="3"/>
  <c r="K155" i="2"/>
  <c r="O149" i="3"/>
  <c r="I149" i="3"/>
  <c r="U149" i="3"/>
  <c r="T154" i="2"/>
  <c r="D155" i="2"/>
  <c r="M159" i="2"/>
  <c r="I153" i="4"/>
  <c r="M153" i="4" s="1"/>
  <c r="G152" i="4" l="1"/>
  <c r="L152" i="4" s="1"/>
  <c r="J150" i="4"/>
  <c r="F150" i="4"/>
  <c r="H150" i="4"/>
  <c r="E153" i="4"/>
  <c r="K152" i="4"/>
  <c r="N152" i="4" s="1"/>
  <c r="O156" i="2"/>
  <c r="I155" i="2"/>
  <c r="F155" i="2" s="1"/>
  <c r="N154" i="3" s="1"/>
  <c r="B155" i="3"/>
  <c r="B157" i="2"/>
  <c r="A155" i="4"/>
  <c r="M154" i="3"/>
  <c r="C154" i="3"/>
  <c r="P154" i="3"/>
  <c r="E154" i="3"/>
  <c r="G154" i="3"/>
  <c r="S154" i="3"/>
  <c r="Y154" i="3" s="1"/>
  <c r="Z154" i="3" s="1"/>
  <c r="K156" i="2"/>
  <c r="F151" i="3"/>
  <c r="D152" i="3"/>
  <c r="O150" i="3"/>
  <c r="I150" i="3"/>
  <c r="U150" i="3"/>
  <c r="L159" i="2"/>
  <c r="M160" i="2"/>
  <c r="P154" i="2"/>
  <c r="J153" i="2"/>
  <c r="G153" i="2" s="1"/>
  <c r="T152" i="3" s="1"/>
  <c r="V152" i="3"/>
  <c r="I154" i="4"/>
  <c r="M154" i="4" s="1"/>
  <c r="C154" i="4"/>
  <c r="AB153" i="3"/>
  <c r="T155" i="2"/>
  <c r="D156" i="2"/>
  <c r="N154" i="2"/>
  <c r="H153" i="2"/>
  <c r="E153" i="2" s="1"/>
  <c r="H152" i="3" s="1"/>
  <c r="J152" i="3"/>
  <c r="C156" i="2"/>
  <c r="D152" i="4"/>
  <c r="AA152" i="3"/>
  <c r="K153" i="4" l="1"/>
  <c r="N153" i="4" s="1"/>
  <c r="G153" i="4"/>
  <c r="L153" i="4" s="1"/>
  <c r="F151" i="4"/>
  <c r="H151" i="4"/>
  <c r="J151" i="4"/>
  <c r="E154" i="4"/>
  <c r="O157" i="2"/>
  <c r="I156" i="2"/>
  <c r="F156" i="2" s="1"/>
  <c r="N155" i="3" s="1"/>
  <c r="D153" i="4"/>
  <c r="AA153" i="3"/>
  <c r="L160" i="2"/>
  <c r="F152" i="3"/>
  <c r="D153" i="3"/>
  <c r="I151" i="3"/>
  <c r="U151" i="3"/>
  <c r="O151" i="3"/>
  <c r="C155" i="4"/>
  <c r="AB154" i="3"/>
  <c r="C157" i="2"/>
  <c r="N155" i="2"/>
  <c r="H154" i="2"/>
  <c r="E154" i="2" s="1"/>
  <c r="H153" i="3" s="1"/>
  <c r="J153" i="3"/>
  <c r="D157" i="2"/>
  <c r="T156" i="2"/>
  <c r="K157" i="2"/>
  <c r="I155" i="4"/>
  <c r="M155" i="4" s="1"/>
  <c r="P155" i="2"/>
  <c r="J154" i="2"/>
  <c r="G154" i="2" s="1"/>
  <c r="T153" i="3" s="1"/>
  <c r="V153" i="3"/>
  <c r="B156" i="3"/>
  <c r="B158" i="2"/>
  <c r="M161" i="2"/>
  <c r="A156" i="4"/>
  <c r="M155" i="3"/>
  <c r="C155" i="3"/>
  <c r="P155" i="3"/>
  <c r="E155" i="3"/>
  <c r="G155" i="3"/>
  <c r="S155" i="3"/>
  <c r="Y155" i="3" s="1"/>
  <c r="Z155" i="3" s="1"/>
  <c r="E155" i="4" l="1"/>
  <c r="J152" i="4"/>
  <c r="F152" i="4"/>
  <c r="K154" i="4"/>
  <c r="N154" i="4" s="1"/>
  <c r="H152" i="4"/>
  <c r="G154" i="4"/>
  <c r="L154" i="4" s="1"/>
  <c r="O158" i="2"/>
  <c r="I157" i="2"/>
  <c r="F157" i="2" s="1"/>
  <c r="N156" i="3" s="1"/>
  <c r="I156" i="4"/>
  <c r="M156" i="4" s="1"/>
  <c r="M162" i="2"/>
  <c r="B157" i="3"/>
  <c r="B159" i="2"/>
  <c r="K158" i="2"/>
  <c r="A157" i="4"/>
  <c r="G156" i="3"/>
  <c r="S156" i="3"/>
  <c r="Y156" i="3" s="1"/>
  <c r="Z156" i="3" s="1"/>
  <c r="M156" i="3"/>
  <c r="C156" i="3"/>
  <c r="P156" i="3"/>
  <c r="E156" i="3"/>
  <c r="D158" i="2"/>
  <c r="T157" i="2"/>
  <c r="F153" i="3"/>
  <c r="D154" i="3"/>
  <c r="P156" i="2"/>
  <c r="J155" i="2"/>
  <c r="G155" i="2" s="1"/>
  <c r="T154" i="3" s="1"/>
  <c r="V154" i="3"/>
  <c r="I152" i="3"/>
  <c r="U152" i="3"/>
  <c r="O152" i="3"/>
  <c r="L161" i="2"/>
  <c r="C156" i="4"/>
  <c r="AB155" i="3"/>
  <c r="N156" i="2"/>
  <c r="H155" i="2"/>
  <c r="E155" i="2" s="1"/>
  <c r="H154" i="3" s="1"/>
  <c r="J154" i="3"/>
  <c r="D154" i="4"/>
  <c r="AA154" i="3"/>
  <c r="C158" i="2"/>
  <c r="F153" i="4" l="1"/>
  <c r="G155" i="4"/>
  <c r="L155" i="4" s="1"/>
  <c r="H153" i="4"/>
  <c r="J153" i="4"/>
  <c r="E156" i="4"/>
  <c r="K155" i="4"/>
  <c r="N155" i="4" s="1"/>
  <c r="O159" i="2"/>
  <c r="I158" i="2"/>
  <c r="F158" i="2" s="1"/>
  <c r="N157" i="3" s="1"/>
  <c r="K159" i="2"/>
  <c r="L162" i="2"/>
  <c r="B158" i="3"/>
  <c r="B160" i="2"/>
  <c r="A158" i="4"/>
  <c r="C157" i="3"/>
  <c r="P157" i="3"/>
  <c r="G157" i="3"/>
  <c r="S157" i="3"/>
  <c r="Y157" i="3" s="1"/>
  <c r="Z157" i="3" s="1"/>
  <c r="E157" i="3"/>
  <c r="M157" i="3"/>
  <c r="D155" i="4"/>
  <c r="AA155" i="3"/>
  <c r="M163" i="2"/>
  <c r="P157" i="2"/>
  <c r="J156" i="2"/>
  <c r="G156" i="2" s="1"/>
  <c r="T155" i="3" s="1"/>
  <c r="V155" i="3"/>
  <c r="C157" i="4"/>
  <c r="AB156" i="3"/>
  <c r="C159" i="2"/>
  <c r="F154" i="3"/>
  <c r="D155" i="3"/>
  <c r="N157" i="2"/>
  <c r="J155" i="3"/>
  <c r="H156" i="2"/>
  <c r="E156" i="2" s="1"/>
  <c r="H155" i="3" s="1"/>
  <c r="O153" i="3"/>
  <c r="I153" i="3"/>
  <c r="U153" i="3"/>
  <c r="T158" i="2"/>
  <c r="D159" i="2"/>
  <c r="I157" i="4"/>
  <c r="M157" i="4" s="1"/>
  <c r="K156" i="4" l="1"/>
  <c r="N156" i="4" s="1"/>
  <c r="E157" i="4"/>
  <c r="J154" i="4"/>
  <c r="F154" i="4"/>
  <c r="H154" i="4"/>
  <c r="G156" i="4"/>
  <c r="L156" i="4" s="1"/>
  <c r="O160" i="2"/>
  <c r="I159" i="2"/>
  <c r="F159" i="2" s="1"/>
  <c r="N158" i="3" s="1"/>
  <c r="N158" i="2"/>
  <c r="J156" i="3"/>
  <c r="H157" i="2"/>
  <c r="E157" i="2" s="1"/>
  <c r="H156" i="3" s="1"/>
  <c r="M164" i="2"/>
  <c r="F155" i="3"/>
  <c r="D156" i="3"/>
  <c r="D156" i="4"/>
  <c r="AA156" i="3"/>
  <c r="O154" i="3"/>
  <c r="I154" i="3"/>
  <c r="U154" i="3"/>
  <c r="I158" i="4"/>
  <c r="M158" i="4" s="1"/>
  <c r="C158" i="4"/>
  <c r="AB157" i="3"/>
  <c r="B159" i="3"/>
  <c r="B161" i="2"/>
  <c r="C160" i="2"/>
  <c r="A159" i="4"/>
  <c r="M158" i="3"/>
  <c r="C158" i="3"/>
  <c r="P158" i="3"/>
  <c r="E158" i="3"/>
  <c r="G158" i="3"/>
  <c r="S158" i="3"/>
  <c r="Y158" i="3" s="1"/>
  <c r="Z158" i="3" s="1"/>
  <c r="T159" i="2"/>
  <c r="D160" i="2"/>
  <c r="P158" i="2"/>
  <c r="J157" i="2"/>
  <c r="G157" i="2" s="1"/>
  <c r="T156" i="3" s="1"/>
  <c r="V156" i="3"/>
  <c r="L163" i="2"/>
  <c r="K160" i="2"/>
  <c r="F155" i="4" l="1"/>
  <c r="H155" i="4"/>
  <c r="K157" i="4"/>
  <c r="N157" i="4" s="1"/>
  <c r="E158" i="4"/>
  <c r="G157" i="4"/>
  <c r="L157" i="4" s="1"/>
  <c r="J155" i="4"/>
  <c r="O161" i="2"/>
  <c r="I160" i="2"/>
  <c r="F160" i="2" s="1"/>
  <c r="N159" i="3" s="1"/>
  <c r="K161" i="2"/>
  <c r="C161" i="2"/>
  <c r="B160" i="3"/>
  <c r="B162" i="2"/>
  <c r="A160" i="4"/>
  <c r="M159" i="3"/>
  <c r="C159" i="3"/>
  <c r="P159" i="3"/>
  <c r="E159" i="3"/>
  <c r="S159" i="3"/>
  <c r="Y159" i="3" s="1"/>
  <c r="Z159" i="3" s="1"/>
  <c r="G159" i="3"/>
  <c r="D157" i="4"/>
  <c r="AA157" i="3"/>
  <c r="L164" i="2"/>
  <c r="F156" i="3"/>
  <c r="D157" i="3"/>
  <c r="I155" i="3"/>
  <c r="U155" i="3"/>
  <c r="O155" i="3"/>
  <c r="P159" i="2"/>
  <c r="J158" i="2"/>
  <c r="G158" i="2" s="1"/>
  <c r="T157" i="3" s="1"/>
  <c r="V157" i="3"/>
  <c r="M165" i="2"/>
  <c r="T160" i="2"/>
  <c r="D161" i="2"/>
  <c r="C159" i="4"/>
  <c r="AB158" i="3"/>
  <c r="I159" i="4"/>
  <c r="M159" i="4" s="1"/>
  <c r="N159" i="2"/>
  <c r="H158" i="2"/>
  <c r="E158" i="2" s="1"/>
  <c r="H157" i="3" s="1"/>
  <c r="J157" i="3"/>
  <c r="J156" i="4" l="1"/>
  <c r="F156" i="4"/>
  <c r="H156" i="4"/>
  <c r="G158" i="4"/>
  <c r="L158" i="4" s="1"/>
  <c r="K158" i="4"/>
  <c r="N158" i="4" s="1"/>
  <c r="E159" i="4"/>
  <c r="O162" i="2"/>
  <c r="I161" i="2"/>
  <c r="F161" i="2" s="1"/>
  <c r="N160" i="3" s="1"/>
  <c r="L165" i="2"/>
  <c r="N160" i="2"/>
  <c r="H159" i="2"/>
  <c r="E159" i="2" s="1"/>
  <c r="H158" i="3" s="1"/>
  <c r="J158" i="3"/>
  <c r="D158" i="4"/>
  <c r="AA158" i="3"/>
  <c r="C160" i="4"/>
  <c r="AB159" i="3"/>
  <c r="M166" i="2"/>
  <c r="I160" i="4"/>
  <c r="M160" i="4" s="1"/>
  <c r="B161" i="3"/>
  <c r="B163" i="2"/>
  <c r="T161" i="2"/>
  <c r="D162" i="2"/>
  <c r="A161" i="4"/>
  <c r="G160" i="3"/>
  <c r="S160" i="3"/>
  <c r="Y160" i="3" s="1"/>
  <c r="Z160" i="3" s="1"/>
  <c r="M160" i="3"/>
  <c r="C160" i="3"/>
  <c r="E160" i="3"/>
  <c r="P160" i="3"/>
  <c r="P160" i="2"/>
  <c r="J159" i="2"/>
  <c r="G159" i="2" s="1"/>
  <c r="T158" i="3" s="1"/>
  <c r="V158" i="3"/>
  <c r="C162" i="2"/>
  <c r="K162" i="2"/>
  <c r="I156" i="3"/>
  <c r="U156" i="3"/>
  <c r="O156" i="3"/>
  <c r="F157" i="3"/>
  <c r="D158" i="3"/>
  <c r="E160" i="4" l="1"/>
  <c r="G159" i="4"/>
  <c r="L159" i="4" s="1"/>
  <c r="H157" i="4"/>
  <c r="J157" i="4"/>
  <c r="F157" i="4"/>
  <c r="K159" i="4"/>
  <c r="N159" i="4" s="1"/>
  <c r="O163" i="2"/>
  <c r="I162" i="2"/>
  <c r="F162" i="2" s="1"/>
  <c r="N161" i="3" s="1"/>
  <c r="F158" i="3"/>
  <c r="D159" i="3"/>
  <c r="P161" i="2"/>
  <c r="J160" i="2"/>
  <c r="G160" i="2" s="1"/>
  <c r="T159" i="3" s="1"/>
  <c r="V159" i="3"/>
  <c r="I161" i="4"/>
  <c r="M161" i="4" s="1"/>
  <c r="O157" i="3"/>
  <c r="I157" i="3"/>
  <c r="U157" i="3"/>
  <c r="T162" i="2"/>
  <c r="D163" i="2"/>
  <c r="M167" i="2"/>
  <c r="B162" i="3"/>
  <c r="B164" i="2"/>
  <c r="D159" i="4"/>
  <c r="AA159" i="3"/>
  <c r="K163" i="2"/>
  <c r="A162" i="4"/>
  <c r="C161" i="3"/>
  <c r="P161" i="3"/>
  <c r="G161" i="3"/>
  <c r="S161" i="3"/>
  <c r="Y161" i="3" s="1"/>
  <c r="Z161" i="3" s="1"/>
  <c r="E161" i="3"/>
  <c r="M161" i="3"/>
  <c r="C163" i="2"/>
  <c r="C161" i="4"/>
  <c r="AB160" i="3"/>
  <c r="N161" i="2"/>
  <c r="H160" i="2"/>
  <c r="E160" i="2" s="1"/>
  <c r="H159" i="3" s="1"/>
  <c r="J159" i="3"/>
  <c r="L166" i="2"/>
  <c r="F158" i="4" l="1"/>
  <c r="G160" i="4"/>
  <c r="L160" i="4" s="1"/>
  <c r="J158" i="4"/>
  <c r="H158" i="4"/>
  <c r="K160" i="4"/>
  <c r="N160" i="4" s="1"/>
  <c r="E161" i="4"/>
  <c r="O164" i="2"/>
  <c r="I163" i="2"/>
  <c r="F163" i="2" s="1"/>
  <c r="N162" i="3" s="1"/>
  <c r="C162" i="4"/>
  <c r="AB161" i="3"/>
  <c r="K164" i="2"/>
  <c r="L167" i="2"/>
  <c r="D160" i="4"/>
  <c r="AA160" i="3"/>
  <c r="B163" i="3"/>
  <c r="B165" i="2"/>
  <c r="A163" i="4"/>
  <c r="M162" i="3"/>
  <c r="C162" i="3"/>
  <c r="P162" i="3"/>
  <c r="E162" i="3"/>
  <c r="G162" i="3"/>
  <c r="S162" i="3"/>
  <c r="Y162" i="3" s="1"/>
  <c r="Z162" i="3" s="1"/>
  <c r="N162" i="2"/>
  <c r="J160" i="3"/>
  <c r="H161" i="2"/>
  <c r="E161" i="2" s="1"/>
  <c r="H160" i="3" s="1"/>
  <c r="M168" i="2"/>
  <c r="T163" i="2"/>
  <c r="D164" i="2"/>
  <c r="C164" i="2"/>
  <c r="P162" i="2"/>
  <c r="J161" i="2"/>
  <c r="G161" i="2" s="1"/>
  <c r="T160" i="3" s="1"/>
  <c r="V160" i="3"/>
  <c r="I162" i="4"/>
  <c r="M162" i="4" s="1"/>
  <c r="F159" i="3"/>
  <c r="D160" i="3"/>
  <c r="O158" i="3"/>
  <c r="I158" i="3"/>
  <c r="U158" i="3"/>
  <c r="J159" i="4" l="1"/>
  <c r="G161" i="4"/>
  <c r="L161" i="4" s="1"/>
  <c r="K161" i="4"/>
  <c r="N161" i="4" s="1"/>
  <c r="E162" i="4"/>
  <c r="F159" i="4"/>
  <c r="H159" i="4"/>
  <c r="O165" i="2"/>
  <c r="I164" i="2"/>
  <c r="F164" i="2" s="1"/>
  <c r="N163" i="3" s="1"/>
  <c r="C163" i="4"/>
  <c r="AB162" i="3"/>
  <c r="I163" i="4"/>
  <c r="M163" i="4" s="1"/>
  <c r="P163" i="2"/>
  <c r="J162" i="2"/>
  <c r="G162" i="2" s="1"/>
  <c r="T161" i="3" s="1"/>
  <c r="V161" i="3"/>
  <c r="B164" i="3"/>
  <c r="B166" i="2"/>
  <c r="C165" i="2"/>
  <c r="A164" i="4"/>
  <c r="M163" i="3"/>
  <c r="C163" i="3"/>
  <c r="P163" i="3"/>
  <c r="E163" i="3"/>
  <c r="G163" i="3"/>
  <c r="S163" i="3"/>
  <c r="Y163" i="3" s="1"/>
  <c r="Z163" i="3" s="1"/>
  <c r="F160" i="3"/>
  <c r="D161" i="3"/>
  <c r="D161" i="4"/>
  <c r="AA161" i="3"/>
  <c r="N163" i="2"/>
  <c r="H162" i="2"/>
  <c r="E162" i="2" s="1"/>
  <c r="H161" i="3" s="1"/>
  <c r="J161" i="3"/>
  <c r="I159" i="3"/>
  <c r="U159" i="3"/>
  <c r="O159" i="3"/>
  <c r="L168" i="2"/>
  <c r="D165" i="2"/>
  <c r="T164" i="2"/>
  <c r="K165" i="2"/>
  <c r="M169" i="2"/>
  <c r="K162" i="4" l="1"/>
  <c r="N162" i="4" s="1"/>
  <c r="H160" i="4"/>
  <c r="E163" i="4"/>
  <c r="J160" i="4"/>
  <c r="F160" i="4"/>
  <c r="G162" i="4"/>
  <c r="L162" i="4" s="1"/>
  <c r="O166" i="2"/>
  <c r="I165" i="2"/>
  <c r="F165" i="2" s="1"/>
  <c r="N164" i="3" s="1"/>
  <c r="A165" i="4"/>
  <c r="G164" i="3"/>
  <c r="S164" i="3"/>
  <c r="Y164" i="3" s="1"/>
  <c r="Z164" i="3" s="1"/>
  <c r="M164" i="3"/>
  <c r="C164" i="3"/>
  <c r="E164" i="3"/>
  <c r="P164" i="3"/>
  <c r="N164" i="2"/>
  <c r="H163" i="2"/>
  <c r="E163" i="2" s="1"/>
  <c r="H162" i="3" s="1"/>
  <c r="J162" i="3"/>
  <c r="P164" i="2"/>
  <c r="J163" i="2"/>
  <c r="G163" i="2" s="1"/>
  <c r="T162" i="3" s="1"/>
  <c r="V162" i="3"/>
  <c r="K166" i="2"/>
  <c r="D162" i="4"/>
  <c r="AA162" i="3"/>
  <c r="C164" i="4"/>
  <c r="AB163" i="3"/>
  <c r="F161" i="3"/>
  <c r="D162" i="3"/>
  <c r="D166" i="2"/>
  <c r="T165" i="2"/>
  <c r="I160" i="3"/>
  <c r="U160" i="3"/>
  <c r="O160" i="3"/>
  <c r="I164" i="4"/>
  <c r="M164" i="4" s="1"/>
  <c r="L169" i="2"/>
  <c r="C166" i="2"/>
  <c r="M170" i="2"/>
  <c r="B165" i="3"/>
  <c r="B167" i="2"/>
  <c r="E164" i="4" l="1"/>
  <c r="G163" i="4"/>
  <c r="L163" i="4" s="1"/>
  <c r="H161" i="4"/>
  <c r="K163" i="4"/>
  <c r="N163" i="4" s="1"/>
  <c r="J161" i="4"/>
  <c r="F161" i="4"/>
  <c r="O167" i="2"/>
  <c r="I166" i="2"/>
  <c r="F166" i="2" s="1"/>
  <c r="N165" i="3" s="1"/>
  <c r="B166" i="3"/>
  <c r="B168" i="2"/>
  <c r="A166" i="4"/>
  <c r="C165" i="3"/>
  <c r="P165" i="3"/>
  <c r="G165" i="3"/>
  <c r="S165" i="3"/>
  <c r="Y165" i="3" s="1"/>
  <c r="Z165" i="3" s="1"/>
  <c r="E165" i="3"/>
  <c r="M165" i="3"/>
  <c r="D163" i="4"/>
  <c r="AA163" i="3"/>
  <c r="M171" i="2"/>
  <c r="K167" i="2"/>
  <c r="C165" i="4"/>
  <c r="AB164" i="3"/>
  <c r="C167" i="2"/>
  <c r="L170" i="2"/>
  <c r="P165" i="2"/>
  <c r="J164" i="2"/>
  <c r="G164" i="2" s="1"/>
  <c r="T163" i="3" s="1"/>
  <c r="V163" i="3"/>
  <c r="D167" i="2"/>
  <c r="T166" i="2"/>
  <c r="F162" i="3"/>
  <c r="D163" i="3"/>
  <c r="O161" i="3"/>
  <c r="I161" i="3"/>
  <c r="U161" i="3"/>
  <c r="N165" i="2"/>
  <c r="J163" i="3"/>
  <c r="H164" i="2"/>
  <c r="E164" i="2" s="1"/>
  <c r="H163" i="3" s="1"/>
  <c r="I165" i="4"/>
  <c r="M165" i="4" s="1"/>
  <c r="K164" i="4" l="1"/>
  <c r="N164" i="4" s="1"/>
  <c r="F162" i="4"/>
  <c r="G164" i="4"/>
  <c r="L164" i="4" s="1"/>
  <c r="J162" i="4"/>
  <c r="E165" i="4"/>
  <c r="H162" i="4"/>
  <c r="O168" i="2"/>
  <c r="I167" i="2"/>
  <c r="F167" i="2" s="1"/>
  <c r="N166" i="3" s="1"/>
  <c r="F163" i="3"/>
  <c r="D164" i="3"/>
  <c r="O162" i="3"/>
  <c r="I162" i="3"/>
  <c r="U162" i="3"/>
  <c r="D168" i="2"/>
  <c r="T167" i="2"/>
  <c r="K168" i="2"/>
  <c r="M172" i="2"/>
  <c r="P166" i="2"/>
  <c r="J165" i="2"/>
  <c r="G165" i="2" s="1"/>
  <c r="T164" i="3" s="1"/>
  <c r="V164" i="3"/>
  <c r="D164" i="4"/>
  <c r="AA164" i="3"/>
  <c r="C168" i="2"/>
  <c r="N166" i="2"/>
  <c r="J164" i="3"/>
  <c r="H165" i="2"/>
  <c r="E165" i="2" s="1"/>
  <c r="H164" i="3" s="1"/>
  <c r="I166" i="4"/>
  <c r="M166" i="4" s="1"/>
  <c r="L171" i="2"/>
  <c r="B167" i="3"/>
  <c r="B169" i="2"/>
  <c r="C166" i="4"/>
  <c r="AB165" i="3"/>
  <c r="A167" i="4"/>
  <c r="M166" i="3"/>
  <c r="C166" i="3"/>
  <c r="P166" i="3"/>
  <c r="E166" i="3"/>
  <c r="G166" i="3"/>
  <c r="S166" i="3"/>
  <c r="Y166" i="3" s="1"/>
  <c r="Z166" i="3" s="1"/>
  <c r="E166" i="4" l="1"/>
  <c r="G165" i="4"/>
  <c r="L165" i="4" s="1"/>
  <c r="J163" i="4"/>
  <c r="F163" i="4"/>
  <c r="H163" i="4"/>
  <c r="K165" i="4"/>
  <c r="N165" i="4" s="1"/>
  <c r="O169" i="2"/>
  <c r="I168" i="2"/>
  <c r="F168" i="2" s="1"/>
  <c r="N167" i="3" s="1"/>
  <c r="M173" i="2"/>
  <c r="B168" i="3"/>
  <c r="B170" i="2"/>
  <c r="N167" i="2"/>
  <c r="H166" i="2"/>
  <c r="E166" i="2" s="1"/>
  <c r="H165" i="3" s="1"/>
  <c r="J165" i="3"/>
  <c r="K169" i="2"/>
  <c r="I167" i="4"/>
  <c r="M167" i="4" s="1"/>
  <c r="A168" i="4"/>
  <c r="M167" i="3"/>
  <c r="C167" i="3"/>
  <c r="P167" i="3"/>
  <c r="S167" i="3"/>
  <c r="Y167" i="3" s="1"/>
  <c r="Z167" i="3" s="1"/>
  <c r="E167" i="3"/>
  <c r="G167" i="3"/>
  <c r="L172" i="2"/>
  <c r="C169" i="2"/>
  <c r="D169" i="2"/>
  <c r="T168" i="2"/>
  <c r="D165" i="4"/>
  <c r="AA165" i="3"/>
  <c r="F164" i="3"/>
  <c r="D165" i="3"/>
  <c r="C167" i="4"/>
  <c r="AB166" i="3"/>
  <c r="P167" i="2"/>
  <c r="J166" i="2"/>
  <c r="G166" i="2" s="1"/>
  <c r="T165" i="3" s="1"/>
  <c r="V165" i="3"/>
  <c r="I163" i="3"/>
  <c r="U163" i="3"/>
  <c r="O163" i="3"/>
  <c r="H164" i="4" l="1"/>
  <c r="J164" i="4"/>
  <c r="G166" i="4"/>
  <c r="L166" i="4" s="1"/>
  <c r="F164" i="4"/>
  <c r="E167" i="4"/>
  <c r="K166" i="4"/>
  <c r="N166" i="4" s="1"/>
  <c r="O170" i="2"/>
  <c r="I169" i="2"/>
  <c r="F169" i="2" s="1"/>
  <c r="N168" i="3" s="1"/>
  <c r="T169" i="2"/>
  <c r="D170" i="2"/>
  <c r="K170" i="2"/>
  <c r="C170" i="2"/>
  <c r="C168" i="4"/>
  <c r="AB167" i="3"/>
  <c r="P168" i="2"/>
  <c r="J167" i="2"/>
  <c r="G167" i="2" s="1"/>
  <c r="T166" i="3" s="1"/>
  <c r="V166" i="3"/>
  <c r="N168" i="2"/>
  <c r="J166" i="3"/>
  <c r="H167" i="2"/>
  <c r="E167" i="2" s="1"/>
  <c r="H166" i="3" s="1"/>
  <c r="L173" i="2"/>
  <c r="I168" i="4"/>
  <c r="M168" i="4" s="1"/>
  <c r="B169" i="3"/>
  <c r="B171" i="2"/>
  <c r="A169" i="4"/>
  <c r="G168" i="3"/>
  <c r="S168" i="3"/>
  <c r="Y168" i="3" s="1"/>
  <c r="Z168" i="3" s="1"/>
  <c r="M168" i="3"/>
  <c r="C168" i="3"/>
  <c r="E168" i="3"/>
  <c r="P168" i="3"/>
  <c r="F165" i="3"/>
  <c r="D166" i="3"/>
  <c r="I164" i="3"/>
  <c r="U164" i="3"/>
  <c r="O164" i="3"/>
  <c r="M174" i="2"/>
  <c r="D166" i="4"/>
  <c r="AA166" i="3"/>
  <c r="E168" i="4" l="1"/>
  <c r="H165" i="4"/>
  <c r="F165" i="4"/>
  <c r="K167" i="4"/>
  <c r="N167" i="4" s="1"/>
  <c r="J165" i="4"/>
  <c r="G167" i="4"/>
  <c r="L167" i="4" s="1"/>
  <c r="O171" i="2"/>
  <c r="I170" i="2"/>
  <c r="F170" i="2" s="1"/>
  <c r="N169" i="3" s="1"/>
  <c r="D167" i="4"/>
  <c r="AA167" i="3"/>
  <c r="P169" i="2"/>
  <c r="J168" i="2"/>
  <c r="G168" i="2" s="1"/>
  <c r="T167" i="3" s="1"/>
  <c r="V167" i="3"/>
  <c r="M175" i="2"/>
  <c r="C169" i="4"/>
  <c r="AB168" i="3"/>
  <c r="C171" i="2"/>
  <c r="L174" i="2"/>
  <c r="F166" i="3"/>
  <c r="D167" i="3"/>
  <c r="K171" i="2"/>
  <c r="O165" i="3"/>
  <c r="I165" i="3"/>
  <c r="U165" i="3"/>
  <c r="I169" i="4"/>
  <c r="M169" i="4" s="1"/>
  <c r="D171" i="2"/>
  <c r="T170" i="2"/>
  <c r="B170" i="3"/>
  <c r="B172" i="2"/>
  <c r="N169" i="2"/>
  <c r="J167" i="3"/>
  <c r="H168" i="2"/>
  <c r="E168" i="2" s="1"/>
  <c r="H167" i="3" s="1"/>
  <c r="A170" i="4"/>
  <c r="C169" i="3"/>
  <c r="P169" i="3"/>
  <c r="G169" i="3"/>
  <c r="S169" i="3"/>
  <c r="Y169" i="3" s="1"/>
  <c r="Z169" i="3" s="1"/>
  <c r="E169" i="3"/>
  <c r="M169" i="3"/>
  <c r="E169" i="4" l="1"/>
  <c r="K168" i="4"/>
  <c r="N168" i="4" s="1"/>
  <c r="H166" i="4"/>
  <c r="J166" i="4"/>
  <c r="F166" i="4"/>
  <c r="G168" i="4"/>
  <c r="L168" i="4" s="1"/>
  <c r="O172" i="2"/>
  <c r="I171" i="2"/>
  <c r="F171" i="2" s="1"/>
  <c r="N170" i="3" s="1"/>
  <c r="C172" i="2"/>
  <c r="C170" i="4"/>
  <c r="AB169" i="3"/>
  <c r="N170" i="2"/>
  <c r="H169" i="2"/>
  <c r="E169" i="2" s="1"/>
  <c r="H168" i="3" s="1"/>
  <c r="J168" i="3"/>
  <c r="B171" i="3"/>
  <c r="B173" i="2"/>
  <c r="A171" i="4"/>
  <c r="M170" i="3"/>
  <c r="C170" i="3"/>
  <c r="P170" i="3"/>
  <c r="G170" i="3"/>
  <c r="S170" i="3"/>
  <c r="Y170" i="3" s="1"/>
  <c r="Z170" i="3" s="1"/>
  <c r="E170" i="3"/>
  <c r="K172" i="2"/>
  <c r="M176" i="2"/>
  <c r="T171" i="2"/>
  <c r="D172" i="2"/>
  <c r="F167" i="3"/>
  <c r="D168" i="3"/>
  <c r="I170" i="4"/>
  <c r="M170" i="4" s="1"/>
  <c r="O166" i="3"/>
  <c r="I166" i="3"/>
  <c r="U166" i="3"/>
  <c r="P170" i="2"/>
  <c r="J169" i="2"/>
  <c r="G169" i="2" s="1"/>
  <c r="T168" i="3" s="1"/>
  <c r="V168" i="3"/>
  <c r="D168" i="4"/>
  <c r="AA168" i="3"/>
  <c r="L175" i="2"/>
  <c r="G169" i="4" l="1"/>
  <c r="L169" i="4" s="1"/>
  <c r="K169" i="4"/>
  <c r="N169" i="4" s="1"/>
  <c r="E170" i="4"/>
  <c r="J167" i="4"/>
  <c r="F167" i="4"/>
  <c r="H167" i="4"/>
  <c r="O173" i="2"/>
  <c r="I172" i="2"/>
  <c r="F172" i="2" s="1"/>
  <c r="N171" i="3" s="1"/>
  <c r="K173" i="2"/>
  <c r="C171" i="4"/>
  <c r="AB170" i="3"/>
  <c r="L176" i="2"/>
  <c r="B172" i="3"/>
  <c r="B174" i="2"/>
  <c r="I171" i="4"/>
  <c r="M171" i="4" s="1"/>
  <c r="D169" i="4"/>
  <c r="AA169" i="3"/>
  <c r="A172" i="4"/>
  <c r="M171" i="3"/>
  <c r="C171" i="3"/>
  <c r="S171" i="3"/>
  <c r="Y171" i="3" s="1"/>
  <c r="Z171" i="3" s="1"/>
  <c r="E171" i="3"/>
  <c r="G171" i="3"/>
  <c r="P171" i="3"/>
  <c r="F168" i="3"/>
  <c r="D169" i="3"/>
  <c r="I167" i="3"/>
  <c r="U167" i="3"/>
  <c r="O167" i="3"/>
  <c r="N171" i="2"/>
  <c r="H170" i="2"/>
  <c r="E170" i="2" s="1"/>
  <c r="H169" i="3" s="1"/>
  <c r="J169" i="3"/>
  <c r="P171" i="2"/>
  <c r="J170" i="2"/>
  <c r="G170" i="2" s="1"/>
  <c r="T169" i="3" s="1"/>
  <c r="V169" i="3"/>
  <c r="T172" i="2"/>
  <c r="D173" i="2"/>
  <c r="M177" i="2"/>
  <c r="C173" i="2"/>
  <c r="J168" i="4" l="1"/>
  <c r="H168" i="4"/>
  <c r="E171" i="4"/>
  <c r="F168" i="4"/>
  <c r="K170" i="4"/>
  <c r="N170" i="4" s="1"/>
  <c r="G170" i="4"/>
  <c r="L170" i="4" s="1"/>
  <c r="O174" i="2"/>
  <c r="I173" i="2"/>
  <c r="F173" i="2" s="1"/>
  <c r="N172" i="3" s="1"/>
  <c r="N172" i="2"/>
  <c r="J170" i="3"/>
  <c r="H171" i="2"/>
  <c r="E171" i="2" s="1"/>
  <c r="H170" i="3" s="1"/>
  <c r="C174" i="2"/>
  <c r="C172" i="4"/>
  <c r="AB171" i="3"/>
  <c r="B173" i="3"/>
  <c r="B175" i="2"/>
  <c r="M178" i="2"/>
  <c r="A173" i="4"/>
  <c r="G172" i="3"/>
  <c r="S172" i="3"/>
  <c r="Y172" i="3" s="1"/>
  <c r="Z172" i="3" s="1"/>
  <c r="C172" i="3"/>
  <c r="M172" i="3"/>
  <c r="P172" i="3"/>
  <c r="E172" i="3"/>
  <c r="T173" i="2"/>
  <c r="D174" i="2"/>
  <c r="F169" i="3"/>
  <c r="D170" i="3"/>
  <c r="I168" i="3"/>
  <c r="U168" i="3"/>
  <c r="O168" i="3"/>
  <c r="I172" i="4"/>
  <c r="M172" i="4" s="1"/>
  <c r="L177" i="2"/>
  <c r="D170" i="4"/>
  <c r="AA170" i="3"/>
  <c r="P172" i="2"/>
  <c r="J171" i="2"/>
  <c r="G171" i="2" s="1"/>
  <c r="T170" i="3" s="1"/>
  <c r="V170" i="3"/>
  <c r="K174" i="2"/>
  <c r="J169" i="4" l="1"/>
  <c r="F169" i="4"/>
  <c r="K171" i="4"/>
  <c r="N171" i="4" s="1"/>
  <c r="E172" i="4"/>
  <c r="G171" i="4"/>
  <c r="L171" i="4" s="1"/>
  <c r="H169" i="4"/>
  <c r="O175" i="2"/>
  <c r="I174" i="2"/>
  <c r="F174" i="2" s="1"/>
  <c r="N173" i="3" s="1"/>
  <c r="M179" i="2"/>
  <c r="K175" i="2"/>
  <c r="B174" i="3"/>
  <c r="B176" i="2"/>
  <c r="A174" i="4"/>
  <c r="C173" i="3"/>
  <c r="P173" i="3"/>
  <c r="G173" i="3"/>
  <c r="S173" i="3"/>
  <c r="Y173" i="3" s="1"/>
  <c r="Z173" i="3" s="1"/>
  <c r="E173" i="3"/>
  <c r="M173" i="3"/>
  <c r="P173" i="2"/>
  <c r="J172" i="2"/>
  <c r="G172" i="2" s="1"/>
  <c r="T171" i="3" s="1"/>
  <c r="V171" i="3"/>
  <c r="C173" i="4"/>
  <c r="AB172" i="3"/>
  <c r="D171" i="4"/>
  <c r="AA171" i="3"/>
  <c r="C175" i="2"/>
  <c r="F170" i="3"/>
  <c r="D171" i="3"/>
  <c r="O169" i="3"/>
  <c r="I169" i="3"/>
  <c r="U169" i="3"/>
  <c r="L178" i="2"/>
  <c r="T174" i="2"/>
  <c r="D175" i="2"/>
  <c r="I173" i="4"/>
  <c r="M173" i="4" s="1"/>
  <c r="N173" i="2"/>
  <c r="H172" i="2"/>
  <c r="E172" i="2" s="1"/>
  <c r="H171" i="3" s="1"/>
  <c r="J171" i="3"/>
  <c r="H170" i="4" l="1"/>
  <c r="E173" i="4"/>
  <c r="K172" i="4"/>
  <c r="N172" i="4" s="1"/>
  <c r="G172" i="4"/>
  <c r="L172" i="4" s="1"/>
  <c r="J170" i="4"/>
  <c r="F170" i="4"/>
  <c r="O176" i="2"/>
  <c r="I175" i="2"/>
  <c r="F175" i="2" s="1"/>
  <c r="N174" i="3" s="1"/>
  <c r="P174" i="2"/>
  <c r="J173" i="2"/>
  <c r="G173" i="2" s="1"/>
  <c r="T172" i="3" s="1"/>
  <c r="V172" i="3"/>
  <c r="I174" i="4"/>
  <c r="M174" i="4" s="1"/>
  <c r="F171" i="3"/>
  <c r="D172" i="3"/>
  <c r="B175" i="3"/>
  <c r="B177" i="2"/>
  <c r="L179" i="2"/>
  <c r="O170" i="3"/>
  <c r="I170" i="3"/>
  <c r="U170" i="3"/>
  <c r="A175" i="4"/>
  <c r="M174" i="3"/>
  <c r="P174" i="3"/>
  <c r="S174" i="3"/>
  <c r="Y174" i="3" s="1"/>
  <c r="Z174" i="3" s="1"/>
  <c r="C174" i="3"/>
  <c r="E174" i="3"/>
  <c r="G174" i="3"/>
  <c r="C174" i="4"/>
  <c r="AB173" i="3"/>
  <c r="K176" i="2"/>
  <c r="N174" i="2"/>
  <c r="J172" i="3"/>
  <c r="H173" i="2"/>
  <c r="E173" i="2" s="1"/>
  <c r="H172" i="3" s="1"/>
  <c r="C176" i="2"/>
  <c r="T175" i="2"/>
  <c r="D176" i="2"/>
  <c r="M180" i="2"/>
  <c r="D172" i="4"/>
  <c r="AA172" i="3"/>
  <c r="E174" i="4" l="1"/>
  <c r="H171" i="4"/>
  <c r="K173" i="4"/>
  <c r="N173" i="4" s="1"/>
  <c r="J171" i="4"/>
  <c r="G173" i="4"/>
  <c r="L173" i="4" s="1"/>
  <c r="F171" i="4"/>
  <c r="O177" i="2"/>
  <c r="I176" i="2"/>
  <c r="F176" i="2" s="1"/>
  <c r="N175" i="3" s="1"/>
  <c r="A176" i="4"/>
  <c r="M175" i="3"/>
  <c r="E175" i="3"/>
  <c r="G175" i="3"/>
  <c r="C175" i="3"/>
  <c r="P175" i="3"/>
  <c r="S175" i="3"/>
  <c r="Y175" i="3" s="1"/>
  <c r="Z175" i="3" s="1"/>
  <c r="F172" i="3"/>
  <c r="D173" i="3"/>
  <c r="I171" i="3"/>
  <c r="U171" i="3"/>
  <c r="O171" i="3"/>
  <c r="N175" i="2"/>
  <c r="H174" i="2"/>
  <c r="E174" i="2" s="1"/>
  <c r="H173" i="3" s="1"/>
  <c r="J173" i="3"/>
  <c r="K177" i="2"/>
  <c r="D173" i="4"/>
  <c r="AA173" i="3"/>
  <c r="M181" i="2"/>
  <c r="C175" i="4"/>
  <c r="AB174" i="3"/>
  <c r="T176" i="2"/>
  <c r="D177" i="2"/>
  <c r="I175" i="4"/>
  <c r="M175" i="4" s="1"/>
  <c r="L180" i="2"/>
  <c r="C177" i="2"/>
  <c r="B176" i="3"/>
  <c r="B178" i="2"/>
  <c r="P175" i="2"/>
  <c r="J174" i="2"/>
  <c r="G174" i="2" s="1"/>
  <c r="T173" i="3" s="1"/>
  <c r="V173" i="3"/>
  <c r="F172" i="4" l="1"/>
  <c r="K174" i="4"/>
  <c r="N174" i="4" s="1"/>
  <c r="E175" i="4"/>
  <c r="G174" i="4"/>
  <c r="L174" i="4" s="1"/>
  <c r="H172" i="4"/>
  <c r="J172" i="4"/>
  <c r="O178" i="2"/>
  <c r="I177" i="2"/>
  <c r="F177" i="2" s="1"/>
  <c r="N176" i="3" s="1"/>
  <c r="K178" i="2"/>
  <c r="D174" i="4"/>
  <c r="AA174" i="3"/>
  <c r="B177" i="3"/>
  <c r="B179" i="2"/>
  <c r="A177" i="4"/>
  <c r="G176" i="3"/>
  <c r="S176" i="3"/>
  <c r="Y176" i="3" s="1"/>
  <c r="Z176" i="3" s="1"/>
  <c r="C176" i="3"/>
  <c r="M176" i="3"/>
  <c r="P176" i="3"/>
  <c r="E176" i="3"/>
  <c r="D178" i="2"/>
  <c r="T177" i="2"/>
  <c r="C178" i="2"/>
  <c r="N176" i="2"/>
  <c r="J174" i="3"/>
  <c r="H175" i="2"/>
  <c r="E175" i="2" s="1"/>
  <c r="H174" i="3" s="1"/>
  <c r="C176" i="4"/>
  <c r="AB175" i="3"/>
  <c r="L181" i="2"/>
  <c r="D174" i="3"/>
  <c r="F173" i="3"/>
  <c r="P176" i="2"/>
  <c r="J175" i="2"/>
  <c r="G175" i="2" s="1"/>
  <c r="T174" i="3" s="1"/>
  <c r="V174" i="3"/>
  <c r="M182" i="2"/>
  <c r="O172" i="3"/>
  <c r="U172" i="3"/>
  <c r="I172" i="3"/>
  <c r="I176" i="4"/>
  <c r="M176" i="4" s="1"/>
  <c r="F173" i="4" l="1"/>
  <c r="J173" i="4"/>
  <c r="H173" i="4"/>
  <c r="G175" i="4"/>
  <c r="L175" i="4" s="1"/>
  <c r="E176" i="4"/>
  <c r="K175" i="4"/>
  <c r="N175" i="4" s="1"/>
  <c r="O179" i="2"/>
  <c r="I178" i="2"/>
  <c r="F178" i="2" s="1"/>
  <c r="N177" i="3" s="1"/>
  <c r="P177" i="2"/>
  <c r="J176" i="2"/>
  <c r="G176" i="2" s="1"/>
  <c r="T175" i="3" s="1"/>
  <c r="V175" i="3"/>
  <c r="C179" i="2"/>
  <c r="O173" i="3"/>
  <c r="I173" i="3"/>
  <c r="U173" i="3"/>
  <c r="D175" i="3"/>
  <c r="F174" i="3"/>
  <c r="D179" i="2"/>
  <c r="T178" i="2"/>
  <c r="I177" i="4"/>
  <c r="M177" i="4" s="1"/>
  <c r="L182" i="2"/>
  <c r="B178" i="3"/>
  <c r="B180" i="2"/>
  <c r="A178" i="4"/>
  <c r="C177" i="3"/>
  <c r="G177" i="3"/>
  <c r="S177" i="3"/>
  <c r="Y177" i="3" s="1"/>
  <c r="Z177" i="3" s="1"/>
  <c r="E177" i="3"/>
  <c r="P177" i="3"/>
  <c r="M177" i="3"/>
  <c r="D175" i="4"/>
  <c r="AA175" i="3"/>
  <c r="K179" i="2"/>
  <c r="M183" i="2"/>
  <c r="N177" i="2"/>
  <c r="J175" i="3"/>
  <c r="H176" i="2"/>
  <c r="E176" i="2" s="1"/>
  <c r="H175" i="3" s="1"/>
  <c r="C177" i="4"/>
  <c r="AB176" i="3"/>
  <c r="J174" i="4" l="1"/>
  <c r="H174" i="4"/>
  <c r="G176" i="4"/>
  <c r="L176" i="4" s="1"/>
  <c r="E177" i="4"/>
  <c r="F174" i="4"/>
  <c r="K176" i="4"/>
  <c r="N176" i="4" s="1"/>
  <c r="O180" i="2"/>
  <c r="I179" i="2"/>
  <c r="F179" i="2" s="1"/>
  <c r="N178" i="3" s="1"/>
  <c r="C178" i="4"/>
  <c r="AB177" i="3"/>
  <c r="A179" i="4"/>
  <c r="G178" i="3"/>
  <c r="M178" i="3"/>
  <c r="C178" i="3"/>
  <c r="S178" i="3"/>
  <c r="Y178" i="3" s="1"/>
  <c r="Z178" i="3" s="1"/>
  <c r="E178" i="3"/>
  <c r="P178" i="3"/>
  <c r="I174" i="3"/>
  <c r="U174" i="3"/>
  <c r="O174" i="3"/>
  <c r="B179" i="3"/>
  <c r="B181" i="2"/>
  <c r="F175" i="3"/>
  <c r="D176" i="3"/>
  <c r="L183" i="2"/>
  <c r="N178" i="2"/>
  <c r="H177" i="2"/>
  <c r="E177" i="2" s="1"/>
  <c r="H176" i="3" s="1"/>
  <c r="J176" i="3"/>
  <c r="M184" i="2"/>
  <c r="C180" i="2"/>
  <c r="K180" i="2"/>
  <c r="D176" i="4"/>
  <c r="AA176" i="3"/>
  <c r="I178" i="4"/>
  <c r="M178" i="4" s="1"/>
  <c r="T179" i="2"/>
  <c r="D180" i="2"/>
  <c r="P178" i="2"/>
  <c r="J177" i="2"/>
  <c r="G177" i="2" s="1"/>
  <c r="T176" i="3" s="1"/>
  <c r="V176" i="3"/>
  <c r="F175" i="4" l="1"/>
  <c r="G177" i="4"/>
  <c r="L177" i="4" s="1"/>
  <c r="K177" i="4"/>
  <c r="N177" i="4" s="1"/>
  <c r="E178" i="4"/>
  <c r="H175" i="4"/>
  <c r="J175" i="4"/>
  <c r="O181" i="2"/>
  <c r="I180" i="2"/>
  <c r="F180" i="2" s="1"/>
  <c r="N179" i="3" s="1"/>
  <c r="N179" i="2"/>
  <c r="H178" i="2"/>
  <c r="E178" i="2" s="1"/>
  <c r="H177" i="3" s="1"/>
  <c r="J177" i="3"/>
  <c r="D177" i="4"/>
  <c r="AA177" i="3"/>
  <c r="P179" i="2"/>
  <c r="J178" i="2"/>
  <c r="G178" i="2" s="1"/>
  <c r="T177" i="3" s="1"/>
  <c r="V177" i="3"/>
  <c r="F176" i="3"/>
  <c r="D177" i="3"/>
  <c r="C179" i="4"/>
  <c r="AB178" i="3"/>
  <c r="D181" i="2"/>
  <c r="T180" i="2"/>
  <c r="K181" i="2"/>
  <c r="I175" i="3"/>
  <c r="U175" i="3"/>
  <c r="O175" i="3"/>
  <c r="C181" i="2"/>
  <c r="B180" i="3"/>
  <c r="B182" i="2"/>
  <c r="A180" i="4"/>
  <c r="M179" i="3"/>
  <c r="S179" i="3"/>
  <c r="Y179" i="3" s="1"/>
  <c r="Z179" i="3" s="1"/>
  <c r="C179" i="3"/>
  <c r="E179" i="3"/>
  <c r="G179" i="3"/>
  <c r="P179" i="3"/>
  <c r="M185" i="2"/>
  <c r="I179" i="4"/>
  <c r="M179" i="4" s="1"/>
  <c r="L184" i="2"/>
  <c r="K178" i="4" l="1"/>
  <c r="N178" i="4" s="1"/>
  <c r="E179" i="4"/>
  <c r="H176" i="4"/>
  <c r="J176" i="4"/>
  <c r="F176" i="4"/>
  <c r="G178" i="4"/>
  <c r="L178" i="4" s="1"/>
  <c r="O182" i="2"/>
  <c r="I181" i="2"/>
  <c r="F181" i="2" s="1"/>
  <c r="N180" i="3" s="1"/>
  <c r="A181" i="4"/>
  <c r="C180" i="3"/>
  <c r="M180" i="3"/>
  <c r="P180" i="3"/>
  <c r="G180" i="3"/>
  <c r="E180" i="3"/>
  <c r="S180" i="3"/>
  <c r="Y180" i="3" s="1"/>
  <c r="Z180" i="3" s="1"/>
  <c r="L185" i="2"/>
  <c r="F177" i="3"/>
  <c r="D178" i="3"/>
  <c r="O176" i="3"/>
  <c r="U176" i="3"/>
  <c r="I176" i="3"/>
  <c r="C182" i="2"/>
  <c r="P180" i="2"/>
  <c r="J179" i="2"/>
  <c r="G179" i="2" s="1"/>
  <c r="T178" i="3" s="1"/>
  <c r="V178" i="3"/>
  <c r="C180" i="4"/>
  <c r="AB179" i="3"/>
  <c r="D178" i="4"/>
  <c r="AA178" i="3"/>
  <c r="K182" i="2"/>
  <c r="M186" i="2"/>
  <c r="I180" i="4"/>
  <c r="M180" i="4" s="1"/>
  <c r="B181" i="3"/>
  <c r="B183" i="2"/>
  <c r="D182" i="2"/>
  <c r="T181" i="2"/>
  <c r="N180" i="2"/>
  <c r="J178" i="3"/>
  <c r="H179" i="2"/>
  <c r="E179" i="2" s="1"/>
  <c r="H178" i="3" s="1"/>
  <c r="K179" i="4" l="1"/>
  <c r="N179" i="4" s="1"/>
  <c r="E180" i="4"/>
  <c r="G179" i="4"/>
  <c r="L179" i="4" s="1"/>
  <c r="F177" i="4"/>
  <c r="J177" i="4"/>
  <c r="H177" i="4"/>
  <c r="O183" i="2"/>
  <c r="I182" i="2"/>
  <c r="F182" i="2" s="1"/>
  <c r="N181" i="3" s="1"/>
  <c r="P181" i="2"/>
  <c r="J180" i="2"/>
  <c r="G180" i="2" s="1"/>
  <c r="T179" i="3" s="1"/>
  <c r="V179" i="3"/>
  <c r="N181" i="2"/>
  <c r="J179" i="3"/>
  <c r="H180" i="2"/>
  <c r="E180" i="2" s="1"/>
  <c r="H179" i="3" s="1"/>
  <c r="M187" i="2"/>
  <c r="C183" i="2"/>
  <c r="D183" i="2"/>
  <c r="T182" i="2"/>
  <c r="K183" i="2"/>
  <c r="B182" i="3"/>
  <c r="B184" i="2"/>
  <c r="D179" i="4"/>
  <c r="AA179" i="3"/>
  <c r="A182" i="4"/>
  <c r="C181" i="3"/>
  <c r="M181" i="3"/>
  <c r="P181" i="3"/>
  <c r="E181" i="3"/>
  <c r="S181" i="3"/>
  <c r="Y181" i="3" s="1"/>
  <c r="Z181" i="3" s="1"/>
  <c r="G181" i="3"/>
  <c r="F178" i="3"/>
  <c r="D179" i="3"/>
  <c r="C181" i="4"/>
  <c r="AB180" i="3"/>
  <c r="O177" i="3"/>
  <c r="U177" i="3"/>
  <c r="I177" i="3"/>
  <c r="L186" i="2"/>
  <c r="I181" i="4"/>
  <c r="M181" i="4" s="1"/>
  <c r="F178" i="4" l="1"/>
  <c r="J178" i="4"/>
  <c r="H178" i="4"/>
  <c r="K180" i="4"/>
  <c r="N180" i="4" s="1"/>
  <c r="E181" i="4"/>
  <c r="G180" i="4"/>
  <c r="L180" i="4" s="1"/>
  <c r="O184" i="2"/>
  <c r="I183" i="2"/>
  <c r="F183" i="2" s="1"/>
  <c r="N182" i="3" s="1"/>
  <c r="C184" i="2"/>
  <c r="I178" i="3"/>
  <c r="U178" i="3"/>
  <c r="O178" i="3"/>
  <c r="I182" i="4"/>
  <c r="M182" i="4" s="1"/>
  <c r="D180" i="4"/>
  <c r="AA180" i="3"/>
  <c r="M188" i="2"/>
  <c r="B183" i="3"/>
  <c r="B185" i="2"/>
  <c r="C182" i="4"/>
  <c r="AB181" i="3"/>
  <c r="F179" i="3"/>
  <c r="D180" i="3"/>
  <c r="L187" i="2"/>
  <c r="A183" i="4"/>
  <c r="M182" i="3"/>
  <c r="C182" i="3"/>
  <c r="P182" i="3"/>
  <c r="E182" i="3"/>
  <c r="S182" i="3"/>
  <c r="Y182" i="3" s="1"/>
  <c r="Z182" i="3" s="1"/>
  <c r="G182" i="3"/>
  <c r="K184" i="2"/>
  <c r="N182" i="2"/>
  <c r="J180" i="3"/>
  <c r="H181" i="2"/>
  <c r="E181" i="2" s="1"/>
  <c r="H180" i="3" s="1"/>
  <c r="T183" i="2"/>
  <c r="D184" i="2"/>
  <c r="P182" i="2"/>
  <c r="J181" i="2"/>
  <c r="G181" i="2" s="1"/>
  <c r="T180" i="3" s="1"/>
  <c r="V180" i="3"/>
  <c r="K181" i="4" l="1"/>
  <c r="N181" i="4" s="1"/>
  <c r="H179" i="4"/>
  <c r="J179" i="4"/>
  <c r="F179" i="4"/>
  <c r="G181" i="4"/>
  <c r="L181" i="4" s="1"/>
  <c r="E182" i="4"/>
  <c r="O185" i="2"/>
  <c r="I184" i="2"/>
  <c r="F184" i="2" s="1"/>
  <c r="N183" i="3" s="1"/>
  <c r="L188" i="2"/>
  <c r="F180" i="3"/>
  <c r="D181" i="3"/>
  <c r="P183" i="2"/>
  <c r="J182" i="2"/>
  <c r="G182" i="2" s="1"/>
  <c r="T181" i="3" s="1"/>
  <c r="V181" i="3"/>
  <c r="I179" i="3"/>
  <c r="U179" i="3"/>
  <c r="O179" i="3"/>
  <c r="T184" i="2"/>
  <c r="D185" i="2"/>
  <c r="B184" i="3"/>
  <c r="B186" i="2"/>
  <c r="A184" i="4"/>
  <c r="M183" i="3"/>
  <c r="C183" i="3"/>
  <c r="P183" i="3"/>
  <c r="G183" i="3"/>
  <c r="S183" i="3"/>
  <c r="Y183" i="3" s="1"/>
  <c r="Z183" i="3" s="1"/>
  <c r="E183" i="3"/>
  <c r="M189" i="2"/>
  <c r="N183" i="2"/>
  <c r="H182" i="2"/>
  <c r="E182" i="2" s="1"/>
  <c r="H181" i="3" s="1"/>
  <c r="J181" i="3"/>
  <c r="C185" i="2"/>
  <c r="C183" i="4"/>
  <c r="AB182" i="3"/>
  <c r="D181" i="4"/>
  <c r="AA181" i="3"/>
  <c r="K185" i="2"/>
  <c r="I183" i="4"/>
  <c r="M183" i="4" s="1"/>
  <c r="G182" i="4" l="1"/>
  <c r="L182" i="4" s="1"/>
  <c r="H180" i="4"/>
  <c r="F180" i="4"/>
  <c r="K182" i="4"/>
  <c r="N182" i="4" s="1"/>
  <c r="J180" i="4"/>
  <c r="E183" i="4"/>
  <c r="O186" i="2"/>
  <c r="I185" i="2"/>
  <c r="F185" i="2" s="1"/>
  <c r="N184" i="3" s="1"/>
  <c r="C186" i="2"/>
  <c r="M190" i="2"/>
  <c r="C184" i="4"/>
  <c r="AB183" i="3"/>
  <c r="P184" i="2"/>
  <c r="J183" i="2"/>
  <c r="G183" i="2" s="1"/>
  <c r="T182" i="3" s="1"/>
  <c r="V182" i="3"/>
  <c r="N184" i="2"/>
  <c r="H183" i="2"/>
  <c r="E183" i="2" s="1"/>
  <c r="H182" i="3" s="1"/>
  <c r="J182" i="3"/>
  <c r="K186" i="2"/>
  <c r="I184" i="4"/>
  <c r="M184" i="4" s="1"/>
  <c r="D182" i="3"/>
  <c r="F181" i="3"/>
  <c r="D182" i="4"/>
  <c r="AA182" i="3"/>
  <c r="B185" i="3"/>
  <c r="B187" i="2"/>
  <c r="O180" i="3"/>
  <c r="U180" i="3"/>
  <c r="I180" i="3"/>
  <c r="A185" i="4"/>
  <c r="M184" i="3"/>
  <c r="C184" i="3"/>
  <c r="P184" i="3"/>
  <c r="G184" i="3"/>
  <c r="E184" i="3"/>
  <c r="S184" i="3"/>
  <c r="Y184" i="3" s="1"/>
  <c r="Z184" i="3" s="1"/>
  <c r="L189" i="2"/>
  <c r="D186" i="2"/>
  <c r="T185" i="2"/>
  <c r="F181" i="4" l="1"/>
  <c r="J181" i="4"/>
  <c r="H181" i="4"/>
  <c r="K183" i="4"/>
  <c r="N183" i="4" s="1"/>
  <c r="E184" i="4"/>
  <c r="G183" i="4"/>
  <c r="L183" i="4" s="1"/>
  <c r="O187" i="2"/>
  <c r="I186" i="2"/>
  <c r="F186" i="2" s="1"/>
  <c r="N185" i="3" s="1"/>
  <c r="T186" i="2"/>
  <c r="D187" i="2"/>
  <c r="D183" i="3"/>
  <c r="F182" i="3"/>
  <c r="C185" i="4"/>
  <c r="AB184" i="3"/>
  <c r="O181" i="3"/>
  <c r="I181" i="3"/>
  <c r="U181" i="3"/>
  <c r="L190" i="2"/>
  <c r="P185" i="2"/>
  <c r="J184" i="2"/>
  <c r="G184" i="2" s="1"/>
  <c r="T183" i="3" s="1"/>
  <c r="V183" i="3"/>
  <c r="N185" i="2"/>
  <c r="J183" i="3"/>
  <c r="H184" i="2"/>
  <c r="E184" i="2" s="1"/>
  <c r="H183" i="3" s="1"/>
  <c r="I185" i="4"/>
  <c r="M185" i="4" s="1"/>
  <c r="M191" i="2"/>
  <c r="B186" i="3"/>
  <c r="B188" i="2"/>
  <c r="K187" i="2"/>
  <c r="C187" i="2"/>
  <c r="A186" i="4"/>
  <c r="C185" i="3"/>
  <c r="M185" i="3"/>
  <c r="P185" i="3"/>
  <c r="S185" i="3"/>
  <c r="Y185" i="3" s="1"/>
  <c r="Z185" i="3" s="1"/>
  <c r="E185" i="3"/>
  <c r="G185" i="3"/>
  <c r="D183" i="4"/>
  <c r="AA183" i="3"/>
  <c r="F182" i="4" l="1"/>
  <c r="J182" i="4"/>
  <c r="H182" i="4"/>
  <c r="G184" i="4"/>
  <c r="L184" i="4" s="1"/>
  <c r="E185" i="4"/>
  <c r="K184" i="4"/>
  <c r="N184" i="4" s="1"/>
  <c r="O188" i="2"/>
  <c r="I187" i="2"/>
  <c r="F187" i="2" s="1"/>
  <c r="N186" i="3" s="1"/>
  <c r="D184" i="4"/>
  <c r="AA184" i="3"/>
  <c r="L191" i="2"/>
  <c r="I186" i="4"/>
  <c r="M186" i="4" s="1"/>
  <c r="C188" i="2"/>
  <c r="K188" i="2"/>
  <c r="O182" i="3"/>
  <c r="U182" i="3"/>
  <c r="I182" i="3"/>
  <c r="B187" i="3"/>
  <c r="B189" i="2"/>
  <c r="N186" i="2"/>
  <c r="H185" i="2"/>
  <c r="E185" i="2" s="1"/>
  <c r="H184" i="3" s="1"/>
  <c r="J184" i="3"/>
  <c r="D184" i="3"/>
  <c r="F183" i="3"/>
  <c r="A187" i="4"/>
  <c r="M186" i="3"/>
  <c r="E186" i="3"/>
  <c r="C186" i="3"/>
  <c r="G186" i="3"/>
  <c r="P186" i="3"/>
  <c r="S186" i="3"/>
  <c r="Y186" i="3" s="1"/>
  <c r="Z186" i="3" s="1"/>
  <c r="T187" i="2"/>
  <c r="D188" i="2"/>
  <c r="C186" i="4"/>
  <c r="AB185" i="3"/>
  <c r="M192" i="2"/>
  <c r="P186" i="2"/>
  <c r="J185" i="2"/>
  <c r="G185" i="2" s="1"/>
  <c r="T184" i="3" s="1"/>
  <c r="V184" i="3"/>
  <c r="F183" i="4" l="1"/>
  <c r="J183" i="4"/>
  <c r="K185" i="4"/>
  <c r="N185" i="4" s="1"/>
  <c r="H183" i="4"/>
  <c r="E186" i="4"/>
  <c r="G185" i="4"/>
  <c r="L185" i="4" s="1"/>
  <c r="O189" i="2"/>
  <c r="I188" i="2"/>
  <c r="F188" i="2" s="1"/>
  <c r="N187" i="3" s="1"/>
  <c r="C189" i="2"/>
  <c r="P187" i="2"/>
  <c r="J186" i="2"/>
  <c r="G186" i="2" s="1"/>
  <c r="T185" i="3" s="1"/>
  <c r="V185" i="3"/>
  <c r="N187" i="2"/>
  <c r="J185" i="3"/>
  <c r="H186" i="2"/>
  <c r="E186" i="2" s="1"/>
  <c r="H185" i="3" s="1"/>
  <c r="M193" i="2"/>
  <c r="B188" i="3"/>
  <c r="B190" i="2"/>
  <c r="A188" i="4"/>
  <c r="G187" i="3"/>
  <c r="M187" i="3"/>
  <c r="E187" i="3"/>
  <c r="P187" i="3"/>
  <c r="S187" i="3"/>
  <c r="Y187" i="3" s="1"/>
  <c r="Z187" i="3" s="1"/>
  <c r="C187" i="3"/>
  <c r="C187" i="4"/>
  <c r="AB186" i="3"/>
  <c r="F184" i="3"/>
  <c r="D185" i="3"/>
  <c r="L192" i="2"/>
  <c r="D189" i="2"/>
  <c r="T188" i="2"/>
  <c r="I187" i="4"/>
  <c r="M187" i="4" s="1"/>
  <c r="K189" i="2"/>
  <c r="D185" i="4"/>
  <c r="AA185" i="3"/>
  <c r="I183" i="3"/>
  <c r="U183" i="3"/>
  <c r="O183" i="3"/>
  <c r="G186" i="4" l="1"/>
  <c r="L186" i="4" s="1"/>
  <c r="F184" i="4"/>
  <c r="H184" i="4"/>
  <c r="K186" i="4"/>
  <c r="N186" i="4" s="1"/>
  <c r="E187" i="4"/>
  <c r="J184" i="4"/>
  <c r="O190" i="2"/>
  <c r="I189" i="2"/>
  <c r="F189" i="2" s="1"/>
  <c r="N188" i="3" s="1"/>
  <c r="A189" i="4"/>
  <c r="G188" i="3"/>
  <c r="M188" i="3"/>
  <c r="C188" i="3"/>
  <c r="P188" i="3"/>
  <c r="E188" i="3"/>
  <c r="S188" i="3"/>
  <c r="Y188" i="3" s="1"/>
  <c r="Z188" i="3" s="1"/>
  <c r="M194" i="2"/>
  <c r="D190" i="2"/>
  <c r="T189" i="2"/>
  <c r="D186" i="4"/>
  <c r="AA186" i="3"/>
  <c r="C188" i="4"/>
  <c r="AB187" i="3"/>
  <c r="L193" i="2"/>
  <c r="N188" i="2"/>
  <c r="H187" i="2"/>
  <c r="E187" i="2" s="1"/>
  <c r="H186" i="3" s="1"/>
  <c r="J186" i="3"/>
  <c r="K190" i="2"/>
  <c r="F185" i="3"/>
  <c r="D186" i="3"/>
  <c r="O184" i="3"/>
  <c r="I184" i="3"/>
  <c r="U184" i="3"/>
  <c r="P188" i="2"/>
  <c r="J187" i="2"/>
  <c r="G187" i="2" s="1"/>
  <c r="T186" i="3" s="1"/>
  <c r="V186" i="3"/>
  <c r="C190" i="2"/>
  <c r="I188" i="4"/>
  <c r="M188" i="4" s="1"/>
  <c r="B189" i="3"/>
  <c r="B191" i="2"/>
  <c r="K187" i="4" l="1"/>
  <c r="N187" i="4" s="1"/>
  <c r="H185" i="4"/>
  <c r="E188" i="4"/>
  <c r="G187" i="4"/>
  <c r="L187" i="4" s="1"/>
  <c r="J185" i="4"/>
  <c r="F185" i="4"/>
  <c r="O191" i="2"/>
  <c r="I190" i="2"/>
  <c r="F190" i="2" s="1"/>
  <c r="N189" i="3" s="1"/>
  <c r="N189" i="2"/>
  <c r="H188" i="2"/>
  <c r="E188" i="2" s="1"/>
  <c r="H187" i="3" s="1"/>
  <c r="J187" i="3"/>
  <c r="B190" i="3"/>
  <c r="B192" i="2"/>
  <c r="A190" i="4"/>
  <c r="C189" i="3"/>
  <c r="S189" i="3"/>
  <c r="Y189" i="3" s="1"/>
  <c r="Z189" i="3" s="1"/>
  <c r="G189" i="3"/>
  <c r="P189" i="3"/>
  <c r="M189" i="3"/>
  <c r="E189" i="3"/>
  <c r="P189" i="2"/>
  <c r="J188" i="2"/>
  <c r="G188" i="2" s="1"/>
  <c r="T187" i="3" s="1"/>
  <c r="V187" i="3"/>
  <c r="L194" i="2"/>
  <c r="D187" i="4"/>
  <c r="AA187" i="3"/>
  <c r="C189" i="4"/>
  <c r="AB188" i="3"/>
  <c r="D187" i="3"/>
  <c r="F186" i="3"/>
  <c r="O185" i="3"/>
  <c r="I185" i="3"/>
  <c r="U185" i="3"/>
  <c r="K191" i="2"/>
  <c r="C191" i="2"/>
  <c r="T190" i="2"/>
  <c r="D191" i="2"/>
  <c r="M195" i="2"/>
  <c r="I189" i="4"/>
  <c r="M189" i="4" s="1"/>
  <c r="E189" i="4" l="1"/>
  <c r="K188" i="4"/>
  <c r="N188" i="4" s="1"/>
  <c r="G188" i="4"/>
  <c r="L188" i="4" s="1"/>
  <c r="J186" i="4"/>
  <c r="F186" i="4"/>
  <c r="H186" i="4"/>
  <c r="O192" i="2"/>
  <c r="I191" i="2"/>
  <c r="F191" i="2" s="1"/>
  <c r="N190" i="3" s="1"/>
  <c r="C192" i="2"/>
  <c r="D188" i="4"/>
  <c r="AA188" i="3"/>
  <c r="L195" i="2"/>
  <c r="P190" i="2"/>
  <c r="J189" i="2"/>
  <c r="G189" i="2" s="1"/>
  <c r="T188" i="3" s="1"/>
  <c r="V188" i="3"/>
  <c r="I190" i="4"/>
  <c r="M190" i="4" s="1"/>
  <c r="B191" i="3"/>
  <c r="B193" i="2"/>
  <c r="M196" i="2"/>
  <c r="U186" i="3"/>
  <c r="I186" i="3"/>
  <c r="O186" i="3"/>
  <c r="A191" i="4"/>
  <c r="E190" i="3"/>
  <c r="S190" i="3"/>
  <c r="Y190" i="3" s="1"/>
  <c r="Z190" i="3" s="1"/>
  <c r="G190" i="3"/>
  <c r="P190" i="3"/>
  <c r="C190" i="3"/>
  <c r="M190" i="3"/>
  <c r="C190" i="4"/>
  <c r="AB189" i="3"/>
  <c r="D192" i="2"/>
  <c r="T191" i="2"/>
  <c r="K192" i="2"/>
  <c r="F187" i="3"/>
  <c r="D188" i="3"/>
  <c r="N190" i="2"/>
  <c r="H189" i="2"/>
  <c r="E189" i="2" s="1"/>
  <c r="H188" i="3" s="1"/>
  <c r="J188" i="3"/>
  <c r="G189" i="4" l="1"/>
  <c r="L189" i="4" s="1"/>
  <c r="K189" i="4"/>
  <c r="N189" i="4" s="1"/>
  <c r="H187" i="4"/>
  <c r="F187" i="4"/>
  <c r="J187" i="4"/>
  <c r="E190" i="4"/>
  <c r="O193" i="2"/>
  <c r="I192" i="2"/>
  <c r="F192" i="2" s="1"/>
  <c r="N191" i="3" s="1"/>
  <c r="C191" i="4"/>
  <c r="AB190" i="3"/>
  <c r="F188" i="3"/>
  <c r="D189" i="3"/>
  <c r="P191" i="2"/>
  <c r="J190" i="2"/>
  <c r="G190" i="2" s="1"/>
  <c r="T189" i="3" s="1"/>
  <c r="V189" i="3"/>
  <c r="I187" i="3"/>
  <c r="U187" i="3"/>
  <c r="O187" i="3"/>
  <c r="M197" i="2"/>
  <c r="N191" i="2"/>
  <c r="J189" i="3"/>
  <c r="H190" i="2"/>
  <c r="E190" i="2" s="1"/>
  <c r="H189" i="3" s="1"/>
  <c r="K193" i="2"/>
  <c r="B192" i="3"/>
  <c r="B194" i="2"/>
  <c r="L196" i="2"/>
  <c r="A192" i="4"/>
  <c r="E191" i="3"/>
  <c r="S191" i="3"/>
  <c r="Y191" i="3" s="1"/>
  <c r="Z191" i="3" s="1"/>
  <c r="G191" i="3"/>
  <c r="C191" i="3"/>
  <c r="M191" i="3"/>
  <c r="P191" i="3"/>
  <c r="D189" i="4"/>
  <c r="AA189" i="3"/>
  <c r="I191" i="4"/>
  <c r="M191" i="4" s="1"/>
  <c r="T192" i="2"/>
  <c r="D193" i="2"/>
  <c r="C193" i="2"/>
  <c r="J188" i="4" l="1"/>
  <c r="F188" i="4"/>
  <c r="K190" i="4"/>
  <c r="N190" i="4" s="1"/>
  <c r="H188" i="4"/>
  <c r="E191" i="4"/>
  <c r="G190" i="4"/>
  <c r="L190" i="4" s="1"/>
  <c r="O194" i="2"/>
  <c r="I193" i="2"/>
  <c r="F193" i="2" s="1"/>
  <c r="N192" i="3" s="1"/>
  <c r="C194" i="2"/>
  <c r="D190" i="4"/>
  <c r="AA190" i="3"/>
  <c r="M198" i="2"/>
  <c r="I192" i="4"/>
  <c r="M192" i="4" s="1"/>
  <c r="L197" i="2"/>
  <c r="C192" i="4"/>
  <c r="AB191" i="3"/>
  <c r="B193" i="3"/>
  <c r="B195" i="2"/>
  <c r="A193" i="4"/>
  <c r="C192" i="3"/>
  <c r="P192" i="3"/>
  <c r="E192" i="3"/>
  <c r="S192" i="3"/>
  <c r="Y192" i="3" s="1"/>
  <c r="Z192" i="3" s="1"/>
  <c r="G192" i="3"/>
  <c r="M192" i="3"/>
  <c r="P192" i="2"/>
  <c r="J191" i="2"/>
  <c r="G191" i="2" s="1"/>
  <c r="T190" i="3" s="1"/>
  <c r="V190" i="3"/>
  <c r="D194" i="2"/>
  <c r="T193" i="2"/>
  <c r="K194" i="2"/>
  <c r="F189" i="3"/>
  <c r="D190" i="3"/>
  <c r="U188" i="3"/>
  <c r="I188" i="3"/>
  <c r="O188" i="3"/>
  <c r="N192" i="2"/>
  <c r="H191" i="2"/>
  <c r="E191" i="2" s="1"/>
  <c r="H190" i="3" s="1"/>
  <c r="J190" i="3"/>
  <c r="K191" i="4" l="1"/>
  <c r="N191" i="4" s="1"/>
  <c r="E192" i="4"/>
  <c r="G191" i="4"/>
  <c r="L191" i="4" s="1"/>
  <c r="F189" i="4"/>
  <c r="H189" i="4"/>
  <c r="J189" i="4"/>
  <c r="O195" i="2"/>
  <c r="I194" i="2"/>
  <c r="F194" i="2" s="1"/>
  <c r="N193" i="3" s="1"/>
  <c r="N193" i="2"/>
  <c r="H192" i="2"/>
  <c r="E192" i="2" s="1"/>
  <c r="H191" i="3" s="1"/>
  <c r="J191" i="3"/>
  <c r="P193" i="2"/>
  <c r="J192" i="2"/>
  <c r="G192" i="2" s="1"/>
  <c r="T191" i="3" s="1"/>
  <c r="V191" i="3"/>
  <c r="I193" i="4"/>
  <c r="M193" i="4" s="1"/>
  <c r="B194" i="3"/>
  <c r="B196" i="2"/>
  <c r="C193" i="4"/>
  <c r="AB192" i="3"/>
  <c r="A194" i="4"/>
  <c r="C193" i="3"/>
  <c r="P193" i="3"/>
  <c r="E193" i="3"/>
  <c r="S193" i="3"/>
  <c r="Y193" i="3" s="1"/>
  <c r="Z193" i="3" s="1"/>
  <c r="G193" i="3"/>
  <c r="M193" i="3"/>
  <c r="M199" i="2"/>
  <c r="D191" i="3"/>
  <c r="F190" i="3"/>
  <c r="D191" i="4"/>
  <c r="AA191" i="3"/>
  <c r="O189" i="3"/>
  <c r="U189" i="3"/>
  <c r="I189" i="3"/>
  <c r="K195" i="2"/>
  <c r="T194" i="2"/>
  <c r="D195" i="2"/>
  <c r="L198" i="2"/>
  <c r="C195" i="2"/>
  <c r="K192" i="4" l="1"/>
  <c r="N192" i="4" s="1"/>
  <c r="G192" i="4"/>
  <c r="L192" i="4" s="1"/>
  <c r="F190" i="4"/>
  <c r="J190" i="4"/>
  <c r="H190" i="4"/>
  <c r="E193" i="4"/>
  <c r="O196" i="2"/>
  <c r="I195" i="2"/>
  <c r="F195" i="2" s="1"/>
  <c r="N194" i="3" s="1"/>
  <c r="D192" i="4"/>
  <c r="AA192" i="3"/>
  <c r="U190" i="3"/>
  <c r="I190" i="3"/>
  <c r="O190" i="3"/>
  <c r="L199" i="2"/>
  <c r="D192" i="3"/>
  <c r="F191" i="3"/>
  <c r="D196" i="2"/>
  <c r="T195" i="2"/>
  <c r="M200" i="2"/>
  <c r="I194" i="4"/>
  <c r="M194" i="4" s="1"/>
  <c r="C196" i="2"/>
  <c r="P194" i="2"/>
  <c r="J193" i="2"/>
  <c r="G193" i="2" s="1"/>
  <c r="T192" i="3" s="1"/>
  <c r="V192" i="3"/>
  <c r="C194" i="4"/>
  <c r="AB193" i="3"/>
  <c r="K196" i="2"/>
  <c r="B195" i="3"/>
  <c r="B197" i="2"/>
  <c r="A195" i="4"/>
  <c r="C194" i="3"/>
  <c r="P194" i="3"/>
  <c r="E194" i="3"/>
  <c r="G194" i="3"/>
  <c r="S194" i="3"/>
  <c r="Y194" i="3" s="1"/>
  <c r="Z194" i="3" s="1"/>
  <c r="M194" i="3"/>
  <c r="N194" i="2"/>
  <c r="H193" i="2"/>
  <c r="E193" i="2" s="1"/>
  <c r="H192" i="3" s="1"/>
  <c r="J192" i="3"/>
  <c r="G193" i="4" l="1"/>
  <c r="L193" i="4" s="1"/>
  <c r="E194" i="4"/>
  <c r="H191" i="4"/>
  <c r="K193" i="4"/>
  <c r="N193" i="4" s="1"/>
  <c r="F191" i="4"/>
  <c r="J191" i="4"/>
  <c r="O197" i="2"/>
  <c r="I196" i="2"/>
  <c r="F196" i="2" s="1"/>
  <c r="N195" i="3" s="1"/>
  <c r="T196" i="2"/>
  <c r="D197" i="2"/>
  <c r="N195" i="2"/>
  <c r="J193" i="3"/>
  <c r="H194" i="2"/>
  <c r="E194" i="2" s="1"/>
  <c r="H193" i="3" s="1"/>
  <c r="I195" i="4"/>
  <c r="M195" i="4" s="1"/>
  <c r="C197" i="2"/>
  <c r="I191" i="3"/>
  <c r="U191" i="3"/>
  <c r="O191" i="3"/>
  <c r="B196" i="3"/>
  <c r="B198" i="2"/>
  <c r="F192" i="3"/>
  <c r="D193" i="3"/>
  <c r="P195" i="2"/>
  <c r="J194" i="2"/>
  <c r="G194" i="2" s="1"/>
  <c r="T193" i="3" s="1"/>
  <c r="V193" i="3"/>
  <c r="C195" i="4"/>
  <c r="AB194" i="3"/>
  <c r="A196" i="4"/>
  <c r="M195" i="3"/>
  <c r="C195" i="3"/>
  <c r="P195" i="3"/>
  <c r="E195" i="3"/>
  <c r="G195" i="3"/>
  <c r="S195" i="3"/>
  <c r="Y195" i="3" s="1"/>
  <c r="Z195" i="3" s="1"/>
  <c r="L200" i="2"/>
  <c r="K197" i="2"/>
  <c r="D193" i="4"/>
  <c r="AA193" i="3"/>
  <c r="M201" i="2"/>
  <c r="J192" i="4" l="1"/>
  <c r="F192" i="4"/>
  <c r="H192" i="4"/>
  <c r="E195" i="4"/>
  <c r="K194" i="4"/>
  <c r="N194" i="4" s="1"/>
  <c r="G194" i="4"/>
  <c r="L194" i="4" s="1"/>
  <c r="O198" i="2"/>
  <c r="I197" i="2"/>
  <c r="F197" i="2" s="1"/>
  <c r="N196" i="3" s="1"/>
  <c r="D194" i="3"/>
  <c r="F193" i="3"/>
  <c r="D194" i="4"/>
  <c r="AA194" i="3"/>
  <c r="U192" i="3"/>
  <c r="I192" i="3"/>
  <c r="O192" i="3"/>
  <c r="B197" i="3"/>
  <c r="B199" i="2"/>
  <c r="M202" i="2"/>
  <c r="A197" i="4"/>
  <c r="M196" i="3"/>
  <c r="E196" i="3"/>
  <c r="G196" i="3"/>
  <c r="P196" i="3"/>
  <c r="S196" i="3"/>
  <c r="Y196" i="3" s="1"/>
  <c r="Z196" i="3" s="1"/>
  <c r="C196" i="3"/>
  <c r="P196" i="2"/>
  <c r="J195" i="2"/>
  <c r="G195" i="2" s="1"/>
  <c r="T194" i="3" s="1"/>
  <c r="V194" i="3"/>
  <c r="C196" i="4"/>
  <c r="AB195" i="3"/>
  <c r="L201" i="2"/>
  <c r="I196" i="4"/>
  <c r="M196" i="4" s="1"/>
  <c r="N196" i="2"/>
  <c r="H195" i="2"/>
  <c r="E195" i="2" s="1"/>
  <c r="H194" i="3" s="1"/>
  <c r="J194" i="3"/>
  <c r="K198" i="2"/>
  <c r="C198" i="2"/>
  <c r="D198" i="2"/>
  <c r="T197" i="2"/>
  <c r="E196" i="4" l="1"/>
  <c r="K195" i="4"/>
  <c r="N195" i="4" s="1"/>
  <c r="H193" i="4"/>
  <c r="F193" i="4"/>
  <c r="J193" i="4"/>
  <c r="G195" i="4"/>
  <c r="L195" i="4" s="1"/>
  <c r="O199" i="2"/>
  <c r="I198" i="2"/>
  <c r="F198" i="2" s="1"/>
  <c r="N197" i="3" s="1"/>
  <c r="P197" i="2"/>
  <c r="J196" i="2"/>
  <c r="G196" i="2" s="1"/>
  <c r="T195" i="3" s="1"/>
  <c r="V195" i="3"/>
  <c r="I197" i="4"/>
  <c r="M197" i="4" s="1"/>
  <c r="D199" i="2"/>
  <c r="T198" i="2"/>
  <c r="M203" i="2"/>
  <c r="B198" i="3"/>
  <c r="B200" i="2"/>
  <c r="A198" i="4"/>
  <c r="E197" i="3"/>
  <c r="G197" i="3"/>
  <c r="S197" i="3"/>
  <c r="Y197" i="3" s="1"/>
  <c r="Z197" i="3" s="1"/>
  <c r="C197" i="3"/>
  <c r="M197" i="3"/>
  <c r="P197" i="3"/>
  <c r="C199" i="2"/>
  <c r="L202" i="2"/>
  <c r="C197" i="4"/>
  <c r="AB196" i="3"/>
  <c r="K199" i="2"/>
  <c r="D195" i="4"/>
  <c r="AA195" i="3"/>
  <c r="O193" i="3"/>
  <c r="U193" i="3"/>
  <c r="I193" i="3"/>
  <c r="N197" i="2"/>
  <c r="J195" i="3"/>
  <c r="H196" i="2"/>
  <c r="E196" i="2" s="1"/>
  <c r="H195" i="3" s="1"/>
  <c r="F194" i="3"/>
  <c r="D195" i="3"/>
  <c r="G196" i="4" l="1"/>
  <c r="L196" i="4" s="1"/>
  <c r="E197" i="4"/>
  <c r="F194" i="4"/>
  <c r="H194" i="4"/>
  <c r="K196" i="4"/>
  <c r="N196" i="4" s="1"/>
  <c r="J194" i="4"/>
  <c r="O200" i="2"/>
  <c r="I199" i="2"/>
  <c r="F199" i="2" s="1"/>
  <c r="N198" i="3" s="1"/>
  <c r="K200" i="2"/>
  <c r="F195" i="3"/>
  <c r="D196" i="3"/>
  <c r="O194" i="3"/>
  <c r="I194" i="3"/>
  <c r="U194" i="3"/>
  <c r="T199" i="2"/>
  <c r="D200" i="2"/>
  <c r="L203" i="2"/>
  <c r="N198" i="2"/>
  <c r="J196" i="3"/>
  <c r="H197" i="2"/>
  <c r="E197" i="2" s="1"/>
  <c r="H196" i="3" s="1"/>
  <c r="C200" i="2"/>
  <c r="I198" i="4"/>
  <c r="M198" i="4" s="1"/>
  <c r="B199" i="3"/>
  <c r="B201" i="2"/>
  <c r="C198" i="4"/>
  <c r="AB197" i="3"/>
  <c r="A199" i="4"/>
  <c r="C198" i="3"/>
  <c r="P198" i="3"/>
  <c r="E198" i="3"/>
  <c r="G198" i="3"/>
  <c r="S198" i="3"/>
  <c r="Y198" i="3" s="1"/>
  <c r="Z198" i="3" s="1"/>
  <c r="M198" i="3"/>
  <c r="D196" i="4"/>
  <c r="AA196" i="3"/>
  <c r="M204" i="2"/>
  <c r="P198" i="2"/>
  <c r="J197" i="2"/>
  <c r="G197" i="2" s="1"/>
  <c r="T196" i="3" s="1"/>
  <c r="V196" i="3"/>
  <c r="E198" i="4" l="1"/>
  <c r="J195" i="4"/>
  <c r="F195" i="4"/>
  <c r="K197" i="4"/>
  <c r="N197" i="4" s="1"/>
  <c r="H195" i="4"/>
  <c r="G197" i="4"/>
  <c r="L197" i="4" s="1"/>
  <c r="O201" i="2"/>
  <c r="I200" i="2"/>
  <c r="F200" i="2" s="1"/>
  <c r="N199" i="3" s="1"/>
  <c r="L204" i="2"/>
  <c r="D201" i="2"/>
  <c r="T200" i="2"/>
  <c r="P199" i="2"/>
  <c r="J198" i="2"/>
  <c r="G198" i="2" s="1"/>
  <c r="T197" i="3" s="1"/>
  <c r="V197" i="3"/>
  <c r="D197" i="4"/>
  <c r="AA197" i="3"/>
  <c r="C201" i="2"/>
  <c r="I199" i="4"/>
  <c r="M199" i="4" s="1"/>
  <c r="F196" i="3"/>
  <c r="D197" i="3"/>
  <c r="M205" i="2"/>
  <c r="C199" i="4"/>
  <c r="AB198" i="3"/>
  <c r="O195" i="3"/>
  <c r="I195" i="3"/>
  <c r="U195" i="3"/>
  <c r="B200" i="3"/>
  <c r="B202" i="2"/>
  <c r="A200" i="4"/>
  <c r="M199" i="3"/>
  <c r="C199" i="3"/>
  <c r="P199" i="3"/>
  <c r="E199" i="3"/>
  <c r="G199" i="3"/>
  <c r="S199" i="3"/>
  <c r="Y199" i="3" s="1"/>
  <c r="Z199" i="3" s="1"/>
  <c r="N199" i="2"/>
  <c r="H198" i="2"/>
  <c r="E198" i="2" s="1"/>
  <c r="H197" i="3" s="1"/>
  <c r="J197" i="3"/>
  <c r="K201" i="2"/>
  <c r="G198" i="4" l="1"/>
  <c r="L198" i="4" s="1"/>
  <c r="F196" i="4"/>
  <c r="J196" i="4"/>
  <c r="K198" i="4"/>
  <c r="N198" i="4" s="1"/>
  <c r="H196" i="4"/>
  <c r="E199" i="4"/>
  <c r="O202" i="2"/>
  <c r="I201" i="2"/>
  <c r="F201" i="2" s="1"/>
  <c r="N200" i="3" s="1"/>
  <c r="K202" i="2"/>
  <c r="C202" i="2"/>
  <c r="M206" i="2"/>
  <c r="D198" i="4"/>
  <c r="AA198" i="3"/>
  <c r="F197" i="3"/>
  <c r="D198" i="3"/>
  <c r="C200" i="4"/>
  <c r="AB199" i="3"/>
  <c r="I196" i="3"/>
  <c r="U196" i="3"/>
  <c r="O196" i="3"/>
  <c r="N200" i="2"/>
  <c r="H199" i="2"/>
  <c r="E199" i="2" s="1"/>
  <c r="H198" i="3" s="1"/>
  <c r="J198" i="3"/>
  <c r="I200" i="4"/>
  <c r="M200" i="4" s="1"/>
  <c r="B201" i="3"/>
  <c r="B203" i="2"/>
  <c r="P200" i="2"/>
  <c r="J199" i="2"/>
  <c r="G199" i="2" s="1"/>
  <c r="T198" i="3" s="1"/>
  <c r="V198" i="3"/>
  <c r="A201" i="4"/>
  <c r="M200" i="3"/>
  <c r="E200" i="3"/>
  <c r="G200" i="3"/>
  <c r="P200" i="3"/>
  <c r="S200" i="3"/>
  <c r="Y200" i="3" s="1"/>
  <c r="Z200" i="3" s="1"/>
  <c r="C200" i="3"/>
  <c r="T201" i="2"/>
  <c r="D202" i="2"/>
  <c r="L205" i="2"/>
  <c r="K199" i="4" l="1"/>
  <c r="N199" i="4" s="1"/>
  <c r="E200" i="4"/>
  <c r="F197" i="4"/>
  <c r="G199" i="4"/>
  <c r="L199" i="4" s="1"/>
  <c r="H197" i="4"/>
  <c r="J197" i="4"/>
  <c r="O203" i="2"/>
  <c r="I202" i="2"/>
  <c r="F202" i="2" s="1"/>
  <c r="N201" i="3" s="1"/>
  <c r="C201" i="4"/>
  <c r="AB200" i="3"/>
  <c r="L206" i="2"/>
  <c r="I197" i="3"/>
  <c r="U197" i="3"/>
  <c r="O197" i="3"/>
  <c r="D203" i="2"/>
  <c r="T202" i="2"/>
  <c r="D199" i="4"/>
  <c r="AA199" i="3"/>
  <c r="F198" i="3"/>
  <c r="D199" i="3"/>
  <c r="I201" i="4"/>
  <c r="M201" i="4" s="1"/>
  <c r="M207" i="2"/>
  <c r="N201" i="2"/>
  <c r="J199" i="3"/>
  <c r="H200" i="2"/>
  <c r="E200" i="2" s="1"/>
  <c r="H199" i="3" s="1"/>
  <c r="C203" i="2"/>
  <c r="P201" i="2"/>
  <c r="J200" i="2"/>
  <c r="G200" i="2" s="1"/>
  <c r="T199" i="3" s="1"/>
  <c r="V199" i="3"/>
  <c r="B202" i="3"/>
  <c r="B204" i="2"/>
  <c r="A202" i="4"/>
  <c r="E201" i="3"/>
  <c r="G201" i="3"/>
  <c r="S201" i="3"/>
  <c r="Y201" i="3" s="1"/>
  <c r="Z201" i="3" s="1"/>
  <c r="C201" i="3"/>
  <c r="M201" i="3"/>
  <c r="P201" i="3"/>
  <c r="K203" i="2"/>
  <c r="K200" i="4" l="1"/>
  <c r="N200" i="4" s="1"/>
  <c r="H198" i="4"/>
  <c r="G200" i="4"/>
  <c r="L200" i="4" s="1"/>
  <c r="E201" i="4"/>
  <c r="J198" i="4"/>
  <c r="F198" i="4"/>
  <c r="O204" i="2"/>
  <c r="I203" i="2"/>
  <c r="F203" i="2" s="1"/>
  <c r="N202" i="3" s="1"/>
  <c r="K204" i="2"/>
  <c r="I202" i="4"/>
  <c r="M202" i="4" s="1"/>
  <c r="D200" i="4"/>
  <c r="AA200" i="3"/>
  <c r="N202" i="2"/>
  <c r="H201" i="2"/>
  <c r="E201" i="2" s="1"/>
  <c r="H200" i="3" s="1"/>
  <c r="J200" i="3"/>
  <c r="B203" i="3"/>
  <c r="B205" i="2"/>
  <c r="M208" i="2"/>
  <c r="T203" i="2"/>
  <c r="D204" i="2"/>
  <c r="C202" i="4"/>
  <c r="AB201" i="3"/>
  <c r="A203" i="4"/>
  <c r="C202" i="3"/>
  <c r="P202" i="3"/>
  <c r="E202" i="3"/>
  <c r="G202" i="3"/>
  <c r="S202" i="3"/>
  <c r="Y202" i="3" s="1"/>
  <c r="Z202" i="3" s="1"/>
  <c r="M202" i="3"/>
  <c r="P202" i="2"/>
  <c r="J201" i="2"/>
  <c r="G201" i="2" s="1"/>
  <c r="T200" i="3" s="1"/>
  <c r="V200" i="3"/>
  <c r="L207" i="2"/>
  <c r="C204" i="2"/>
  <c r="F199" i="3"/>
  <c r="D200" i="3"/>
  <c r="O198" i="3"/>
  <c r="I198" i="3"/>
  <c r="U198" i="3"/>
  <c r="G201" i="4" l="1"/>
  <c r="L201" i="4" s="1"/>
  <c r="H199" i="4"/>
  <c r="J199" i="4"/>
  <c r="F199" i="4"/>
  <c r="E202" i="4"/>
  <c r="K201" i="4"/>
  <c r="N201" i="4" s="1"/>
  <c r="O205" i="2"/>
  <c r="I204" i="2"/>
  <c r="F204" i="2" s="1"/>
  <c r="N203" i="3" s="1"/>
  <c r="P203" i="2"/>
  <c r="J202" i="2"/>
  <c r="G202" i="2" s="1"/>
  <c r="T201" i="3" s="1"/>
  <c r="V201" i="3"/>
  <c r="I203" i="4"/>
  <c r="M203" i="4" s="1"/>
  <c r="N203" i="2"/>
  <c r="J201" i="3"/>
  <c r="H202" i="2"/>
  <c r="E202" i="2" s="1"/>
  <c r="H201" i="3" s="1"/>
  <c r="D201" i="4"/>
  <c r="AA201" i="3"/>
  <c r="F200" i="3"/>
  <c r="D201" i="3"/>
  <c r="C203" i="4"/>
  <c r="AB202" i="3"/>
  <c r="T204" i="2"/>
  <c r="D205" i="2"/>
  <c r="C205" i="2"/>
  <c r="M209" i="2"/>
  <c r="B204" i="3"/>
  <c r="B206" i="2"/>
  <c r="O199" i="3"/>
  <c r="I199" i="3"/>
  <c r="U199" i="3"/>
  <c r="L208" i="2"/>
  <c r="A204" i="4"/>
  <c r="M203" i="3"/>
  <c r="C203" i="3"/>
  <c r="P203" i="3"/>
  <c r="E203" i="3"/>
  <c r="G203" i="3"/>
  <c r="S203" i="3"/>
  <c r="Y203" i="3" s="1"/>
  <c r="Z203" i="3" s="1"/>
  <c r="K205" i="2"/>
  <c r="J200" i="4" l="1"/>
  <c r="F200" i="4"/>
  <c r="H200" i="4"/>
  <c r="G202" i="4"/>
  <c r="L202" i="4" s="1"/>
  <c r="K202" i="4"/>
  <c r="N202" i="4" s="1"/>
  <c r="E203" i="4"/>
  <c r="O206" i="2"/>
  <c r="I205" i="2"/>
  <c r="F205" i="2" s="1"/>
  <c r="N204" i="3" s="1"/>
  <c r="C206" i="2"/>
  <c r="C204" i="4"/>
  <c r="AB203" i="3"/>
  <c r="K206" i="2"/>
  <c r="I204" i="4"/>
  <c r="M204" i="4" s="1"/>
  <c r="N204" i="2"/>
  <c r="H203" i="2"/>
  <c r="E203" i="2" s="1"/>
  <c r="H202" i="3" s="1"/>
  <c r="J202" i="3"/>
  <c r="L209" i="2"/>
  <c r="D206" i="2"/>
  <c r="T205" i="2"/>
  <c r="F201" i="3"/>
  <c r="D202" i="3"/>
  <c r="I200" i="3"/>
  <c r="U200" i="3"/>
  <c r="O200" i="3"/>
  <c r="D202" i="4"/>
  <c r="AA202" i="3"/>
  <c r="B205" i="3"/>
  <c r="B207" i="2"/>
  <c r="A205" i="4"/>
  <c r="M204" i="3"/>
  <c r="E204" i="3"/>
  <c r="C204" i="3"/>
  <c r="G204" i="3"/>
  <c r="P204" i="3"/>
  <c r="S204" i="3"/>
  <c r="Y204" i="3" s="1"/>
  <c r="Z204" i="3" s="1"/>
  <c r="M210" i="2"/>
  <c r="P204" i="2"/>
  <c r="J203" i="2"/>
  <c r="G203" i="2" s="1"/>
  <c r="T202" i="3" s="1"/>
  <c r="V202" i="3"/>
  <c r="K203" i="4" l="1"/>
  <c r="N203" i="4" s="1"/>
  <c r="G203" i="4"/>
  <c r="L203" i="4" s="1"/>
  <c r="H201" i="4"/>
  <c r="E204" i="4"/>
  <c r="J201" i="4"/>
  <c r="F201" i="4"/>
  <c r="O207" i="2"/>
  <c r="I206" i="2"/>
  <c r="F206" i="2" s="1"/>
  <c r="N205" i="3" s="1"/>
  <c r="F202" i="3"/>
  <c r="D203" i="3"/>
  <c r="C205" i="4"/>
  <c r="AB204" i="3"/>
  <c r="I201" i="3"/>
  <c r="U201" i="3"/>
  <c r="O201" i="3"/>
  <c r="M211" i="2"/>
  <c r="I205" i="4"/>
  <c r="M205" i="4" s="1"/>
  <c r="T206" i="2"/>
  <c r="D207" i="2"/>
  <c r="B206" i="3"/>
  <c r="B208" i="2"/>
  <c r="K207" i="2"/>
  <c r="P205" i="2"/>
  <c r="J204" i="2"/>
  <c r="G204" i="2" s="1"/>
  <c r="T203" i="3" s="1"/>
  <c r="V203" i="3"/>
  <c r="A206" i="4"/>
  <c r="G205" i="3"/>
  <c r="S205" i="3"/>
  <c r="Y205" i="3" s="1"/>
  <c r="Z205" i="3" s="1"/>
  <c r="C205" i="3"/>
  <c r="E205" i="3"/>
  <c r="M205" i="3"/>
  <c r="P205" i="3"/>
  <c r="L210" i="2"/>
  <c r="D203" i="4"/>
  <c r="AA203" i="3"/>
  <c r="N205" i="2"/>
  <c r="J203" i="3"/>
  <c r="H204" i="2"/>
  <c r="E204" i="2" s="1"/>
  <c r="H203" i="3" s="1"/>
  <c r="C207" i="2"/>
  <c r="G204" i="4" l="1"/>
  <c r="L204" i="4" s="1"/>
  <c r="J202" i="4"/>
  <c r="K204" i="4"/>
  <c r="N204" i="4" s="1"/>
  <c r="F202" i="4"/>
  <c r="H202" i="4"/>
  <c r="E205" i="4"/>
  <c r="O208" i="2"/>
  <c r="I207" i="2"/>
  <c r="F207" i="2" s="1"/>
  <c r="N206" i="3" s="1"/>
  <c r="C208" i="2"/>
  <c r="P206" i="2"/>
  <c r="J205" i="2"/>
  <c r="G205" i="2" s="1"/>
  <c r="T204" i="3" s="1"/>
  <c r="V204" i="3"/>
  <c r="K208" i="2"/>
  <c r="M212" i="2"/>
  <c r="C206" i="4"/>
  <c r="AB205" i="3"/>
  <c r="B207" i="3"/>
  <c r="B209" i="2"/>
  <c r="A207" i="4"/>
  <c r="C206" i="3"/>
  <c r="P206" i="3"/>
  <c r="E206" i="3"/>
  <c r="G206" i="3"/>
  <c r="S206" i="3"/>
  <c r="Y206" i="3" s="1"/>
  <c r="Z206" i="3" s="1"/>
  <c r="M206" i="3"/>
  <c r="N206" i="2"/>
  <c r="H205" i="2"/>
  <c r="E205" i="2" s="1"/>
  <c r="H204" i="3" s="1"/>
  <c r="J204" i="3"/>
  <c r="D208" i="2"/>
  <c r="T207" i="2"/>
  <c r="D204" i="4"/>
  <c r="AA204" i="3"/>
  <c r="L211" i="2"/>
  <c r="I206" i="4"/>
  <c r="M206" i="4" s="1"/>
  <c r="F203" i="3"/>
  <c r="D204" i="3"/>
  <c r="O202" i="3"/>
  <c r="I202" i="3"/>
  <c r="U202" i="3"/>
  <c r="J203" i="4" l="1"/>
  <c r="F203" i="4"/>
  <c r="H203" i="4"/>
  <c r="G205" i="4"/>
  <c r="L205" i="4" s="1"/>
  <c r="E206" i="4"/>
  <c r="K205" i="4"/>
  <c r="N205" i="4" s="1"/>
  <c r="O209" i="2"/>
  <c r="I208" i="2"/>
  <c r="F208" i="2" s="1"/>
  <c r="N207" i="3" s="1"/>
  <c r="C207" i="4"/>
  <c r="AB206" i="3"/>
  <c r="D205" i="4"/>
  <c r="AA205" i="3"/>
  <c r="M213" i="2"/>
  <c r="F204" i="3"/>
  <c r="D205" i="3"/>
  <c r="K209" i="2"/>
  <c r="L212" i="2"/>
  <c r="O203" i="3"/>
  <c r="I203" i="3"/>
  <c r="U203" i="3"/>
  <c r="T208" i="2"/>
  <c r="D209" i="2"/>
  <c r="P207" i="2"/>
  <c r="J206" i="2"/>
  <c r="G206" i="2" s="1"/>
  <c r="T205" i="3" s="1"/>
  <c r="V205" i="3"/>
  <c r="N207" i="2"/>
  <c r="J205" i="3"/>
  <c r="H206" i="2"/>
  <c r="E206" i="2" s="1"/>
  <c r="H205" i="3" s="1"/>
  <c r="I207" i="4"/>
  <c r="M207" i="4" s="1"/>
  <c r="B208" i="3"/>
  <c r="B210" i="2"/>
  <c r="A208" i="4"/>
  <c r="M207" i="3"/>
  <c r="C207" i="3"/>
  <c r="P207" i="3"/>
  <c r="E207" i="3"/>
  <c r="S207" i="3"/>
  <c r="Y207" i="3" s="1"/>
  <c r="Z207" i="3" s="1"/>
  <c r="G207" i="3"/>
  <c r="C209" i="2"/>
  <c r="G206" i="4" l="1"/>
  <c r="L206" i="4" s="1"/>
  <c r="K206" i="4"/>
  <c r="N206" i="4" s="1"/>
  <c r="E207" i="4"/>
  <c r="H204" i="4"/>
  <c r="J204" i="4"/>
  <c r="F204" i="4"/>
  <c r="O210" i="2"/>
  <c r="I209" i="2"/>
  <c r="F209" i="2" s="1"/>
  <c r="N208" i="3" s="1"/>
  <c r="L213" i="2"/>
  <c r="C210" i="2"/>
  <c r="C208" i="4"/>
  <c r="AB207" i="3"/>
  <c r="N208" i="2"/>
  <c r="J206" i="3"/>
  <c r="H207" i="2"/>
  <c r="E207" i="2" s="1"/>
  <c r="H206" i="3" s="1"/>
  <c r="K210" i="2"/>
  <c r="B209" i="3"/>
  <c r="B211" i="2"/>
  <c r="F205" i="3"/>
  <c r="D206" i="3"/>
  <c r="A209" i="4"/>
  <c r="M208" i="3"/>
  <c r="E208" i="3"/>
  <c r="P208" i="3"/>
  <c r="S208" i="3"/>
  <c r="Y208" i="3" s="1"/>
  <c r="Z208" i="3" s="1"/>
  <c r="C208" i="3"/>
  <c r="G208" i="3"/>
  <c r="P208" i="2"/>
  <c r="J207" i="2"/>
  <c r="G207" i="2" s="1"/>
  <c r="T206" i="3" s="1"/>
  <c r="V206" i="3"/>
  <c r="I204" i="3"/>
  <c r="U204" i="3"/>
  <c r="O204" i="3"/>
  <c r="I208" i="4"/>
  <c r="M208" i="4" s="1"/>
  <c r="D210" i="2"/>
  <c r="T209" i="2"/>
  <c r="M214" i="2"/>
  <c r="D206" i="4"/>
  <c r="AA206" i="3"/>
  <c r="E208" i="4" l="1"/>
  <c r="K207" i="4"/>
  <c r="N207" i="4" s="1"/>
  <c r="H205" i="4"/>
  <c r="G207" i="4"/>
  <c r="L207" i="4" s="1"/>
  <c r="J205" i="4"/>
  <c r="F205" i="4"/>
  <c r="O211" i="2"/>
  <c r="I210" i="2"/>
  <c r="F210" i="2" s="1"/>
  <c r="N209" i="3" s="1"/>
  <c r="D207" i="4"/>
  <c r="AA207" i="3"/>
  <c r="K211" i="2"/>
  <c r="N209" i="2"/>
  <c r="J207" i="3"/>
  <c r="H208" i="2"/>
  <c r="E208" i="2" s="1"/>
  <c r="H207" i="3" s="1"/>
  <c r="D211" i="2"/>
  <c r="T210" i="2"/>
  <c r="P209" i="2"/>
  <c r="J208" i="2"/>
  <c r="G208" i="2" s="1"/>
  <c r="T207" i="3" s="1"/>
  <c r="V207" i="3"/>
  <c r="I209" i="4"/>
  <c r="M209" i="4" s="1"/>
  <c r="F206" i="3"/>
  <c r="D207" i="3"/>
  <c r="C211" i="2"/>
  <c r="M215" i="2"/>
  <c r="I205" i="3"/>
  <c r="U205" i="3"/>
  <c r="O205" i="3"/>
  <c r="C209" i="4"/>
  <c r="AB208" i="3"/>
  <c r="B210" i="3"/>
  <c r="B212" i="2"/>
  <c r="L214" i="2"/>
  <c r="A210" i="4"/>
  <c r="G209" i="3"/>
  <c r="S209" i="3"/>
  <c r="Y209" i="3" s="1"/>
  <c r="Z209" i="3" s="1"/>
  <c r="E209" i="3"/>
  <c r="M209" i="3"/>
  <c r="P209" i="3"/>
  <c r="C209" i="3"/>
  <c r="E209" i="4" l="1"/>
  <c r="H206" i="4"/>
  <c r="J206" i="4"/>
  <c r="G208" i="4"/>
  <c r="L208" i="4" s="1"/>
  <c r="F206" i="4"/>
  <c r="K208" i="4"/>
  <c r="N208" i="4" s="1"/>
  <c r="O212" i="2"/>
  <c r="I211" i="2"/>
  <c r="F211" i="2" s="1"/>
  <c r="N210" i="3" s="1"/>
  <c r="P210" i="2"/>
  <c r="J209" i="2"/>
  <c r="G209" i="2" s="1"/>
  <c r="T208" i="3" s="1"/>
  <c r="V208" i="3"/>
  <c r="L215" i="2"/>
  <c r="C210" i="4"/>
  <c r="AB209" i="3"/>
  <c r="B211" i="3"/>
  <c r="B213" i="2"/>
  <c r="C212" i="2"/>
  <c r="F207" i="3"/>
  <c r="D208" i="3"/>
  <c r="A211" i="4"/>
  <c r="C210" i="3"/>
  <c r="P210" i="3"/>
  <c r="E210" i="3"/>
  <c r="G210" i="3"/>
  <c r="S210" i="3"/>
  <c r="Y210" i="3" s="1"/>
  <c r="Z210" i="3" s="1"/>
  <c r="M210" i="3"/>
  <c r="O206" i="3"/>
  <c r="U206" i="3"/>
  <c r="I206" i="3"/>
  <c r="T211" i="2"/>
  <c r="D212" i="2"/>
  <c r="I210" i="4"/>
  <c r="M210" i="4" s="1"/>
  <c r="N210" i="2"/>
  <c r="J208" i="3"/>
  <c r="H209" i="2"/>
  <c r="E209" i="2" s="1"/>
  <c r="H208" i="3" s="1"/>
  <c r="K212" i="2"/>
  <c r="D208" i="4"/>
  <c r="AA208" i="3"/>
  <c r="M216" i="2"/>
  <c r="F207" i="4" l="1"/>
  <c r="J207" i="4"/>
  <c r="H207" i="4"/>
  <c r="E210" i="4"/>
  <c r="G209" i="4"/>
  <c r="L209" i="4" s="1"/>
  <c r="K209" i="4"/>
  <c r="N209" i="4" s="1"/>
  <c r="O213" i="2"/>
  <c r="I212" i="2"/>
  <c r="F212" i="2" s="1"/>
  <c r="N211" i="3" s="1"/>
  <c r="C211" i="4"/>
  <c r="AB210" i="3"/>
  <c r="C213" i="2"/>
  <c r="M217" i="2"/>
  <c r="D209" i="4"/>
  <c r="AA209" i="3"/>
  <c r="B212" i="3"/>
  <c r="B214" i="2"/>
  <c r="D213" i="2"/>
  <c r="T212" i="2"/>
  <c r="A212" i="4"/>
  <c r="M211" i="3"/>
  <c r="C211" i="3"/>
  <c r="P211" i="3"/>
  <c r="E211" i="3"/>
  <c r="G211" i="3"/>
  <c r="S211" i="3"/>
  <c r="Y211" i="3" s="1"/>
  <c r="Z211" i="3" s="1"/>
  <c r="K213" i="2"/>
  <c r="L216" i="2"/>
  <c r="N211" i="2"/>
  <c r="H210" i="2"/>
  <c r="E210" i="2" s="1"/>
  <c r="H209" i="3" s="1"/>
  <c r="J209" i="3"/>
  <c r="I211" i="4"/>
  <c r="M211" i="4" s="1"/>
  <c r="F208" i="3"/>
  <c r="D209" i="3"/>
  <c r="O207" i="3"/>
  <c r="U207" i="3"/>
  <c r="I207" i="3"/>
  <c r="P211" i="2"/>
  <c r="J210" i="2"/>
  <c r="G210" i="2" s="1"/>
  <c r="T209" i="3" s="1"/>
  <c r="V209" i="3"/>
  <c r="G210" i="4" l="1"/>
  <c r="L210" i="4" s="1"/>
  <c r="K210" i="4"/>
  <c r="N210" i="4" s="1"/>
  <c r="F208" i="4"/>
  <c r="J208" i="4"/>
  <c r="H208" i="4"/>
  <c r="E211" i="4"/>
  <c r="O214" i="2"/>
  <c r="I213" i="2"/>
  <c r="F213" i="2" s="1"/>
  <c r="N212" i="3" s="1"/>
  <c r="T213" i="2"/>
  <c r="D214" i="2"/>
  <c r="A213" i="4"/>
  <c r="M212" i="3"/>
  <c r="E212" i="3"/>
  <c r="C212" i="3"/>
  <c r="G212" i="3"/>
  <c r="P212" i="3"/>
  <c r="S212" i="3"/>
  <c r="Y212" i="3" s="1"/>
  <c r="Z212" i="3" s="1"/>
  <c r="P212" i="2"/>
  <c r="J211" i="2"/>
  <c r="G211" i="2" s="1"/>
  <c r="T210" i="3" s="1"/>
  <c r="V210" i="3"/>
  <c r="D210" i="4"/>
  <c r="AA210" i="3"/>
  <c r="N212" i="2"/>
  <c r="J210" i="3"/>
  <c r="H211" i="2"/>
  <c r="E211" i="2" s="1"/>
  <c r="H210" i="3" s="1"/>
  <c r="M218" i="2"/>
  <c r="F209" i="3"/>
  <c r="D210" i="3"/>
  <c r="L217" i="2"/>
  <c r="I208" i="3"/>
  <c r="U208" i="3"/>
  <c r="O208" i="3"/>
  <c r="K214" i="2"/>
  <c r="C212" i="4"/>
  <c r="AB211" i="3"/>
  <c r="I212" i="4"/>
  <c r="M212" i="4" s="1"/>
  <c r="C214" i="2"/>
  <c r="B213" i="3"/>
  <c r="B215" i="2"/>
  <c r="E212" i="4" l="1"/>
  <c r="G211" i="4"/>
  <c r="L211" i="4" s="1"/>
  <c r="F209" i="4"/>
  <c r="H209" i="4"/>
  <c r="K211" i="4"/>
  <c r="N211" i="4" s="1"/>
  <c r="J209" i="4"/>
  <c r="O215" i="2"/>
  <c r="I214" i="2"/>
  <c r="F214" i="2" s="1"/>
  <c r="N213" i="3" s="1"/>
  <c r="B214" i="3"/>
  <c r="B216" i="2"/>
  <c r="A214" i="4"/>
  <c r="G213" i="3"/>
  <c r="S213" i="3"/>
  <c r="Y213" i="3" s="1"/>
  <c r="Z213" i="3" s="1"/>
  <c r="C213" i="3"/>
  <c r="E213" i="3"/>
  <c r="M213" i="3"/>
  <c r="P213" i="3"/>
  <c r="C215" i="2"/>
  <c r="K215" i="2"/>
  <c r="N213" i="2"/>
  <c r="H212" i="2"/>
  <c r="E212" i="2" s="1"/>
  <c r="H211" i="3" s="1"/>
  <c r="J211" i="3"/>
  <c r="D211" i="4"/>
  <c r="AA211" i="3"/>
  <c r="C213" i="4"/>
  <c r="AB212" i="3"/>
  <c r="L218" i="2"/>
  <c r="P213" i="2"/>
  <c r="J212" i="2"/>
  <c r="G212" i="2" s="1"/>
  <c r="T211" i="3" s="1"/>
  <c r="V211" i="3"/>
  <c r="I213" i="4"/>
  <c r="M213" i="4" s="1"/>
  <c r="F210" i="3"/>
  <c r="D211" i="3"/>
  <c r="D215" i="2"/>
  <c r="T214" i="2"/>
  <c r="I209" i="3"/>
  <c r="U209" i="3"/>
  <c r="O209" i="3"/>
  <c r="M219" i="2"/>
  <c r="H210" i="4" l="1"/>
  <c r="E213" i="4"/>
  <c r="J210" i="4"/>
  <c r="F210" i="4"/>
  <c r="G212" i="4"/>
  <c r="L212" i="4" s="1"/>
  <c r="K212" i="4"/>
  <c r="N212" i="4" s="1"/>
  <c r="O216" i="2"/>
  <c r="I215" i="2"/>
  <c r="F215" i="2" s="1"/>
  <c r="N214" i="3" s="1"/>
  <c r="D212" i="4"/>
  <c r="AA212" i="3"/>
  <c r="M220" i="2"/>
  <c r="N214" i="2"/>
  <c r="J212" i="3"/>
  <c r="H213" i="2"/>
  <c r="E213" i="2" s="1"/>
  <c r="H212" i="3" s="1"/>
  <c r="K216" i="2"/>
  <c r="T215" i="2"/>
  <c r="D216" i="2"/>
  <c r="P214" i="2"/>
  <c r="J213" i="2"/>
  <c r="G213" i="2" s="1"/>
  <c r="T212" i="3" s="1"/>
  <c r="V212" i="3"/>
  <c r="L219" i="2"/>
  <c r="I214" i="4"/>
  <c r="M214" i="4" s="1"/>
  <c r="O210" i="3"/>
  <c r="I210" i="3"/>
  <c r="U210" i="3"/>
  <c r="B215" i="3"/>
  <c r="B217" i="2"/>
  <c r="F211" i="3"/>
  <c r="D212" i="3"/>
  <c r="C216" i="2"/>
  <c r="C214" i="4"/>
  <c r="AB213" i="3"/>
  <c r="A215" i="4"/>
  <c r="C214" i="3"/>
  <c r="P214" i="3"/>
  <c r="E214" i="3"/>
  <c r="G214" i="3"/>
  <c r="S214" i="3"/>
  <c r="Y214" i="3" s="1"/>
  <c r="Z214" i="3" s="1"/>
  <c r="M214" i="3"/>
  <c r="G213" i="4" l="1"/>
  <c r="L213" i="4" s="1"/>
  <c r="J211" i="4"/>
  <c r="F211" i="4"/>
  <c r="H211" i="4"/>
  <c r="E214" i="4"/>
  <c r="K213" i="4"/>
  <c r="N213" i="4" s="1"/>
  <c r="O217" i="2"/>
  <c r="I216" i="2"/>
  <c r="F216" i="2" s="1"/>
  <c r="N215" i="3" s="1"/>
  <c r="I215" i="4"/>
  <c r="M215" i="4" s="1"/>
  <c r="T216" i="2"/>
  <c r="D217" i="2"/>
  <c r="C217" i="2"/>
  <c r="K217" i="2"/>
  <c r="O211" i="3"/>
  <c r="I211" i="3"/>
  <c r="U211" i="3"/>
  <c r="N215" i="2"/>
  <c r="H214" i="2"/>
  <c r="E214" i="2" s="1"/>
  <c r="H213" i="3" s="1"/>
  <c r="J213" i="3"/>
  <c r="F212" i="3"/>
  <c r="D213" i="3"/>
  <c r="B216" i="3"/>
  <c r="B218" i="2"/>
  <c r="L220" i="2"/>
  <c r="C215" i="4"/>
  <c r="AB214" i="3"/>
  <c r="A216" i="4"/>
  <c r="M215" i="3"/>
  <c r="C215" i="3"/>
  <c r="P215" i="3"/>
  <c r="E215" i="3"/>
  <c r="S215" i="3"/>
  <c r="Y215" i="3" s="1"/>
  <c r="Z215" i="3" s="1"/>
  <c r="G215" i="3"/>
  <c r="M221" i="2"/>
  <c r="D213" i="4"/>
  <c r="AA213" i="3"/>
  <c r="P215" i="2"/>
  <c r="J214" i="2"/>
  <c r="G214" i="2" s="1"/>
  <c r="T213" i="3" s="1"/>
  <c r="V213" i="3"/>
  <c r="J212" i="4" l="1"/>
  <c r="K214" i="4"/>
  <c r="N214" i="4" s="1"/>
  <c r="F212" i="4"/>
  <c r="H212" i="4"/>
  <c r="E215" i="4"/>
  <c r="G214" i="4"/>
  <c r="L214" i="4" s="1"/>
  <c r="O218" i="2"/>
  <c r="I217" i="2"/>
  <c r="F217" i="2" s="1"/>
  <c r="N216" i="3" s="1"/>
  <c r="A217" i="4"/>
  <c r="M216" i="3"/>
  <c r="E216" i="3"/>
  <c r="P216" i="3"/>
  <c r="S216" i="3"/>
  <c r="Y216" i="3" s="1"/>
  <c r="Z216" i="3" s="1"/>
  <c r="C216" i="3"/>
  <c r="G216" i="3"/>
  <c r="C218" i="2"/>
  <c r="F213" i="3"/>
  <c r="D214" i="3"/>
  <c r="P216" i="2"/>
  <c r="J215" i="2"/>
  <c r="G215" i="2" s="1"/>
  <c r="T214" i="3" s="1"/>
  <c r="V214" i="3"/>
  <c r="I212" i="3"/>
  <c r="U212" i="3"/>
  <c r="O212" i="3"/>
  <c r="D218" i="2"/>
  <c r="T217" i="2"/>
  <c r="B217" i="3"/>
  <c r="B219" i="2"/>
  <c r="D214" i="4"/>
  <c r="AA214" i="3"/>
  <c r="C216" i="4"/>
  <c r="AB215" i="3"/>
  <c r="N216" i="2"/>
  <c r="H215" i="2"/>
  <c r="E215" i="2" s="1"/>
  <c r="H214" i="3" s="1"/>
  <c r="J214" i="3"/>
  <c r="M222" i="2"/>
  <c r="I216" i="4"/>
  <c r="M216" i="4" s="1"/>
  <c r="L221" i="2"/>
  <c r="K218" i="2"/>
  <c r="F213" i="4" l="1"/>
  <c r="H213" i="4"/>
  <c r="K215" i="4"/>
  <c r="N215" i="4" s="1"/>
  <c r="G215" i="4"/>
  <c r="L215" i="4" s="1"/>
  <c r="J213" i="4"/>
  <c r="E216" i="4"/>
  <c r="O219" i="2"/>
  <c r="I218" i="2"/>
  <c r="F218" i="2" s="1"/>
  <c r="N217" i="3" s="1"/>
  <c r="M223" i="2"/>
  <c r="K219" i="2"/>
  <c r="N217" i="2"/>
  <c r="H216" i="2"/>
  <c r="E216" i="2" s="1"/>
  <c r="H215" i="3" s="1"/>
  <c r="J215" i="3"/>
  <c r="L222" i="2"/>
  <c r="D215" i="4"/>
  <c r="AA215" i="3"/>
  <c r="P217" i="2"/>
  <c r="J216" i="2"/>
  <c r="G216" i="2" s="1"/>
  <c r="T215" i="3" s="1"/>
  <c r="V215" i="3"/>
  <c r="B218" i="3"/>
  <c r="B220" i="2"/>
  <c r="I213" i="3"/>
  <c r="U213" i="3"/>
  <c r="O213" i="3"/>
  <c r="C217" i="4"/>
  <c r="AB216" i="3"/>
  <c r="T218" i="2"/>
  <c r="D219" i="2"/>
  <c r="A218" i="4"/>
  <c r="G217" i="3"/>
  <c r="S217" i="3"/>
  <c r="Y217" i="3" s="1"/>
  <c r="Z217" i="3" s="1"/>
  <c r="E217" i="3"/>
  <c r="M217" i="3"/>
  <c r="P217" i="3"/>
  <c r="C217" i="3"/>
  <c r="F214" i="3"/>
  <c r="D215" i="3"/>
  <c r="C219" i="2"/>
  <c r="I217" i="4"/>
  <c r="M217" i="4" s="1"/>
  <c r="E217" i="4" l="1"/>
  <c r="G216" i="4"/>
  <c r="L216" i="4" s="1"/>
  <c r="H214" i="4"/>
  <c r="F214" i="4"/>
  <c r="J214" i="4"/>
  <c r="K216" i="4"/>
  <c r="N216" i="4" s="1"/>
  <c r="O220" i="2"/>
  <c r="I219" i="2"/>
  <c r="F219" i="2" s="1"/>
  <c r="N218" i="3" s="1"/>
  <c r="D220" i="2"/>
  <c r="T219" i="2"/>
  <c r="D216" i="4"/>
  <c r="AA216" i="3"/>
  <c r="P218" i="2"/>
  <c r="J217" i="2"/>
  <c r="G217" i="2" s="1"/>
  <c r="T216" i="3" s="1"/>
  <c r="V216" i="3"/>
  <c r="C218" i="4"/>
  <c r="AB217" i="3"/>
  <c r="L223" i="2"/>
  <c r="N218" i="2"/>
  <c r="J216" i="3"/>
  <c r="H217" i="2"/>
  <c r="E217" i="2" s="1"/>
  <c r="H216" i="3" s="1"/>
  <c r="B219" i="3"/>
  <c r="B221" i="2"/>
  <c r="C220" i="2"/>
  <c r="A219" i="4"/>
  <c r="C218" i="3"/>
  <c r="P218" i="3"/>
  <c r="E218" i="3"/>
  <c r="G218" i="3"/>
  <c r="S218" i="3"/>
  <c r="Y218" i="3" s="1"/>
  <c r="Z218" i="3" s="1"/>
  <c r="M218" i="3"/>
  <c r="K220" i="2"/>
  <c r="M224" i="2"/>
  <c r="F215" i="3"/>
  <c r="D216" i="3"/>
  <c r="O214" i="3"/>
  <c r="U214" i="3"/>
  <c r="I214" i="3"/>
  <c r="I218" i="4"/>
  <c r="M218" i="4" s="1"/>
  <c r="K217" i="4" l="1"/>
  <c r="N217" i="4" s="1"/>
  <c r="J215" i="4"/>
  <c r="H215" i="4"/>
  <c r="E218" i="4"/>
  <c r="F215" i="4"/>
  <c r="G217" i="4"/>
  <c r="L217" i="4" s="1"/>
  <c r="O221" i="2"/>
  <c r="I220" i="2"/>
  <c r="F220" i="2" s="1"/>
  <c r="N219" i="3" s="1"/>
  <c r="M225" i="2"/>
  <c r="K221" i="2"/>
  <c r="L224" i="2"/>
  <c r="I219" i="4"/>
  <c r="M219" i="4" s="1"/>
  <c r="C221" i="2"/>
  <c r="P219" i="2"/>
  <c r="J218" i="2"/>
  <c r="G218" i="2" s="1"/>
  <c r="T217" i="3" s="1"/>
  <c r="V217" i="3"/>
  <c r="C219" i="4"/>
  <c r="AB218" i="3"/>
  <c r="B220" i="3"/>
  <c r="B222" i="2"/>
  <c r="D217" i="4"/>
  <c r="AA217" i="3"/>
  <c r="A220" i="4"/>
  <c r="M219" i="3"/>
  <c r="C219" i="3"/>
  <c r="P219" i="3"/>
  <c r="S219" i="3"/>
  <c r="Y219" i="3" s="1"/>
  <c r="Z219" i="3" s="1"/>
  <c r="E219" i="3"/>
  <c r="G219" i="3"/>
  <c r="F216" i="3"/>
  <c r="D217" i="3"/>
  <c r="O215" i="3"/>
  <c r="U215" i="3"/>
  <c r="I215" i="3"/>
  <c r="N219" i="2"/>
  <c r="H218" i="2"/>
  <c r="E218" i="2" s="1"/>
  <c r="H217" i="3" s="1"/>
  <c r="J217" i="3"/>
  <c r="T220" i="2"/>
  <c r="D221" i="2"/>
  <c r="G218" i="4" l="1"/>
  <c r="L218" i="4" s="1"/>
  <c r="K218" i="4"/>
  <c r="N218" i="4" s="1"/>
  <c r="F216" i="4"/>
  <c r="J216" i="4"/>
  <c r="H216" i="4"/>
  <c r="E219" i="4"/>
  <c r="O222" i="2"/>
  <c r="I221" i="2"/>
  <c r="F221" i="2" s="1"/>
  <c r="N220" i="3" s="1"/>
  <c r="D218" i="4"/>
  <c r="AA218" i="3"/>
  <c r="A221" i="4"/>
  <c r="M220" i="3"/>
  <c r="E220" i="3"/>
  <c r="P220" i="3"/>
  <c r="S220" i="3"/>
  <c r="Y220" i="3" s="1"/>
  <c r="Z220" i="3" s="1"/>
  <c r="C220" i="3"/>
  <c r="G220" i="3"/>
  <c r="B221" i="3"/>
  <c r="B223" i="2"/>
  <c r="L225" i="2"/>
  <c r="P220" i="2"/>
  <c r="J219" i="2"/>
  <c r="G219" i="2" s="1"/>
  <c r="T218" i="3" s="1"/>
  <c r="V218" i="3"/>
  <c r="C222" i="2"/>
  <c r="K222" i="2"/>
  <c r="N220" i="2"/>
  <c r="J218" i="3"/>
  <c r="H219" i="2"/>
  <c r="E219" i="2" s="1"/>
  <c r="H218" i="3" s="1"/>
  <c r="F217" i="3"/>
  <c r="D218" i="3"/>
  <c r="C220" i="4"/>
  <c r="AB219" i="3"/>
  <c r="M226" i="2"/>
  <c r="D222" i="2"/>
  <c r="T221" i="2"/>
  <c r="I216" i="3"/>
  <c r="U216" i="3"/>
  <c r="O216" i="3"/>
  <c r="I220" i="4"/>
  <c r="M220" i="4" s="1"/>
  <c r="J217" i="4" l="1"/>
  <c r="G219" i="4"/>
  <c r="L219" i="4" s="1"/>
  <c r="F217" i="4"/>
  <c r="H217" i="4"/>
  <c r="K219" i="4"/>
  <c r="N219" i="4" s="1"/>
  <c r="E220" i="4"/>
  <c r="O223" i="2"/>
  <c r="I222" i="2"/>
  <c r="F222" i="2" s="1"/>
  <c r="N221" i="3" s="1"/>
  <c r="D223" i="2"/>
  <c r="T222" i="2"/>
  <c r="M227" i="2"/>
  <c r="F218" i="3"/>
  <c r="D219" i="3"/>
  <c r="P221" i="2"/>
  <c r="J220" i="2"/>
  <c r="G220" i="2" s="1"/>
  <c r="T219" i="3" s="1"/>
  <c r="V219" i="3"/>
  <c r="I217" i="3"/>
  <c r="U217" i="3"/>
  <c r="O217" i="3"/>
  <c r="L226" i="2"/>
  <c r="C221" i="4"/>
  <c r="AB220" i="3"/>
  <c r="B222" i="3"/>
  <c r="B224" i="2"/>
  <c r="N221" i="2"/>
  <c r="H220" i="2"/>
  <c r="E220" i="2" s="1"/>
  <c r="H219" i="3" s="1"/>
  <c r="J219" i="3"/>
  <c r="A222" i="4"/>
  <c r="G221" i="3"/>
  <c r="S221" i="3"/>
  <c r="Y221" i="3" s="1"/>
  <c r="Z221" i="3" s="1"/>
  <c r="E221" i="3"/>
  <c r="M221" i="3"/>
  <c r="P221" i="3"/>
  <c r="C221" i="3"/>
  <c r="I221" i="4"/>
  <c r="M221" i="4" s="1"/>
  <c r="D219" i="4"/>
  <c r="AA219" i="3"/>
  <c r="C223" i="2"/>
  <c r="K223" i="2"/>
  <c r="F218" i="4" l="1"/>
  <c r="K220" i="4"/>
  <c r="N220" i="4" s="1"/>
  <c r="G220" i="4"/>
  <c r="L220" i="4" s="1"/>
  <c r="E221" i="4"/>
  <c r="J218" i="4"/>
  <c r="H218" i="4"/>
  <c r="O224" i="2"/>
  <c r="I223" i="2"/>
  <c r="F223" i="2" s="1"/>
  <c r="N222" i="3" s="1"/>
  <c r="T223" i="2"/>
  <c r="D224" i="2"/>
  <c r="I222" i="4"/>
  <c r="M222" i="4" s="1"/>
  <c r="C222" i="4"/>
  <c r="AB221" i="3"/>
  <c r="N222" i="2"/>
  <c r="H221" i="2"/>
  <c r="E221" i="2" s="1"/>
  <c r="H220" i="3" s="1"/>
  <c r="J220" i="3"/>
  <c r="P222" i="2"/>
  <c r="J221" i="2"/>
  <c r="G221" i="2" s="1"/>
  <c r="T220" i="3" s="1"/>
  <c r="V220" i="3"/>
  <c r="B223" i="3"/>
  <c r="B225" i="2"/>
  <c r="F219" i="3"/>
  <c r="D220" i="3"/>
  <c r="K224" i="2"/>
  <c r="D220" i="4"/>
  <c r="AA220" i="3"/>
  <c r="A223" i="4"/>
  <c r="C222" i="3"/>
  <c r="P222" i="3"/>
  <c r="E222" i="3"/>
  <c r="G222" i="3"/>
  <c r="S222" i="3"/>
  <c r="Y222" i="3" s="1"/>
  <c r="Z222" i="3" s="1"/>
  <c r="M222" i="3"/>
  <c r="O218" i="3"/>
  <c r="I218" i="3"/>
  <c r="U218" i="3"/>
  <c r="C224" i="2"/>
  <c r="M228" i="2"/>
  <c r="L227" i="2"/>
  <c r="E222" i="4" l="1"/>
  <c r="J219" i="4"/>
  <c r="G221" i="4"/>
  <c r="L221" i="4" s="1"/>
  <c r="F219" i="4"/>
  <c r="H219" i="4"/>
  <c r="K221" i="4"/>
  <c r="N221" i="4" s="1"/>
  <c r="O225" i="2"/>
  <c r="I224" i="2"/>
  <c r="F224" i="2" s="1"/>
  <c r="N223" i="3" s="1"/>
  <c r="L228" i="2"/>
  <c r="C223" i="4"/>
  <c r="AB222" i="3"/>
  <c r="K225" i="2"/>
  <c r="O219" i="3"/>
  <c r="U219" i="3"/>
  <c r="I219" i="3"/>
  <c r="F220" i="3"/>
  <c r="D221" i="3"/>
  <c r="C225" i="2"/>
  <c r="B224" i="3"/>
  <c r="B226" i="2"/>
  <c r="M229" i="2"/>
  <c r="A224" i="4"/>
  <c r="M223" i="3"/>
  <c r="C223" i="3"/>
  <c r="P223" i="3"/>
  <c r="S223" i="3"/>
  <c r="Y223" i="3" s="1"/>
  <c r="Z223" i="3" s="1"/>
  <c r="E223" i="3"/>
  <c r="G223" i="3"/>
  <c r="P223" i="2"/>
  <c r="J222" i="2"/>
  <c r="G222" i="2" s="1"/>
  <c r="T221" i="3" s="1"/>
  <c r="V221" i="3"/>
  <c r="D225" i="2"/>
  <c r="T224" i="2"/>
  <c r="I223" i="4"/>
  <c r="M223" i="4" s="1"/>
  <c r="N223" i="2"/>
  <c r="J221" i="3"/>
  <c r="H222" i="2"/>
  <c r="E222" i="2" s="1"/>
  <c r="H221" i="3" s="1"/>
  <c r="D221" i="4"/>
  <c r="AA221" i="3"/>
  <c r="J220" i="4" l="1"/>
  <c r="G222" i="4"/>
  <c r="L222" i="4" s="1"/>
  <c r="F220" i="4"/>
  <c r="E223" i="4"/>
  <c r="H220" i="4"/>
  <c r="K222" i="4"/>
  <c r="N222" i="4" s="1"/>
  <c r="O226" i="2"/>
  <c r="I225" i="2"/>
  <c r="F225" i="2" s="1"/>
  <c r="N224" i="3" s="1"/>
  <c r="D222" i="4"/>
  <c r="AA222" i="3"/>
  <c r="T225" i="2"/>
  <c r="D226" i="2"/>
  <c r="C226" i="2"/>
  <c r="C224" i="4"/>
  <c r="AB223" i="3"/>
  <c r="N224" i="2"/>
  <c r="J222" i="3"/>
  <c r="H223" i="2"/>
  <c r="E223" i="2" s="1"/>
  <c r="H222" i="3" s="1"/>
  <c r="P224" i="2"/>
  <c r="J223" i="2"/>
  <c r="G223" i="2" s="1"/>
  <c r="T222" i="3" s="1"/>
  <c r="V222" i="3"/>
  <c r="I224" i="4"/>
  <c r="M224" i="4" s="1"/>
  <c r="K226" i="2"/>
  <c r="M230" i="2"/>
  <c r="B225" i="3"/>
  <c r="B227" i="2"/>
  <c r="A225" i="4"/>
  <c r="M224" i="3"/>
  <c r="E224" i="3"/>
  <c r="P224" i="3"/>
  <c r="S224" i="3"/>
  <c r="Y224" i="3" s="1"/>
  <c r="Z224" i="3" s="1"/>
  <c r="C224" i="3"/>
  <c r="G224" i="3"/>
  <c r="I220" i="3"/>
  <c r="U220" i="3"/>
  <c r="O220" i="3"/>
  <c r="F221" i="3"/>
  <c r="D222" i="3"/>
  <c r="L229" i="2"/>
  <c r="G223" i="4" l="1"/>
  <c r="L223" i="4" s="1"/>
  <c r="E224" i="4"/>
  <c r="H221" i="4"/>
  <c r="J221" i="4"/>
  <c r="F221" i="4"/>
  <c r="K223" i="4"/>
  <c r="N223" i="4" s="1"/>
  <c r="O227" i="2"/>
  <c r="I226" i="2"/>
  <c r="F226" i="2" s="1"/>
  <c r="N225" i="3" s="1"/>
  <c r="K227" i="2"/>
  <c r="N225" i="2"/>
  <c r="H224" i="2"/>
  <c r="E224" i="2" s="1"/>
  <c r="H223" i="3" s="1"/>
  <c r="J223" i="3"/>
  <c r="L230" i="2"/>
  <c r="F222" i="3"/>
  <c r="D223" i="3"/>
  <c r="I221" i="3"/>
  <c r="U221" i="3"/>
  <c r="O221" i="3"/>
  <c r="C225" i="4"/>
  <c r="AB224" i="3"/>
  <c r="C227" i="2"/>
  <c r="I225" i="4"/>
  <c r="M225" i="4" s="1"/>
  <c r="D227" i="2"/>
  <c r="T226" i="2"/>
  <c r="B226" i="3"/>
  <c r="B228" i="2"/>
  <c r="A226" i="4"/>
  <c r="G225" i="3"/>
  <c r="S225" i="3"/>
  <c r="Y225" i="3" s="1"/>
  <c r="Z225" i="3" s="1"/>
  <c r="E225" i="3"/>
  <c r="M225" i="3"/>
  <c r="P225" i="3"/>
  <c r="C225" i="3"/>
  <c r="M231" i="2"/>
  <c r="P225" i="2"/>
  <c r="J224" i="2"/>
  <c r="G224" i="2" s="1"/>
  <c r="T223" i="3" s="1"/>
  <c r="V223" i="3"/>
  <c r="D223" i="4"/>
  <c r="AA223" i="3"/>
  <c r="H222" i="4" l="1"/>
  <c r="K224" i="4"/>
  <c r="N224" i="4" s="1"/>
  <c r="F222" i="4"/>
  <c r="J222" i="4"/>
  <c r="G224" i="4"/>
  <c r="L224" i="4" s="1"/>
  <c r="E225" i="4"/>
  <c r="O228" i="2"/>
  <c r="I227" i="2"/>
  <c r="F227" i="2" s="1"/>
  <c r="N226" i="3" s="1"/>
  <c r="D224" i="4"/>
  <c r="AA224" i="3"/>
  <c r="F223" i="3"/>
  <c r="D224" i="3"/>
  <c r="O222" i="3"/>
  <c r="I222" i="3"/>
  <c r="U222" i="3"/>
  <c r="P226" i="2"/>
  <c r="J225" i="2"/>
  <c r="G225" i="2" s="1"/>
  <c r="T224" i="3" s="1"/>
  <c r="V224" i="3"/>
  <c r="L231" i="2"/>
  <c r="I226" i="4"/>
  <c r="M226" i="4" s="1"/>
  <c r="B227" i="3"/>
  <c r="B229" i="2"/>
  <c r="A227" i="4"/>
  <c r="C226" i="3"/>
  <c r="P226" i="3"/>
  <c r="E226" i="3"/>
  <c r="G226" i="3"/>
  <c r="S226" i="3"/>
  <c r="Y226" i="3" s="1"/>
  <c r="Z226" i="3" s="1"/>
  <c r="M226" i="3"/>
  <c r="C228" i="2"/>
  <c r="N226" i="2"/>
  <c r="J224" i="3"/>
  <c r="H225" i="2"/>
  <c r="E225" i="2" s="1"/>
  <c r="H224" i="3" s="1"/>
  <c r="C226" i="4"/>
  <c r="AB225" i="3"/>
  <c r="K228" i="2"/>
  <c r="M232" i="2"/>
  <c r="T227" i="2"/>
  <c r="D228" i="2"/>
  <c r="K225" i="4" l="1"/>
  <c r="N225" i="4" s="1"/>
  <c r="J223" i="4"/>
  <c r="H223" i="4"/>
  <c r="F223" i="4"/>
  <c r="E226" i="4"/>
  <c r="G225" i="4"/>
  <c r="L225" i="4" s="1"/>
  <c r="O229" i="2"/>
  <c r="I228" i="2"/>
  <c r="F228" i="2" s="1"/>
  <c r="N227" i="3" s="1"/>
  <c r="T228" i="2"/>
  <c r="D229" i="2"/>
  <c r="C229" i="2"/>
  <c r="L232" i="2"/>
  <c r="I227" i="4"/>
  <c r="M227" i="4" s="1"/>
  <c r="B228" i="3"/>
  <c r="B230" i="2"/>
  <c r="P227" i="2"/>
  <c r="J226" i="2"/>
  <c r="G226" i="2" s="1"/>
  <c r="T225" i="3" s="1"/>
  <c r="V225" i="3"/>
  <c r="M233" i="2"/>
  <c r="A228" i="4"/>
  <c r="M227" i="3"/>
  <c r="P227" i="3"/>
  <c r="S227" i="3"/>
  <c r="Y227" i="3" s="1"/>
  <c r="Z227" i="3" s="1"/>
  <c r="C227" i="3"/>
  <c r="E227" i="3"/>
  <c r="G227" i="3"/>
  <c r="C227" i="4"/>
  <c r="AB226" i="3"/>
  <c r="N227" i="2"/>
  <c r="H226" i="2"/>
  <c r="E226" i="2" s="1"/>
  <c r="H225" i="3" s="1"/>
  <c r="J225" i="3"/>
  <c r="K229" i="2"/>
  <c r="F224" i="3"/>
  <c r="D225" i="3"/>
  <c r="O223" i="3"/>
  <c r="U223" i="3"/>
  <c r="I223" i="3"/>
  <c r="D225" i="4"/>
  <c r="AA225" i="3"/>
  <c r="E227" i="4" l="1"/>
  <c r="F224" i="4"/>
  <c r="J224" i="4"/>
  <c r="H224" i="4"/>
  <c r="K226" i="4"/>
  <c r="N226" i="4" s="1"/>
  <c r="G226" i="4"/>
  <c r="L226" i="4" s="1"/>
  <c r="O230" i="2"/>
  <c r="I229" i="2"/>
  <c r="F229" i="2" s="1"/>
  <c r="N228" i="3" s="1"/>
  <c r="D226" i="4"/>
  <c r="AA226" i="3"/>
  <c r="C228" i="4"/>
  <c r="AB227" i="3"/>
  <c r="I228" i="4"/>
  <c r="M228" i="4" s="1"/>
  <c r="M234" i="2"/>
  <c r="L233" i="2"/>
  <c r="N228" i="2"/>
  <c r="J226" i="3"/>
  <c r="H227" i="2"/>
  <c r="E227" i="2" s="1"/>
  <c r="H226" i="3" s="1"/>
  <c r="F225" i="3"/>
  <c r="D226" i="3"/>
  <c r="C230" i="2"/>
  <c r="I224" i="3"/>
  <c r="U224" i="3"/>
  <c r="O224" i="3"/>
  <c r="P228" i="2"/>
  <c r="J227" i="2"/>
  <c r="G227" i="2" s="1"/>
  <c r="T226" i="3" s="1"/>
  <c r="V226" i="3"/>
  <c r="B229" i="3"/>
  <c r="B231" i="2"/>
  <c r="K230" i="2"/>
  <c r="A229" i="4"/>
  <c r="M228" i="3"/>
  <c r="E228" i="3"/>
  <c r="G228" i="3"/>
  <c r="P228" i="3"/>
  <c r="C228" i="3"/>
  <c r="S228" i="3"/>
  <c r="Y228" i="3" s="1"/>
  <c r="Z228" i="3" s="1"/>
  <c r="D230" i="2"/>
  <c r="T229" i="2"/>
  <c r="K227" i="4" l="1"/>
  <c r="N227" i="4" s="1"/>
  <c r="H225" i="4"/>
  <c r="J225" i="4"/>
  <c r="E228" i="4"/>
  <c r="G227" i="4"/>
  <c r="L227" i="4" s="1"/>
  <c r="F225" i="4"/>
  <c r="O231" i="2"/>
  <c r="I230" i="2"/>
  <c r="F230" i="2" s="1"/>
  <c r="N229" i="3" s="1"/>
  <c r="C229" i="4"/>
  <c r="AB228" i="3"/>
  <c r="M235" i="2"/>
  <c r="T230" i="2"/>
  <c r="D231" i="2"/>
  <c r="I229" i="4"/>
  <c r="M229" i="4" s="1"/>
  <c r="K231" i="2"/>
  <c r="C231" i="2"/>
  <c r="F226" i="3"/>
  <c r="D227" i="3"/>
  <c r="B230" i="3"/>
  <c r="B232" i="2"/>
  <c r="I225" i="3"/>
  <c r="U225" i="3"/>
  <c r="O225" i="3"/>
  <c r="A230" i="4"/>
  <c r="M229" i="3"/>
  <c r="P229" i="3"/>
  <c r="S229" i="3"/>
  <c r="Y229" i="3" s="1"/>
  <c r="Z229" i="3" s="1"/>
  <c r="C229" i="3"/>
  <c r="E229" i="3"/>
  <c r="G229" i="3"/>
  <c r="N229" i="2"/>
  <c r="H228" i="2"/>
  <c r="E228" i="2" s="1"/>
  <c r="H227" i="3" s="1"/>
  <c r="J227" i="3"/>
  <c r="P229" i="2"/>
  <c r="J228" i="2"/>
  <c r="G228" i="2" s="1"/>
  <c r="T227" i="3" s="1"/>
  <c r="V227" i="3"/>
  <c r="D227" i="4"/>
  <c r="AA227" i="3"/>
  <c r="L234" i="2"/>
  <c r="K228" i="4" l="1"/>
  <c r="N228" i="4" s="1"/>
  <c r="H226" i="4"/>
  <c r="G228" i="4"/>
  <c r="L228" i="4" s="1"/>
  <c r="F226" i="4"/>
  <c r="E229" i="4"/>
  <c r="J226" i="4"/>
  <c r="O232" i="2"/>
  <c r="I231" i="2"/>
  <c r="F231" i="2" s="1"/>
  <c r="N230" i="3" s="1"/>
  <c r="L235" i="2"/>
  <c r="B231" i="3"/>
  <c r="B233" i="2"/>
  <c r="D228" i="4"/>
  <c r="AA228" i="3"/>
  <c r="A231" i="4"/>
  <c r="C230" i="3"/>
  <c r="E230" i="3"/>
  <c r="G230" i="3"/>
  <c r="S230" i="3"/>
  <c r="Y230" i="3" s="1"/>
  <c r="Z230" i="3" s="1"/>
  <c r="M230" i="3"/>
  <c r="P230" i="3"/>
  <c r="C230" i="4"/>
  <c r="AB229" i="3"/>
  <c r="F227" i="3"/>
  <c r="D228" i="3"/>
  <c r="O226" i="3"/>
  <c r="I226" i="3"/>
  <c r="U226" i="3"/>
  <c r="D232" i="2"/>
  <c r="T231" i="2"/>
  <c r="C232" i="2"/>
  <c r="P230" i="2"/>
  <c r="J229" i="2"/>
  <c r="G229" i="2" s="1"/>
  <c r="T228" i="3" s="1"/>
  <c r="V228" i="3"/>
  <c r="M236" i="2"/>
  <c r="N230" i="2"/>
  <c r="H229" i="2"/>
  <c r="E229" i="2" s="1"/>
  <c r="H228" i="3" s="1"/>
  <c r="J228" i="3"/>
  <c r="I230" i="4"/>
  <c r="M230" i="4" s="1"/>
  <c r="K232" i="2"/>
  <c r="J227" i="4" l="1"/>
  <c r="F227" i="4"/>
  <c r="G229" i="4"/>
  <c r="L229" i="4" s="1"/>
  <c r="H227" i="4"/>
  <c r="E230" i="4"/>
  <c r="K229" i="4"/>
  <c r="N229" i="4" s="1"/>
  <c r="O233" i="2"/>
  <c r="I232" i="2"/>
  <c r="F232" i="2" s="1"/>
  <c r="N231" i="3" s="1"/>
  <c r="D229" i="3"/>
  <c r="F228" i="3"/>
  <c r="O227" i="3"/>
  <c r="U227" i="3"/>
  <c r="I227" i="3"/>
  <c r="P231" i="2"/>
  <c r="J230" i="2"/>
  <c r="G230" i="2" s="1"/>
  <c r="T229" i="3" s="1"/>
  <c r="V229" i="3"/>
  <c r="I231" i="4"/>
  <c r="M231" i="4" s="1"/>
  <c r="D229" i="4"/>
  <c r="AA229" i="3"/>
  <c r="C233" i="2"/>
  <c r="C231" i="4"/>
  <c r="AB230" i="3"/>
  <c r="B232" i="3"/>
  <c r="B234" i="2"/>
  <c r="A232" i="4"/>
  <c r="P231" i="3"/>
  <c r="M231" i="3"/>
  <c r="S231" i="3"/>
  <c r="Y231" i="3" s="1"/>
  <c r="Z231" i="3" s="1"/>
  <c r="C231" i="3"/>
  <c r="E231" i="3"/>
  <c r="G231" i="3"/>
  <c r="K233" i="2"/>
  <c r="T232" i="2"/>
  <c r="D233" i="2"/>
  <c r="L236" i="2"/>
  <c r="M237" i="2"/>
  <c r="N231" i="2"/>
  <c r="H230" i="2"/>
  <c r="E230" i="2" s="1"/>
  <c r="H229" i="3" s="1"/>
  <c r="J229" i="3"/>
  <c r="K230" i="4" l="1"/>
  <c r="N230" i="4" s="1"/>
  <c r="F228" i="4"/>
  <c r="J228" i="4"/>
  <c r="H228" i="4"/>
  <c r="E231" i="4"/>
  <c r="G230" i="4"/>
  <c r="L230" i="4" s="1"/>
  <c r="O234" i="2"/>
  <c r="I233" i="2"/>
  <c r="F233" i="2" s="1"/>
  <c r="N232" i="3" s="1"/>
  <c r="B233" i="3"/>
  <c r="B235" i="2"/>
  <c r="A233" i="4"/>
  <c r="M232" i="3"/>
  <c r="P232" i="3"/>
  <c r="C232" i="3"/>
  <c r="E232" i="3"/>
  <c r="S232" i="3"/>
  <c r="Y232" i="3" s="1"/>
  <c r="Z232" i="3" s="1"/>
  <c r="G232" i="3"/>
  <c r="N232" i="2"/>
  <c r="J230" i="3"/>
  <c r="H231" i="2"/>
  <c r="E231" i="2" s="1"/>
  <c r="H230" i="3" s="1"/>
  <c r="M238" i="2"/>
  <c r="K234" i="2"/>
  <c r="C234" i="2"/>
  <c r="P232" i="2"/>
  <c r="J231" i="2"/>
  <c r="G231" i="2" s="1"/>
  <c r="T230" i="3" s="1"/>
  <c r="V230" i="3"/>
  <c r="L237" i="2"/>
  <c r="C232" i="4"/>
  <c r="AB231" i="3"/>
  <c r="D230" i="4"/>
  <c r="AA230" i="3"/>
  <c r="I228" i="3"/>
  <c r="U228" i="3"/>
  <c r="O228" i="3"/>
  <c r="I232" i="4"/>
  <c r="M232" i="4" s="1"/>
  <c r="D234" i="2"/>
  <c r="T233" i="2"/>
  <c r="F229" i="3"/>
  <c r="D230" i="3"/>
  <c r="F229" i="4" l="1"/>
  <c r="K231" i="4"/>
  <c r="N231" i="4" s="1"/>
  <c r="H229" i="4"/>
  <c r="E232" i="4"/>
  <c r="J229" i="4"/>
  <c r="G231" i="4"/>
  <c r="L231" i="4" s="1"/>
  <c r="O235" i="2"/>
  <c r="I234" i="2"/>
  <c r="F234" i="2" s="1"/>
  <c r="N233" i="3" s="1"/>
  <c r="D231" i="3"/>
  <c r="F230" i="3"/>
  <c r="C235" i="2"/>
  <c r="D231" i="4"/>
  <c r="AA231" i="3"/>
  <c r="D235" i="2"/>
  <c r="T234" i="2"/>
  <c r="K235" i="2"/>
  <c r="O229" i="3"/>
  <c r="U229" i="3"/>
  <c r="I229" i="3"/>
  <c r="M239" i="2"/>
  <c r="L238" i="2"/>
  <c r="C233" i="4"/>
  <c r="AB232" i="3"/>
  <c r="B234" i="3"/>
  <c r="B236" i="2"/>
  <c r="N233" i="2"/>
  <c r="H232" i="2"/>
  <c r="E232" i="2" s="1"/>
  <c r="H231" i="3" s="1"/>
  <c r="J231" i="3"/>
  <c r="I233" i="4"/>
  <c r="M233" i="4" s="1"/>
  <c r="P233" i="2"/>
  <c r="J232" i="2"/>
  <c r="G232" i="2" s="1"/>
  <c r="T231" i="3" s="1"/>
  <c r="V231" i="3"/>
  <c r="A234" i="4"/>
  <c r="P233" i="3"/>
  <c r="C233" i="3"/>
  <c r="E233" i="3"/>
  <c r="S233" i="3"/>
  <c r="Y233" i="3" s="1"/>
  <c r="Z233" i="3" s="1"/>
  <c r="G233" i="3"/>
  <c r="M233" i="3"/>
  <c r="G232" i="4" l="1"/>
  <c r="L232" i="4" s="1"/>
  <c r="K232" i="4"/>
  <c r="N232" i="4" s="1"/>
  <c r="J230" i="4"/>
  <c r="H230" i="4"/>
  <c r="E233" i="4"/>
  <c r="F230" i="4"/>
  <c r="O236" i="2"/>
  <c r="I235" i="2"/>
  <c r="F235" i="2" s="1"/>
  <c r="N234" i="3" s="1"/>
  <c r="C234" i="4"/>
  <c r="AB233" i="3"/>
  <c r="B235" i="3"/>
  <c r="B237" i="2"/>
  <c r="K236" i="2"/>
  <c r="A235" i="4"/>
  <c r="E234" i="3"/>
  <c r="G234" i="3"/>
  <c r="S234" i="3"/>
  <c r="Y234" i="3" s="1"/>
  <c r="Z234" i="3" s="1"/>
  <c r="P234" i="3"/>
  <c r="C234" i="3"/>
  <c r="M234" i="3"/>
  <c r="P234" i="2"/>
  <c r="J233" i="2"/>
  <c r="G233" i="2" s="1"/>
  <c r="T232" i="3" s="1"/>
  <c r="V232" i="3"/>
  <c r="T235" i="2"/>
  <c r="D236" i="2"/>
  <c r="D232" i="4"/>
  <c r="AA232" i="3"/>
  <c r="L239" i="2"/>
  <c r="C236" i="2"/>
  <c r="M240" i="2"/>
  <c r="N234" i="2"/>
  <c r="J232" i="3"/>
  <c r="H233" i="2"/>
  <c r="E233" i="2" s="1"/>
  <c r="H232" i="3" s="1"/>
  <c r="O230" i="3"/>
  <c r="U230" i="3"/>
  <c r="I230" i="3"/>
  <c r="I234" i="4"/>
  <c r="M234" i="4" s="1"/>
  <c r="D232" i="3"/>
  <c r="F231" i="3"/>
  <c r="F231" i="4" l="1"/>
  <c r="J231" i="4"/>
  <c r="K233" i="4"/>
  <c r="N233" i="4" s="1"/>
  <c r="E234" i="4"/>
  <c r="G233" i="4"/>
  <c r="L233" i="4" s="1"/>
  <c r="H231" i="4"/>
  <c r="O237" i="2"/>
  <c r="I236" i="2"/>
  <c r="F236" i="2" s="1"/>
  <c r="N235" i="3" s="1"/>
  <c r="I231" i="3"/>
  <c r="O231" i="3"/>
  <c r="U231" i="3"/>
  <c r="D233" i="3"/>
  <c r="F232" i="3"/>
  <c r="N235" i="2"/>
  <c r="H234" i="2"/>
  <c r="E234" i="2" s="1"/>
  <c r="H233" i="3" s="1"/>
  <c r="J233" i="3"/>
  <c r="C237" i="2"/>
  <c r="P235" i="2"/>
  <c r="J234" i="2"/>
  <c r="G234" i="2" s="1"/>
  <c r="T233" i="3" s="1"/>
  <c r="V233" i="3"/>
  <c r="I235" i="4"/>
  <c r="M235" i="4" s="1"/>
  <c r="D237" i="2"/>
  <c r="T236" i="2"/>
  <c r="M241" i="2"/>
  <c r="C235" i="4"/>
  <c r="AB234" i="3"/>
  <c r="K237" i="2"/>
  <c r="B236" i="3"/>
  <c r="B238" i="2"/>
  <c r="L240" i="2"/>
  <c r="A236" i="4"/>
  <c r="C235" i="3"/>
  <c r="P235" i="3"/>
  <c r="E235" i="3"/>
  <c r="G235" i="3"/>
  <c r="S235" i="3"/>
  <c r="Y235" i="3" s="1"/>
  <c r="Z235" i="3" s="1"/>
  <c r="M235" i="3"/>
  <c r="D233" i="4"/>
  <c r="AA233" i="3"/>
  <c r="E235" i="4" l="1"/>
  <c r="J232" i="4"/>
  <c r="H232" i="4"/>
  <c r="F232" i="4"/>
  <c r="G234" i="4"/>
  <c r="L234" i="4" s="1"/>
  <c r="K234" i="4"/>
  <c r="N234" i="4" s="1"/>
  <c r="O238" i="2"/>
  <c r="I237" i="2"/>
  <c r="F237" i="2" s="1"/>
  <c r="N236" i="3" s="1"/>
  <c r="M242" i="2"/>
  <c r="D234" i="4"/>
  <c r="AA234" i="3"/>
  <c r="P236" i="2"/>
  <c r="J235" i="2"/>
  <c r="G235" i="2" s="1"/>
  <c r="T234" i="3" s="1"/>
  <c r="V234" i="3"/>
  <c r="I236" i="4"/>
  <c r="M236" i="4" s="1"/>
  <c r="C236" i="4"/>
  <c r="AB235" i="3"/>
  <c r="T237" i="2"/>
  <c r="D238" i="2"/>
  <c r="C238" i="2"/>
  <c r="L241" i="2"/>
  <c r="B237" i="3"/>
  <c r="B239" i="2"/>
  <c r="A237" i="4"/>
  <c r="M236" i="3"/>
  <c r="C236" i="3"/>
  <c r="P236" i="3"/>
  <c r="E236" i="3"/>
  <c r="G236" i="3"/>
  <c r="S236" i="3"/>
  <c r="Y236" i="3" s="1"/>
  <c r="Z236" i="3" s="1"/>
  <c r="N236" i="2"/>
  <c r="J234" i="3"/>
  <c r="H235" i="2"/>
  <c r="E235" i="2" s="1"/>
  <c r="H234" i="3" s="1"/>
  <c r="K238" i="2"/>
  <c r="I232" i="3"/>
  <c r="U232" i="3"/>
  <c r="O232" i="3"/>
  <c r="D234" i="3"/>
  <c r="F233" i="3"/>
  <c r="H233" i="4" l="1"/>
  <c r="K235" i="4"/>
  <c r="N235" i="4" s="1"/>
  <c r="E236" i="4"/>
  <c r="G235" i="4"/>
  <c r="L235" i="4" s="1"/>
  <c r="J233" i="4"/>
  <c r="F233" i="4"/>
  <c r="O239" i="2"/>
  <c r="I238" i="2"/>
  <c r="F238" i="2" s="1"/>
  <c r="N237" i="3" s="1"/>
  <c r="A238" i="4"/>
  <c r="M237" i="3"/>
  <c r="C237" i="3"/>
  <c r="P237" i="3"/>
  <c r="E237" i="3"/>
  <c r="G237" i="3"/>
  <c r="S237" i="3"/>
  <c r="Y237" i="3" s="1"/>
  <c r="Z237" i="3" s="1"/>
  <c r="D235" i="3"/>
  <c r="F234" i="3"/>
  <c r="L242" i="2"/>
  <c r="C239" i="2"/>
  <c r="O233" i="3"/>
  <c r="U233" i="3"/>
  <c r="I233" i="3"/>
  <c r="D239" i="2"/>
  <c r="T238" i="2"/>
  <c r="K239" i="2"/>
  <c r="P237" i="2"/>
  <c r="J236" i="2"/>
  <c r="G236" i="2" s="1"/>
  <c r="T235" i="3" s="1"/>
  <c r="V235" i="3"/>
  <c r="D235" i="4"/>
  <c r="AA235" i="3"/>
  <c r="C237" i="4"/>
  <c r="AB236" i="3"/>
  <c r="N237" i="2"/>
  <c r="H236" i="2"/>
  <c r="E236" i="2" s="1"/>
  <c r="H235" i="3" s="1"/>
  <c r="J235" i="3"/>
  <c r="I237" i="4"/>
  <c r="M237" i="4" s="1"/>
  <c r="M243" i="2"/>
  <c r="B238" i="3"/>
  <c r="B240" i="2"/>
  <c r="K236" i="4" l="1"/>
  <c r="N236" i="4" s="1"/>
  <c r="G236" i="4"/>
  <c r="L236" i="4" s="1"/>
  <c r="F234" i="4"/>
  <c r="J234" i="4"/>
  <c r="E237" i="4"/>
  <c r="H234" i="4"/>
  <c r="O240" i="2"/>
  <c r="I239" i="2"/>
  <c r="F239" i="2" s="1"/>
  <c r="N238" i="3" s="1"/>
  <c r="T239" i="2"/>
  <c r="D240" i="2"/>
  <c r="A239" i="4"/>
  <c r="E238" i="3"/>
  <c r="G238" i="3"/>
  <c r="S238" i="3"/>
  <c r="Y238" i="3" s="1"/>
  <c r="Z238" i="3" s="1"/>
  <c r="M238" i="3"/>
  <c r="P238" i="3"/>
  <c r="C238" i="3"/>
  <c r="M244" i="2"/>
  <c r="D236" i="4"/>
  <c r="AA236" i="3"/>
  <c r="C238" i="4"/>
  <c r="AB237" i="3"/>
  <c r="C240" i="2"/>
  <c r="B239" i="3"/>
  <c r="B241" i="2"/>
  <c r="P238" i="2"/>
  <c r="J237" i="2"/>
  <c r="G237" i="2" s="1"/>
  <c r="T236" i="3" s="1"/>
  <c r="V236" i="3"/>
  <c r="L243" i="2"/>
  <c r="N238" i="2"/>
  <c r="J236" i="3"/>
  <c r="H237" i="2"/>
  <c r="E237" i="2" s="1"/>
  <c r="H236" i="3" s="1"/>
  <c r="K240" i="2"/>
  <c r="U234" i="3"/>
  <c r="I234" i="3"/>
  <c r="O234" i="3"/>
  <c r="F235" i="3"/>
  <c r="D236" i="3"/>
  <c r="I238" i="4"/>
  <c r="M238" i="4" s="1"/>
  <c r="H235" i="4" l="1"/>
  <c r="K237" i="4"/>
  <c r="N237" i="4" s="1"/>
  <c r="F235" i="4"/>
  <c r="J235" i="4"/>
  <c r="E238" i="4"/>
  <c r="G237" i="4"/>
  <c r="L237" i="4" s="1"/>
  <c r="O241" i="2"/>
  <c r="I240" i="2"/>
  <c r="F240" i="2" s="1"/>
  <c r="N239" i="3" s="1"/>
  <c r="K241" i="2"/>
  <c r="N239" i="2"/>
  <c r="H238" i="2"/>
  <c r="E238" i="2" s="1"/>
  <c r="H237" i="3" s="1"/>
  <c r="J237" i="3"/>
  <c r="D237" i="4"/>
  <c r="AA237" i="3"/>
  <c r="L244" i="2"/>
  <c r="C241" i="2"/>
  <c r="F236" i="3"/>
  <c r="D237" i="3"/>
  <c r="O235" i="3"/>
  <c r="I235" i="3"/>
  <c r="U235" i="3"/>
  <c r="M245" i="2"/>
  <c r="I239" i="4"/>
  <c r="M239" i="4" s="1"/>
  <c r="P239" i="2"/>
  <c r="J238" i="2"/>
  <c r="G238" i="2" s="1"/>
  <c r="T237" i="3" s="1"/>
  <c r="V237" i="3"/>
  <c r="T240" i="2"/>
  <c r="D241" i="2"/>
  <c r="C239" i="4"/>
  <c r="AB238" i="3"/>
  <c r="B240" i="3"/>
  <c r="B242" i="2"/>
  <c r="A240" i="4"/>
  <c r="C239" i="3"/>
  <c r="P239" i="3"/>
  <c r="E239" i="3"/>
  <c r="G239" i="3"/>
  <c r="S239" i="3"/>
  <c r="Y239" i="3" s="1"/>
  <c r="Z239" i="3" s="1"/>
  <c r="M239" i="3"/>
  <c r="K238" i="4" l="1"/>
  <c r="N238" i="4" s="1"/>
  <c r="G238" i="4"/>
  <c r="L238" i="4" s="1"/>
  <c r="J236" i="4"/>
  <c r="F236" i="4"/>
  <c r="H236" i="4"/>
  <c r="E239" i="4"/>
  <c r="O242" i="2"/>
  <c r="I241" i="2"/>
  <c r="F241" i="2" s="1"/>
  <c r="N240" i="3" s="1"/>
  <c r="I240" i="4"/>
  <c r="M240" i="4" s="1"/>
  <c r="C240" i="4"/>
  <c r="AB239" i="3"/>
  <c r="B241" i="3"/>
  <c r="B243" i="2"/>
  <c r="C242" i="2"/>
  <c r="A241" i="4"/>
  <c r="M240" i="3"/>
  <c r="C240" i="3"/>
  <c r="P240" i="3"/>
  <c r="E240" i="3"/>
  <c r="G240" i="3"/>
  <c r="S240" i="3"/>
  <c r="Y240" i="3" s="1"/>
  <c r="Z240" i="3" s="1"/>
  <c r="L245" i="2"/>
  <c r="D242" i="2"/>
  <c r="T241" i="2"/>
  <c r="D238" i="4"/>
  <c r="AA238" i="3"/>
  <c r="M246" i="2"/>
  <c r="N240" i="2"/>
  <c r="H239" i="2"/>
  <c r="E239" i="2" s="1"/>
  <c r="H238" i="3" s="1"/>
  <c r="J238" i="3"/>
  <c r="P240" i="2"/>
  <c r="J239" i="2"/>
  <c r="G239" i="2" s="1"/>
  <c r="T238" i="3" s="1"/>
  <c r="V238" i="3"/>
  <c r="F237" i="3"/>
  <c r="D238" i="3"/>
  <c r="O236" i="3"/>
  <c r="I236" i="3"/>
  <c r="U236" i="3"/>
  <c r="K242" i="2"/>
  <c r="K239" i="4" l="1"/>
  <c r="N239" i="4" s="1"/>
  <c r="G239" i="4"/>
  <c r="L239" i="4" s="1"/>
  <c r="F237" i="4"/>
  <c r="H237" i="4"/>
  <c r="J237" i="4"/>
  <c r="E240" i="4"/>
  <c r="O243" i="2"/>
  <c r="I242" i="2"/>
  <c r="F242" i="2" s="1"/>
  <c r="N241" i="3" s="1"/>
  <c r="K243" i="2"/>
  <c r="N241" i="2"/>
  <c r="H240" i="2"/>
  <c r="E240" i="2" s="1"/>
  <c r="H239" i="3" s="1"/>
  <c r="J239" i="3"/>
  <c r="C243" i="2"/>
  <c r="B242" i="3"/>
  <c r="B244" i="2"/>
  <c r="M247" i="2"/>
  <c r="A242" i="4"/>
  <c r="M241" i="3"/>
  <c r="C241" i="3"/>
  <c r="P241" i="3"/>
  <c r="E241" i="3"/>
  <c r="S241" i="3"/>
  <c r="Y241" i="3" s="1"/>
  <c r="Z241" i="3" s="1"/>
  <c r="G241" i="3"/>
  <c r="D239" i="4"/>
  <c r="AA239" i="3"/>
  <c r="F238" i="3"/>
  <c r="D239" i="3"/>
  <c r="I237" i="3"/>
  <c r="U237" i="3"/>
  <c r="O237" i="3"/>
  <c r="T242" i="2"/>
  <c r="D243" i="2"/>
  <c r="C241" i="4"/>
  <c r="AB240" i="3"/>
  <c r="P241" i="2"/>
  <c r="J240" i="2"/>
  <c r="G240" i="2" s="1"/>
  <c r="T239" i="3" s="1"/>
  <c r="V239" i="3"/>
  <c r="L246" i="2"/>
  <c r="I241" i="4"/>
  <c r="M241" i="4" s="1"/>
  <c r="H238" i="4" l="1"/>
  <c r="F238" i="4"/>
  <c r="J238" i="4"/>
  <c r="K240" i="4"/>
  <c r="N240" i="4" s="1"/>
  <c r="G240" i="4"/>
  <c r="L240" i="4" s="1"/>
  <c r="E241" i="4"/>
  <c r="O244" i="2"/>
  <c r="I243" i="2"/>
  <c r="F243" i="2" s="1"/>
  <c r="N242" i="3" s="1"/>
  <c r="D244" i="2"/>
  <c r="T243" i="2"/>
  <c r="B243" i="3"/>
  <c r="B245" i="2"/>
  <c r="M248" i="2"/>
  <c r="A243" i="4"/>
  <c r="E242" i="3"/>
  <c r="G242" i="3"/>
  <c r="S242" i="3"/>
  <c r="Y242" i="3" s="1"/>
  <c r="Z242" i="3" s="1"/>
  <c r="M242" i="3"/>
  <c r="C242" i="3"/>
  <c r="P242" i="3"/>
  <c r="C244" i="2"/>
  <c r="C242" i="4"/>
  <c r="AB241" i="3"/>
  <c r="L247" i="2"/>
  <c r="F239" i="3"/>
  <c r="D240" i="3"/>
  <c r="I238" i="3"/>
  <c r="U238" i="3"/>
  <c r="O238" i="3"/>
  <c r="N242" i="2"/>
  <c r="H241" i="2"/>
  <c r="E241" i="2" s="1"/>
  <c r="H240" i="3" s="1"/>
  <c r="J240" i="3"/>
  <c r="D240" i="4"/>
  <c r="AA240" i="3"/>
  <c r="P242" i="2"/>
  <c r="J241" i="2"/>
  <c r="G241" i="2" s="1"/>
  <c r="T240" i="3" s="1"/>
  <c r="V240" i="3"/>
  <c r="I242" i="4"/>
  <c r="M242" i="4" s="1"/>
  <c r="K244" i="2"/>
  <c r="F239" i="4" l="1"/>
  <c r="K241" i="4"/>
  <c r="N241" i="4" s="1"/>
  <c r="J239" i="4"/>
  <c r="G241" i="4"/>
  <c r="L241" i="4" s="1"/>
  <c r="E242" i="4"/>
  <c r="H239" i="4"/>
  <c r="O245" i="2"/>
  <c r="I244" i="2"/>
  <c r="F244" i="2" s="1"/>
  <c r="N243" i="3" s="1"/>
  <c r="D241" i="4"/>
  <c r="AA241" i="3"/>
  <c r="K245" i="2"/>
  <c r="N243" i="2"/>
  <c r="H242" i="2"/>
  <c r="E242" i="2" s="1"/>
  <c r="H241" i="3" s="1"/>
  <c r="J241" i="3"/>
  <c r="C245" i="2"/>
  <c r="I243" i="4"/>
  <c r="M243" i="4" s="1"/>
  <c r="M249" i="2"/>
  <c r="B244" i="3"/>
  <c r="B246" i="2"/>
  <c r="C243" i="4"/>
  <c r="AB242" i="3"/>
  <c r="A244" i="4"/>
  <c r="C243" i="3"/>
  <c r="P243" i="3"/>
  <c r="E243" i="3"/>
  <c r="G243" i="3"/>
  <c r="S243" i="3"/>
  <c r="Y243" i="3" s="1"/>
  <c r="Z243" i="3" s="1"/>
  <c r="M243" i="3"/>
  <c r="O239" i="3"/>
  <c r="I239" i="3"/>
  <c r="U239" i="3"/>
  <c r="L248" i="2"/>
  <c r="F240" i="3"/>
  <c r="D241" i="3"/>
  <c r="P243" i="2"/>
  <c r="J242" i="2"/>
  <c r="G242" i="2" s="1"/>
  <c r="T241" i="3" s="1"/>
  <c r="V241" i="3"/>
  <c r="T244" i="2"/>
  <c r="D245" i="2"/>
  <c r="H240" i="4" l="1"/>
  <c r="G242" i="4"/>
  <c r="L242" i="4" s="1"/>
  <c r="K242" i="4"/>
  <c r="N242" i="4" s="1"/>
  <c r="E243" i="4"/>
  <c r="F240" i="4"/>
  <c r="J240" i="4"/>
  <c r="O246" i="2"/>
  <c r="I245" i="2"/>
  <c r="F245" i="2" s="1"/>
  <c r="N244" i="3" s="1"/>
  <c r="I244" i="4"/>
  <c r="M244" i="4" s="1"/>
  <c r="C244" i="4"/>
  <c r="AB243" i="3"/>
  <c r="C246" i="2"/>
  <c r="B245" i="3"/>
  <c r="B247" i="2"/>
  <c r="A245" i="4"/>
  <c r="M244" i="3"/>
  <c r="C244" i="3"/>
  <c r="P244" i="3"/>
  <c r="E244" i="3"/>
  <c r="G244" i="3"/>
  <c r="S244" i="3"/>
  <c r="Y244" i="3" s="1"/>
  <c r="Z244" i="3" s="1"/>
  <c r="P244" i="2"/>
  <c r="J243" i="2"/>
  <c r="G243" i="2" s="1"/>
  <c r="T242" i="3" s="1"/>
  <c r="V242" i="3"/>
  <c r="M250" i="2"/>
  <c r="D242" i="3"/>
  <c r="F241" i="3"/>
  <c r="N244" i="2"/>
  <c r="J242" i="3"/>
  <c r="H243" i="2"/>
  <c r="E243" i="2" s="1"/>
  <c r="H242" i="3" s="1"/>
  <c r="O240" i="3"/>
  <c r="I240" i="3"/>
  <c r="U240" i="3"/>
  <c r="K246" i="2"/>
  <c r="L249" i="2"/>
  <c r="D242" i="4"/>
  <c r="AA242" i="3"/>
  <c r="D246" i="2"/>
  <c r="T245" i="2"/>
  <c r="G243" i="4" l="1"/>
  <c r="L243" i="4" s="1"/>
  <c r="K243" i="4"/>
  <c r="N243" i="4" s="1"/>
  <c r="E244" i="4"/>
  <c r="J241" i="4"/>
  <c r="F241" i="4"/>
  <c r="H241" i="4"/>
  <c r="O247" i="2"/>
  <c r="I246" i="2"/>
  <c r="F246" i="2" s="1"/>
  <c r="N245" i="3" s="1"/>
  <c r="C247" i="2"/>
  <c r="N245" i="2"/>
  <c r="H244" i="2"/>
  <c r="E244" i="2" s="1"/>
  <c r="H243" i="3" s="1"/>
  <c r="J243" i="3"/>
  <c r="D247" i="2"/>
  <c r="T246" i="2"/>
  <c r="D243" i="4"/>
  <c r="AA243" i="3"/>
  <c r="I241" i="3"/>
  <c r="U241" i="3"/>
  <c r="O241" i="3"/>
  <c r="F242" i="3"/>
  <c r="D243" i="3"/>
  <c r="L250" i="2"/>
  <c r="A246" i="4"/>
  <c r="M245" i="3"/>
  <c r="C245" i="3"/>
  <c r="P245" i="3"/>
  <c r="E245" i="3"/>
  <c r="G245" i="3"/>
  <c r="S245" i="3"/>
  <c r="Y245" i="3" s="1"/>
  <c r="Z245" i="3" s="1"/>
  <c r="M251" i="2"/>
  <c r="C245" i="4"/>
  <c r="AB244" i="3"/>
  <c r="K247" i="2"/>
  <c r="P245" i="2"/>
  <c r="J244" i="2"/>
  <c r="G244" i="2" s="1"/>
  <c r="T243" i="3" s="1"/>
  <c r="V243" i="3"/>
  <c r="I245" i="4"/>
  <c r="M245" i="4" s="1"/>
  <c r="B246" i="3"/>
  <c r="B248" i="2"/>
  <c r="J242" i="4" l="1"/>
  <c r="G244" i="4"/>
  <c r="L244" i="4" s="1"/>
  <c r="F242" i="4"/>
  <c r="K244" i="4"/>
  <c r="N244" i="4" s="1"/>
  <c r="E245" i="4"/>
  <c r="H242" i="4"/>
  <c r="O248" i="2"/>
  <c r="I247" i="2"/>
  <c r="F247" i="2" s="1"/>
  <c r="N246" i="3" s="1"/>
  <c r="C246" i="4"/>
  <c r="AB245" i="3"/>
  <c r="B247" i="3"/>
  <c r="B249" i="2"/>
  <c r="K248" i="2"/>
  <c r="D244" i="4"/>
  <c r="AA244" i="3"/>
  <c r="A247" i="4"/>
  <c r="E246" i="3"/>
  <c r="G246" i="3"/>
  <c r="S246" i="3"/>
  <c r="Y246" i="3" s="1"/>
  <c r="Z246" i="3" s="1"/>
  <c r="M246" i="3"/>
  <c r="P246" i="3"/>
  <c r="C246" i="3"/>
  <c r="M252" i="2"/>
  <c r="I246" i="4"/>
  <c r="M246" i="4" s="1"/>
  <c r="T247" i="2"/>
  <c r="D248" i="2"/>
  <c r="L251" i="2"/>
  <c r="F243" i="3"/>
  <c r="D244" i="3"/>
  <c r="N246" i="2"/>
  <c r="H245" i="2"/>
  <c r="E245" i="2" s="1"/>
  <c r="H244" i="3" s="1"/>
  <c r="J244" i="3"/>
  <c r="I242" i="3"/>
  <c r="U242" i="3"/>
  <c r="O242" i="3"/>
  <c r="C248" i="2"/>
  <c r="P246" i="2"/>
  <c r="J245" i="2"/>
  <c r="G245" i="2" s="1"/>
  <c r="T244" i="3" s="1"/>
  <c r="V244" i="3"/>
  <c r="F243" i="4" l="1"/>
  <c r="K245" i="4"/>
  <c r="N245" i="4" s="1"/>
  <c r="G245" i="4"/>
  <c r="L245" i="4" s="1"/>
  <c r="H243" i="4"/>
  <c r="J243" i="4"/>
  <c r="E246" i="4"/>
  <c r="O249" i="2"/>
  <c r="I248" i="2"/>
  <c r="F248" i="2" s="1"/>
  <c r="N247" i="3" s="1"/>
  <c r="F244" i="3"/>
  <c r="D245" i="3"/>
  <c r="O243" i="3"/>
  <c r="I243" i="3"/>
  <c r="U243" i="3"/>
  <c r="M253" i="2"/>
  <c r="P247" i="2"/>
  <c r="J246" i="2"/>
  <c r="G246" i="2" s="1"/>
  <c r="T245" i="3" s="1"/>
  <c r="V245" i="3"/>
  <c r="I247" i="4"/>
  <c r="M247" i="4" s="1"/>
  <c r="N247" i="2"/>
  <c r="H246" i="2"/>
  <c r="E246" i="2" s="1"/>
  <c r="H245" i="3" s="1"/>
  <c r="J245" i="3"/>
  <c r="C249" i="2"/>
  <c r="L252" i="2"/>
  <c r="D245" i="4"/>
  <c r="AA245" i="3"/>
  <c r="D249" i="2"/>
  <c r="T248" i="2"/>
  <c r="C247" i="4"/>
  <c r="AB246" i="3"/>
  <c r="K249" i="2"/>
  <c r="B248" i="3"/>
  <c r="B250" i="2"/>
  <c r="A248" i="4"/>
  <c r="C247" i="3"/>
  <c r="P247" i="3"/>
  <c r="E247" i="3"/>
  <c r="G247" i="3"/>
  <c r="S247" i="3"/>
  <c r="Y247" i="3" s="1"/>
  <c r="Z247" i="3" s="1"/>
  <c r="M247" i="3"/>
  <c r="K246" i="4" l="1"/>
  <c r="N246" i="4" s="1"/>
  <c r="J244" i="4"/>
  <c r="E247" i="4"/>
  <c r="F244" i="4"/>
  <c r="H244" i="4"/>
  <c r="G246" i="4"/>
  <c r="L246" i="4" s="1"/>
  <c r="O250" i="2"/>
  <c r="I249" i="2"/>
  <c r="F249" i="2" s="1"/>
  <c r="N248" i="3" s="1"/>
  <c r="C248" i="4"/>
  <c r="AB247" i="3"/>
  <c r="B249" i="3"/>
  <c r="B251" i="2"/>
  <c r="L253" i="2"/>
  <c r="A249" i="4"/>
  <c r="M248" i="3"/>
  <c r="C248" i="3"/>
  <c r="P248" i="3"/>
  <c r="E248" i="3"/>
  <c r="G248" i="3"/>
  <c r="S248" i="3"/>
  <c r="Y248" i="3" s="1"/>
  <c r="Z248" i="3" s="1"/>
  <c r="K250" i="2"/>
  <c r="I248" i="4"/>
  <c r="M248" i="4" s="1"/>
  <c r="C250" i="2"/>
  <c r="P248" i="2"/>
  <c r="J247" i="2"/>
  <c r="G247" i="2" s="1"/>
  <c r="T246" i="3" s="1"/>
  <c r="V246" i="3"/>
  <c r="M254" i="2"/>
  <c r="N248" i="2"/>
  <c r="J246" i="3"/>
  <c r="H247" i="2"/>
  <c r="E247" i="2" s="1"/>
  <c r="H246" i="3" s="1"/>
  <c r="T249" i="2"/>
  <c r="D250" i="2"/>
  <c r="D246" i="4"/>
  <c r="AA246" i="3"/>
  <c r="F245" i="3"/>
  <c r="D246" i="3"/>
  <c r="O244" i="3"/>
  <c r="I244" i="3"/>
  <c r="U244" i="3"/>
  <c r="F245" i="4" l="1"/>
  <c r="K247" i="4"/>
  <c r="N247" i="4" s="1"/>
  <c r="H245" i="4"/>
  <c r="G247" i="4"/>
  <c r="L247" i="4" s="1"/>
  <c r="J245" i="4"/>
  <c r="E248" i="4"/>
  <c r="O251" i="2"/>
  <c r="I250" i="2"/>
  <c r="F250" i="2" s="1"/>
  <c r="N249" i="3" s="1"/>
  <c r="N249" i="2"/>
  <c r="H248" i="2"/>
  <c r="E248" i="2" s="1"/>
  <c r="H247" i="3" s="1"/>
  <c r="J247" i="3"/>
  <c r="M255" i="2"/>
  <c r="C249" i="4"/>
  <c r="AB248" i="3"/>
  <c r="I245" i="3"/>
  <c r="U245" i="3"/>
  <c r="O245" i="3"/>
  <c r="K251" i="2"/>
  <c r="I249" i="4"/>
  <c r="M249" i="4" s="1"/>
  <c r="F246" i="3"/>
  <c r="D247" i="3"/>
  <c r="D247" i="4"/>
  <c r="AA247" i="3"/>
  <c r="P249" i="2"/>
  <c r="J248" i="2"/>
  <c r="G248" i="2" s="1"/>
  <c r="T247" i="3" s="1"/>
  <c r="V247" i="3"/>
  <c r="C251" i="2"/>
  <c r="L254" i="2"/>
  <c r="D251" i="2"/>
  <c r="T250" i="2"/>
  <c r="B250" i="3"/>
  <c r="B252" i="2"/>
  <c r="A250" i="4"/>
  <c r="M249" i="3"/>
  <c r="C249" i="3"/>
  <c r="P249" i="3"/>
  <c r="E249" i="3"/>
  <c r="S249" i="3"/>
  <c r="Y249" i="3" s="1"/>
  <c r="Z249" i="3" s="1"/>
  <c r="G249" i="3"/>
  <c r="H246" i="4" l="1"/>
  <c r="J246" i="4"/>
  <c r="F246" i="4"/>
  <c r="K248" i="4"/>
  <c r="N248" i="4" s="1"/>
  <c r="E249" i="4"/>
  <c r="G248" i="4"/>
  <c r="L248" i="4" s="1"/>
  <c r="O252" i="2"/>
  <c r="I251" i="2"/>
  <c r="F251" i="2" s="1"/>
  <c r="N250" i="3" s="1"/>
  <c r="K252" i="2"/>
  <c r="B251" i="3"/>
  <c r="B253" i="2"/>
  <c r="P250" i="2"/>
  <c r="J249" i="2"/>
  <c r="G249" i="2" s="1"/>
  <c r="T248" i="3" s="1"/>
  <c r="V248" i="3"/>
  <c r="A251" i="4"/>
  <c r="E250" i="3"/>
  <c r="G250" i="3"/>
  <c r="S250" i="3"/>
  <c r="Y250" i="3" s="1"/>
  <c r="Z250" i="3" s="1"/>
  <c r="M250" i="3"/>
  <c r="C250" i="3"/>
  <c r="P250" i="3"/>
  <c r="D248" i="4"/>
  <c r="AA248" i="3"/>
  <c r="F247" i="3"/>
  <c r="D248" i="3"/>
  <c r="I246" i="3"/>
  <c r="U246" i="3"/>
  <c r="O246" i="3"/>
  <c r="L255" i="2"/>
  <c r="C250" i="4"/>
  <c r="AB249" i="3"/>
  <c r="I250" i="4"/>
  <c r="M250" i="4" s="1"/>
  <c r="T251" i="2"/>
  <c r="D252" i="2"/>
  <c r="M256" i="2"/>
  <c r="C252" i="2"/>
  <c r="N250" i="2"/>
  <c r="J248" i="3"/>
  <c r="H249" i="2"/>
  <c r="E249" i="2" s="1"/>
  <c r="H248" i="3" s="1"/>
  <c r="H247" i="4" l="1"/>
  <c r="J247" i="4"/>
  <c r="F247" i="4"/>
  <c r="G249" i="4"/>
  <c r="L249" i="4" s="1"/>
  <c r="K249" i="4"/>
  <c r="N249" i="4" s="1"/>
  <c r="E250" i="4"/>
  <c r="O253" i="2"/>
  <c r="I252" i="2"/>
  <c r="F252" i="2" s="1"/>
  <c r="N251" i="3" s="1"/>
  <c r="O247" i="3"/>
  <c r="I247" i="3"/>
  <c r="U247" i="3"/>
  <c r="D249" i="4"/>
  <c r="AA249" i="3"/>
  <c r="C253" i="2"/>
  <c r="I251" i="4"/>
  <c r="M251" i="4" s="1"/>
  <c r="P251" i="2"/>
  <c r="J250" i="2"/>
  <c r="G250" i="2" s="1"/>
  <c r="T249" i="3" s="1"/>
  <c r="V249" i="3"/>
  <c r="M257" i="2"/>
  <c r="C251" i="4"/>
  <c r="AB250" i="3"/>
  <c r="B252" i="3"/>
  <c r="B254" i="2"/>
  <c r="T252" i="2"/>
  <c r="D253" i="2"/>
  <c r="L256" i="2"/>
  <c r="A252" i="4"/>
  <c r="C251" i="3"/>
  <c r="P251" i="3"/>
  <c r="E251" i="3"/>
  <c r="G251" i="3"/>
  <c r="S251" i="3"/>
  <c r="Y251" i="3" s="1"/>
  <c r="Z251" i="3" s="1"/>
  <c r="M251" i="3"/>
  <c r="F248" i="3"/>
  <c r="D249" i="3"/>
  <c r="N251" i="2"/>
  <c r="J249" i="3"/>
  <c r="H250" i="2"/>
  <c r="E250" i="2" s="1"/>
  <c r="H249" i="3" s="1"/>
  <c r="K253" i="2"/>
  <c r="K250" i="4" l="1"/>
  <c r="N250" i="4" s="1"/>
  <c r="J248" i="4"/>
  <c r="F248" i="4"/>
  <c r="G250" i="4"/>
  <c r="L250" i="4" s="1"/>
  <c r="E251" i="4"/>
  <c r="H248" i="4"/>
  <c r="O254" i="2"/>
  <c r="I253" i="2"/>
  <c r="F253" i="2" s="1"/>
  <c r="N252" i="3" s="1"/>
  <c r="K254" i="2"/>
  <c r="A253" i="4"/>
  <c r="M252" i="3"/>
  <c r="C252" i="3"/>
  <c r="P252" i="3"/>
  <c r="E252" i="3"/>
  <c r="G252" i="3"/>
  <c r="S252" i="3"/>
  <c r="Y252" i="3" s="1"/>
  <c r="Z252" i="3" s="1"/>
  <c r="C254" i="2"/>
  <c r="N252" i="2"/>
  <c r="H251" i="2"/>
  <c r="E251" i="2" s="1"/>
  <c r="H250" i="3" s="1"/>
  <c r="J250" i="3"/>
  <c r="B253" i="3"/>
  <c r="B255" i="2"/>
  <c r="D250" i="3"/>
  <c r="F249" i="3"/>
  <c r="M258" i="2"/>
  <c r="O248" i="3"/>
  <c r="I248" i="3"/>
  <c r="U248" i="3"/>
  <c r="I252" i="4"/>
  <c r="M252" i="4" s="1"/>
  <c r="D250" i="4"/>
  <c r="AA250" i="3"/>
  <c r="C252" i="4"/>
  <c r="AB251" i="3"/>
  <c r="L257" i="2"/>
  <c r="P252" i="2"/>
  <c r="J251" i="2"/>
  <c r="G251" i="2" s="1"/>
  <c r="T250" i="3" s="1"/>
  <c r="V250" i="3"/>
  <c r="D254" i="2"/>
  <c r="T253" i="2"/>
  <c r="G251" i="4" l="1"/>
  <c r="L251" i="4" s="1"/>
  <c r="J249" i="4"/>
  <c r="K251" i="4"/>
  <c r="N251" i="4" s="1"/>
  <c r="F249" i="4"/>
  <c r="H249" i="4"/>
  <c r="E252" i="4"/>
  <c r="O255" i="2"/>
  <c r="I254" i="2"/>
  <c r="F254" i="2" s="1"/>
  <c r="N253" i="3" s="1"/>
  <c r="F250" i="3"/>
  <c r="D251" i="3"/>
  <c r="B254" i="3"/>
  <c r="B256" i="2"/>
  <c r="T254" i="2"/>
  <c r="D255" i="2"/>
  <c r="P253" i="2"/>
  <c r="J252" i="2"/>
  <c r="G252" i="2" s="1"/>
  <c r="T251" i="3" s="1"/>
  <c r="V251" i="3"/>
  <c r="N253" i="2"/>
  <c r="J251" i="3"/>
  <c r="H252" i="2"/>
  <c r="E252" i="2" s="1"/>
  <c r="H251" i="3" s="1"/>
  <c r="L258" i="2"/>
  <c r="C253" i="4"/>
  <c r="AB252" i="3"/>
  <c r="C255" i="2"/>
  <c r="I253" i="4"/>
  <c r="M253" i="4" s="1"/>
  <c r="I249" i="3"/>
  <c r="U249" i="3"/>
  <c r="O249" i="3"/>
  <c r="A254" i="4"/>
  <c r="M253" i="3"/>
  <c r="C253" i="3"/>
  <c r="P253" i="3"/>
  <c r="E253" i="3"/>
  <c r="G253" i="3"/>
  <c r="S253" i="3"/>
  <c r="Y253" i="3" s="1"/>
  <c r="Z253" i="3" s="1"/>
  <c r="D251" i="4"/>
  <c r="AA251" i="3"/>
  <c r="M259" i="2"/>
  <c r="K255" i="2"/>
  <c r="K252" i="4" l="1"/>
  <c r="N252" i="4" s="1"/>
  <c r="H250" i="4"/>
  <c r="F250" i="4"/>
  <c r="J250" i="4"/>
  <c r="E253" i="4"/>
  <c r="G252" i="4"/>
  <c r="L252" i="4" s="1"/>
  <c r="O256" i="2"/>
  <c r="I255" i="2"/>
  <c r="F255" i="2" s="1"/>
  <c r="N254" i="3" s="1"/>
  <c r="C254" i="4"/>
  <c r="AB253" i="3"/>
  <c r="N254" i="2"/>
  <c r="J252" i="3"/>
  <c r="H253" i="2"/>
  <c r="E253" i="2" s="1"/>
  <c r="H252" i="3" s="1"/>
  <c r="K256" i="2"/>
  <c r="M260" i="2"/>
  <c r="C256" i="2"/>
  <c r="P254" i="2"/>
  <c r="J253" i="2"/>
  <c r="G253" i="2" s="1"/>
  <c r="T252" i="3" s="1"/>
  <c r="V252" i="3"/>
  <c r="D252" i="4"/>
  <c r="AA252" i="3"/>
  <c r="D256" i="2"/>
  <c r="T255" i="2"/>
  <c r="I254" i="4"/>
  <c r="M254" i="4" s="1"/>
  <c r="B255" i="3"/>
  <c r="B257" i="2"/>
  <c r="A255" i="4"/>
  <c r="E254" i="3"/>
  <c r="G254" i="3"/>
  <c r="S254" i="3"/>
  <c r="Y254" i="3" s="1"/>
  <c r="Z254" i="3" s="1"/>
  <c r="M254" i="3"/>
  <c r="P254" i="3"/>
  <c r="C254" i="3"/>
  <c r="L259" i="2"/>
  <c r="F251" i="3"/>
  <c r="D252" i="3"/>
  <c r="I250" i="3"/>
  <c r="U250" i="3"/>
  <c r="O250" i="3"/>
  <c r="H251" i="4" l="1"/>
  <c r="G253" i="4"/>
  <c r="L253" i="4" s="1"/>
  <c r="F251" i="4"/>
  <c r="J251" i="4"/>
  <c r="E254" i="4"/>
  <c r="K253" i="4"/>
  <c r="N253" i="4" s="1"/>
  <c r="O257" i="2"/>
  <c r="I256" i="2"/>
  <c r="F256" i="2" s="1"/>
  <c r="N255" i="3" s="1"/>
  <c r="C257" i="2"/>
  <c r="F252" i="3"/>
  <c r="D253" i="3"/>
  <c r="M261" i="2"/>
  <c r="O251" i="3"/>
  <c r="I251" i="3"/>
  <c r="U251" i="3"/>
  <c r="K257" i="2"/>
  <c r="T256" i="2"/>
  <c r="D257" i="2"/>
  <c r="L260" i="2"/>
  <c r="I255" i="4"/>
  <c r="M255" i="4" s="1"/>
  <c r="D253" i="4"/>
  <c r="AA253" i="3"/>
  <c r="B256" i="3"/>
  <c r="B258" i="2"/>
  <c r="A256" i="4"/>
  <c r="C255" i="3"/>
  <c r="P255" i="3"/>
  <c r="E255" i="3"/>
  <c r="G255" i="3"/>
  <c r="S255" i="3"/>
  <c r="Y255" i="3" s="1"/>
  <c r="Z255" i="3" s="1"/>
  <c r="M255" i="3"/>
  <c r="N255" i="2"/>
  <c r="J253" i="3"/>
  <c r="H254" i="2"/>
  <c r="E254" i="2" s="1"/>
  <c r="H253" i="3" s="1"/>
  <c r="C255" i="4"/>
  <c r="AB254" i="3"/>
  <c r="P255" i="2"/>
  <c r="J254" i="2"/>
  <c r="G254" i="2" s="1"/>
  <c r="T253" i="3" s="1"/>
  <c r="V253" i="3"/>
  <c r="J252" i="4" l="1"/>
  <c r="E255" i="4"/>
  <c r="K254" i="4"/>
  <c r="N254" i="4" s="1"/>
  <c r="F252" i="4"/>
  <c r="H252" i="4"/>
  <c r="G254" i="4"/>
  <c r="L254" i="4" s="1"/>
  <c r="O258" i="2"/>
  <c r="I257" i="2"/>
  <c r="F257" i="2" s="1"/>
  <c r="N256" i="3" s="1"/>
  <c r="K258" i="2"/>
  <c r="P256" i="2"/>
  <c r="J255" i="2"/>
  <c r="G255" i="2" s="1"/>
  <c r="T254" i="3" s="1"/>
  <c r="V254" i="3"/>
  <c r="M262" i="2"/>
  <c r="F253" i="3"/>
  <c r="D254" i="3"/>
  <c r="N256" i="2"/>
  <c r="H255" i="2"/>
  <c r="E255" i="2" s="1"/>
  <c r="H254" i="3" s="1"/>
  <c r="J254" i="3"/>
  <c r="I256" i="4"/>
  <c r="M256" i="4" s="1"/>
  <c r="L261" i="2"/>
  <c r="O252" i="3"/>
  <c r="I252" i="3"/>
  <c r="U252" i="3"/>
  <c r="C256" i="4"/>
  <c r="AB255" i="3"/>
  <c r="B257" i="3"/>
  <c r="B259" i="2"/>
  <c r="D258" i="2"/>
  <c r="T257" i="2"/>
  <c r="C258" i="2"/>
  <c r="A257" i="4"/>
  <c r="M256" i="3"/>
  <c r="C256" i="3"/>
  <c r="P256" i="3"/>
  <c r="E256" i="3"/>
  <c r="G256" i="3"/>
  <c r="S256" i="3"/>
  <c r="Y256" i="3" s="1"/>
  <c r="Z256" i="3" s="1"/>
  <c r="D254" i="4"/>
  <c r="AA254" i="3"/>
  <c r="G255" i="4" l="1"/>
  <c r="L255" i="4" s="1"/>
  <c r="E256" i="4"/>
  <c r="K255" i="4"/>
  <c r="N255" i="4" s="1"/>
  <c r="F253" i="4"/>
  <c r="J253" i="4"/>
  <c r="H253" i="4"/>
  <c r="O259" i="2"/>
  <c r="I258" i="2"/>
  <c r="F258" i="2" s="1"/>
  <c r="N257" i="3" s="1"/>
  <c r="I257" i="4"/>
  <c r="M257" i="4" s="1"/>
  <c r="N257" i="2"/>
  <c r="J255" i="3"/>
  <c r="H256" i="2"/>
  <c r="E256" i="2" s="1"/>
  <c r="H255" i="3" s="1"/>
  <c r="F254" i="3"/>
  <c r="D255" i="3"/>
  <c r="C259" i="2"/>
  <c r="L262" i="2"/>
  <c r="I253" i="3"/>
  <c r="U253" i="3"/>
  <c r="O253" i="3"/>
  <c r="C257" i="4"/>
  <c r="AB256" i="3"/>
  <c r="D255" i="4"/>
  <c r="AA255" i="3"/>
  <c r="M263" i="2"/>
  <c r="D259" i="2"/>
  <c r="T258" i="2"/>
  <c r="P257" i="2"/>
  <c r="J256" i="2"/>
  <c r="G256" i="2" s="1"/>
  <c r="T255" i="3" s="1"/>
  <c r="V255" i="3"/>
  <c r="A258" i="4"/>
  <c r="M257" i="3"/>
  <c r="C257" i="3"/>
  <c r="P257" i="3"/>
  <c r="E257" i="3"/>
  <c r="S257" i="3"/>
  <c r="Y257" i="3" s="1"/>
  <c r="Z257" i="3" s="1"/>
  <c r="G257" i="3"/>
  <c r="B258" i="3"/>
  <c r="B260" i="2"/>
  <c r="K259" i="2"/>
  <c r="J254" i="4" l="1"/>
  <c r="F254" i="4"/>
  <c r="K256" i="4"/>
  <c r="N256" i="4" s="1"/>
  <c r="G256" i="4"/>
  <c r="L256" i="4" s="1"/>
  <c r="E257" i="4"/>
  <c r="H254" i="4"/>
  <c r="O260" i="2"/>
  <c r="I259" i="2"/>
  <c r="F259" i="2" s="1"/>
  <c r="N258" i="3" s="1"/>
  <c r="D256" i="4"/>
  <c r="AA256" i="3"/>
  <c r="F255" i="3"/>
  <c r="D256" i="3"/>
  <c r="M264" i="2"/>
  <c r="K260" i="2"/>
  <c r="I254" i="3"/>
  <c r="U254" i="3"/>
  <c r="O254" i="3"/>
  <c r="B259" i="3"/>
  <c r="B261" i="2"/>
  <c r="A259" i="4"/>
  <c r="E258" i="3"/>
  <c r="G258" i="3"/>
  <c r="S258" i="3"/>
  <c r="Y258" i="3" s="1"/>
  <c r="Z258" i="3" s="1"/>
  <c r="M258" i="3"/>
  <c r="C258" i="3"/>
  <c r="P258" i="3"/>
  <c r="I258" i="4"/>
  <c r="M258" i="4" s="1"/>
  <c r="N258" i="2"/>
  <c r="H257" i="2"/>
  <c r="E257" i="2" s="1"/>
  <c r="H256" i="3" s="1"/>
  <c r="J256" i="3"/>
  <c r="P258" i="2"/>
  <c r="J257" i="2"/>
  <c r="G257" i="2" s="1"/>
  <c r="T256" i="3" s="1"/>
  <c r="V256" i="3"/>
  <c r="L263" i="2"/>
  <c r="T259" i="2"/>
  <c r="D260" i="2"/>
  <c r="C260" i="2"/>
  <c r="C258" i="4"/>
  <c r="AB257" i="3"/>
  <c r="H255" i="4" l="1"/>
  <c r="E258" i="4"/>
  <c r="J255" i="4"/>
  <c r="G257" i="4"/>
  <c r="L257" i="4" s="1"/>
  <c r="F255" i="4"/>
  <c r="K257" i="4"/>
  <c r="N257" i="4" s="1"/>
  <c r="O261" i="2"/>
  <c r="I260" i="2"/>
  <c r="F260" i="2" s="1"/>
  <c r="N259" i="3" s="1"/>
  <c r="A260" i="4"/>
  <c r="C259" i="3"/>
  <c r="P259" i="3"/>
  <c r="E259" i="3"/>
  <c r="G259" i="3"/>
  <c r="S259" i="3"/>
  <c r="Y259" i="3" s="1"/>
  <c r="Z259" i="3" s="1"/>
  <c r="M259" i="3"/>
  <c r="P259" i="2"/>
  <c r="J258" i="2"/>
  <c r="G258" i="2" s="1"/>
  <c r="T257" i="3" s="1"/>
  <c r="V257" i="3"/>
  <c r="C259" i="4"/>
  <c r="AB258" i="3"/>
  <c r="N259" i="2"/>
  <c r="J257" i="3"/>
  <c r="H258" i="2"/>
  <c r="E258" i="2" s="1"/>
  <c r="H257" i="3" s="1"/>
  <c r="K261" i="2"/>
  <c r="D261" i="2"/>
  <c r="T260" i="2"/>
  <c r="M265" i="2"/>
  <c r="F256" i="3"/>
  <c r="D257" i="3"/>
  <c r="O255" i="3"/>
  <c r="I255" i="3"/>
  <c r="U255" i="3"/>
  <c r="C261" i="2"/>
  <c r="L264" i="2"/>
  <c r="I259" i="4"/>
  <c r="M259" i="4" s="1"/>
  <c r="D257" i="4"/>
  <c r="AA257" i="3"/>
  <c r="B260" i="3"/>
  <c r="B262" i="2"/>
  <c r="H256" i="4" l="1"/>
  <c r="K258" i="4"/>
  <c r="N258" i="4" s="1"/>
  <c r="G258" i="4"/>
  <c r="L258" i="4" s="1"/>
  <c r="J256" i="4"/>
  <c r="E259" i="4"/>
  <c r="F256" i="4"/>
  <c r="O262" i="2"/>
  <c r="I261" i="2"/>
  <c r="F261" i="2" s="1"/>
  <c r="N260" i="3" s="1"/>
  <c r="C260" i="4"/>
  <c r="AB259" i="3"/>
  <c r="B261" i="3"/>
  <c r="B263" i="2"/>
  <c r="T261" i="2"/>
  <c r="D262" i="2"/>
  <c r="L265" i="2"/>
  <c r="A261" i="4"/>
  <c r="M260" i="3"/>
  <c r="C260" i="3"/>
  <c r="P260" i="3"/>
  <c r="E260" i="3"/>
  <c r="G260" i="3"/>
  <c r="S260" i="3"/>
  <c r="Y260" i="3" s="1"/>
  <c r="Z260" i="3" s="1"/>
  <c r="K262" i="2"/>
  <c r="D258" i="4"/>
  <c r="AA258" i="3"/>
  <c r="C262" i="2"/>
  <c r="N260" i="2"/>
  <c r="H259" i="2"/>
  <c r="E259" i="2" s="1"/>
  <c r="H258" i="3" s="1"/>
  <c r="J258" i="3"/>
  <c r="D258" i="3"/>
  <c r="F257" i="3"/>
  <c r="O256" i="3"/>
  <c r="I256" i="3"/>
  <c r="U256" i="3"/>
  <c r="M266" i="2"/>
  <c r="P260" i="2"/>
  <c r="J259" i="2"/>
  <c r="G259" i="2" s="1"/>
  <c r="T258" i="3" s="1"/>
  <c r="V258" i="3"/>
  <c r="I260" i="4"/>
  <c r="M260" i="4" s="1"/>
  <c r="H257" i="4" l="1"/>
  <c r="K259" i="4"/>
  <c r="N259" i="4" s="1"/>
  <c r="G259" i="4"/>
  <c r="L259" i="4" s="1"/>
  <c r="J257" i="4"/>
  <c r="E260" i="4"/>
  <c r="F257" i="4"/>
  <c r="O263" i="2"/>
  <c r="I262" i="2"/>
  <c r="F262" i="2" s="1"/>
  <c r="N261" i="3" s="1"/>
  <c r="K263" i="2"/>
  <c r="I261" i="4"/>
  <c r="M261" i="4" s="1"/>
  <c r="I257" i="3"/>
  <c r="U257" i="3"/>
  <c r="O257" i="3"/>
  <c r="F258" i="3"/>
  <c r="D259" i="3"/>
  <c r="L266" i="2"/>
  <c r="D263" i="2"/>
  <c r="T262" i="2"/>
  <c r="N261" i="2"/>
  <c r="H260" i="2"/>
  <c r="E260" i="2" s="1"/>
  <c r="H259" i="3" s="1"/>
  <c r="J259" i="3"/>
  <c r="C263" i="2"/>
  <c r="B262" i="3"/>
  <c r="B264" i="2"/>
  <c r="P261" i="2"/>
  <c r="J260" i="2"/>
  <c r="G260" i="2" s="1"/>
  <c r="T259" i="3" s="1"/>
  <c r="V259" i="3"/>
  <c r="A262" i="4"/>
  <c r="M261" i="3"/>
  <c r="C261" i="3"/>
  <c r="P261" i="3"/>
  <c r="E261" i="3"/>
  <c r="G261" i="3"/>
  <c r="S261" i="3"/>
  <c r="Y261" i="3" s="1"/>
  <c r="Z261" i="3" s="1"/>
  <c r="C261" i="4"/>
  <c r="AB260" i="3"/>
  <c r="M267" i="2"/>
  <c r="D259" i="4"/>
  <c r="AA259" i="3"/>
  <c r="K260" i="4" l="1"/>
  <c r="N260" i="4" s="1"/>
  <c r="E261" i="4"/>
  <c r="H258" i="4"/>
  <c r="J258" i="4"/>
  <c r="F258" i="4"/>
  <c r="G260" i="4"/>
  <c r="L260" i="4" s="1"/>
  <c r="O264" i="2"/>
  <c r="I263" i="2"/>
  <c r="F263" i="2" s="1"/>
  <c r="N262" i="3" s="1"/>
  <c r="D260" i="4"/>
  <c r="AA260" i="3"/>
  <c r="C262" i="4"/>
  <c r="AB261" i="3"/>
  <c r="I258" i="3"/>
  <c r="U258" i="3"/>
  <c r="O258" i="3"/>
  <c r="C264" i="2"/>
  <c r="N262" i="2"/>
  <c r="H261" i="2"/>
  <c r="E261" i="2" s="1"/>
  <c r="H260" i="3" s="1"/>
  <c r="J260" i="3"/>
  <c r="M268" i="2"/>
  <c r="I262" i="4"/>
  <c r="M262" i="4" s="1"/>
  <c r="T263" i="2"/>
  <c r="D264" i="2"/>
  <c r="P262" i="2"/>
  <c r="J261" i="2"/>
  <c r="G261" i="2" s="1"/>
  <c r="T260" i="3" s="1"/>
  <c r="V260" i="3"/>
  <c r="L267" i="2"/>
  <c r="B263" i="3"/>
  <c r="B265" i="2"/>
  <c r="K264" i="2"/>
  <c r="A263" i="4"/>
  <c r="E262" i="3"/>
  <c r="G262" i="3"/>
  <c r="S262" i="3"/>
  <c r="Y262" i="3" s="1"/>
  <c r="Z262" i="3" s="1"/>
  <c r="M262" i="3"/>
  <c r="P262" i="3"/>
  <c r="C262" i="3"/>
  <c r="F259" i="3"/>
  <c r="D260" i="3"/>
  <c r="H259" i="4" l="1"/>
  <c r="J259" i="4"/>
  <c r="K261" i="4"/>
  <c r="N261" i="4" s="1"/>
  <c r="E262" i="4"/>
  <c r="F259" i="4"/>
  <c r="G261" i="4"/>
  <c r="L261" i="4" s="1"/>
  <c r="O265" i="2"/>
  <c r="I264" i="2"/>
  <c r="F264" i="2" s="1"/>
  <c r="N263" i="3" s="1"/>
  <c r="T264" i="2"/>
  <c r="D265" i="2"/>
  <c r="F260" i="3"/>
  <c r="D261" i="3"/>
  <c r="N263" i="2"/>
  <c r="H262" i="2"/>
  <c r="E262" i="2" s="1"/>
  <c r="H261" i="3" s="1"/>
  <c r="J261" i="3"/>
  <c r="O259" i="3"/>
  <c r="I259" i="3"/>
  <c r="U259" i="3"/>
  <c r="I263" i="4"/>
  <c r="M263" i="4" s="1"/>
  <c r="C265" i="2"/>
  <c r="K265" i="2"/>
  <c r="B264" i="3"/>
  <c r="B266" i="2"/>
  <c r="C263" i="4"/>
  <c r="AB262" i="3"/>
  <c r="A264" i="4"/>
  <c r="C263" i="3"/>
  <c r="P263" i="3"/>
  <c r="E263" i="3"/>
  <c r="G263" i="3"/>
  <c r="S263" i="3"/>
  <c r="Y263" i="3" s="1"/>
  <c r="Z263" i="3" s="1"/>
  <c r="M263" i="3"/>
  <c r="L268" i="2"/>
  <c r="M269" i="2"/>
  <c r="D261" i="4"/>
  <c r="AA261" i="3"/>
  <c r="P263" i="2"/>
  <c r="J262" i="2"/>
  <c r="G262" i="2" s="1"/>
  <c r="T261" i="3" s="1"/>
  <c r="V261" i="3"/>
  <c r="G262" i="4" l="1"/>
  <c r="L262" i="4" s="1"/>
  <c r="E263" i="4"/>
  <c r="J260" i="4"/>
  <c r="F260" i="4"/>
  <c r="K262" i="4"/>
  <c r="N262" i="4" s="1"/>
  <c r="H260" i="4"/>
  <c r="O266" i="2"/>
  <c r="I265" i="2"/>
  <c r="F265" i="2" s="1"/>
  <c r="N264" i="3" s="1"/>
  <c r="A265" i="4"/>
  <c r="M264" i="3"/>
  <c r="C264" i="3"/>
  <c r="P264" i="3"/>
  <c r="G264" i="3"/>
  <c r="S264" i="3"/>
  <c r="Y264" i="3" s="1"/>
  <c r="Z264" i="3" s="1"/>
  <c r="E264" i="3"/>
  <c r="P264" i="2"/>
  <c r="J263" i="2"/>
  <c r="G263" i="2" s="1"/>
  <c r="T262" i="3" s="1"/>
  <c r="V262" i="3"/>
  <c r="K266" i="2"/>
  <c r="C266" i="2"/>
  <c r="N264" i="2"/>
  <c r="J262" i="3"/>
  <c r="H263" i="2"/>
  <c r="E263" i="2" s="1"/>
  <c r="H262" i="3" s="1"/>
  <c r="D262" i="4"/>
  <c r="AA262" i="3"/>
  <c r="M270" i="2"/>
  <c r="F261" i="3"/>
  <c r="D262" i="3"/>
  <c r="L269" i="2"/>
  <c r="O260" i="3"/>
  <c r="I260" i="3"/>
  <c r="U260" i="3"/>
  <c r="I264" i="4"/>
  <c r="M264" i="4" s="1"/>
  <c r="D266" i="2"/>
  <c r="T265" i="2"/>
  <c r="B265" i="3"/>
  <c r="B267" i="2"/>
  <c r="C264" i="4"/>
  <c r="AB263" i="3"/>
  <c r="K263" i="4" l="1"/>
  <c r="N263" i="4" s="1"/>
  <c r="E264" i="4"/>
  <c r="H261" i="4"/>
  <c r="G263" i="4"/>
  <c r="L263" i="4" s="1"/>
  <c r="J261" i="4"/>
  <c r="F261" i="4"/>
  <c r="O267" i="2"/>
  <c r="I266" i="2"/>
  <c r="F266" i="2" s="1"/>
  <c r="N265" i="3" s="1"/>
  <c r="B266" i="3"/>
  <c r="B268" i="2"/>
  <c r="N265" i="2"/>
  <c r="H264" i="2"/>
  <c r="E264" i="2" s="1"/>
  <c r="H263" i="3" s="1"/>
  <c r="J263" i="3"/>
  <c r="A266" i="4"/>
  <c r="M265" i="3"/>
  <c r="C265" i="3"/>
  <c r="P265" i="3"/>
  <c r="E265" i="3"/>
  <c r="S265" i="3"/>
  <c r="Y265" i="3" s="1"/>
  <c r="Z265" i="3" s="1"/>
  <c r="G265" i="3"/>
  <c r="L270" i="2"/>
  <c r="C267" i="2"/>
  <c r="T266" i="2"/>
  <c r="D267" i="2"/>
  <c r="F262" i="3"/>
  <c r="D263" i="3"/>
  <c r="K267" i="2"/>
  <c r="I261" i="3"/>
  <c r="U261" i="3"/>
  <c r="O261" i="3"/>
  <c r="M271" i="2"/>
  <c r="C265" i="4"/>
  <c r="AB264" i="3"/>
  <c r="D263" i="4"/>
  <c r="AA263" i="3"/>
  <c r="P265" i="2"/>
  <c r="J264" i="2"/>
  <c r="G264" i="2" s="1"/>
  <c r="T263" i="3" s="1"/>
  <c r="V263" i="3"/>
  <c r="I265" i="4"/>
  <c r="M265" i="4" s="1"/>
  <c r="J262" i="4" l="1"/>
  <c r="F262" i="4"/>
  <c r="K264" i="4"/>
  <c r="N264" i="4" s="1"/>
  <c r="H262" i="4"/>
  <c r="G264" i="4"/>
  <c r="L264" i="4" s="1"/>
  <c r="E265" i="4"/>
  <c r="O268" i="2"/>
  <c r="I267" i="2"/>
  <c r="F267" i="2" s="1"/>
  <c r="N266" i="3" s="1"/>
  <c r="C266" i="4"/>
  <c r="AB265" i="3"/>
  <c r="M272" i="2"/>
  <c r="C268" i="2"/>
  <c r="L271" i="2"/>
  <c r="I266" i="4"/>
  <c r="M266" i="4" s="1"/>
  <c r="K268" i="2"/>
  <c r="P266" i="2"/>
  <c r="J265" i="2"/>
  <c r="G265" i="2" s="1"/>
  <c r="T264" i="3" s="1"/>
  <c r="V264" i="3"/>
  <c r="F263" i="3"/>
  <c r="D264" i="3"/>
  <c r="N266" i="2"/>
  <c r="H265" i="2"/>
  <c r="E265" i="2" s="1"/>
  <c r="H264" i="3" s="1"/>
  <c r="J264" i="3"/>
  <c r="D264" i="4"/>
  <c r="AA264" i="3"/>
  <c r="I262" i="3"/>
  <c r="U262" i="3"/>
  <c r="O262" i="3"/>
  <c r="B267" i="3"/>
  <c r="B269" i="2"/>
  <c r="D268" i="2"/>
  <c r="T267" i="2"/>
  <c r="A267" i="4"/>
  <c r="E266" i="3"/>
  <c r="G266" i="3"/>
  <c r="S266" i="3"/>
  <c r="Y266" i="3" s="1"/>
  <c r="Z266" i="3" s="1"/>
  <c r="M266" i="3"/>
  <c r="C266" i="3"/>
  <c r="P266" i="3"/>
  <c r="H263" i="4" l="1"/>
  <c r="J263" i="4"/>
  <c r="F263" i="4"/>
  <c r="G265" i="4"/>
  <c r="L265" i="4" s="1"/>
  <c r="E266" i="4"/>
  <c r="K265" i="4"/>
  <c r="N265" i="4" s="1"/>
  <c r="O269" i="2"/>
  <c r="I268" i="2"/>
  <c r="F268" i="2" s="1"/>
  <c r="N267" i="3" s="1"/>
  <c r="I267" i="4"/>
  <c r="M267" i="4" s="1"/>
  <c r="C267" i="4"/>
  <c r="AB266" i="3"/>
  <c r="B268" i="3"/>
  <c r="B270" i="2"/>
  <c r="L272" i="2"/>
  <c r="A268" i="4"/>
  <c r="C267" i="3"/>
  <c r="P267" i="3"/>
  <c r="E267" i="3"/>
  <c r="G267" i="3"/>
  <c r="S267" i="3"/>
  <c r="Y267" i="3" s="1"/>
  <c r="Z267" i="3" s="1"/>
  <c r="M267" i="3"/>
  <c r="P267" i="2"/>
  <c r="J266" i="2"/>
  <c r="G266" i="2" s="1"/>
  <c r="T265" i="3" s="1"/>
  <c r="V265" i="3"/>
  <c r="O263" i="3"/>
  <c r="I263" i="3"/>
  <c r="U263" i="3"/>
  <c r="K269" i="2"/>
  <c r="C269" i="2"/>
  <c r="T268" i="2"/>
  <c r="D269" i="2"/>
  <c r="D265" i="4"/>
  <c r="AA265" i="3"/>
  <c r="M273" i="2"/>
  <c r="N267" i="2"/>
  <c r="H266" i="2"/>
  <c r="E266" i="2" s="1"/>
  <c r="H265" i="3" s="1"/>
  <c r="J265" i="3"/>
  <c r="F264" i="3"/>
  <c r="D265" i="3"/>
  <c r="J264" i="4" l="1"/>
  <c r="G266" i="4"/>
  <c r="L266" i="4" s="1"/>
  <c r="H264" i="4"/>
  <c r="F264" i="4"/>
  <c r="K266" i="4"/>
  <c r="N266" i="4" s="1"/>
  <c r="E267" i="4"/>
  <c r="O270" i="2"/>
  <c r="I269" i="2"/>
  <c r="F269" i="2" s="1"/>
  <c r="N268" i="3" s="1"/>
  <c r="F265" i="3"/>
  <c r="D266" i="3"/>
  <c r="C270" i="2"/>
  <c r="L273" i="2"/>
  <c r="C268" i="4"/>
  <c r="AB267" i="3"/>
  <c r="O264" i="3"/>
  <c r="I264" i="3"/>
  <c r="U264" i="3"/>
  <c r="B269" i="3"/>
  <c r="B271" i="2"/>
  <c r="A269" i="4"/>
  <c r="M268" i="3"/>
  <c r="C268" i="3"/>
  <c r="P268" i="3"/>
  <c r="G268" i="3"/>
  <c r="S268" i="3"/>
  <c r="Y268" i="3" s="1"/>
  <c r="Z268" i="3" s="1"/>
  <c r="E268" i="3"/>
  <c r="N268" i="2"/>
  <c r="H267" i="2"/>
  <c r="E267" i="2" s="1"/>
  <c r="H266" i="3" s="1"/>
  <c r="J266" i="3"/>
  <c r="K270" i="2"/>
  <c r="M274" i="2"/>
  <c r="D266" i="4"/>
  <c r="AA266" i="3"/>
  <c r="D270" i="2"/>
  <c r="T269" i="2"/>
  <c r="P268" i="2"/>
  <c r="J267" i="2"/>
  <c r="G267" i="2" s="1"/>
  <c r="T266" i="3" s="1"/>
  <c r="V266" i="3"/>
  <c r="I268" i="4"/>
  <c r="M268" i="4" s="1"/>
  <c r="G267" i="4" l="1"/>
  <c r="L267" i="4" s="1"/>
  <c r="J265" i="4"/>
  <c r="F265" i="4"/>
  <c r="K267" i="4"/>
  <c r="N267" i="4" s="1"/>
  <c r="H265" i="4"/>
  <c r="E268" i="4"/>
  <c r="O271" i="2"/>
  <c r="I270" i="2"/>
  <c r="F270" i="2" s="1"/>
  <c r="N269" i="3" s="1"/>
  <c r="M275" i="2"/>
  <c r="L274" i="2"/>
  <c r="K271" i="2"/>
  <c r="D267" i="4"/>
  <c r="AA267" i="3"/>
  <c r="C269" i="4"/>
  <c r="AB268" i="3"/>
  <c r="C271" i="2"/>
  <c r="P269" i="2"/>
  <c r="J268" i="2"/>
  <c r="G268" i="2" s="1"/>
  <c r="T267" i="3" s="1"/>
  <c r="V267" i="3"/>
  <c r="N269" i="2"/>
  <c r="J267" i="3"/>
  <c r="H268" i="2"/>
  <c r="E268" i="2" s="1"/>
  <c r="H267" i="3" s="1"/>
  <c r="I269" i="4"/>
  <c r="M269" i="4" s="1"/>
  <c r="B270" i="3"/>
  <c r="B272" i="2"/>
  <c r="F266" i="3"/>
  <c r="D267" i="3"/>
  <c r="D271" i="2"/>
  <c r="T270" i="2"/>
  <c r="A270" i="4"/>
  <c r="M269" i="3"/>
  <c r="C269" i="3"/>
  <c r="P269" i="3"/>
  <c r="E269" i="3"/>
  <c r="G269" i="3"/>
  <c r="S269" i="3"/>
  <c r="Y269" i="3" s="1"/>
  <c r="Z269" i="3" s="1"/>
  <c r="I265" i="3"/>
  <c r="U265" i="3"/>
  <c r="O265" i="3"/>
  <c r="H266" i="4" l="1"/>
  <c r="E269" i="4"/>
  <c r="F266" i="4"/>
  <c r="J266" i="4"/>
  <c r="G268" i="4"/>
  <c r="L268" i="4" s="1"/>
  <c r="K268" i="4"/>
  <c r="N268" i="4" s="1"/>
  <c r="O272" i="2"/>
  <c r="I271" i="2"/>
  <c r="F271" i="2" s="1"/>
  <c r="N270" i="3" s="1"/>
  <c r="I270" i="4"/>
  <c r="M270" i="4" s="1"/>
  <c r="D268" i="4"/>
  <c r="AA268" i="3"/>
  <c r="T271" i="2"/>
  <c r="D272" i="2"/>
  <c r="F267" i="3"/>
  <c r="D268" i="3"/>
  <c r="N270" i="2"/>
  <c r="J268" i="3"/>
  <c r="H269" i="2"/>
  <c r="E269" i="2" s="1"/>
  <c r="H268" i="3" s="1"/>
  <c r="K272" i="2"/>
  <c r="B271" i="3"/>
  <c r="B273" i="2"/>
  <c r="L275" i="2"/>
  <c r="I266" i="3"/>
  <c r="U266" i="3"/>
  <c r="O266" i="3"/>
  <c r="C270" i="4"/>
  <c r="AB269" i="3"/>
  <c r="A271" i="4"/>
  <c r="E270" i="3"/>
  <c r="G270" i="3"/>
  <c r="S270" i="3"/>
  <c r="Y270" i="3" s="1"/>
  <c r="Z270" i="3" s="1"/>
  <c r="M270" i="3"/>
  <c r="C270" i="3"/>
  <c r="P270" i="3"/>
  <c r="P270" i="2"/>
  <c r="J269" i="2"/>
  <c r="G269" i="2" s="1"/>
  <c r="T268" i="3" s="1"/>
  <c r="V268" i="3"/>
  <c r="C272" i="2"/>
  <c r="M276" i="2"/>
  <c r="G269" i="4" l="1"/>
  <c r="L269" i="4" s="1"/>
  <c r="K269" i="4"/>
  <c r="N269" i="4" s="1"/>
  <c r="H267" i="4"/>
  <c r="J267" i="4"/>
  <c r="E270" i="4"/>
  <c r="F267" i="4"/>
  <c r="O273" i="2"/>
  <c r="I272" i="2"/>
  <c r="F272" i="2" s="1"/>
  <c r="N271" i="3" s="1"/>
  <c r="O267" i="3"/>
  <c r="I267" i="3"/>
  <c r="U267" i="3"/>
  <c r="C271" i="4"/>
  <c r="AB270" i="3"/>
  <c r="C273" i="2"/>
  <c r="L276" i="2"/>
  <c r="M277" i="2"/>
  <c r="D273" i="2"/>
  <c r="T272" i="2"/>
  <c r="B272" i="3"/>
  <c r="B274" i="2"/>
  <c r="D269" i="4"/>
  <c r="AA269" i="3"/>
  <c r="A272" i="4"/>
  <c r="C271" i="3"/>
  <c r="M271" i="3"/>
  <c r="P271" i="3"/>
  <c r="S271" i="3"/>
  <c r="Y271" i="3" s="1"/>
  <c r="Z271" i="3" s="1"/>
  <c r="E271" i="3"/>
  <c r="G271" i="3"/>
  <c r="K273" i="2"/>
  <c r="P271" i="2"/>
  <c r="J270" i="2"/>
  <c r="G270" i="2" s="1"/>
  <c r="T269" i="3" s="1"/>
  <c r="V269" i="3"/>
  <c r="I271" i="4"/>
  <c r="M271" i="4" s="1"/>
  <c r="N271" i="2"/>
  <c r="H270" i="2"/>
  <c r="E270" i="2" s="1"/>
  <c r="H269" i="3" s="1"/>
  <c r="J269" i="3"/>
  <c r="F268" i="3"/>
  <c r="D269" i="3"/>
  <c r="E271" i="4" l="1"/>
  <c r="G270" i="4"/>
  <c r="L270" i="4" s="1"/>
  <c r="J268" i="4"/>
  <c r="F268" i="4"/>
  <c r="H268" i="4"/>
  <c r="K270" i="4"/>
  <c r="N270" i="4" s="1"/>
  <c r="O274" i="2"/>
  <c r="I273" i="2"/>
  <c r="F273" i="2" s="1"/>
  <c r="N272" i="3" s="1"/>
  <c r="M278" i="2"/>
  <c r="F269" i="3"/>
  <c r="D270" i="3"/>
  <c r="O268" i="3"/>
  <c r="I268" i="3"/>
  <c r="U268" i="3"/>
  <c r="P272" i="2"/>
  <c r="J271" i="2"/>
  <c r="G271" i="2" s="1"/>
  <c r="T270" i="3" s="1"/>
  <c r="V270" i="3"/>
  <c r="C272" i="4"/>
  <c r="AB271" i="3"/>
  <c r="K274" i="2"/>
  <c r="L277" i="2"/>
  <c r="I272" i="4"/>
  <c r="M272" i="4" s="1"/>
  <c r="N272" i="2"/>
  <c r="H271" i="2"/>
  <c r="E271" i="2" s="1"/>
  <c r="H270" i="3" s="1"/>
  <c r="J270" i="3"/>
  <c r="D270" i="4"/>
  <c r="AA270" i="3"/>
  <c r="C274" i="2"/>
  <c r="B273" i="3"/>
  <c r="B275" i="2"/>
  <c r="A273" i="4"/>
  <c r="C272" i="3"/>
  <c r="M272" i="3"/>
  <c r="P272" i="3"/>
  <c r="E272" i="3"/>
  <c r="S272" i="3"/>
  <c r="Y272" i="3" s="1"/>
  <c r="Z272" i="3" s="1"/>
  <c r="G272" i="3"/>
  <c r="T273" i="2"/>
  <c r="D274" i="2"/>
  <c r="K271" i="4" l="1"/>
  <c r="N271" i="4" s="1"/>
  <c r="J269" i="4"/>
  <c r="F269" i="4"/>
  <c r="G271" i="4"/>
  <c r="L271" i="4" s="1"/>
  <c r="H269" i="4"/>
  <c r="E272" i="4"/>
  <c r="O275" i="2"/>
  <c r="I274" i="2"/>
  <c r="F274" i="2" s="1"/>
  <c r="N273" i="3" s="1"/>
  <c r="I273" i="4"/>
  <c r="M273" i="4" s="1"/>
  <c r="B274" i="3"/>
  <c r="B276" i="2"/>
  <c r="P273" i="2"/>
  <c r="J272" i="2"/>
  <c r="G272" i="2" s="1"/>
  <c r="T271" i="3" s="1"/>
  <c r="V271" i="3"/>
  <c r="C273" i="4"/>
  <c r="AB272" i="3"/>
  <c r="A274" i="4"/>
  <c r="P273" i="3"/>
  <c r="C273" i="3"/>
  <c r="E273" i="3"/>
  <c r="S273" i="3"/>
  <c r="Y273" i="3" s="1"/>
  <c r="Z273" i="3" s="1"/>
  <c r="G273" i="3"/>
  <c r="M273" i="3"/>
  <c r="C275" i="2"/>
  <c r="F270" i="3"/>
  <c r="D271" i="3"/>
  <c r="N273" i="2"/>
  <c r="J271" i="3"/>
  <c r="H272" i="2"/>
  <c r="E272" i="2" s="1"/>
  <c r="H271" i="3" s="1"/>
  <c r="D271" i="4"/>
  <c r="AA271" i="3"/>
  <c r="L278" i="2"/>
  <c r="I269" i="3"/>
  <c r="U269" i="3"/>
  <c r="O269" i="3"/>
  <c r="D275" i="2"/>
  <c r="T274" i="2"/>
  <c r="M279" i="2"/>
  <c r="K275" i="2"/>
  <c r="G272" i="4" l="1"/>
  <c r="L272" i="4" s="1"/>
  <c r="E273" i="4"/>
  <c r="K272" i="4"/>
  <c r="N272" i="4" s="1"/>
  <c r="H270" i="4"/>
  <c r="J270" i="4"/>
  <c r="F270" i="4"/>
  <c r="O276" i="2"/>
  <c r="I275" i="2"/>
  <c r="F275" i="2" s="1"/>
  <c r="N274" i="3" s="1"/>
  <c r="P274" i="2"/>
  <c r="J273" i="2"/>
  <c r="G273" i="2" s="1"/>
  <c r="T272" i="3" s="1"/>
  <c r="V272" i="3"/>
  <c r="B275" i="3"/>
  <c r="B277" i="2"/>
  <c r="D272" i="4"/>
  <c r="AA272" i="3"/>
  <c r="M280" i="2"/>
  <c r="N274" i="2"/>
  <c r="H273" i="2"/>
  <c r="E273" i="2" s="1"/>
  <c r="H272" i="3" s="1"/>
  <c r="J272" i="3"/>
  <c r="A275" i="4"/>
  <c r="P274" i="3"/>
  <c r="C274" i="3"/>
  <c r="S274" i="3"/>
  <c r="Y274" i="3" s="1"/>
  <c r="Z274" i="3" s="1"/>
  <c r="E274" i="3"/>
  <c r="G274" i="3"/>
  <c r="M274" i="3"/>
  <c r="T275" i="2"/>
  <c r="D276" i="2"/>
  <c r="F271" i="3"/>
  <c r="D272" i="3"/>
  <c r="I270" i="3"/>
  <c r="U270" i="3"/>
  <c r="O270" i="3"/>
  <c r="C274" i="4"/>
  <c r="AB273" i="3"/>
  <c r="K276" i="2"/>
  <c r="C276" i="2"/>
  <c r="I274" i="4"/>
  <c r="M274" i="4" s="1"/>
  <c r="L279" i="2"/>
  <c r="J271" i="4" l="1"/>
  <c r="F271" i="4"/>
  <c r="E274" i="4"/>
  <c r="K273" i="4"/>
  <c r="N273" i="4" s="1"/>
  <c r="H271" i="4"/>
  <c r="G273" i="4"/>
  <c r="L273" i="4" s="1"/>
  <c r="O277" i="2"/>
  <c r="I276" i="2"/>
  <c r="F276" i="2" s="1"/>
  <c r="N275" i="3" s="1"/>
  <c r="L280" i="2"/>
  <c r="N275" i="2"/>
  <c r="J273" i="3"/>
  <c r="H274" i="2"/>
  <c r="E274" i="2" s="1"/>
  <c r="H273" i="3" s="1"/>
  <c r="C275" i="4"/>
  <c r="AB274" i="3"/>
  <c r="M281" i="2"/>
  <c r="D273" i="4"/>
  <c r="AA273" i="3"/>
  <c r="D273" i="3"/>
  <c r="F272" i="3"/>
  <c r="B276" i="3"/>
  <c r="B278" i="2"/>
  <c r="O271" i="3"/>
  <c r="I271" i="3"/>
  <c r="U271" i="3"/>
  <c r="A276" i="4"/>
  <c r="C275" i="3"/>
  <c r="S275" i="3"/>
  <c r="Y275" i="3" s="1"/>
  <c r="Z275" i="3" s="1"/>
  <c r="E275" i="3"/>
  <c r="G275" i="3"/>
  <c r="M275" i="3"/>
  <c r="P275" i="3"/>
  <c r="T276" i="2"/>
  <c r="D277" i="2"/>
  <c r="K277" i="2"/>
  <c r="C277" i="2"/>
  <c r="I275" i="4"/>
  <c r="M275" i="4" s="1"/>
  <c r="P275" i="2"/>
  <c r="J274" i="2"/>
  <c r="G274" i="2" s="1"/>
  <c r="T273" i="3" s="1"/>
  <c r="V273" i="3"/>
  <c r="J272" i="4" l="1"/>
  <c r="K274" i="4"/>
  <c r="N274" i="4" s="1"/>
  <c r="G274" i="4"/>
  <c r="L274" i="4" s="1"/>
  <c r="E275" i="4"/>
  <c r="H272" i="4"/>
  <c r="F272" i="4"/>
  <c r="O278" i="2"/>
  <c r="I277" i="2"/>
  <c r="F277" i="2" s="1"/>
  <c r="N276" i="3" s="1"/>
  <c r="D274" i="4"/>
  <c r="AA274" i="3"/>
  <c r="K278" i="2"/>
  <c r="D274" i="3"/>
  <c r="F273" i="3"/>
  <c r="P276" i="2"/>
  <c r="J275" i="2"/>
  <c r="G275" i="2" s="1"/>
  <c r="T274" i="3" s="1"/>
  <c r="V274" i="3"/>
  <c r="D278" i="2"/>
  <c r="T277" i="2"/>
  <c r="M282" i="2"/>
  <c r="I276" i="4"/>
  <c r="M276" i="4" s="1"/>
  <c r="B277" i="3"/>
  <c r="B279" i="2"/>
  <c r="N276" i="2"/>
  <c r="J274" i="3"/>
  <c r="H275" i="2"/>
  <c r="E275" i="2" s="1"/>
  <c r="H274" i="3" s="1"/>
  <c r="C276" i="4"/>
  <c r="AB275" i="3"/>
  <c r="C278" i="2"/>
  <c r="A277" i="4"/>
  <c r="C276" i="3"/>
  <c r="G276" i="3"/>
  <c r="M276" i="3"/>
  <c r="E276" i="3"/>
  <c r="S276" i="3"/>
  <c r="Y276" i="3" s="1"/>
  <c r="Z276" i="3" s="1"/>
  <c r="P276" i="3"/>
  <c r="L281" i="2"/>
  <c r="O272" i="3"/>
  <c r="U272" i="3"/>
  <c r="I272" i="3"/>
  <c r="E276" i="4" l="1"/>
  <c r="H273" i="4"/>
  <c r="G275" i="4"/>
  <c r="L275" i="4" s="1"/>
  <c r="F273" i="4"/>
  <c r="J273" i="4"/>
  <c r="K275" i="4"/>
  <c r="N275" i="4" s="1"/>
  <c r="O279" i="2"/>
  <c r="I278" i="2"/>
  <c r="F278" i="2" s="1"/>
  <c r="N277" i="3" s="1"/>
  <c r="N277" i="2"/>
  <c r="J275" i="3"/>
  <c r="H276" i="2"/>
  <c r="E276" i="2" s="1"/>
  <c r="H275" i="3" s="1"/>
  <c r="B278" i="3"/>
  <c r="B280" i="2"/>
  <c r="T278" i="2"/>
  <c r="D279" i="2"/>
  <c r="A278" i="4"/>
  <c r="G277" i="3"/>
  <c r="M277" i="3"/>
  <c r="S277" i="3"/>
  <c r="Y277" i="3" s="1"/>
  <c r="Z277" i="3" s="1"/>
  <c r="C277" i="3"/>
  <c r="E277" i="3"/>
  <c r="P277" i="3"/>
  <c r="L282" i="2"/>
  <c r="I277" i="4"/>
  <c r="M277" i="4" s="1"/>
  <c r="P277" i="2"/>
  <c r="J276" i="2"/>
  <c r="G276" i="2" s="1"/>
  <c r="T275" i="3" s="1"/>
  <c r="V275" i="3"/>
  <c r="I273" i="3"/>
  <c r="U273" i="3"/>
  <c r="O273" i="3"/>
  <c r="F274" i="3"/>
  <c r="D275" i="3"/>
  <c r="C279" i="2"/>
  <c r="K279" i="2"/>
  <c r="C277" i="4"/>
  <c r="AB276" i="3"/>
  <c r="D275" i="4"/>
  <c r="AA275" i="3"/>
  <c r="M283" i="2"/>
  <c r="H274" i="4" l="1"/>
  <c r="F274" i="4"/>
  <c r="K276" i="4"/>
  <c r="N276" i="4" s="1"/>
  <c r="E277" i="4"/>
  <c r="J274" i="4"/>
  <c r="G276" i="4"/>
  <c r="L276" i="4" s="1"/>
  <c r="O280" i="2"/>
  <c r="I279" i="2"/>
  <c r="F279" i="2" s="1"/>
  <c r="N278" i="3" s="1"/>
  <c r="M284" i="2"/>
  <c r="I274" i="3"/>
  <c r="U274" i="3"/>
  <c r="O274" i="3"/>
  <c r="D276" i="4"/>
  <c r="AA276" i="3"/>
  <c r="L283" i="2"/>
  <c r="I278" i="4"/>
  <c r="M278" i="4" s="1"/>
  <c r="D280" i="2"/>
  <c r="T279" i="2"/>
  <c r="F275" i="3"/>
  <c r="D276" i="3"/>
  <c r="P278" i="2"/>
  <c r="J277" i="2"/>
  <c r="G277" i="2" s="1"/>
  <c r="T276" i="3" s="1"/>
  <c r="V276" i="3"/>
  <c r="B279" i="3"/>
  <c r="B281" i="2"/>
  <c r="K280" i="2"/>
  <c r="A279" i="4"/>
  <c r="G278" i="3"/>
  <c r="M278" i="3"/>
  <c r="E278" i="3"/>
  <c r="S278" i="3"/>
  <c r="Y278" i="3" s="1"/>
  <c r="Z278" i="3" s="1"/>
  <c r="C278" i="3"/>
  <c r="P278" i="3"/>
  <c r="C280" i="2"/>
  <c r="C278" i="4"/>
  <c r="AB277" i="3"/>
  <c r="N278" i="2"/>
  <c r="J276" i="3"/>
  <c r="H277" i="2"/>
  <c r="E277" i="2" s="1"/>
  <c r="H276" i="3" s="1"/>
  <c r="G277" i="4" l="1"/>
  <c r="L277" i="4" s="1"/>
  <c r="E278" i="4"/>
  <c r="H275" i="4"/>
  <c r="K277" i="4"/>
  <c r="N277" i="4" s="1"/>
  <c r="F275" i="4"/>
  <c r="J275" i="4"/>
  <c r="O281" i="2"/>
  <c r="I280" i="2"/>
  <c r="F280" i="2" s="1"/>
  <c r="N279" i="3" s="1"/>
  <c r="A280" i="4"/>
  <c r="C279" i="3"/>
  <c r="S279" i="3"/>
  <c r="Y279" i="3" s="1"/>
  <c r="Z279" i="3" s="1"/>
  <c r="G279" i="3"/>
  <c r="M279" i="3"/>
  <c r="E279" i="3"/>
  <c r="P279" i="3"/>
  <c r="N279" i="2"/>
  <c r="J277" i="3"/>
  <c r="H278" i="2"/>
  <c r="E278" i="2" s="1"/>
  <c r="H277" i="3" s="1"/>
  <c r="P279" i="2"/>
  <c r="J278" i="2"/>
  <c r="G278" i="2" s="1"/>
  <c r="T277" i="3" s="1"/>
  <c r="V277" i="3"/>
  <c r="L284" i="2"/>
  <c r="F276" i="3"/>
  <c r="D277" i="3"/>
  <c r="O275" i="3"/>
  <c r="U275" i="3"/>
  <c r="I275" i="3"/>
  <c r="D277" i="4"/>
  <c r="AA277" i="3"/>
  <c r="C279" i="4"/>
  <c r="AB278" i="3"/>
  <c r="C281" i="2"/>
  <c r="I279" i="4"/>
  <c r="M279" i="4" s="1"/>
  <c r="T280" i="2"/>
  <c r="D281" i="2"/>
  <c r="K281" i="2"/>
  <c r="B280" i="3"/>
  <c r="B282" i="2"/>
  <c r="M285" i="2"/>
  <c r="H276" i="4" l="1"/>
  <c r="G278" i="4"/>
  <c r="L278" i="4" s="1"/>
  <c r="F276" i="4"/>
  <c r="J276" i="4"/>
  <c r="K278" i="4"/>
  <c r="N278" i="4" s="1"/>
  <c r="E279" i="4"/>
  <c r="O282" i="2"/>
  <c r="I281" i="2"/>
  <c r="F281" i="2" s="1"/>
  <c r="N280" i="3" s="1"/>
  <c r="F277" i="3"/>
  <c r="D278" i="3"/>
  <c r="M286" i="2"/>
  <c r="B281" i="3"/>
  <c r="B283" i="2"/>
  <c r="O276" i="3"/>
  <c r="U276" i="3"/>
  <c r="I276" i="3"/>
  <c r="C280" i="4"/>
  <c r="AB279" i="3"/>
  <c r="A281" i="4"/>
  <c r="E280" i="3"/>
  <c r="S280" i="3"/>
  <c r="Y280" i="3" s="1"/>
  <c r="Z280" i="3" s="1"/>
  <c r="G280" i="3"/>
  <c r="M280" i="3"/>
  <c r="C280" i="3"/>
  <c r="P280" i="3"/>
  <c r="C282" i="2"/>
  <c r="L285" i="2"/>
  <c r="D282" i="2"/>
  <c r="T281" i="2"/>
  <c r="P280" i="2"/>
  <c r="J279" i="2"/>
  <c r="G279" i="2" s="1"/>
  <c r="T278" i="3" s="1"/>
  <c r="V278" i="3"/>
  <c r="K282" i="2"/>
  <c r="D278" i="4"/>
  <c r="AA278" i="3"/>
  <c r="N280" i="2"/>
  <c r="H279" i="2"/>
  <c r="E279" i="2" s="1"/>
  <c r="H278" i="3" s="1"/>
  <c r="J278" i="3"/>
  <c r="I280" i="4"/>
  <c r="M280" i="4" s="1"/>
  <c r="K279" i="4" l="1"/>
  <c r="N279" i="4" s="1"/>
  <c r="E280" i="4"/>
  <c r="F277" i="4"/>
  <c r="G279" i="4"/>
  <c r="L279" i="4" s="1"/>
  <c r="J277" i="4"/>
  <c r="H277" i="4"/>
  <c r="O283" i="2"/>
  <c r="I282" i="2"/>
  <c r="F282" i="2" s="1"/>
  <c r="N281" i="3" s="1"/>
  <c r="I281" i="4"/>
  <c r="M281" i="4" s="1"/>
  <c r="K283" i="2"/>
  <c r="P281" i="2"/>
  <c r="J280" i="2"/>
  <c r="G280" i="2" s="1"/>
  <c r="T279" i="3" s="1"/>
  <c r="V279" i="3"/>
  <c r="C281" i="4"/>
  <c r="AB280" i="3"/>
  <c r="D283" i="2"/>
  <c r="T282" i="2"/>
  <c r="B282" i="3"/>
  <c r="B284" i="2"/>
  <c r="A282" i="4"/>
  <c r="E281" i="3"/>
  <c r="S281" i="3"/>
  <c r="Y281" i="3" s="1"/>
  <c r="Z281" i="3" s="1"/>
  <c r="G281" i="3"/>
  <c r="C281" i="3"/>
  <c r="P281" i="3"/>
  <c r="M281" i="3"/>
  <c r="L286" i="2"/>
  <c r="N281" i="2"/>
  <c r="H280" i="2"/>
  <c r="E280" i="2" s="1"/>
  <c r="H279" i="3" s="1"/>
  <c r="J279" i="3"/>
  <c r="M287" i="2"/>
  <c r="D279" i="4"/>
  <c r="AA279" i="3"/>
  <c r="F278" i="3"/>
  <c r="D279" i="3"/>
  <c r="C283" i="2"/>
  <c r="I277" i="3"/>
  <c r="U277" i="3"/>
  <c r="O277" i="3"/>
  <c r="G280" i="4" l="1"/>
  <c r="L280" i="4" s="1"/>
  <c r="E281" i="4"/>
  <c r="K280" i="4"/>
  <c r="N280" i="4" s="1"/>
  <c r="H278" i="4"/>
  <c r="J278" i="4"/>
  <c r="F278" i="4"/>
  <c r="O284" i="2"/>
  <c r="I283" i="2"/>
  <c r="F283" i="2" s="1"/>
  <c r="N282" i="3" s="1"/>
  <c r="M288" i="2"/>
  <c r="C284" i="2"/>
  <c r="N282" i="2"/>
  <c r="J280" i="3"/>
  <c r="H281" i="2"/>
  <c r="E281" i="2" s="1"/>
  <c r="H280" i="3" s="1"/>
  <c r="P282" i="2"/>
  <c r="J281" i="2"/>
  <c r="G281" i="2" s="1"/>
  <c r="T280" i="3" s="1"/>
  <c r="V280" i="3"/>
  <c r="L287" i="2"/>
  <c r="I282" i="4"/>
  <c r="M282" i="4" s="1"/>
  <c r="K284" i="2"/>
  <c r="B283" i="3"/>
  <c r="B285" i="2"/>
  <c r="C282" i="4"/>
  <c r="AB281" i="3"/>
  <c r="A283" i="4"/>
  <c r="C282" i="3"/>
  <c r="P282" i="3"/>
  <c r="E282" i="3"/>
  <c r="S282" i="3"/>
  <c r="Y282" i="3" s="1"/>
  <c r="Z282" i="3" s="1"/>
  <c r="G282" i="3"/>
  <c r="M282" i="3"/>
  <c r="U278" i="3"/>
  <c r="I278" i="3"/>
  <c r="O278" i="3"/>
  <c r="F279" i="3"/>
  <c r="D280" i="3"/>
  <c r="D280" i="4"/>
  <c r="AA280" i="3"/>
  <c r="T283" i="2"/>
  <c r="D284" i="2"/>
  <c r="K281" i="4" l="1"/>
  <c r="N281" i="4" s="1"/>
  <c r="G281" i="4"/>
  <c r="L281" i="4" s="1"/>
  <c r="E282" i="4"/>
  <c r="H279" i="4"/>
  <c r="F279" i="4"/>
  <c r="J279" i="4"/>
  <c r="O285" i="2"/>
  <c r="I284" i="2"/>
  <c r="F284" i="2" s="1"/>
  <c r="N283" i="3" s="1"/>
  <c r="B284" i="3"/>
  <c r="B286" i="2"/>
  <c r="A284" i="4"/>
  <c r="C283" i="3"/>
  <c r="P283" i="3"/>
  <c r="E283" i="3"/>
  <c r="S283" i="3"/>
  <c r="Y283" i="3" s="1"/>
  <c r="Z283" i="3" s="1"/>
  <c r="G283" i="3"/>
  <c r="M283" i="3"/>
  <c r="P283" i="2"/>
  <c r="J282" i="2"/>
  <c r="G282" i="2" s="1"/>
  <c r="T281" i="3" s="1"/>
  <c r="V281" i="3"/>
  <c r="D281" i="4"/>
  <c r="AA281" i="3"/>
  <c r="K285" i="2"/>
  <c r="C283" i="4"/>
  <c r="AB282" i="3"/>
  <c r="L288" i="2"/>
  <c r="N283" i="2"/>
  <c r="J281" i="3"/>
  <c r="H282" i="2"/>
  <c r="E282" i="2" s="1"/>
  <c r="H281" i="3" s="1"/>
  <c r="D281" i="3"/>
  <c r="F280" i="3"/>
  <c r="O279" i="3"/>
  <c r="U279" i="3"/>
  <c r="I279" i="3"/>
  <c r="C285" i="2"/>
  <c r="D285" i="2"/>
  <c r="T284" i="2"/>
  <c r="I283" i="4"/>
  <c r="M283" i="4" s="1"/>
  <c r="M289" i="2"/>
  <c r="H280" i="4" l="1"/>
  <c r="K282" i="4"/>
  <c r="N282" i="4" s="1"/>
  <c r="E283" i="4"/>
  <c r="F280" i="4"/>
  <c r="G282" i="4"/>
  <c r="L282" i="4" s="1"/>
  <c r="J280" i="4"/>
  <c r="O286" i="2"/>
  <c r="I285" i="2"/>
  <c r="F285" i="2" s="1"/>
  <c r="N284" i="3" s="1"/>
  <c r="L289" i="2"/>
  <c r="M290" i="2"/>
  <c r="C286" i="2"/>
  <c r="K286" i="2"/>
  <c r="D282" i="4"/>
  <c r="AA282" i="3"/>
  <c r="U280" i="3"/>
  <c r="I280" i="3"/>
  <c r="O280" i="3"/>
  <c r="D282" i="3"/>
  <c r="F281" i="3"/>
  <c r="P284" i="2"/>
  <c r="J283" i="2"/>
  <c r="G283" i="2" s="1"/>
  <c r="T282" i="3" s="1"/>
  <c r="V282" i="3"/>
  <c r="I284" i="4"/>
  <c r="M284" i="4" s="1"/>
  <c r="N284" i="2"/>
  <c r="H283" i="2"/>
  <c r="E283" i="2" s="1"/>
  <c r="H282" i="3" s="1"/>
  <c r="J282" i="3"/>
  <c r="C284" i="4"/>
  <c r="AB283" i="3"/>
  <c r="B285" i="3"/>
  <c r="B287" i="2"/>
  <c r="T285" i="2"/>
  <c r="D286" i="2"/>
  <c r="A285" i="4"/>
  <c r="C284" i="3"/>
  <c r="P284" i="3"/>
  <c r="E284" i="3"/>
  <c r="S284" i="3"/>
  <c r="Y284" i="3" s="1"/>
  <c r="Z284" i="3" s="1"/>
  <c r="G284" i="3"/>
  <c r="M284" i="3"/>
  <c r="H281" i="4" l="1"/>
  <c r="F281" i="4"/>
  <c r="E284" i="4"/>
  <c r="G283" i="4"/>
  <c r="L283" i="4" s="1"/>
  <c r="J281" i="4"/>
  <c r="K283" i="4"/>
  <c r="N283" i="4" s="1"/>
  <c r="O287" i="2"/>
  <c r="I286" i="2"/>
  <c r="F286" i="2" s="1"/>
  <c r="N285" i="3" s="1"/>
  <c r="C285" i="4"/>
  <c r="AB284" i="3"/>
  <c r="D287" i="2"/>
  <c r="T286" i="2"/>
  <c r="D283" i="4"/>
  <c r="AA283" i="3"/>
  <c r="B286" i="3"/>
  <c r="B288" i="2"/>
  <c r="K287" i="2"/>
  <c r="A286" i="4"/>
  <c r="C285" i="3"/>
  <c r="P285" i="3"/>
  <c r="E285" i="3"/>
  <c r="S285" i="3"/>
  <c r="Y285" i="3" s="1"/>
  <c r="Z285" i="3" s="1"/>
  <c r="G285" i="3"/>
  <c r="M285" i="3"/>
  <c r="C287" i="2"/>
  <c r="P285" i="2"/>
  <c r="J284" i="2"/>
  <c r="G284" i="2" s="1"/>
  <c r="T283" i="3" s="1"/>
  <c r="V283" i="3"/>
  <c r="I281" i="3"/>
  <c r="U281" i="3"/>
  <c r="O281" i="3"/>
  <c r="M291" i="2"/>
  <c r="F282" i="3"/>
  <c r="D283" i="3"/>
  <c r="N285" i="2"/>
  <c r="H284" i="2"/>
  <c r="E284" i="2" s="1"/>
  <c r="H283" i="3" s="1"/>
  <c r="J283" i="3"/>
  <c r="I285" i="4"/>
  <c r="M285" i="4" s="1"/>
  <c r="L290" i="2"/>
  <c r="F282" i="4" l="1"/>
  <c r="K284" i="4"/>
  <c r="N284" i="4" s="1"/>
  <c r="J282" i="4"/>
  <c r="E285" i="4"/>
  <c r="G284" i="4"/>
  <c r="L284" i="4" s="1"/>
  <c r="H282" i="4"/>
  <c r="O288" i="2"/>
  <c r="I287" i="2"/>
  <c r="F287" i="2" s="1"/>
  <c r="N286" i="3" s="1"/>
  <c r="I286" i="4"/>
  <c r="M286" i="4" s="1"/>
  <c r="L291" i="2"/>
  <c r="U282" i="3"/>
  <c r="I282" i="3"/>
  <c r="O282" i="3"/>
  <c r="K288" i="2"/>
  <c r="C286" i="4"/>
  <c r="AB285" i="3"/>
  <c r="B287" i="3"/>
  <c r="B289" i="2"/>
  <c r="A287" i="4"/>
  <c r="M286" i="3"/>
  <c r="C286" i="3"/>
  <c r="P286" i="3"/>
  <c r="E286" i="3"/>
  <c r="G286" i="3"/>
  <c r="S286" i="3"/>
  <c r="Y286" i="3" s="1"/>
  <c r="Z286" i="3" s="1"/>
  <c r="C288" i="2"/>
  <c r="D284" i="4"/>
  <c r="AA284" i="3"/>
  <c r="D284" i="3"/>
  <c r="F283" i="3"/>
  <c r="T287" i="2"/>
  <c r="D288" i="2"/>
  <c r="P286" i="2"/>
  <c r="J285" i="2"/>
  <c r="G285" i="2" s="1"/>
  <c r="T284" i="3" s="1"/>
  <c r="V284" i="3"/>
  <c r="M292" i="2"/>
  <c r="N286" i="2"/>
  <c r="H285" i="2"/>
  <c r="E285" i="2" s="1"/>
  <c r="H284" i="3" s="1"/>
  <c r="J284" i="3"/>
  <c r="H283" i="4" l="1"/>
  <c r="G285" i="4"/>
  <c r="L285" i="4" s="1"/>
  <c r="E286" i="4"/>
  <c r="F283" i="4"/>
  <c r="K285" i="4"/>
  <c r="N285" i="4" s="1"/>
  <c r="J283" i="4"/>
  <c r="O289" i="2"/>
  <c r="I288" i="2"/>
  <c r="F288" i="2" s="1"/>
  <c r="N287" i="3" s="1"/>
  <c r="O283" i="3"/>
  <c r="U283" i="3"/>
  <c r="I283" i="3"/>
  <c r="K289" i="2"/>
  <c r="D285" i="4"/>
  <c r="AA285" i="3"/>
  <c r="N287" i="2"/>
  <c r="H286" i="2"/>
  <c r="E286" i="2" s="1"/>
  <c r="H285" i="3" s="1"/>
  <c r="J285" i="3"/>
  <c r="D285" i="3"/>
  <c r="F284" i="3"/>
  <c r="C289" i="2"/>
  <c r="M293" i="2"/>
  <c r="C287" i="4"/>
  <c r="AB286" i="3"/>
  <c r="L292" i="2"/>
  <c r="I287" i="4"/>
  <c r="M287" i="4" s="1"/>
  <c r="B288" i="3"/>
  <c r="B290" i="2"/>
  <c r="P287" i="2"/>
  <c r="J286" i="2"/>
  <c r="G286" i="2" s="1"/>
  <c r="T285" i="3" s="1"/>
  <c r="V285" i="3"/>
  <c r="A288" i="4"/>
  <c r="M287" i="3"/>
  <c r="C287" i="3"/>
  <c r="P287" i="3"/>
  <c r="E287" i="3"/>
  <c r="G287" i="3"/>
  <c r="S287" i="3"/>
  <c r="Y287" i="3" s="1"/>
  <c r="Z287" i="3" s="1"/>
  <c r="T288" i="2"/>
  <c r="D289" i="2"/>
  <c r="K286" i="4" l="1"/>
  <c r="N286" i="4" s="1"/>
  <c r="G286" i="4"/>
  <c r="L286" i="4" s="1"/>
  <c r="E287" i="4"/>
  <c r="F284" i="4"/>
  <c r="J284" i="4"/>
  <c r="H284" i="4"/>
  <c r="O290" i="2"/>
  <c r="I289" i="2"/>
  <c r="F289" i="2" s="1"/>
  <c r="N288" i="3" s="1"/>
  <c r="C288" i="4"/>
  <c r="AB287" i="3"/>
  <c r="D290" i="2"/>
  <c r="T289" i="2"/>
  <c r="D286" i="3"/>
  <c r="F285" i="3"/>
  <c r="I288" i="4"/>
  <c r="M288" i="4" s="1"/>
  <c r="L293" i="2"/>
  <c r="N288" i="2"/>
  <c r="H287" i="2"/>
  <c r="E287" i="2" s="1"/>
  <c r="H286" i="3" s="1"/>
  <c r="J286" i="3"/>
  <c r="O284" i="3"/>
  <c r="U284" i="3"/>
  <c r="I284" i="3"/>
  <c r="D286" i="4"/>
  <c r="AA286" i="3"/>
  <c r="P288" i="2"/>
  <c r="J287" i="2"/>
  <c r="G287" i="2" s="1"/>
  <c r="T286" i="3" s="1"/>
  <c r="V286" i="3"/>
  <c r="B289" i="3"/>
  <c r="B291" i="2"/>
  <c r="A289" i="4"/>
  <c r="G288" i="3"/>
  <c r="S288" i="3"/>
  <c r="Y288" i="3" s="1"/>
  <c r="Z288" i="3" s="1"/>
  <c r="M288" i="3"/>
  <c r="C288" i="3"/>
  <c r="E288" i="3"/>
  <c r="P288" i="3"/>
  <c r="M294" i="2"/>
  <c r="K290" i="2"/>
  <c r="C290" i="2"/>
  <c r="H285" i="4" l="1"/>
  <c r="K287" i="4"/>
  <c r="N287" i="4" s="1"/>
  <c r="F285" i="4"/>
  <c r="E288" i="4"/>
  <c r="J285" i="4"/>
  <c r="G287" i="4"/>
  <c r="L287" i="4" s="1"/>
  <c r="O291" i="2"/>
  <c r="I290" i="2"/>
  <c r="F290" i="2" s="1"/>
  <c r="N289" i="3" s="1"/>
  <c r="C289" i="4"/>
  <c r="AB288" i="3"/>
  <c r="P289" i="2"/>
  <c r="J288" i="2"/>
  <c r="G288" i="2" s="1"/>
  <c r="T287" i="3" s="1"/>
  <c r="V287" i="3"/>
  <c r="D287" i="4"/>
  <c r="AA287" i="3"/>
  <c r="I285" i="3"/>
  <c r="U285" i="3"/>
  <c r="O285" i="3"/>
  <c r="F286" i="3"/>
  <c r="D287" i="3"/>
  <c r="M295" i="2"/>
  <c r="I289" i="4"/>
  <c r="M289" i="4" s="1"/>
  <c r="B290" i="3"/>
  <c r="B292" i="2"/>
  <c r="N289" i="2"/>
  <c r="J287" i="3"/>
  <c r="H288" i="2"/>
  <c r="E288" i="2" s="1"/>
  <c r="H287" i="3" s="1"/>
  <c r="K291" i="2"/>
  <c r="A290" i="4"/>
  <c r="P289" i="3"/>
  <c r="E289" i="3"/>
  <c r="G289" i="3"/>
  <c r="S289" i="3"/>
  <c r="Y289" i="3" s="1"/>
  <c r="Z289" i="3" s="1"/>
  <c r="C289" i="3"/>
  <c r="M289" i="3"/>
  <c r="T290" i="2"/>
  <c r="D291" i="2"/>
  <c r="L294" i="2"/>
  <c r="C291" i="2"/>
  <c r="H286" i="4" l="1"/>
  <c r="G288" i="4"/>
  <c r="L288" i="4" s="1"/>
  <c r="F286" i="4"/>
  <c r="K288" i="4"/>
  <c r="N288" i="4" s="1"/>
  <c r="E289" i="4"/>
  <c r="J286" i="4"/>
  <c r="O292" i="2"/>
  <c r="I291" i="2"/>
  <c r="F291" i="2" s="1"/>
  <c r="N290" i="3" s="1"/>
  <c r="D288" i="3"/>
  <c r="F287" i="3"/>
  <c r="C292" i="2"/>
  <c r="N290" i="2"/>
  <c r="H289" i="2"/>
  <c r="E289" i="2" s="1"/>
  <c r="H288" i="3" s="1"/>
  <c r="J288" i="3"/>
  <c r="O286" i="3"/>
  <c r="U286" i="3"/>
  <c r="I286" i="3"/>
  <c r="B291" i="3"/>
  <c r="B293" i="2"/>
  <c r="A291" i="4"/>
  <c r="M290" i="3"/>
  <c r="C290" i="3"/>
  <c r="P290" i="3"/>
  <c r="E290" i="3"/>
  <c r="G290" i="3"/>
  <c r="S290" i="3"/>
  <c r="Y290" i="3" s="1"/>
  <c r="Z290" i="3" s="1"/>
  <c r="D288" i="4"/>
  <c r="AA288" i="3"/>
  <c r="L295" i="2"/>
  <c r="D292" i="2"/>
  <c r="T291" i="2"/>
  <c r="I290" i="4"/>
  <c r="M290" i="4" s="1"/>
  <c r="P290" i="2"/>
  <c r="J289" i="2"/>
  <c r="G289" i="2" s="1"/>
  <c r="T288" i="3" s="1"/>
  <c r="V288" i="3"/>
  <c r="C290" i="4"/>
  <c r="AB289" i="3"/>
  <c r="K292" i="2"/>
  <c r="M296" i="2"/>
  <c r="F287" i="4" l="1"/>
  <c r="J287" i="4"/>
  <c r="H287" i="4"/>
  <c r="G289" i="4"/>
  <c r="L289" i="4" s="1"/>
  <c r="E290" i="4"/>
  <c r="K289" i="4"/>
  <c r="N289" i="4" s="1"/>
  <c r="O293" i="2"/>
  <c r="I292" i="2"/>
  <c r="F292" i="2" s="1"/>
  <c r="N291" i="3" s="1"/>
  <c r="T292" i="2"/>
  <c r="D293" i="2"/>
  <c r="N291" i="2"/>
  <c r="H290" i="2"/>
  <c r="E290" i="2" s="1"/>
  <c r="H289" i="3" s="1"/>
  <c r="J289" i="3"/>
  <c r="A292" i="4"/>
  <c r="M291" i="3"/>
  <c r="C291" i="3"/>
  <c r="P291" i="3"/>
  <c r="E291" i="3"/>
  <c r="G291" i="3"/>
  <c r="S291" i="3"/>
  <c r="Y291" i="3" s="1"/>
  <c r="Z291" i="3" s="1"/>
  <c r="L296" i="2"/>
  <c r="M297" i="2"/>
  <c r="K293" i="2"/>
  <c r="P291" i="2"/>
  <c r="J290" i="2"/>
  <c r="G290" i="2" s="1"/>
  <c r="T289" i="3" s="1"/>
  <c r="V289" i="3"/>
  <c r="D289" i="4"/>
  <c r="AA289" i="3"/>
  <c r="C291" i="4"/>
  <c r="AB290" i="3"/>
  <c r="C293" i="2"/>
  <c r="I291" i="4"/>
  <c r="M291" i="4" s="1"/>
  <c r="O287" i="3"/>
  <c r="I287" i="3"/>
  <c r="U287" i="3"/>
  <c r="B292" i="3"/>
  <c r="B294" i="2"/>
  <c r="D289" i="3"/>
  <c r="F288" i="3"/>
  <c r="G290" i="4" l="1"/>
  <c r="L290" i="4" s="1"/>
  <c r="J288" i="4"/>
  <c r="K290" i="4"/>
  <c r="N290" i="4" s="1"/>
  <c r="F288" i="4"/>
  <c r="H288" i="4"/>
  <c r="E291" i="4"/>
  <c r="O294" i="2"/>
  <c r="I293" i="2"/>
  <c r="F293" i="2" s="1"/>
  <c r="N292" i="3" s="1"/>
  <c r="F289" i="3"/>
  <c r="D290" i="3"/>
  <c r="C294" i="2"/>
  <c r="M298" i="2"/>
  <c r="C292" i="4"/>
  <c r="AB291" i="3"/>
  <c r="I288" i="3"/>
  <c r="U288" i="3"/>
  <c r="O288" i="3"/>
  <c r="K294" i="2"/>
  <c r="B293" i="3"/>
  <c r="B295" i="2"/>
  <c r="A293" i="4"/>
  <c r="G292" i="3"/>
  <c r="S292" i="3"/>
  <c r="Y292" i="3" s="1"/>
  <c r="Z292" i="3" s="1"/>
  <c r="M292" i="3"/>
  <c r="C292" i="3"/>
  <c r="E292" i="3"/>
  <c r="P292" i="3"/>
  <c r="L297" i="2"/>
  <c r="I292" i="4"/>
  <c r="M292" i="4" s="1"/>
  <c r="D290" i="4"/>
  <c r="AA290" i="3"/>
  <c r="N292" i="2"/>
  <c r="J290" i="3"/>
  <c r="H291" i="2"/>
  <c r="E291" i="2" s="1"/>
  <c r="H290" i="3" s="1"/>
  <c r="D294" i="2"/>
  <c r="T293" i="2"/>
  <c r="P292" i="2"/>
  <c r="J291" i="2"/>
  <c r="G291" i="2" s="1"/>
  <c r="T290" i="3" s="1"/>
  <c r="V290" i="3"/>
  <c r="J289" i="4" l="1"/>
  <c r="E292" i="4"/>
  <c r="H289" i="4"/>
  <c r="K291" i="4"/>
  <c r="N291" i="4" s="1"/>
  <c r="F289" i="4"/>
  <c r="G291" i="4"/>
  <c r="L291" i="4" s="1"/>
  <c r="O295" i="2"/>
  <c r="I294" i="2"/>
  <c r="F294" i="2" s="1"/>
  <c r="N293" i="3" s="1"/>
  <c r="C293" i="4"/>
  <c r="AB292" i="3"/>
  <c r="L298" i="2"/>
  <c r="M299" i="2"/>
  <c r="P293" i="2"/>
  <c r="J292" i="2"/>
  <c r="G292" i="2" s="1"/>
  <c r="T291" i="3" s="1"/>
  <c r="V291" i="3"/>
  <c r="I293" i="4"/>
  <c r="M293" i="4" s="1"/>
  <c r="B294" i="3"/>
  <c r="B296" i="2"/>
  <c r="C295" i="2"/>
  <c r="N293" i="2"/>
  <c r="J291" i="3"/>
  <c r="H292" i="2"/>
  <c r="E292" i="2" s="1"/>
  <c r="H291" i="3" s="1"/>
  <c r="A294" i="4"/>
  <c r="P293" i="3"/>
  <c r="E293" i="3"/>
  <c r="G293" i="3"/>
  <c r="S293" i="3"/>
  <c r="Y293" i="3" s="1"/>
  <c r="Z293" i="3" s="1"/>
  <c r="C293" i="3"/>
  <c r="M293" i="3"/>
  <c r="D291" i="4"/>
  <c r="AA291" i="3"/>
  <c r="F290" i="3"/>
  <c r="D291" i="3"/>
  <c r="D295" i="2"/>
  <c r="T294" i="2"/>
  <c r="K295" i="2"/>
  <c r="I289" i="3"/>
  <c r="U289" i="3"/>
  <c r="O289" i="3"/>
  <c r="K292" i="4" l="1"/>
  <c r="N292" i="4" s="1"/>
  <c r="E293" i="4"/>
  <c r="F290" i="4"/>
  <c r="G292" i="4"/>
  <c r="L292" i="4" s="1"/>
  <c r="H290" i="4"/>
  <c r="J290" i="4"/>
  <c r="O296" i="2"/>
  <c r="I295" i="2"/>
  <c r="F295" i="2" s="1"/>
  <c r="N294" i="3" s="1"/>
  <c r="I294" i="4"/>
  <c r="M294" i="4" s="1"/>
  <c r="C296" i="2"/>
  <c r="K296" i="2"/>
  <c r="P294" i="2"/>
  <c r="J293" i="2"/>
  <c r="G293" i="2" s="1"/>
  <c r="T292" i="3" s="1"/>
  <c r="V292" i="3"/>
  <c r="B295" i="3"/>
  <c r="B297" i="2"/>
  <c r="M300" i="2"/>
  <c r="T295" i="2"/>
  <c r="D296" i="2"/>
  <c r="A295" i="4"/>
  <c r="M294" i="3"/>
  <c r="C294" i="3"/>
  <c r="P294" i="3"/>
  <c r="E294" i="3"/>
  <c r="G294" i="3"/>
  <c r="S294" i="3"/>
  <c r="Y294" i="3" s="1"/>
  <c r="Z294" i="3" s="1"/>
  <c r="N294" i="2"/>
  <c r="H293" i="2"/>
  <c r="E293" i="2" s="1"/>
  <c r="H292" i="3" s="1"/>
  <c r="J292" i="3"/>
  <c r="D292" i="3"/>
  <c r="F291" i="3"/>
  <c r="L299" i="2"/>
  <c r="C294" i="4"/>
  <c r="AB293" i="3"/>
  <c r="O290" i="3"/>
  <c r="U290" i="3"/>
  <c r="I290" i="3"/>
  <c r="D292" i="4"/>
  <c r="AA292" i="3"/>
  <c r="G293" i="4" l="1"/>
  <c r="L293" i="4" s="1"/>
  <c r="K293" i="4"/>
  <c r="N293" i="4" s="1"/>
  <c r="F291" i="4"/>
  <c r="J291" i="4"/>
  <c r="E294" i="4"/>
  <c r="H291" i="4"/>
  <c r="O297" i="2"/>
  <c r="I296" i="2"/>
  <c r="F296" i="2" s="1"/>
  <c r="N295" i="3" s="1"/>
  <c r="P295" i="2"/>
  <c r="J294" i="2"/>
  <c r="G294" i="2" s="1"/>
  <c r="T293" i="3" s="1"/>
  <c r="V293" i="3"/>
  <c r="A296" i="4"/>
  <c r="M295" i="3"/>
  <c r="C295" i="3"/>
  <c r="P295" i="3"/>
  <c r="E295" i="3"/>
  <c r="G295" i="3"/>
  <c r="S295" i="3"/>
  <c r="Y295" i="3" s="1"/>
  <c r="Z295" i="3" s="1"/>
  <c r="C295" i="4"/>
  <c r="AB294" i="3"/>
  <c r="D293" i="4"/>
  <c r="AA293" i="3"/>
  <c r="N295" i="2"/>
  <c r="J293" i="3"/>
  <c r="H294" i="2"/>
  <c r="E294" i="2" s="1"/>
  <c r="H293" i="3" s="1"/>
  <c r="I295" i="4"/>
  <c r="M295" i="4" s="1"/>
  <c r="K297" i="2"/>
  <c r="D297" i="2"/>
  <c r="T296" i="2"/>
  <c r="C297" i="2"/>
  <c r="M301" i="2"/>
  <c r="L300" i="2"/>
  <c r="B296" i="3"/>
  <c r="B298" i="2"/>
  <c r="O291" i="3"/>
  <c r="I291" i="3"/>
  <c r="U291" i="3"/>
  <c r="D293" i="3"/>
  <c r="F292" i="3"/>
  <c r="F292" i="4" l="1"/>
  <c r="G294" i="4"/>
  <c r="L294" i="4" s="1"/>
  <c r="K294" i="4"/>
  <c r="N294" i="4" s="1"/>
  <c r="J292" i="4"/>
  <c r="H292" i="4"/>
  <c r="E295" i="4"/>
  <c r="O298" i="2"/>
  <c r="I297" i="2"/>
  <c r="F297" i="2" s="1"/>
  <c r="N296" i="3" s="1"/>
  <c r="I292" i="3"/>
  <c r="U292" i="3"/>
  <c r="O292" i="3"/>
  <c r="F293" i="3"/>
  <c r="D294" i="3"/>
  <c r="C298" i="2"/>
  <c r="N296" i="2"/>
  <c r="J294" i="3"/>
  <c r="H295" i="2"/>
  <c r="E295" i="2" s="1"/>
  <c r="H294" i="3" s="1"/>
  <c r="T297" i="2"/>
  <c r="D298" i="2"/>
  <c r="D294" i="4"/>
  <c r="AA294" i="3"/>
  <c r="C296" i="4"/>
  <c r="AB295" i="3"/>
  <c r="B297" i="3"/>
  <c r="B299" i="2"/>
  <c r="K298" i="2"/>
  <c r="A297" i="4"/>
  <c r="G296" i="3"/>
  <c r="S296" i="3"/>
  <c r="Y296" i="3" s="1"/>
  <c r="Z296" i="3" s="1"/>
  <c r="M296" i="3"/>
  <c r="C296" i="3"/>
  <c r="E296" i="3"/>
  <c r="P296" i="3"/>
  <c r="I296" i="4"/>
  <c r="M296" i="4" s="1"/>
  <c r="L301" i="2"/>
  <c r="M302" i="2"/>
  <c r="P296" i="2"/>
  <c r="J295" i="2"/>
  <c r="G295" i="2" s="1"/>
  <c r="T294" i="3" s="1"/>
  <c r="V294" i="3"/>
  <c r="G295" i="4" l="1"/>
  <c r="L295" i="4" s="1"/>
  <c r="E296" i="4"/>
  <c r="J293" i="4"/>
  <c r="K295" i="4"/>
  <c r="N295" i="4" s="1"/>
  <c r="H293" i="4"/>
  <c r="F293" i="4"/>
  <c r="O299" i="2"/>
  <c r="I298" i="2"/>
  <c r="F298" i="2" s="1"/>
  <c r="N297" i="3" s="1"/>
  <c r="I297" i="4"/>
  <c r="M297" i="4" s="1"/>
  <c r="P297" i="2"/>
  <c r="J296" i="2"/>
  <c r="G296" i="2" s="1"/>
  <c r="T295" i="3" s="1"/>
  <c r="V295" i="3"/>
  <c r="K299" i="2"/>
  <c r="N297" i="2"/>
  <c r="J295" i="3"/>
  <c r="H296" i="2"/>
  <c r="E296" i="2" s="1"/>
  <c r="H295" i="3" s="1"/>
  <c r="M303" i="2"/>
  <c r="B298" i="3"/>
  <c r="B300" i="2"/>
  <c r="C299" i="2"/>
  <c r="A298" i="4"/>
  <c r="P297" i="3"/>
  <c r="E297" i="3"/>
  <c r="G297" i="3"/>
  <c r="S297" i="3"/>
  <c r="Y297" i="3" s="1"/>
  <c r="Z297" i="3" s="1"/>
  <c r="C297" i="3"/>
  <c r="M297" i="3"/>
  <c r="C297" i="4"/>
  <c r="AB296" i="3"/>
  <c r="L302" i="2"/>
  <c r="F294" i="3"/>
  <c r="D295" i="3"/>
  <c r="D295" i="4"/>
  <c r="AA295" i="3"/>
  <c r="I293" i="3"/>
  <c r="U293" i="3"/>
  <c r="O293" i="3"/>
  <c r="D299" i="2"/>
  <c r="T298" i="2"/>
  <c r="H294" i="4" l="1"/>
  <c r="G296" i="4"/>
  <c r="L296" i="4" s="1"/>
  <c r="J294" i="4"/>
  <c r="F294" i="4"/>
  <c r="K296" i="4"/>
  <c r="N296" i="4" s="1"/>
  <c r="E297" i="4"/>
  <c r="O300" i="2"/>
  <c r="I299" i="2"/>
  <c r="F299" i="2" s="1"/>
  <c r="N298" i="3" s="1"/>
  <c r="L303" i="2"/>
  <c r="N298" i="2"/>
  <c r="J296" i="3"/>
  <c r="H297" i="2"/>
  <c r="E297" i="2" s="1"/>
  <c r="H296" i="3" s="1"/>
  <c r="K300" i="2"/>
  <c r="T299" i="2"/>
  <c r="D300" i="2"/>
  <c r="I298" i="4"/>
  <c r="M298" i="4" s="1"/>
  <c r="C298" i="4"/>
  <c r="AB297" i="3"/>
  <c r="C300" i="2"/>
  <c r="P298" i="2"/>
  <c r="J297" i="2"/>
  <c r="G297" i="2" s="1"/>
  <c r="T296" i="3" s="1"/>
  <c r="V296" i="3"/>
  <c r="B299" i="3"/>
  <c r="B301" i="2"/>
  <c r="D296" i="4"/>
  <c r="AA296" i="3"/>
  <c r="A299" i="4"/>
  <c r="M298" i="3"/>
  <c r="C298" i="3"/>
  <c r="P298" i="3"/>
  <c r="E298" i="3"/>
  <c r="G298" i="3"/>
  <c r="S298" i="3"/>
  <c r="Y298" i="3" s="1"/>
  <c r="Z298" i="3" s="1"/>
  <c r="D296" i="3"/>
  <c r="F295" i="3"/>
  <c r="M304" i="2"/>
  <c r="O294" i="3"/>
  <c r="U294" i="3"/>
  <c r="I294" i="3"/>
  <c r="E298" i="4" l="1"/>
  <c r="J295" i="4"/>
  <c r="F295" i="4"/>
  <c r="H295" i="4"/>
  <c r="G297" i="4"/>
  <c r="L297" i="4" s="1"/>
  <c r="K297" i="4"/>
  <c r="N297" i="4" s="1"/>
  <c r="O301" i="2"/>
  <c r="I300" i="2"/>
  <c r="F300" i="2" s="1"/>
  <c r="N299" i="3" s="1"/>
  <c r="P299" i="2"/>
  <c r="J298" i="2"/>
  <c r="G298" i="2" s="1"/>
  <c r="T297" i="3" s="1"/>
  <c r="V297" i="3"/>
  <c r="T300" i="2"/>
  <c r="D301" i="2"/>
  <c r="C301" i="2"/>
  <c r="M305" i="2"/>
  <c r="O295" i="3"/>
  <c r="I295" i="3"/>
  <c r="U295" i="3"/>
  <c r="C299" i="4"/>
  <c r="AB298" i="3"/>
  <c r="K301" i="2"/>
  <c r="D297" i="3"/>
  <c r="F296" i="3"/>
  <c r="I299" i="4"/>
  <c r="M299" i="4" s="1"/>
  <c r="N299" i="2"/>
  <c r="J297" i="3"/>
  <c r="H298" i="2"/>
  <c r="E298" i="2" s="1"/>
  <c r="H297" i="3" s="1"/>
  <c r="D297" i="4"/>
  <c r="AA297" i="3"/>
  <c r="B300" i="3"/>
  <c r="B302" i="2"/>
  <c r="A300" i="4"/>
  <c r="M299" i="3"/>
  <c r="C299" i="3"/>
  <c r="P299" i="3"/>
  <c r="E299" i="3"/>
  <c r="G299" i="3"/>
  <c r="S299" i="3"/>
  <c r="Y299" i="3" s="1"/>
  <c r="Z299" i="3" s="1"/>
  <c r="L304" i="2"/>
  <c r="J296" i="4" l="1"/>
  <c r="H296" i="4"/>
  <c r="F296" i="4"/>
  <c r="G298" i="4"/>
  <c r="L298" i="4" s="1"/>
  <c r="K298" i="4"/>
  <c r="N298" i="4" s="1"/>
  <c r="E299" i="4"/>
  <c r="O302" i="2"/>
  <c r="I301" i="2"/>
  <c r="F301" i="2" s="1"/>
  <c r="N300" i="3" s="1"/>
  <c r="I300" i="4"/>
  <c r="M300" i="4" s="1"/>
  <c r="M306" i="2"/>
  <c r="B301" i="3"/>
  <c r="B303" i="2"/>
  <c r="C302" i="2"/>
  <c r="A301" i="4"/>
  <c r="G300" i="3"/>
  <c r="S300" i="3"/>
  <c r="Y300" i="3" s="1"/>
  <c r="Z300" i="3" s="1"/>
  <c r="M300" i="3"/>
  <c r="C300" i="3"/>
  <c r="E300" i="3"/>
  <c r="P300" i="3"/>
  <c r="I296" i="3"/>
  <c r="U296" i="3"/>
  <c r="O296" i="3"/>
  <c r="D298" i="4"/>
  <c r="AA298" i="3"/>
  <c r="F297" i="3"/>
  <c r="D298" i="3"/>
  <c r="D302" i="2"/>
  <c r="T301" i="2"/>
  <c r="L305" i="2"/>
  <c r="K302" i="2"/>
  <c r="N300" i="2"/>
  <c r="J298" i="3"/>
  <c r="H299" i="2"/>
  <c r="E299" i="2" s="1"/>
  <c r="H298" i="3" s="1"/>
  <c r="C300" i="4"/>
  <c r="AB299" i="3"/>
  <c r="P300" i="2"/>
  <c r="J299" i="2"/>
  <c r="G299" i="2" s="1"/>
  <c r="T298" i="3" s="1"/>
  <c r="V298" i="3"/>
  <c r="K299" i="4" l="1"/>
  <c r="N299" i="4" s="1"/>
  <c r="E300" i="4"/>
  <c r="H297" i="4"/>
  <c r="J297" i="4"/>
  <c r="F297" i="4"/>
  <c r="G299" i="4"/>
  <c r="L299" i="4" s="1"/>
  <c r="O303" i="2"/>
  <c r="I302" i="2"/>
  <c r="F302" i="2" s="1"/>
  <c r="N301" i="3" s="1"/>
  <c r="C303" i="2"/>
  <c r="B302" i="3"/>
  <c r="B304" i="2"/>
  <c r="P301" i="2"/>
  <c r="J300" i="2"/>
  <c r="G300" i="2" s="1"/>
  <c r="T299" i="3" s="1"/>
  <c r="V299" i="3"/>
  <c r="T302" i="2"/>
  <c r="D303" i="2"/>
  <c r="C301" i="4"/>
  <c r="AB300" i="3"/>
  <c r="A302" i="4"/>
  <c r="P301" i="3"/>
  <c r="E301" i="3"/>
  <c r="G301" i="3"/>
  <c r="S301" i="3"/>
  <c r="Y301" i="3" s="1"/>
  <c r="Z301" i="3" s="1"/>
  <c r="C301" i="3"/>
  <c r="M301" i="3"/>
  <c r="L306" i="2"/>
  <c r="F298" i="3"/>
  <c r="D299" i="3"/>
  <c r="I297" i="3"/>
  <c r="U297" i="3"/>
  <c r="O297" i="3"/>
  <c r="M307" i="2"/>
  <c r="D299" i="4"/>
  <c r="AA299" i="3"/>
  <c r="N301" i="2"/>
  <c r="H300" i="2"/>
  <c r="E300" i="2" s="1"/>
  <c r="H299" i="3" s="1"/>
  <c r="J299" i="3"/>
  <c r="K303" i="2"/>
  <c r="I301" i="4"/>
  <c r="M301" i="4" s="1"/>
  <c r="E301" i="4" l="1"/>
  <c r="J298" i="4"/>
  <c r="F298" i="4"/>
  <c r="G300" i="4"/>
  <c r="L300" i="4" s="1"/>
  <c r="K300" i="4"/>
  <c r="N300" i="4" s="1"/>
  <c r="H298" i="4"/>
  <c r="O304" i="2"/>
  <c r="I303" i="2"/>
  <c r="F303" i="2" s="1"/>
  <c r="N302" i="3" s="1"/>
  <c r="D304" i="2"/>
  <c r="T303" i="2"/>
  <c r="M308" i="2"/>
  <c r="P302" i="2"/>
  <c r="J301" i="2"/>
  <c r="G301" i="2" s="1"/>
  <c r="T300" i="3" s="1"/>
  <c r="V300" i="3"/>
  <c r="D300" i="3"/>
  <c r="F299" i="3"/>
  <c r="B303" i="3"/>
  <c r="B305" i="2"/>
  <c r="D300" i="4"/>
  <c r="AA300" i="3"/>
  <c r="K304" i="2"/>
  <c r="O298" i="3"/>
  <c r="U298" i="3"/>
  <c r="I298" i="3"/>
  <c r="A303" i="4"/>
  <c r="M302" i="3"/>
  <c r="C302" i="3"/>
  <c r="P302" i="3"/>
  <c r="E302" i="3"/>
  <c r="G302" i="3"/>
  <c r="S302" i="3"/>
  <c r="Y302" i="3" s="1"/>
  <c r="Z302" i="3" s="1"/>
  <c r="C304" i="2"/>
  <c r="L307" i="2"/>
  <c r="I302" i="4"/>
  <c r="M302" i="4" s="1"/>
  <c r="C302" i="4"/>
  <c r="AB301" i="3"/>
  <c r="N302" i="2"/>
  <c r="H301" i="2"/>
  <c r="E301" i="2" s="1"/>
  <c r="H300" i="3" s="1"/>
  <c r="J300" i="3"/>
  <c r="G301" i="4" l="1"/>
  <c r="L301" i="4" s="1"/>
  <c r="K301" i="4"/>
  <c r="N301" i="4" s="1"/>
  <c r="H299" i="4"/>
  <c r="E302" i="4"/>
  <c r="F299" i="4"/>
  <c r="J299" i="4"/>
  <c r="O305" i="2"/>
  <c r="I304" i="2"/>
  <c r="F304" i="2" s="1"/>
  <c r="N303" i="3" s="1"/>
  <c r="L308" i="2"/>
  <c r="B304" i="3"/>
  <c r="B306" i="2"/>
  <c r="O299" i="3"/>
  <c r="I299" i="3"/>
  <c r="U299" i="3"/>
  <c r="A304" i="4"/>
  <c r="M303" i="3"/>
  <c r="C303" i="3"/>
  <c r="P303" i="3"/>
  <c r="E303" i="3"/>
  <c r="G303" i="3"/>
  <c r="S303" i="3"/>
  <c r="Y303" i="3" s="1"/>
  <c r="Z303" i="3" s="1"/>
  <c r="N303" i="2"/>
  <c r="J301" i="3"/>
  <c r="H302" i="2"/>
  <c r="E302" i="2" s="1"/>
  <c r="H301" i="3" s="1"/>
  <c r="C303" i="4"/>
  <c r="AB302" i="3"/>
  <c r="D301" i="3"/>
  <c r="F300" i="3"/>
  <c r="C305" i="2"/>
  <c r="I303" i="4"/>
  <c r="M303" i="4" s="1"/>
  <c r="P303" i="2"/>
  <c r="J302" i="2"/>
  <c r="G302" i="2" s="1"/>
  <c r="T301" i="3" s="1"/>
  <c r="V301" i="3"/>
  <c r="K305" i="2"/>
  <c r="M309" i="2"/>
  <c r="D301" i="4"/>
  <c r="AA301" i="3"/>
  <c r="T304" i="2"/>
  <c r="D305" i="2"/>
  <c r="K302" i="4" l="1"/>
  <c r="N302" i="4" s="1"/>
  <c r="E303" i="4"/>
  <c r="J300" i="4"/>
  <c r="F300" i="4"/>
  <c r="H300" i="4"/>
  <c r="G302" i="4"/>
  <c r="L302" i="4" s="1"/>
  <c r="O306" i="2"/>
  <c r="I305" i="2"/>
  <c r="F305" i="2" s="1"/>
  <c r="N304" i="3" s="1"/>
  <c r="D306" i="2"/>
  <c r="T305" i="2"/>
  <c r="C304" i="4"/>
  <c r="AB303" i="3"/>
  <c r="D302" i="4"/>
  <c r="AA302" i="3"/>
  <c r="N304" i="2"/>
  <c r="H303" i="2"/>
  <c r="E303" i="2" s="1"/>
  <c r="H302" i="3" s="1"/>
  <c r="J302" i="3"/>
  <c r="I304" i="4"/>
  <c r="M304" i="4" s="1"/>
  <c r="B305" i="3"/>
  <c r="B307" i="2"/>
  <c r="M310" i="2"/>
  <c r="C306" i="2"/>
  <c r="K306" i="2"/>
  <c r="A305" i="4"/>
  <c r="G304" i="3"/>
  <c r="S304" i="3"/>
  <c r="Y304" i="3" s="1"/>
  <c r="Z304" i="3" s="1"/>
  <c r="M304" i="3"/>
  <c r="C304" i="3"/>
  <c r="E304" i="3"/>
  <c r="P304" i="3"/>
  <c r="P304" i="2"/>
  <c r="J303" i="2"/>
  <c r="G303" i="2" s="1"/>
  <c r="T302" i="3" s="1"/>
  <c r="V302" i="3"/>
  <c r="I300" i="3"/>
  <c r="U300" i="3"/>
  <c r="O300" i="3"/>
  <c r="F301" i="3"/>
  <c r="D302" i="3"/>
  <c r="L309" i="2"/>
  <c r="G303" i="4" l="1"/>
  <c r="L303" i="4" s="1"/>
  <c r="H301" i="4"/>
  <c r="E304" i="4"/>
  <c r="J301" i="4"/>
  <c r="F301" i="4"/>
  <c r="K303" i="4"/>
  <c r="N303" i="4" s="1"/>
  <c r="O307" i="2"/>
  <c r="I306" i="2"/>
  <c r="F306" i="2" s="1"/>
  <c r="N305" i="3" s="1"/>
  <c r="C307" i="2"/>
  <c r="C305" i="4"/>
  <c r="AB304" i="3"/>
  <c r="I301" i="3"/>
  <c r="U301" i="3"/>
  <c r="O301" i="3"/>
  <c r="N305" i="2"/>
  <c r="H304" i="2"/>
  <c r="E304" i="2" s="1"/>
  <c r="H303" i="3" s="1"/>
  <c r="J303" i="3"/>
  <c r="F302" i="3"/>
  <c r="D303" i="3"/>
  <c r="M311" i="2"/>
  <c r="D303" i="4"/>
  <c r="AA303" i="3"/>
  <c r="B306" i="3"/>
  <c r="B308" i="2"/>
  <c r="A306" i="4"/>
  <c r="P305" i="3"/>
  <c r="E305" i="3"/>
  <c r="C305" i="3"/>
  <c r="G305" i="3"/>
  <c r="M305" i="3"/>
  <c r="S305" i="3"/>
  <c r="Y305" i="3" s="1"/>
  <c r="Z305" i="3" s="1"/>
  <c r="L310" i="2"/>
  <c r="P305" i="2"/>
  <c r="J304" i="2"/>
  <c r="G304" i="2" s="1"/>
  <c r="T303" i="3" s="1"/>
  <c r="V303" i="3"/>
  <c r="I305" i="4"/>
  <c r="M305" i="4" s="1"/>
  <c r="D307" i="2"/>
  <c r="T306" i="2"/>
  <c r="K307" i="2"/>
  <c r="H302" i="4" l="1"/>
  <c r="F302" i="4"/>
  <c r="K304" i="4"/>
  <c r="N304" i="4" s="1"/>
  <c r="E305" i="4"/>
  <c r="J302" i="4"/>
  <c r="G304" i="4"/>
  <c r="L304" i="4" s="1"/>
  <c r="O308" i="2"/>
  <c r="I307" i="2"/>
  <c r="F307" i="2" s="1"/>
  <c r="N306" i="3" s="1"/>
  <c r="O302" i="3"/>
  <c r="U302" i="3"/>
  <c r="I302" i="3"/>
  <c r="K308" i="2"/>
  <c r="P306" i="2"/>
  <c r="J305" i="2"/>
  <c r="G305" i="2" s="1"/>
  <c r="T304" i="3" s="1"/>
  <c r="V304" i="3"/>
  <c r="N306" i="2"/>
  <c r="H305" i="2"/>
  <c r="E305" i="2" s="1"/>
  <c r="H304" i="3" s="1"/>
  <c r="J304" i="3"/>
  <c r="L311" i="2"/>
  <c r="I306" i="4"/>
  <c r="M306" i="4" s="1"/>
  <c r="T307" i="2"/>
  <c r="D308" i="2"/>
  <c r="B307" i="3"/>
  <c r="B309" i="2"/>
  <c r="A307" i="4"/>
  <c r="M306" i="3"/>
  <c r="C306" i="3"/>
  <c r="E306" i="3"/>
  <c r="G306" i="3"/>
  <c r="S306" i="3"/>
  <c r="Y306" i="3" s="1"/>
  <c r="Z306" i="3" s="1"/>
  <c r="P306" i="3"/>
  <c r="C306" i="4"/>
  <c r="AB305" i="3"/>
  <c r="D304" i="4"/>
  <c r="AA304" i="3"/>
  <c r="C308" i="2"/>
  <c r="M312" i="2"/>
  <c r="D304" i="3"/>
  <c r="F303" i="3"/>
  <c r="G305" i="4" l="1"/>
  <c r="L305" i="4" s="1"/>
  <c r="K305" i="4"/>
  <c r="N305" i="4" s="1"/>
  <c r="J303" i="4"/>
  <c r="F303" i="4"/>
  <c r="E306" i="4"/>
  <c r="H303" i="4"/>
  <c r="O309" i="2"/>
  <c r="I308" i="2"/>
  <c r="F308" i="2" s="1"/>
  <c r="N307" i="3" s="1"/>
  <c r="A308" i="4"/>
  <c r="C307" i="3"/>
  <c r="P307" i="3"/>
  <c r="E307" i="3"/>
  <c r="M307" i="3"/>
  <c r="S307" i="3"/>
  <c r="Y307" i="3" s="1"/>
  <c r="Z307" i="3" s="1"/>
  <c r="G307" i="3"/>
  <c r="D309" i="2"/>
  <c r="T308" i="2"/>
  <c r="D305" i="3"/>
  <c r="F304" i="3"/>
  <c r="N307" i="2"/>
  <c r="J305" i="3"/>
  <c r="H306" i="2"/>
  <c r="E306" i="2" s="1"/>
  <c r="H305" i="3" s="1"/>
  <c r="B308" i="3"/>
  <c r="B310" i="2"/>
  <c r="O303" i="3"/>
  <c r="I303" i="3"/>
  <c r="U303" i="3"/>
  <c r="M313" i="2"/>
  <c r="C309" i="2"/>
  <c r="P307" i="2"/>
  <c r="J306" i="2"/>
  <c r="G306" i="2" s="1"/>
  <c r="T305" i="3" s="1"/>
  <c r="V305" i="3"/>
  <c r="D305" i="4"/>
  <c r="AA305" i="3"/>
  <c r="K309" i="2"/>
  <c r="C307" i="4"/>
  <c r="AB306" i="3"/>
  <c r="L312" i="2"/>
  <c r="I307" i="4"/>
  <c r="M307" i="4" s="1"/>
  <c r="J304" i="4" l="1"/>
  <c r="E307" i="4"/>
  <c r="H304" i="4"/>
  <c r="F304" i="4"/>
  <c r="G306" i="4"/>
  <c r="L306" i="4" s="1"/>
  <c r="K306" i="4"/>
  <c r="N306" i="4" s="1"/>
  <c r="O310" i="2"/>
  <c r="I309" i="2"/>
  <c r="F309" i="2" s="1"/>
  <c r="N308" i="3" s="1"/>
  <c r="D306" i="4"/>
  <c r="AA306" i="3"/>
  <c r="B309" i="3"/>
  <c r="B311" i="2"/>
  <c r="A309" i="4"/>
  <c r="G308" i="3"/>
  <c r="S308" i="3"/>
  <c r="Y308" i="3" s="1"/>
  <c r="Z308" i="3" s="1"/>
  <c r="M308" i="3"/>
  <c r="P308" i="3"/>
  <c r="C308" i="3"/>
  <c r="E308" i="3"/>
  <c r="C308" i="4"/>
  <c r="AB307" i="3"/>
  <c r="N308" i="2"/>
  <c r="H307" i="2"/>
  <c r="E307" i="2" s="1"/>
  <c r="H306" i="3" s="1"/>
  <c r="J306" i="3"/>
  <c r="I304" i="3"/>
  <c r="U304" i="3"/>
  <c r="O304" i="3"/>
  <c r="P308" i="2"/>
  <c r="J307" i="2"/>
  <c r="G307" i="2" s="1"/>
  <c r="T306" i="3" s="1"/>
  <c r="V306" i="3"/>
  <c r="L313" i="2"/>
  <c r="C310" i="2"/>
  <c r="F305" i="3"/>
  <c r="D306" i="3"/>
  <c r="M314" i="2"/>
  <c r="K310" i="2"/>
  <c r="T309" i="2"/>
  <c r="D310" i="2"/>
  <c r="I308" i="4"/>
  <c r="M308" i="4" s="1"/>
  <c r="H305" i="4" l="1"/>
  <c r="F305" i="4"/>
  <c r="K307" i="4"/>
  <c r="N307" i="4" s="1"/>
  <c r="G307" i="4"/>
  <c r="L307" i="4" s="1"/>
  <c r="E308" i="4"/>
  <c r="J305" i="4"/>
  <c r="O311" i="2"/>
  <c r="I310" i="2"/>
  <c r="F310" i="2" s="1"/>
  <c r="N309" i="3" s="1"/>
  <c r="F306" i="3"/>
  <c r="D307" i="3"/>
  <c r="C309" i="4"/>
  <c r="AB308" i="3"/>
  <c r="M315" i="2"/>
  <c r="C311" i="2"/>
  <c r="N309" i="2"/>
  <c r="J307" i="3"/>
  <c r="H308" i="2"/>
  <c r="E308" i="2" s="1"/>
  <c r="H307" i="3" s="1"/>
  <c r="D311" i="2"/>
  <c r="T310" i="2"/>
  <c r="I309" i="4"/>
  <c r="M309" i="4" s="1"/>
  <c r="L314" i="2"/>
  <c r="B310" i="3"/>
  <c r="B312" i="2"/>
  <c r="A310" i="4"/>
  <c r="P309" i="3"/>
  <c r="E309" i="3"/>
  <c r="C309" i="3"/>
  <c r="M309" i="3"/>
  <c r="S309" i="3"/>
  <c r="Y309" i="3" s="1"/>
  <c r="Z309" i="3" s="1"/>
  <c r="G309" i="3"/>
  <c r="D307" i="4"/>
  <c r="AA307" i="3"/>
  <c r="I305" i="3"/>
  <c r="U305" i="3"/>
  <c r="O305" i="3"/>
  <c r="K311" i="2"/>
  <c r="P309" i="2"/>
  <c r="J308" i="2"/>
  <c r="G308" i="2" s="1"/>
  <c r="T307" i="3" s="1"/>
  <c r="V307" i="3"/>
  <c r="G308" i="4" l="1"/>
  <c r="L308" i="4" s="1"/>
  <c r="K308" i="4"/>
  <c r="N308" i="4" s="1"/>
  <c r="E309" i="4"/>
  <c r="J306" i="4"/>
  <c r="H306" i="4"/>
  <c r="F306" i="4"/>
  <c r="O312" i="2"/>
  <c r="I311" i="2"/>
  <c r="F311" i="2" s="1"/>
  <c r="N310" i="3" s="1"/>
  <c r="C310" i="4"/>
  <c r="AB309" i="3"/>
  <c r="N310" i="2"/>
  <c r="H309" i="2"/>
  <c r="E309" i="2" s="1"/>
  <c r="H308" i="3" s="1"/>
  <c r="J308" i="3"/>
  <c r="L315" i="2"/>
  <c r="P310" i="2"/>
  <c r="J309" i="2"/>
  <c r="G309" i="2" s="1"/>
  <c r="T308" i="3" s="1"/>
  <c r="V308" i="3"/>
  <c r="K312" i="2"/>
  <c r="C312" i="2"/>
  <c r="M316" i="2"/>
  <c r="A311" i="4"/>
  <c r="M310" i="3"/>
  <c r="C310" i="3"/>
  <c r="E310" i="3"/>
  <c r="G310" i="3"/>
  <c r="S310" i="3"/>
  <c r="Y310" i="3" s="1"/>
  <c r="Z310" i="3" s="1"/>
  <c r="P310" i="3"/>
  <c r="D308" i="4"/>
  <c r="AA308" i="3"/>
  <c r="I310" i="4"/>
  <c r="M310" i="4" s="1"/>
  <c r="T311" i="2"/>
  <c r="D312" i="2"/>
  <c r="F307" i="3"/>
  <c r="D308" i="3"/>
  <c r="B311" i="3"/>
  <c r="B313" i="2"/>
  <c r="O306" i="3"/>
  <c r="I306" i="3"/>
  <c r="U306" i="3"/>
  <c r="K309" i="4" l="1"/>
  <c r="N309" i="4" s="1"/>
  <c r="H307" i="4"/>
  <c r="G309" i="4"/>
  <c r="L309" i="4" s="1"/>
  <c r="J307" i="4"/>
  <c r="F307" i="4"/>
  <c r="E310" i="4"/>
  <c r="O313" i="2"/>
  <c r="I312" i="2"/>
  <c r="F312" i="2" s="1"/>
  <c r="N311" i="3" s="1"/>
  <c r="K313" i="2"/>
  <c r="B312" i="3"/>
  <c r="B314" i="2"/>
  <c r="P311" i="2"/>
  <c r="J310" i="2"/>
  <c r="G310" i="2" s="1"/>
  <c r="T309" i="3" s="1"/>
  <c r="V309" i="3"/>
  <c r="A312" i="4"/>
  <c r="C311" i="3"/>
  <c r="P311" i="3"/>
  <c r="E311" i="3"/>
  <c r="S311" i="3"/>
  <c r="Y311" i="3" s="1"/>
  <c r="Z311" i="3" s="1"/>
  <c r="G311" i="3"/>
  <c r="M311" i="3"/>
  <c r="D309" i="4"/>
  <c r="AA309" i="3"/>
  <c r="C311" i="4"/>
  <c r="AB310" i="3"/>
  <c r="D309" i="3"/>
  <c r="F308" i="3"/>
  <c r="I311" i="4"/>
  <c r="M311" i="4" s="1"/>
  <c r="L316" i="2"/>
  <c r="M317" i="2"/>
  <c r="C313" i="2"/>
  <c r="N311" i="2"/>
  <c r="J309" i="3"/>
  <c r="H310" i="2"/>
  <c r="E310" i="2" s="1"/>
  <c r="H309" i="3" s="1"/>
  <c r="O307" i="3"/>
  <c r="I307" i="3"/>
  <c r="U307" i="3"/>
  <c r="T312" i="2"/>
  <c r="D313" i="2"/>
  <c r="K310" i="4" l="1"/>
  <c r="N310" i="4" s="1"/>
  <c r="J308" i="4"/>
  <c r="E311" i="4"/>
  <c r="F308" i="4"/>
  <c r="H308" i="4"/>
  <c r="G310" i="4"/>
  <c r="L310" i="4" s="1"/>
  <c r="O314" i="2"/>
  <c r="I313" i="2"/>
  <c r="F313" i="2" s="1"/>
  <c r="N312" i="3" s="1"/>
  <c r="F309" i="3"/>
  <c r="D310" i="3"/>
  <c r="M318" i="2"/>
  <c r="D314" i="2"/>
  <c r="T313" i="2"/>
  <c r="L317" i="2"/>
  <c r="D310" i="4"/>
  <c r="AA310" i="3"/>
  <c r="I312" i="4"/>
  <c r="M312" i="4" s="1"/>
  <c r="C312" i="4"/>
  <c r="AB311" i="3"/>
  <c r="P312" i="2"/>
  <c r="J311" i="2"/>
  <c r="G311" i="2" s="1"/>
  <c r="T310" i="3" s="1"/>
  <c r="V310" i="3"/>
  <c r="B313" i="3"/>
  <c r="B315" i="2"/>
  <c r="N312" i="2"/>
  <c r="J310" i="3"/>
  <c r="H311" i="2"/>
  <c r="E311" i="2" s="1"/>
  <c r="H310" i="3" s="1"/>
  <c r="A313" i="4"/>
  <c r="G312" i="3"/>
  <c r="S312" i="3"/>
  <c r="Y312" i="3" s="1"/>
  <c r="Z312" i="3" s="1"/>
  <c r="M312" i="3"/>
  <c r="C312" i="3"/>
  <c r="E312" i="3"/>
  <c r="P312" i="3"/>
  <c r="C314" i="2"/>
  <c r="I308" i="3"/>
  <c r="U308" i="3"/>
  <c r="O308" i="3"/>
  <c r="K314" i="2"/>
  <c r="G311" i="4" l="1"/>
  <c r="L311" i="4" s="1"/>
  <c r="F309" i="4"/>
  <c r="H309" i="4"/>
  <c r="J309" i="4"/>
  <c r="K311" i="4"/>
  <c r="N311" i="4" s="1"/>
  <c r="E312" i="4"/>
  <c r="O315" i="2"/>
  <c r="I314" i="2"/>
  <c r="F314" i="2" s="1"/>
  <c r="N313" i="3" s="1"/>
  <c r="B314" i="3"/>
  <c r="B316" i="2"/>
  <c r="K315" i="2"/>
  <c r="P313" i="2"/>
  <c r="J312" i="2"/>
  <c r="G312" i="2" s="1"/>
  <c r="T311" i="3" s="1"/>
  <c r="V311" i="3"/>
  <c r="L318" i="2"/>
  <c r="D311" i="4"/>
  <c r="AA311" i="3"/>
  <c r="T314" i="2"/>
  <c r="D315" i="2"/>
  <c r="C313" i="4"/>
  <c r="AB312" i="3"/>
  <c r="C315" i="2"/>
  <c r="I313" i="4"/>
  <c r="M313" i="4" s="1"/>
  <c r="A314" i="4"/>
  <c r="P313" i="3"/>
  <c r="E313" i="3"/>
  <c r="C313" i="3"/>
  <c r="S313" i="3"/>
  <c r="Y313" i="3" s="1"/>
  <c r="Z313" i="3" s="1"/>
  <c r="G313" i="3"/>
  <c r="M313" i="3"/>
  <c r="M319" i="2"/>
  <c r="F310" i="3"/>
  <c r="D311" i="3"/>
  <c r="N313" i="2"/>
  <c r="H312" i="2"/>
  <c r="E312" i="2" s="1"/>
  <c r="H311" i="3" s="1"/>
  <c r="J311" i="3"/>
  <c r="I309" i="3"/>
  <c r="U309" i="3"/>
  <c r="O309" i="3"/>
  <c r="H310" i="4" l="1"/>
  <c r="K312" i="4"/>
  <c r="N312" i="4" s="1"/>
  <c r="G312" i="4"/>
  <c r="L312" i="4" s="1"/>
  <c r="E313" i="4"/>
  <c r="J310" i="4"/>
  <c r="F310" i="4"/>
  <c r="O316" i="2"/>
  <c r="I315" i="2"/>
  <c r="F315" i="2" s="1"/>
  <c r="N314" i="3" s="1"/>
  <c r="C314" i="4"/>
  <c r="AB313" i="3"/>
  <c r="L319" i="2"/>
  <c r="F311" i="3"/>
  <c r="D312" i="3"/>
  <c r="P314" i="2"/>
  <c r="J313" i="2"/>
  <c r="G313" i="2" s="1"/>
  <c r="T312" i="3" s="1"/>
  <c r="V312" i="3"/>
  <c r="O310" i="3"/>
  <c r="U310" i="3"/>
  <c r="I310" i="3"/>
  <c r="D312" i="4"/>
  <c r="AA312" i="3"/>
  <c r="N314" i="2"/>
  <c r="J312" i="3"/>
  <c r="H313" i="2"/>
  <c r="E313" i="2" s="1"/>
  <c r="H312" i="3" s="1"/>
  <c r="K316" i="2"/>
  <c r="M320" i="2"/>
  <c r="I314" i="4"/>
  <c r="M314" i="4" s="1"/>
  <c r="D316" i="2"/>
  <c r="T315" i="2"/>
  <c r="B315" i="3"/>
  <c r="B317" i="2"/>
  <c r="C316" i="2"/>
  <c r="A315" i="4"/>
  <c r="M314" i="3"/>
  <c r="C314" i="3"/>
  <c r="E314" i="3"/>
  <c r="G314" i="3"/>
  <c r="S314" i="3"/>
  <c r="Y314" i="3" s="1"/>
  <c r="Z314" i="3" s="1"/>
  <c r="P314" i="3"/>
  <c r="K313" i="4" l="1"/>
  <c r="N313" i="4" s="1"/>
  <c r="J311" i="4"/>
  <c r="H311" i="4"/>
  <c r="G313" i="4"/>
  <c r="L313" i="4" s="1"/>
  <c r="E314" i="4"/>
  <c r="F311" i="4"/>
  <c r="O317" i="2"/>
  <c r="I316" i="2"/>
  <c r="F316" i="2" s="1"/>
  <c r="N315" i="3" s="1"/>
  <c r="I315" i="4"/>
  <c r="M315" i="4" s="1"/>
  <c r="B316" i="3"/>
  <c r="B318" i="2"/>
  <c r="M321" i="2"/>
  <c r="A316" i="4"/>
  <c r="C315" i="3"/>
  <c r="P315" i="3"/>
  <c r="E315" i="3"/>
  <c r="G315" i="3"/>
  <c r="M315" i="3"/>
  <c r="S315" i="3"/>
  <c r="Y315" i="3" s="1"/>
  <c r="Z315" i="3" s="1"/>
  <c r="K317" i="2"/>
  <c r="P315" i="2"/>
  <c r="J314" i="2"/>
  <c r="G314" i="2" s="1"/>
  <c r="T313" i="3" s="1"/>
  <c r="V313" i="3"/>
  <c r="D313" i="3"/>
  <c r="F312" i="3"/>
  <c r="C317" i="2"/>
  <c r="O311" i="3"/>
  <c r="I311" i="3"/>
  <c r="U311" i="3"/>
  <c r="T316" i="2"/>
  <c r="D317" i="2"/>
  <c r="N315" i="2"/>
  <c r="H314" i="2"/>
  <c r="E314" i="2" s="1"/>
  <c r="H313" i="3" s="1"/>
  <c r="J313" i="3"/>
  <c r="L320" i="2"/>
  <c r="D313" i="4"/>
  <c r="AA313" i="3"/>
  <c r="C315" i="4"/>
  <c r="AB314" i="3"/>
  <c r="J312" i="4" l="1"/>
  <c r="F312" i="4"/>
  <c r="K314" i="4"/>
  <c r="N314" i="4" s="1"/>
  <c r="E315" i="4"/>
  <c r="H312" i="4"/>
  <c r="G314" i="4"/>
  <c r="L314" i="4" s="1"/>
  <c r="O318" i="2"/>
  <c r="I317" i="2"/>
  <c r="F317" i="2" s="1"/>
  <c r="N316" i="3" s="1"/>
  <c r="D318" i="2"/>
  <c r="T317" i="2"/>
  <c r="M322" i="2"/>
  <c r="D314" i="4"/>
  <c r="AA314" i="3"/>
  <c r="I316" i="4"/>
  <c r="M316" i="4" s="1"/>
  <c r="C318" i="2"/>
  <c r="C316" i="4"/>
  <c r="AB315" i="3"/>
  <c r="B317" i="3"/>
  <c r="B319" i="2"/>
  <c r="A317" i="4"/>
  <c r="G316" i="3"/>
  <c r="S316" i="3"/>
  <c r="Y316" i="3" s="1"/>
  <c r="Z316" i="3" s="1"/>
  <c r="M316" i="3"/>
  <c r="C316" i="3"/>
  <c r="E316" i="3"/>
  <c r="P316" i="3"/>
  <c r="K318" i="2"/>
  <c r="L321" i="2"/>
  <c r="I312" i="3"/>
  <c r="U312" i="3"/>
  <c r="O312" i="3"/>
  <c r="F313" i="3"/>
  <c r="D314" i="3"/>
  <c r="N316" i="2"/>
  <c r="H315" i="2"/>
  <c r="E315" i="2" s="1"/>
  <c r="H314" i="3" s="1"/>
  <c r="J314" i="3"/>
  <c r="P316" i="2"/>
  <c r="J315" i="2"/>
  <c r="G315" i="2" s="1"/>
  <c r="T314" i="3" s="1"/>
  <c r="V314" i="3"/>
  <c r="E316" i="4" l="1"/>
  <c r="F313" i="4"/>
  <c r="K315" i="4"/>
  <c r="N315" i="4" s="1"/>
  <c r="G315" i="4"/>
  <c r="L315" i="4" s="1"/>
  <c r="H313" i="4"/>
  <c r="J313" i="4"/>
  <c r="O319" i="2"/>
  <c r="I318" i="2"/>
  <c r="F318" i="2" s="1"/>
  <c r="N317" i="3" s="1"/>
  <c r="L322" i="2"/>
  <c r="P317" i="2"/>
  <c r="J316" i="2"/>
  <c r="G316" i="2" s="1"/>
  <c r="T315" i="3" s="1"/>
  <c r="V315" i="3"/>
  <c r="K319" i="2"/>
  <c r="I317" i="4"/>
  <c r="M317" i="4" s="1"/>
  <c r="B318" i="3"/>
  <c r="B320" i="2"/>
  <c r="A318" i="4"/>
  <c r="P317" i="3"/>
  <c r="E317" i="3"/>
  <c r="C317" i="3"/>
  <c r="G317" i="3"/>
  <c r="M317" i="3"/>
  <c r="S317" i="3"/>
  <c r="Y317" i="3" s="1"/>
  <c r="Z317" i="3" s="1"/>
  <c r="D315" i="4"/>
  <c r="AA315" i="3"/>
  <c r="F314" i="3"/>
  <c r="D315" i="3"/>
  <c r="N317" i="2"/>
  <c r="J315" i="3"/>
  <c r="H316" i="2"/>
  <c r="E316" i="2" s="1"/>
  <c r="H315" i="3" s="1"/>
  <c r="I313" i="3"/>
  <c r="U313" i="3"/>
  <c r="O313" i="3"/>
  <c r="M323" i="2"/>
  <c r="C319" i="2"/>
  <c r="C317" i="4"/>
  <c r="AB316" i="3"/>
  <c r="D319" i="2"/>
  <c r="T318" i="2"/>
  <c r="E317" i="4" l="1"/>
  <c r="K316" i="4"/>
  <c r="N316" i="4" s="1"/>
  <c r="G316" i="4"/>
  <c r="L316" i="4" s="1"/>
  <c r="H314" i="4"/>
  <c r="J314" i="4"/>
  <c r="F314" i="4"/>
  <c r="O320" i="2"/>
  <c r="I319" i="2"/>
  <c r="F319" i="2" s="1"/>
  <c r="N318" i="3" s="1"/>
  <c r="T319" i="2"/>
  <c r="D320" i="2"/>
  <c r="F315" i="3"/>
  <c r="D316" i="3"/>
  <c r="N318" i="2"/>
  <c r="J316" i="3"/>
  <c r="H317" i="2"/>
  <c r="E317" i="2" s="1"/>
  <c r="H316" i="3" s="1"/>
  <c r="C320" i="2"/>
  <c r="O314" i="3"/>
  <c r="I314" i="3"/>
  <c r="U314" i="3"/>
  <c r="K320" i="2"/>
  <c r="I318" i="4"/>
  <c r="M318" i="4" s="1"/>
  <c r="D316" i="4"/>
  <c r="AA316" i="3"/>
  <c r="B319" i="3"/>
  <c r="B321" i="2"/>
  <c r="P318" i="2"/>
  <c r="J317" i="2"/>
  <c r="G317" i="2" s="1"/>
  <c r="T316" i="3" s="1"/>
  <c r="V316" i="3"/>
  <c r="M324" i="2"/>
  <c r="A319" i="4"/>
  <c r="M318" i="3"/>
  <c r="C318" i="3"/>
  <c r="E318" i="3"/>
  <c r="G318" i="3"/>
  <c r="S318" i="3"/>
  <c r="Y318" i="3" s="1"/>
  <c r="Z318" i="3" s="1"/>
  <c r="P318" i="3"/>
  <c r="C318" i="4"/>
  <c r="AB317" i="3"/>
  <c r="L323" i="2"/>
  <c r="H315" i="4" l="1"/>
  <c r="K317" i="4"/>
  <c r="N317" i="4" s="1"/>
  <c r="F315" i="4"/>
  <c r="E318" i="4"/>
  <c r="G317" i="4"/>
  <c r="L317" i="4" s="1"/>
  <c r="J315" i="4"/>
  <c r="O321" i="2"/>
  <c r="I320" i="2"/>
  <c r="F320" i="2" s="1"/>
  <c r="N319" i="3" s="1"/>
  <c r="D317" i="4"/>
  <c r="AA317" i="3"/>
  <c r="C321" i="2"/>
  <c r="L324" i="2"/>
  <c r="C319" i="4"/>
  <c r="AB318" i="3"/>
  <c r="I319" i="4"/>
  <c r="M319" i="4" s="1"/>
  <c r="M325" i="2"/>
  <c r="N319" i="2"/>
  <c r="H318" i="2"/>
  <c r="E318" i="2" s="1"/>
  <c r="H317" i="3" s="1"/>
  <c r="J317" i="3"/>
  <c r="D317" i="3"/>
  <c r="F316" i="3"/>
  <c r="O315" i="3"/>
  <c r="I315" i="3"/>
  <c r="U315" i="3"/>
  <c r="P319" i="2"/>
  <c r="J318" i="2"/>
  <c r="G318" i="2" s="1"/>
  <c r="T317" i="3" s="1"/>
  <c r="V317" i="3"/>
  <c r="K321" i="2"/>
  <c r="D321" i="2"/>
  <c r="T320" i="2"/>
  <c r="B320" i="3"/>
  <c r="B322" i="2"/>
  <c r="A320" i="4"/>
  <c r="C319" i="3"/>
  <c r="P319" i="3"/>
  <c r="E319" i="3"/>
  <c r="G319" i="3"/>
  <c r="M319" i="3"/>
  <c r="S319" i="3"/>
  <c r="Y319" i="3" s="1"/>
  <c r="Z319" i="3" s="1"/>
  <c r="E319" i="4" l="1"/>
  <c r="J316" i="4"/>
  <c r="K318" i="4"/>
  <c r="N318" i="4" s="1"/>
  <c r="F316" i="4"/>
  <c r="H316" i="4"/>
  <c r="G318" i="4"/>
  <c r="L318" i="4" s="1"/>
  <c r="O322" i="2"/>
  <c r="I321" i="2"/>
  <c r="F321" i="2" s="1"/>
  <c r="N320" i="3" s="1"/>
  <c r="B321" i="3"/>
  <c r="B323" i="2"/>
  <c r="I320" i="4"/>
  <c r="M320" i="4" s="1"/>
  <c r="A321" i="4"/>
  <c r="G320" i="3"/>
  <c r="S320" i="3"/>
  <c r="Y320" i="3" s="1"/>
  <c r="Z320" i="3" s="1"/>
  <c r="M320" i="3"/>
  <c r="E320" i="3"/>
  <c r="P320" i="3"/>
  <c r="C320" i="3"/>
  <c r="I316" i="3"/>
  <c r="U316" i="3"/>
  <c r="O316" i="3"/>
  <c r="C320" i="4"/>
  <c r="AB319" i="3"/>
  <c r="F317" i="3"/>
  <c r="D318" i="3"/>
  <c r="T321" i="2"/>
  <c r="D322" i="2"/>
  <c r="N320" i="2"/>
  <c r="J318" i="3"/>
  <c r="H319" i="2"/>
  <c r="E319" i="2" s="1"/>
  <c r="H318" i="3" s="1"/>
  <c r="L325" i="2"/>
  <c r="K322" i="2"/>
  <c r="M326" i="2"/>
  <c r="C322" i="2"/>
  <c r="P320" i="2"/>
  <c r="J319" i="2"/>
  <c r="G319" i="2" s="1"/>
  <c r="T318" i="3" s="1"/>
  <c r="V318" i="3"/>
  <c r="D318" i="4"/>
  <c r="AA318" i="3"/>
  <c r="G319" i="4" l="1"/>
  <c r="L319" i="4" s="1"/>
  <c r="K319" i="4"/>
  <c r="N319" i="4" s="1"/>
  <c r="E320" i="4"/>
  <c r="H317" i="4"/>
  <c r="J317" i="4"/>
  <c r="F317" i="4"/>
  <c r="O323" i="2"/>
  <c r="I322" i="2"/>
  <c r="F322" i="2" s="1"/>
  <c r="N321" i="3" s="1"/>
  <c r="L326" i="2"/>
  <c r="I321" i="4"/>
  <c r="M321" i="4" s="1"/>
  <c r="P321" i="2"/>
  <c r="J320" i="2"/>
  <c r="G320" i="2" s="1"/>
  <c r="T319" i="3" s="1"/>
  <c r="V319" i="3"/>
  <c r="N321" i="2"/>
  <c r="J319" i="3"/>
  <c r="H320" i="2"/>
  <c r="E320" i="2" s="1"/>
  <c r="H319" i="3" s="1"/>
  <c r="K323" i="2"/>
  <c r="C323" i="2"/>
  <c r="D323" i="2"/>
  <c r="T322" i="2"/>
  <c r="M327" i="2"/>
  <c r="F318" i="3"/>
  <c r="D319" i="3"/>
  <c r="I317" i="3"/>
  <c r="U317" i="3"/>
  <c r="O317" i="3"/>
  <c r="C321" i="4"/>
  <c r="AB320" i="3"/>
  <c r="B322" i="3"/>
  <c r="B324" i="2"/>
  <c r="D319" i="4"/>
  <c r="AA319" i="3"/>
  <c r="A322" i="4"/>
  <c r="P321" i="3"/>
  <c r="E321" i="3"/>
  <c r="C321" i="3"/>
  <c r="G321" i="3"/>
  <c r="M321" i="3"/>
  <c r="S321" i="3"/>
  <c r="Y321" i="3" s="1"/>
  <c r="Z321" i="3" s="1"/>
  <c r="G320" i="4" l="1"/>
  <c r="L320" i="4" s="1"/>
  <c r="H318" i="4"/>
  <c r="J318" i="4"/>
  <c r="K320" i="4"/>
  <c r="N320" i="4" s="1"/>
  <c r="F318" i="4"/>
  <c r="E321" i="4"/>
  <c r="O324" i="2"/>
  <c r="I323" i="2"/>
  <c r="F323" i="2" s="1"/>
  <c r="N322" i="3" s="1"/>
  <c r="D320" i="4"/>
  <c r="AA320" i="3"/>
  <c r="M328" i="2"/>
  <c r="I322" i="4"/>
  <c r="M322" i="4" s="1"/>
  <c r="C322" i="4"/>
  <c r="AB321" i="3"/>
  <c r="B323" i="3"/>
  <c r="B325" i="2"/>
  <c r="T323" i="2"/>
  <c r="D324" i="2"/>
  <c r="P322" i="2"/>
  <c r="J321" i="2"/>
  <c r="G321" i="2" s="1"/>
  <c r="T320" i="3" s="1"/>
  <c r="V320" i="3"/>
  <c r="A323" i="4"/>
  <c r="M322" i="3"/>
  <c r="C322" i="3"/>
  <c r="E322" i="3"/>
  <c r="G322" i="3"/>
  <c r="S322" i="3"/>
  <c r="Y322" i="3" s="1"/>
  <c r="Z322" i="3" s="1"/>
  <c r="P322" i="3"/>
  <c r="C324" i="2"/>
  <c r="K324" i="2"/>
  <c r="F319" i="3"/>
  <c r="D320" i="3"/>
  <c r="L327" i="2"/>
  <c r="N322" i="2"/>
  <c r="H321" i="2"/>
  <c r="E321" i="2" s="1"/>
  <c r="H320" i="3" s="1"/>
  <c r="J320" i="3"/>
  <c r="O318" i="3"/>
  <c r="I318" i="3"/>
  <c r="U318" i="3"/>
  <c r="G321" i="4" l="1"/>
  <c r="L321" i="4" s="1"/>
  <c r="J319" i="4"/>
  <c r="F319" i="4"/>
  <c r="H319" i="4"/>
  <c r="E322" i="4"/>
  <c r="K321" i="4"/>
  <c r="N321" i="4" s="1"/>
  <c r="O325" i="2"/>
  <c r="I324" i="2"/>
  <c r="F324" i="2" s="1"/>
  <c r="N323" i="3" s="1"/>
  <c r="C325" i="2"/>
  <c r="C323" i="4"/>
  <c r="AB322" i="3"/>
  <c r="I323" i="4"/>
  <c r="M323" i="4" s="1"/>
  <c r="N323" i="2"/>
  <c r="H322" i="2"/>
  <c r="E322" i="2" s="1"/>
  <c r="H321" i="3" s="1"/>
  <c r="J321" i="3"/>
  <c r="P323" i="2"/>
  <c r="J322" i="2"/>
  <c r="G322" i="2" s="1"/>
  <c r="T321" i="3" s="1"/>
  <c r="V321" i="3"/>
  <c r="T324" i="2"/>
  <c r="D325" i="2"/>
  <c r="L328" i="2"/>
  <c r="D321" i="3"/>
  <c r="F320" i="3"/>
  <c r="M329" i="2"/>
  <c r="K325" i="2"/>
  <c r="O319" i="3"/>
  <c r="I319" i="3"/>
  <c r="U319" i="3"/>
  <c r="B324" i="3"/>
  <c r="B326" i="2"/>
  <c r="D321" i="4"/>
  <c r="AA321" i="3"/>
  <c r="A324" i="4"/>
  <c r="C323" i="3"/>
  <c r="P323" i="3"/>
  <c r="E323" i="3"/>
  <c r="M323" i="3"/>
  <c r="S323" i="3"/>
  <c r="Y323" i="3" s="1"/>
  <c r="Z323" i="3" s="1"/>
  <c r="G323" i="3"/>
  <c r="J320" i="4" l="1"/>
  <c r="K322" i="4"/>
  <c r="N322" i="4" s="1"/>
  <c r="G322" i="4"/>
  <c r="L322" i="4" s="1"/>
  <c r="E323" i="4"/>
  <c r="F320" i="4"/>
  <c r="H320" i="4"/>
  <c r="O326" i="2"/>
  <c r="I325" i="2"/>
  <c r="F325" i="2" s="1"/>
  <c r="N324" i="3" s="1"/>
  <c r="L329" i="2"/>
  <c r="A325" i="4"/>
  <c r="G324" i="3"/>
  <c r="S324" i="3"/>
  <c r="Y324" i="3" s="1"/>
  <c r="Z324" i="3" s="1"/>
  <c r="M324" i="3"/>
  <c r="P324" i="3"/>
  <c r="C324" i="3"/>
  <c r="E324" i="3"/>
  <c r="D326" i="2"/>
  <c r="T325" i="2"/>
  <c r="I320" i="3"/>
  <c r="U320" i="3"/>
  <c r="O320" i="3"/>
  <c r="F321" i="3"/>
  <c r="D322" i="3"/>
  <c r="C324" i="4"/>
  <c r="AB323" i="3"/>
  <c r="I324" i="4"/>
  <c r="M324" i="4" s="1"/>
  <c r="B325" i="3"/>
  <c r="B327" i="2"/>
  <c r="K326" i="2"/>
  <c r="P324" i="2"/>
  <c r="J323" i="2"/>
  <c r="G323" i="2" s="1"/>
  <c r="T322" i="3" s="1"/>
  <c r="V322" i="3"/>
  <c r="C326" i="2"/>
  <c r="N324" i="2"/>
  <c r="H323" i="2"/>
  <c r="E323" i="2" s="1"/>
  <c r="H322" i="3" s="1"/>
  <c r="J322" i="3"/>
  <c r="D322" i="4"/>
  <c r="AA322" i="3"/>
  <c r="M330" i="2"/>
  <c r="K323" i="4" l="1"/>
  <c r="N323" i="4" s="1"/>
  <c r="J321" i="4"/>
  <c r="G323" i="4"/>
  <c r="L323" i="4" s="1"/>
  <c r="E324" i="4"/>
  <c r="H321" i="4"/>
  <c r="F321" i="4"/>
  <c r="O327" i="2"/>
  <c r="I326" i="2"/>
  <c r="F326" i="2" s="1"/>
  <c r="N325" i="3" s="1"/>
  <c r="M331" i="2"/>
  <c r="K327" i="2"/>
  <c r="F322" i="3"/>
  <c r="D323" i="3"/>
  <c r="D323" i="4"/>
  <c r="AA323" i="3"/>
  <c r="I321" i="3"/>
  <c r="U321" i="3"/>
  <c r="O321" i="3"/>
  <c r="P325" i="2"/>
  <c r="J324" i="2"/>
  <c r="G324" i="2" s="1"/>
  <c r="T323" i="3" s="1"/>
  <c r="V323" i="3"/>
  <c r="B326" i="3"/>
  <c r="B328" i="2"/>
  <c r="C325" i="4"/>
  <c r="AB324" i="3"/>
  <c r="A326" i="4"/>
  <c r="P325" i="3"/>
  <c r="E325" i="3"/>
  <c r="C325" i="3"/>
  <c r="M325" i="3"/>
  <c r="S325" i="3"/>
  <c r="Y325" i="3" s="1"/>
  <c r="Z325" i="3" s="1"/>
  <c r="G325" i="3"/>
  <c r="N325" i="2"/>
  <c r="J323" i="3"/>
  <c r="H324" i="2"/>
  <c r="E324" i="2" s="1"/>
  <c r="H323" i="3" s="1"/>
  <c r="T326" i="2"/>
  <c r="D327" i="2"/>
  <c r="I325" i="4"/>
  <c r="M325" i="4" s="1"/>
  <c r="C327" i="2"/>
  <c r="L330" i="2"/>
  <c r="K324" i="4" l="1"/>
  <c r="N324" i="4" s="1"/>
  <c r="H322" i="4"/>
  <c r="J322" i="4"/>
  <c r="F322" i="4"/>
  <c r="E325" i="4"/>
  <c r="G324" i="4"/>
  <c r="L324" i="4" s="1"/>
  <c r="O328" i="2"/>
  <c r="I327" i="2"/>
  <c r="F327" i="2" s="1"/>
  <c r="N326" i="3" s="1"/>
  <c r="D328" i="2"/>
  <c r="T327" i="2"/>
  <c r="L331" i="2"/>
  <c r="D324" i="4"/>
  <c r="AA324" i="3"/>
  <c r="C328" i="2"/>
  <c r="N326" i="2"/>
  <c r="J324" i="3"/>
  <c r="H325" i="2"/>
  <c r="E325" i="2" s="1"/>
  <c r="H324" i="3" s="1"/>
  <c r="I326" i="4"/>
  <c r="M326" i="4" s="1"/>
  <c r="F323" i="3"/>
  <c r="D324" i="3"/>
  <c r="O322" i="3"/>
  <c r="I322" i="3"/>
  <c r="U322" i="3"/>
  <c r="B327" i="3"/>
  <c r="B329" i="2"/>
  <c r="P326" i="2"/>
  <c r="J325" i="2"/>
  <c r="G325" i="2" s="1"/>
  <c r="T324" i="3" s="1"/>
  <c r="V324" i="3"/>
  <c r="C326" i="4"/>
  <c r="AB325" i="3"/>
  <c r="A327" i="4"/>
  <c r="M326" i="3"/>
  <c r="C326" i="3"/>
  <c r="E326" i="3"/>
  <c r="G326" i="3"/>
  <c r="S326" i="3"/>
  <c r="Y326" i="3" s="1"/>
  <c r="Z326" i="3" s="1"/>
  <c r="P326" i="3"/>
  <c r="K328" i="2"/>
  <c r="M332" i="2"/>
  <c r="G325" i="4" l="1"/>
  <c r="L325" i="4" s="1"/>
  <c r="E326" i="4"/>
  <c r="K325" i="4"/>
  <c r="N325" i="4" s="1"/>
  <c r="J323" i="4"/>
  <c r="F323" i="4"/>
  <c r="H323" i="4"/>
  <c r="O329" i="2"/>
  <c r="I328" i="2"/>
  <c r="F328" i="2" s="1"/>
  <c r="N327" i="3" s="1"/>
  <c r="N327" i="2"/>
  <c r="H326" i="2"/>
  <c r="E326" i="2" s="1"/>
  <c r="H325" i="3" s="1"/>
  <c r="J325" i="3"/>
  <c r="K329" i="2"/>
  <c r="C327" i="4"/>
  <c r="AB326" i="3"/>
  <c r="D325" i="3"/>
  <c r="F324" i="3"/>
  <c r="M333" i="2"/>
  <c r="I327" i="4"/>
  <c r="M327" i="4" s="1"/>
  <c r="O323" i="3"/>
  <c r="I323" i="3"/>
  <c r="U323" i="3"/>
  <c r="C329" i="2"/>
  <c r="D325" i="4"/>
  <c r="AA325" i="3"/>
  <c r="L332" i="2"/>
  <c r="P327" i="2"/>
  <c r="J326" i="2"/>
  <c r="G326" i="2" s="1"/>
  <c r="T325" i="3" s="1"/>
  <c r="V325" i="3"/>
  <c r="B328" i="3"/>
  <c r="B330" i="2"/>
  <c r="A328" i="4"/>
  <c r="C327" i="3"/>
  <c r="P327" i="3"/>
  <c r="E327" i="3"/>
  <c r="S327" i="3"/>
  <c r="Y327" i="3" s="1"/>
  <c r="Z327" i="3" s="1"/>
  <c r="G327" i="3"/>
  <c r="M327" i="3"/>
  <c r="T328" i="2"/>
  <c r="D329" i="2"/>
  <c r="K326" i="4" l="1"/>
  <c r="N326" i="4" s="1"/>
  <c r="G326" i="4"/>
  <c r="L326" i="4" s="1"/>
  <c r="J324" i="4"/>
  <c r="E327" i="4"/>
  <c r="F324" i="4"/>
  <c r="H324" i="4"/>
  <c r="O330" i="2"/>
  <c r="I329" i="2"/>
  <c r="F329" i="2" s="1"/>
  <c r="N328" i="3" s="1"/>
  <c r="D330" i="2"/>
  <c r="T329" i="2"/>
  <c r="C330" i="2"/>
  <c r="M334" i="2"/>
  <c r="I328" i="4"/>
  <c r="M328" i="4" s="1"/>
  <c r="I324" i="3"/>
  <c r="U324" i="3"/>
  <c r="O324" i="3"/>
  <c r="C328" i="4"/>
  <c r="AB327" i="3"/>
  <c r="B329" i="3"/>
  <c r="B331" i="2"/>
  <c r="F325" i="3"/>
  <c r="D326" i="3"/>
  <c r="A329" i="4"/>
  <c r="G328" i="3"/>
  <c r="S328" i="3"/>
  <c r="Y328" i="3" s="1"/>
  <c r="Z328" i="3" s="1"/>
  <c r="M328" i="3"/>
  <c r="P328" i="3"/>
  <c r="C328" i="3"/>
  <c r="E328" i="3"/>
  <c r="P328" i="2"/>
  <c r="J327" i="2"/>
  <c r="G327" i="2" s="1"/>
  <c r="T326" i="3" s="1"/>
  <c r="V326" i="3"/>
  <c r="K330" i="2"/>
  <c r="L333" i="2"/>
  <c r="D326" i="4"/>
  <c r="AA326" i="3"/>
  <c r="N328" i="2"/>
  <c r="J326" i="3"/>
  <c r="H327" i="2"/>
  <c r="E327" i="2" s="1"/>
  <c r="H326" i="3" s="1"/>
  <c r="E328" i="4" l="1"/>
  <c r="G327" i="4"/>
  <c r="L327" i="4" s="1"/>
  <c r="F325" i="4"/>
  <c r="K327" i="4"/>
  <c r="N327" i="4" s="1"/>
  <c r="H325" i="4"/>
  <c r="J325" i="4"/>
  <c r="O331" i="2"/>
  <c r="I330" i="2"/>
  <c r="F330" i="2" s="1"/>
  <c r="N329" i="3" s="1"/>
  <c r="P329" i="2"/>
  <c r="J328" i="2"/>
  <c r="G328" i="2" s="1"/>
  <c r="T327" i="3" s="1"/>
  <c r="V327" i="3"/>
  <c r="I329" i="4"/>
  <c r="M329" i="4" s="1"/>
  <c r="I325" i="3"/>
  <c r="U325" i="3"/>
  <c r="O325" i="3"/>
  <c r="N329" i="2"/>
  <c r="H328" i="2"/>
  <c r="E328" i="2" s="1"/>
  <c r="H327" i="3" s="1"/>
  <c r="J327" i="3"/>
  <c r="B330" i="3"/>
  <c r="B332" i="2"/>
  <c r="D327" i="4"/>
  <c r="AA327" i="3"/>
  <c r="A330" i="4"/>
  <c r="P329" i="3"/>
  <c r="E329" i="3"/>
  <c r="M329" i="3"/>
  <c r="S329" i="3"/>
  <c r="Y329" i="3" s="1"/>
  <c r="Z329" i="3" s="1"/>
  <c r="C329" i="3"/>
  <c r="G329" i="3"/>
  <c r="M335" i="2"/>
  <c r="L334" i="2"/>
  <c r="F326" i="3"/>
  <c r="D327" i="3"/>
  <c r="C329" i="4"/>
  <c r="AB328" i="3"/>
  <c r="C331" i="2"/>
  <c r="K331" i="2"/>
  <c r="D331" i="2"/>
  <c r="T330" i="2"/>
  <c r="G328" i="4" l="1"/>
  <c r="L328" i="4" s="1"/>
  <c r="H326" i="4"/>
  <c r="J326" i="4"/>
  <c r="F326" i="4"/>
  <c r="E329" i="4"/>
  <c r="K328" i="4"/>
  <c r="N328" i="4" s="1"/>
  <c r="O332" i="2"/>
  <c r="I331" i="2"/>
  <c r="F331" i="2" s="1"/>
  <c r="N330" i="3" s="1"/>
  <c r="L335" i="2"/>
  <c r="T331" i="2"/>
  <c r="D332" i="2"/>
  <c r="O326" i="3"/>
  <c r="U326" i="3"/>
  <c r="I326" i="3"/>
  <c r="M336" i="2"/>
  <c r="I330" i="4"/>
  <c r="M330" i="4" s="1"/>
  <c r="D328" i="4"/>
  <c r="AA328" i="3"/>
  <c r="K332" i="2"/>
  <c r="C332" i="2"/>
  <c r="B331" i="3"/>
  <c r="B333" i="2"/>
  <c r="A331" i="4"/>
  <c r="M330" i="3"/>
  <c r="C330" i="3"/>
  <c r="E330" i="3"/>
  <c r="G330" i="3"/>
  <c r="P330" i="3"/>
  <c r="S330" i="3"/>
  <c r="Y330" i="3" s="1"/>
  <c r="Z330" i="3" s="1"/>
  <c r="C330" i="4"/>
  <c r="AB329" i="3"/>
  <c r="F327" i="3"/>
  <c r="D328" i="3"/>
  <c r="N330" i="2"/>
  <c r="J328" i="3"/>
  <c r="H329" i="2"/>
  <c r="E329" i="2" s="1"/>
  <c r="H328" i="3" s="1"/>
  <c r="P330" i="2"/>
  <c r="J329" i="2"/>
  <c r="G329" i="2" s="1"/>
  <c r="T328" i="3" s="1"/>
  <c r="V328" i="3"/>
  <c r="G329" i="4" l="1"/>
  <c r="L329" i="4" s="1"/>
  <c r="F327" i="4"/>
  <c r="K329" i="4"/>
  <c r="N329" i="4" s="1"/>
  <c r="H327" i="4"/>
  <c r="J327" i="4"/>
  <c r="E330" i="4"/>
  <c r="O333" i="2"/>
  <c r="I332" i="2"/>
  <c r="F332" i="2" s="1"/>
  <c r="N331" i="3" s="1"/>
  <c r="A332" i="4"/>
  <c r="C331" i="3"/>
  <c r="E331" i="3"/>
  <c r="S331" i="3"/>
  <c r="Y331" i="3" s="1"/>
  <c r="Z331" i="3" s="1"/>
  <c r="G331" i="3"/>
  <c r="M331" i="3"/>
  <c r="P331" i="3"/>
  <c r="C333" i="2"/>
  <c r="K333" i="2"/>
  <c r="N331" i="2"/>
  <c r="J329" i="3"/>
  <c r="H330" i="2"/>
  <c r="E330" i="2" s="1"/>
  <c r="H329" i="3" s="1"/>
  <c r="D329" i="4"/>
  <c r="AA329" i="3"/>
  <c r="D329" i="3"/>
  <c r="F328" i="3"/>
  <c r="D333" i="2"/>
  <c r="T332" i="2"/>
  <c r="O327" i="3"/>
  <c r="I327" i="3"/>
  <c r="U327" i="3"/>
  <c r="C331" i="4"/>
  <c r="AB330" i="3"/>
  <c r="M337" i="2"/>
  <c r="I331" i="4"/>
  <c r="M331" i="4" s="1"/>
  <c r="P331" i="2"/>
  <c r="J330" i="2"/>
  <c r="G330" i="2" s="1"/>
  <c r="T329" i="3" s="1"/>
  <c r="V329" i="3"/>
  <c r="B332" i="3"/>
  <c r="B334" i="2"/>
  <c r="L336" i="2"/>
  <c r="J328" i="4" l="1"/>
  <c r="F328" i="4"/>
  <c r="H328" i="4"/>
  <c r="K330" i="4"/>
  <c r="N330" i="4" s="1"/>
  <c r="G330" i="4"/>
  <c r="L330" i="4" s="1"/>
  <c r="E331" i="4"/>
  <c r="O334" i="2"/>
  <c r="I333" i="2"/>
  <c r="F333" i="2" s="1"/>
  <c r="N332" i="3" s="1"/>
  <c r="I328" i="3"/>
  <c r="U328" i="3"/>
  <c r="O328" i="3"/>
  <c r="C332" i="4"/>
  <c r="AB331" i="3"/>
  <c r="L337" i="2"/>
  <c r="D330" i="4"/>
  <c r="AA330" i="3"/>
  <c r="F329" i="3"/>
  <c r="D330" i="3"/>
  <c r="B333" i="3"/>
  <c r="B335" i="2"/>
  <c r="M338" i="2"/>
  <c r="A333" i="4"/>
  <c r="G332" i="3"/>
  <c r="S332" i="3"/>
  <c r="Y332" i="3" s="1"/>
  <c r="Z332" i="3" s="1"/>
  <c r="M332" i="3"/>
  <c r="P332" i="3"/>
  <c r="C332" i="3"/>
  <c r="E332" i="3"/>
  <c r="N332" i="2"/>
  <c r="H331" i="2"/>
  <c r="E331" i="2" s="1"/>
  <c r="H330" i="3" s="1"/>
  <c r="J330" i="3"/>
  <c r="P332" i="2"/>
  <c r="J331" i="2"/>
  <c r="G331" i="2" s="1"/>
  <c r="T330" i="3" s="1"/>
  <c r="V330" i="3"/>
  <c r="K334" i="2"/>
  <c r="T333" i="2"/>
  <c r="D334" i="2"/>
  <c r="C334" i="2"/>
  <c r="I332" i="4"/>
  <c r="M332" i="4" s="1"/>
  <c r="E332" i="4" l="1"/>
  <c r="H329" i="4"/>
  <c r="K331" i="4"/>
  <c r="N331" i="4" s="1"/>
  <c r="J329" i="4"/>
  <c r="F329" i="4"/>
  <c r="G331" i="4"/>
  <c r="L331" i="4" s="1"/>
  <c r="O335" i="2"/>
  <c r="I334" i="2"/>
  <c r="F334" i="2" s="1"/>
  <c r="N333" i="3" s="1"/>
  <c r="A334" i="4"/>
  <c r="P333" i="3"/>
  <c r="E333" i="3"/>
  <c r="G333" i="3"/>
  <c r="M333" i="3"/>
  <c r="S333" i="3"/>
  <c r="Y333" i="3" s="1"/>
  <c r="Z333" i="3" s="1"/>
  <c r="C333" i="3"/>
  <c r="F330" i="3"/>
  <c r="D331" i="3"/>
  <c r="K335" i="2"/>
  <c r="C333" i="4"/>
  <c r="AB332" i="3"/>
  <c r="I329" i="3"/>
  <c r="U329" i="3"/>
  <c r="O329" i="3"/>
  <c r="D331" i="4"/>
  <c r="AA331" i="3"/>
  <c r="P333" i="2"/>
  <c r="J332" i="2"/>
  <c r="G332" i="2" s="1"/>
  <c r="T331" i="3" s="1"/>
  <c r="V331" i="3"/>
  <c r="L338" i="2"/>
  <c r="C335" i="2"/>
  <c r="N333" i="2"/>
  <c r="J331" i="3"/>
  <c r="H332" i="2"/>
  <c r="E332" i="2" s="1"/>
  <c r="H331" i="3" s="1"/>
  <c r="I333" i="4"/>
  <c r="M333" i="4" s="1"/>
  <c r="D335" i="2"/>
  <c r="T334" i="2"/>
  <c r="M339" i="2"/>
  <c r="B334" i="3"/>
  <c r="B336" i="2"/>
  <c r="K332" i="4" l="1"/>
  <c r="N332" i="4" s="1"/>
  <c r="F330" i="4"/>
  <c r="J330" i="4"/>
  <c r="H330" i="4"/>
  <c r="G332" i="4"/>
  <c r="L332" i="4" s="1"/>
  <c r="E333" i="4"/>
  <c r="O336" i="2"/>
  <c r="I335" i="2"/>
  <c r="F335" i="2" s="1"/>
  <c r="N334" i="3" s="1"/>
  <c r="P334" i="2"/>
  <c r="J333" i="2"/>
  <c r="G333" i="2" s="1"/>
  <c r="T332" i="3" s="1"/>
  <c r="V332" i="3"/>
  <c r="B335" i="3"/>
  <c r="B337" i="2"/>
  <c r="D332" i="4"/>
  <c r="AA332" i="3"/>
  <c r="A335" i="4"/>
  <c r="M334" i="3"/>
  <c r="C334" i="3"/>
  <c r="E334" i="3"/>
  <c r="S334" i="3"/>
  <c r="Y334" i="3" s="1"/>
  <c r="Z334" i="3" s="1"/>
  <c r="G334" i="3"/>
  <c r="P334" i="3"/>
  <c r="N334" i="2"/>
  <c r="J332" i="3"/>
  <c r="H333" i="2"/>
  <c r="E333" i="2" s="1"/>
  <c r="H332" i="3" s="1"/>
  <c r="C334" i="4"/>
  <c r="AB333" i="3"/>
  <c r="T335" i="2"/>
  <c r="D336" i="2"/>
  <c r="C336" i="2"/>
  <c r="K336" i="2"/>
  <c r="M340" i="2"/>
  <c r="L339" i="2"/>
  <c r="F331" i="3"/>
  <c r="D332" i="3"/>
  <c r="O330" i="3"/>
  <c r="I330" i="3"/>
  <c r="U330" i="3"/>
  <c r="I334" i="4"/>
  <c r="M334" i="4" s="1"/>
  <c r="E334" i="4" l="1"/>
  <c r="J331" i="4"/>
  <c r="H331" i="4"/>
  <c r="G333" i="4"/>
  <c r="L333" i="4" s="1"/>
  <c r="K333" i="4"/>
  <c r="N333" i="4" s="1"/>
  <c r="F331" i="4"/>
  <c r="O337" i="2"/>
  <c r="I336" i="2"/>
  <c r="F336" i="2" s="1"/>
  <c r="N335" i="3" s="1"/>
  <c r="L340" i="2"/>
  <c r="C335" i="4"/>
  <c r="AB334" i="3"/>
  <c r="M341" i="2"/>
  <c r="N335" i="2"/>
  <c r="H334" i="2"/>
  <c r="E334" i="2" s="1"/>
  <c r="H333" i="3" s="1"/>
  <c r="J333" i="3"/>
  <c r="I335" i="4"/>
  <c r="M335" i="4" s="1"/>
  <c r="K337" i="2"/>
  <c r="D333" i="4"/>
  <c r="AA333" i="3"/>
  <c r="C337" i="2"/>
  <c r="B336" i="3"/>
  <c r="B338" i="2"/>
  <c r="A336" i="4"/>
  <c r="C335" i="3"/>
  <c r="G335" i="3"/>
  <c r="M335" i="3"/>
  <c r="P335" i="3"/>
  <c r="S335" i="3"/>
  <c r="Y335" i="3" s="1"/>
  <c r="Z335" i="3" s="1"/>
  <c r="E335" i="3"/>
  <c r="D333" i="3"/>
  <c r="F332" i="3"/>
  <c r="T336" i="2"/>
  <c r="D337" i="2"/>
  <c r="O331" i="3"/>
  <c r="U331" i="3"/>
  <c r="I331" i="3"/>
  <c r="P335" i="2"/>
  <c r="J334" i="2"/>
  <c r="G334" i="2" s="1"/>
  <c r="T333" i="3" s="1"/>
  <c r="V333" i="3"/>
  <c r="K334" i="4" l="1"/>
  <c r="N334" i="4" s="1"/>
  <c r="G334" i="4"/>
  <c r="L334" i="4" s="1"/>
  <c r="F332" i="4"/>
  <c r="J332" i="4"/>
  <c r="E335" i="4"/>
  <c r="H332" i="4"/>
  <c r="O338" i="2"/>
  <c r="I337" i="2"/>
  <c r="F337" i="2" s="1"/>
  <c r="N336" i="3" s="1"/>
  <c r="A337" i="4"/>
  <c r="G336" i="3"/>
  <c r="S336" i="3"/>
  <c r="Y336" i="3" s="1"/>
  <c r="Z336" i="3" s="1"/>
  <c r="M336" i="3"/>
  <c r="P336" i="3"/>
  <c r="C336" i="3"/>
  <c r="E336" i="3"/>
  <c r="C338" i="2"/>
  <c r="C336" i="4"/>
  <c r="AB335" i="3"/>
  <c r="D334" i="4"/>
  <c r="AA334" i="3"/>
  <c r="N336" i="2"/>
  <c r="J334" i="3"/>
  <c r="H335" i="2"/>
  <c r="E335" i="2" s="1"/>
  <c r="H334" i="3" s="1"/>
  <c r="P336" i="2"/>
  <c r="J335" i="2"/>
  <c r="G335" i="2" s="1"/>
  <c r="T334" i="3" s="1"/>
  <c r="V334" i="3"/>
  <c r="D338" i="2"/>
  <c r="T337" i="2"/>
  <c r="M342" i="2"/>
  <c r="K338" i="2"/>
  <c r="B337" i="3"/>
  <c r="B339" i="2"/>
  <c r="L341" i="2"/>
  <c r="I332" i="3"/>
  <c r="U332" i="3"/>
  <c r="O332" i="3"/>
  <c r="F333" i="3"/>
  <c r="D334" i="3"/>
  <c r="I336" i="4"/>
  <c r="M336" i="4" s="1"/>
  <c r="E336" i="4" l="1"/>
  <c r="K335" i="4"/>
  <c r="N335" i="4" s="1"/>
  <c r="H333" i="4"/>
  <c r="J333" i="4"/>
  <c r="F333" i="4"/>
  <c r="G335" i="4"/>
  <c r="L335" i="4" s="1"/>
  <c r="O339" i="2"/>
  <c r="I338" i="2"/>
  <c r="F338" i="2" s="1"/>
  <c r="N337" i="3" s="1"/>
  <c r="P337" i="2"/>
  <c r="J336" i="2"/>
  <c r="G336" i="2" s="1"/>
  <c r="T335" i="3" s="1"/>
  <c r="V335" i="3"/>
  <c r="B338" i="3"/>
  <c r="B340" i="2"/>
  <c r="A338" i="4"/>
  <c r="P337" i="3"/>
  <c r="M337" i="3"/>
  <c r="C337" i="3"/>
  <c r="E337" i="3"/>
  <c r="S337" i="3"/>
  <c r="Y337" i="3" s="1"/>
  <c r="Z337" i="3" s="1"/>
  <c r="G337" i="3"/>
  <c r="N337" i="2"/>
  <c r="J335" i="3"/>
  <c r="H336" i="2"/>
  <c r="E336" i="2" s="1"/>
  <c r="H335" i="3" s="1"/>
  <c r="K339" i="2"/>
  <c r="D335" i="4"/>
  <c r="AA335" i="3"/>
  <c r="F334" i="3"/>
  <c r="D335" i="3"/>
  <c r="M343" i="2"/>
  <c r="C337" i="4"/>
  <c r="AB336" i="3"/>
  <c r="I333" i="3"/>
  <c r="U333" i="3"/>
  <c r="O333" i="3"/>
  <c r="T338" i="2"/>
  <c r="D339" i="2"/>
  <c r="L342" i="2"/>
  <c r="C339" i="2"/>
  <c r="I337" i="4"/>
  <c r="M337" i="4" s="1"/>
  <c r="H334" i="4" l="1"/>
  <c r="K336" i="4"/>
  <c r="N336" i="4" s="1"/>
  <c r="J334" i="4"/>
  <c r="F334" i="4"/>
  <c r="G336" i="4"/>
  <c r="L336" i="4" s="1"/>
  <c r="E337" i="4"/>
  <c r="O340" i="2"/>
  <c r="I339" i="2"/>
  <c r="F339" i="2" s="1"/>
  <c r="N338" i="3" s="1"/>
  <c r="D340" i="2"/>
  <c r="T339" i="2"/>
  <c r="D336" i="4"/>
  <c r="AA336" i="3"/>
  <c r="K340" i="2"/>
  <c r="C338" i="4"/>
  <c r="AB337" i="3"/>
  <c r="N338" i="2"/>
  <c r="J336" i="3"/>
  <c r="H337" i="2"/>
  <c r="E337" i="2" s="1"/>
  <c r="H336" i="3" s="1"/>
  <c r="I338" i="4"/>
  <c r="M338" i="4" s="1"/>
  <c r="C340" i="2"/>
  <c r="B339" i="3"/>
  <c r="B341" i="2"/>
  <c r="M344" i="2"/>
  <c r="A339" i="4"/>
  <c r="M338" i="3"/>
  <c r="P338" i="3"/>
  <c r="C338" i="3"/>
  <c r="S338" i="3"/>
  <c r="Y338" i="3" s="1"/>
  <c r="Z338" i="3" s="1"/>
  <c r="E338" i="3"/>
  <c r="G338" i="3"/>
  <c r="D336" i="3"/>
  <c r="F335" i="3"/>
  <c r="L343" i="2"/>
  <c r="O334" i="3"/>
  <c r="U334" i="3"/>
  <c r="I334" i="3"/>
  <c r="P338" i="2"/>
  <c r="J337" i="2"/>
  <c r="G337" i="2" s="1"/>
  <c r="T336" i="3" s="1"/>
  <c r="V336" i="3"/>
  <c r="G337" i="4" l="1"/>
  <c r="L337" i="4" s="1"/>
  <c r="K337" i="4"/>
  <c r="N337" i="4" s="1"/>
  <c r="F335" i="4"/>
  <c r="H335" i="4"/>
  <c r="E338" i="4"/>
  <c r="J335" i="4"/>
  <c r="O341" i="2"/>
  <c r="I340" i="2"/>
  <c r="F340" i="2" s="1"/>
  <c r="N339" i="3" s="1"/>
  <c r="M345" i="2"/>
  <c r="A340" i="4"/>
  <c r="C339" i="3"/>
  <c r="P339" i="3"/>
  <c r="E339" i="3"/>
  <c r="S339" i="3"/>
  <c r="Y339" i="3" s="1"/>
  <c r="Z339" i="3" s="1"/>
  <c r="G339" i="3"/>
  <c r="M339" i="3"/>
  <c r="N339" i="2"/>
  <c r="J337" i="3"/>
  <c r="H338" i="2"/>
  <c r="E338" i="2" s="1"/>
  <c r="H337" i="3" s="1"/>
  <c r="P339" i="2"/>
  <c r="J338" i="2"/>
  <c r="G338" i="2" s="1"/>
  <c r="T337" i="3" s="1"/>
  <c r="V337" i="3"/>
  <c r="B340" i="3"/>
  <c r="B342" i="2"/>
  <c r="C341" i="2"/>
  <c r="K341" i="2"/>
  <c r="L344" i="2"/>
  <c r="D337" i="4"/>
  <c r="AA337" i="3"/>
  <c r="O335" i="3"/>
  <c r="I335" i="3"/>
  <c r="U335" i="3"/>
  <c r="C339" i="4"/>
  <c r="AB338" i="3"/>
  <c r="D337" i="3"/>
  <c r="F336" i="3"/>
  <c r="I339" i="4"/>
  <c r="M339" i="4" s="1"/>
  <c r="T340" i="2"/>
  <c r="D341" i="2"/>
  <c r="G338" i="4" l="1"/>
  <c r="L338" i="4" s="1"/>
  <c r="J336" i="4"/>
  <c r="H336" i="4"/>
  <c r="E339" i="4"/>
  <c r="K338" i="4"/>
  <c r="N338" i="4" s="1"/>
  <c r="F336" i="4"/>
  <c r="O342" i="2"/>
  <c r="I341" i="2"/>
  <c r="F341" i="2" s="1"/>
  <c r="N340" i="3" s="1"/>
  <c r="D342" i="2"/>
  <c r="T341" i="2"/>
  <c r="B341" i="3"/>
  <c r="B343" i="2"/>
  <c r="A341" i="4"/>
  <c r="G340" i="3"/>
  <c r="C340" i="3"/>
  <c r="E340" i="3"/>
  <c r="S340" i="3"/>
  <c r="Y340" i="3" s="1"/>
  <c r="Z340" i="3" s="1"/>
  <c r="M340" i="3"/>
  <c r="P340" i="3"/>
  <c r="D338" i="4"/>
  <c r="AA338" i="3"/>
  <c r="P340" i="2"/>
  <c r="J339" i="2"/>
  <c r="G339" i="2" s="1"/>
  <c r="T338" i="3" s="1"/>
  <c r="V338" i="3"/>
  <c r="L345" i="2"/>
  <c r="N340" i="2"/>
  <c r="J338" i="3"/>
  <c r="H339" i="2"/>
  <c r="E339" i="2" s="1"/>
  <c r="H338" i="3" s="1"/>
  <c r="I340" i="4"/>
  <c r="M340" i="4" s="1"/>
  <c r="O336" i="3"/>
  <c r="U336" i="3"/>
  <c r="I336" i="3"/>
  <c r="K342" i="2"/>
  <c r="M346" i="2"/>
  <c r="D338" i="3"/>
  <c r="F337" i="3"/>
  <c r="C342" i="2"/>
  <c r="C340" i="4"/>
  <c r="AB339" i="3"/>
  <c r="F337" i="4" l="1"/>
  <c r="J337" i="4"/>
  <c r="H337" i="4"/>
  <c r="G339" i="4"/>
  <c r="L339" i="4" s="1"/>
  <c r="K339" i="4"/>
  <c r="N339" i="4" s="1"/>
  <c r="E340" i="4"/>
  <c r="O343" i="2"/>
  <c r="I342" i="2"/>
  <c r="F342" i="2" s="1"/>
  <c r="N341" i="3" s="1"/>
  <c r="L346" i="2"/>
  <c r="C343" i="2"/>
  <c r="P341" i="2"/>
  <c r="J340" i="2"/>
  <c r="G340" i="2" s="1"/>
  <c r="T339" i="3" s="1"/>
  <c r="V339" i="3"/>
  <c r="D339" i="4"/>
  <c r="AA339" i="3"/>
  <c r="I337" i="3"/>
  <c r="U337" i="3"/>
  <c r="O337" i="3"/>
  <c r="I341" i="4"/>
  <c r="M341" i="4" s="1"/>
  <c r="B342" i="3"/>
  <c r="B344" i="2"/>
  <c r="A342" i="4"/>
  <c r="C341" i="3"/>
  <c r="P341" i="3"/>
  <c r="E341" i="3"/>
  <c r="S341" i="3"/>
  <c r="Y341" i="3" s="1"/>
  <c r="Z341" i="3" s="1"/>
  <c r="G341" i="3"/>
  <c r="M341" i="3"/>
  <c r="F338" i="3"/>
  <c r="D339" i="3"/>
  <c r="M347" i="2"/>
  <c r="C341" i="4"/>
  <c r="AB340" i="3"/>
  <c r="D343" i="2"/>
  <c r="T342" i="2"/>
  <c r="K343" i="2"/>
  <c r="N341" i="2"/>
  <c r="H340" i="2"/>
  <c r="E340" i="2" s="1"/>
  <c r="H339" i="3" s="1"/>
  <c r="J339" i="3"/>
  <c r="H338" i="4" l="1"/>
  <c r="J338" i="4"/>
  <c r="F338" i="4"/>
  <c r="G340" i="4"/>
  <c r="L340" i="4" s="1"/>
  <c r="K340" i="4"/>
  <c r="N340" i="4" s="1"/>
  <c r="E341" i="4"/>
  <c r="O344" i="2"/>
  <c r="I343" i="2"/>
  <c r="F343" i="2" s="1"/>
  <c r="N342" i="3" s="1"/>
  <c r="M348" i="2"/>
  <c r="O338" i="3"/>
  <c r="U338" i="3"/>
  <c r="I338" i="3"/>
  <c r="I342" i="4"/>
  <c r="M342" i="4" s="1"/>
  <c r="D340" i="4"/>
  <c r="AA340" i="3"/>
  <c r="N342" i="2"/>
  <c r="H341" i="2"/>
  <c r="E341" i="2" s="1"/>
  <c r="H340" i="3" s="1"/>
  <c r="J340" i="3"/>
  <c r="B343" i="3"/>
  <c r="B345" i="2"/>
  <c r="C342" i="4"/>
  <c r="AB341" i="3"/>
  <c r="A343" i="4"/>
  <c r="C342" i="3"/>
  <c r="P342" i="3"/>
  <c r="E342" i="3"/>
  <c r="S342" i="3"/>
  <c r="Y342" i="3" s="1"/>
  <c r="Z342" i="3" s="1"/>
  <c r="G342" i="3"/>
  <c r="M342" i="3"/>
  <c r="D340" i="3"/>
  <c r="F339" i="3"/>
  <c r="K344" i="2"/>
  <c r="P342" i="2"/>
  <c r="J341" i="2"/>
  <c r="G341" i="2" s="1"/>
  <c r="T340" i="3" s="1"/>
  <c r="V340" i="3"/>
  <c r="C344" i="2"/>
  <c r="T343" i="2"/>
  <c r="D344" i="2"/>
  <c r="L347" i="2"/>
  <c r="G341" i="4" l="1"/>
  <c r="L341" i="4" s="1"/>
  <c r="F339" i="4"/>
  <c r="E342" i="4"/>
  <c r="H339" i="4"/>
  <c r="J339" i="4"/>
  <c r="K341" i="4"/>
  <c r="N341" i="4" s="1"/>
  <c r="O345" i="2"/>
  <c r="I344" i="2"/>
  <c r="F344" i="2" s="1"/>
  <c r="N343" i="3" s="1"/>
  <c r="K345" i="2"/>
  <c r="L348" i="2"/>
  <c r="O339" i="3"/>
  <c r="U339" i="3"/>
  <c r="I339" i="3"/>
  <c r="D345" i="2"/>
  <c r="T344" i="2"/>
  <c r="D341" i="3"/>
  <c r="F340" i="3"/>
  <c r="I343" i="4"/>
  <c r="M343" i="4" s="1"/>
  <c r="C343" i="4"/>
  <c r="AB342" i="3"/>
  <c r="C345" i="2"/>
  <c r="B344" i="3"/>
  <c r="B346" i="2"/>
  <c r="A344" i="4"/>
  <c r="C343" i="3"/>
  <c r="P343" i="3"/>
  <c r="E343" i="3"/>
  <c r="S343" i="3"/>
  <c r="Y343" i="3" s="1"/>
  <c r="Z343" i="3" s="1"/>
  <c r="G343" i="3"/>
  <c r="M343" i="3"/>
  <c r="N343" i="2"/>
  <c r="H342" i="2"/>
  <c r="E342" i="2" s="1"/>
  <c r="H341" i="3" s="1"/>
  <c r="J341" i="3"/>
  <c r="P343" i="2"/>
  <c r="J342" i="2"/>
  <c r="G342" i="2" s="1"/>
  <c r="T341" i="3" s="1"/>
  <c r="V341" i="3"/>
  <c r="D341" i="4"/>
  <c r="AA341" i="3"/>
  <c r="M349" i="2"/>
  <c r="J340" i="4" l="1"/>
  <c r="K342" i="4"/>
  <c r="N342" i="4" s="1"/>
  <c r="F340" i="4"/>
  <c r="H340" i="4"/>
  <c r="G342" i="4"/>
  <c r="L342" i="4" s="1"/>
  <c r="E343" i="4"/>
  <c r="O346" i="2"/>
  <c r="I345" i="2"/>
  <c r="F345" i="2" s="1"/>
  <c r="N344" i="3" s="1"/>
  <c r="A345" i="4"/>
  <c r="C344" i="3"/>
  <c r="P344" i="3"/>
  <c r="E344" i="3"/>
  <c r="S344" i="3"/>
  <c r="Y344" i="3" s="1"/>
  <c r="Z344" i="3" s="1"/>
  <c r="G344" i="3"/>
  <c r="M344" i="3"/>
  <c r="U340" i="3"/>
  <c r="I340" i="3"/>
  <c r="O340" i="3"/>
  <c r="D342" i="4"/>
  <c r="AA342" i="3"/>
  <c r="C346" i="2"/>
  <c r="D342" i="3"/>
  <c r="F341" i="3"/>
  <c r="M350" i="2"/>
  <c r="T345" i="2"/>
  <c r="D346" i="2"/>
  <c r="L349" i="2"/>
  <c r="P344" i="2"/>
  <c r="J343" i="2"/>
  <c r="G343" i="2" s="1"/>
  <c r="T342" i="3" s="1"/>
  <c r="V342" i="3"/>
  <c r="N344" i="2"/>
  <c r="J342" i="3"/>
  <c r="H343" i="2"/>
  <c r="E343" i="2" s="1"/>
  <c r="H342" i="3" s="1"/>
  <c r="I344" i="4"/>
  <c r="M344" i="4" s="1"/>
  <c r="K346" i="2"/>
  <c r="C344" i="4"/>
  <c r="AB343" i="3"/>
  <c r="B345" i="3"/>
  <c r="B347" i="2"/>
  <c r="F341" i="4" l="1"/>
  <c r="K343" i="4"/>
  <c r="N343" i="4" s="1"/>
  <c r="J341" i="4"/>
  <c r="E344" i="4"/>
  <c r="H341" i="4"/>
  <c r="G343" i="4"/>
  <c r="L343" i="4" s="1"/>
  <c r="O347" i="2"/>
  <c r="I346" i="2"/>
  <c r="F346" i="2" s="1"/>
  <c r="N345" i="3" s="1"/>
  <c r="A346" i="4"/>
  <c r="M345" i="3"/>
  <c r="C345" i="3"/>
  <c r="P345" i="3"/>
  <c r="E345" i="3"/>
  <c r="S345" i="3"/>
  <c r="Y345" i="3" s="1"/>
  <c r="Z345" i="3" s="1"/>
  <c r="G345" i="3"/>
  <c r="I341" i="3"/>
  <c r="U341" i="3"/>
  <c r="O341" i="3"/>
  <c r="C345" i="4"/>
  <c r="AB344" i="3"/>
  <c r="C347" i="2"/>
  <c r="M351" i="2"/>
  <c r="F342" i="3"/>
  <c r="D343" i="3"/>
  <c r="K347" i="2"/>
  <c r="P345" i="2"/>
  <c r="J344" i="2"/>
  <c r="G344" i="2" s="1"/>
  <c r="T343" i="3" s="1"/>
  <c r="V343" i="3"/>
  <c r="D343" i="4"/>
  <c r="AA343" i="3"/>
  <c r="B346" i="3"/>
  <c r="B348" i="2"/>
  <c r="N345" i="2"/>
  <c r="H344" i="2"/>
  <c r="E344" i="2" s="1"/>
  <c r="H343" i="3" s="1"/>
  <c r="J343" i="3"/>
  <c r="L350" i="2"/>
  <c r="D347" i="2"/>
  <c r="T346" i="2"/>
  <c r="I345" i="4"/>
  <c r="M345" i="4" s="1"/>
  <c r="J342" i="4" l="1"/>
  <c r="H342" i="4"/>
  <c r="K344" i="4"/>
  <c r="N344" i="4" s="1"/>
  <c r="F342" i="4"/>
  <c r="G344" i="4"/>
  <c r="L344" i="4" s="1"/>
  <c r="E345" i="4"/>
  <c r="O348" i="2"/>
  <c r="I347" i="2"/>
  <c r="F347" i="2" s="1"/>
  <c r="N346" i="3" s="1"/>
  <c r="D344" i="3"/>
  <c r="F343" i="3"/>
  <c r="N346" i="2"/>
  <c r="J344" i="3"/>
  <c r="H345" i="2"/>
  <c r="E345" i="2" s="1"/>
  <c r="H344" i="3" s="1"/>
  <c r="B347" i="3"/>
  <c r="B349" i="2"/>
  <c r="M352" i="2"/>
  <c r="A347" i="4"/>
  <c r="M346" i="3"/>
  <c r="C346" i="3"/>
  <c r="P346" i="3"/>
  <c r="E346" i="3"/>
  <c r="G346" i="3"/>
  <c r="S346" i="3"/>
  <c r="Y346" i="3" s="1"/>
  <c r="Z346" i="3" s="1"/>
  <c r="D344" i="4"/>
  <c r="AA344" i="3"/>
  <c r="C348" i="2"/>
  <c r="T347" i="2"/>
  <c r="D348" i="2"/>
  <c r="O342" i="3"/>
  <c r="U342" i="3"/>
  <c r="I342" i="3"/>
  <c r="P346" i="2"/>
  <c r="J345" i="2"/>
  <c r="G345" i="2" s="1"/>
  <c r="T344" i="3" s="1"/>
  <c r="V344" i="3"/>
  <c r="L351" i="2"/>
  <c r="K348" i="2"/>
  <c r="C346" i="4"/>
  <c r="AB345" i="3"/>
  <c r="I346" i="4"/>
  <c r="M346" i="4" s="1"/>
  <c r="H343" i="4" l="1"/>
  <c r="J343" i="4"/>
  <c r="E346" i="4"/>
  <c r="G345" i="4"/>
  <c r="L345" i="4" s="1"/>
  <c r="K345" i="4"/>
  <c r="N345" i="4" s="1"/>
  <c r="F343" i="4"/>
  <c r="O349" i="2"/>
  <c r="I348" i="2"/>
  <c r="F348" i="2" s="1"/>
  <c r="N347" i="3" s="1"/>
  <c r="D345" i="4"/>
  <c r="AA345" i="3"/>
  <c r="L352" i="2"/>
  <c r="I347" i="4"/>
  <c r="M347" i="4" s="1"/>
  <c r="P347" i="2"/>
  <c r="J346" i="2"/>
  <c r="G346" i="2" s="1"/>
  <c r="T345" i="3" s="1"/>
  <c r="V345" i="3"/>
  <c r="M353" i="2"/>
  <c r="B348" i="3"/>
  <c r="B350" i="2"/>
  <c r="C347" i="4"/>
  <c r="AB346" i="3"/>
  <c r="A348" i="4"/>
  <c r="M347" i="3"/>
  <c r="C347" i="3"/>
  <c r="P347" i="3"/>
  <c r="E347" i="3"/>
  <c r="G347" i="3"/>
  <c r="S347" i="3"/>
  <c r="Y347" i="3" s="1"/>
  <c r="Z347" i="3" s="1"/>
  <c r="N347" i="2"/>
  <c r="H346" i="2"/>
  <c r="E346" i="2" s="1"/>
  <c r="H345" i="3" s="1"/>
  <c r="J345" i="3"/>
  <c r="K349" i="2"/>
  <c r="C349" i="2"/>
  <c r="O343" i="3"/>
  <c r="U343" i="3"/>
  <c r="I343" i="3"/>
  <c r="T348" i="2"/>
  <c r="D349" i="2"/>
  <c r="D345" i="3"/>
  <c r="F344" i="3"/>
  <c r="K346" i="4" l="1"/>
  <c r="N346" i="4" s="1"/>
  <c r="F344" i="4"/>
  <c r="G346" i="4"/>
  <c r="L346" i="4" s="1"/>
  <c r="J344" i="4"/>
  <c r="H344" i="4"/>
  <c r="E347" i="4"/>
  <c r="O350" i="2"/>
  <c r="I349" i="2"/>
  <c r="F349" i="2" s="1"/>
  <c r="N348" i="3" s="1"/>
  <c r="O344" i="3"/>
  <c r="U344" i="3"/>
  <c r="I344" i="3"/>
  <c r="K350" i="2"/>
  <c r="C348" i="4"/>
  <c r="AB347" i="3"/>
  <c r="P348" i="2"/>
  <c r="J347" i="2"/>
  <c r="G347" i="2" s="1"/>
  <c r="T346" i="3" s="1"/>
  <c r="V346" i="3"/>
  <c r="D350" i="2"/>
  <c r="T349" i="2"/>
  <c r="N348" i="2"/>
  <c r="H347" i="2"/>
  <c r="E347" i="2" s="1"/>
  <c r="H346" i="3" s="1"/>
  <c r="J346" i="3"/>
  <c r="I348" i="4"/>
  <c r="M348" i="4" s="1"/>
  <c r="D346" i="3"/>
  <c r="F345" i="3"/>
  <c r="B349" i="3"/>
  <c r="B351" i="2"/>
  <c r="A349" i="4"/>
  <c r="G348" i="3"/>
  <c r="S348" i="3"/>
  <c r="Y348" i="3" s="1"/>
  <c r="Z348" i="3" s="1"/>
  <c r="M348" i="3"/>
  <c r="C348" i="3"/>
  <c r="P348" i="3"/>
  <c r="E348" i="3"/>
  <c r="L353" i="2"/>
  <c r="C350" i="2"/>
  <c r="M354" i="2"/>
  <c r="D346" i="4"/>
  <c r="AA346" i="3"/>
  <c r="K347" i="4" l="1"/>
  <c r="N347" i="4" s="1"/>
  <c r="E348" i="4"/>
  <c r="G347" i="4"/>
  <c r="L347" i="4" s="1"/>
  <c r="J345" i="4"/>
  <c r="F345" i="4"/>
  <c r="H345" i="4"/>
  <c r="O351" i="2"/>
  <c r="I350" i="2"/>
  <c r="F350" i="2" s="1"/>
  <c r="N349" i="3" s="1"/>
  <c r="C349" i="4"/>
  <c r="AB348" i="3"/>
  <c r="I345" i="3"/>
  <c r="U345" i="3"/>
  <c r="O345" i="3"/>
  <c r="D347" i="4"/>
  <c r="AA347" i="3"/>
  <c r="F346" i="3"/>
  <c r="D347" i="3"/>
  <c r="T350" i="2"/>
  <c r="D351" i="2"/>
  <c r="M355" i="2"/>
  <c r="P349" i="2"/>
  <c r="J348" i="2"/>
  <c r="G348" i="2" s="1"/>
  <c r="T347" i="3" s="1"/>
  <c r="V347" i="3"/>
  <c r="C351" i="2"/>
  <c r="K351" i="2"/>
  <c r="L354" i="2"/>
  <c r="I349" i="4"/>
  <c r="M349" i="4" s="1"/>
  <c r="B350" i="3"/>
  <c r="B352" i="2"/>
  <c r="N349" i="2"/>
  <c r="H348" i="2"/>
  <c r="E348" i="2" s="1"/>
  <c r="H347" i="3" s="1"/>
  <c r="J347" i="3"/>
  <c r="A350" i="4"/>
  <c r="C349" i="3"/>
  <c r="P349" i="3"/>
  <c r="E349" i="3"/>
  <c r="G349" i="3"/>
  <c r="S349" i="3"/>
  <c r="Y349" i="3" s="1"/>
  <c r="Z349" i="3" s="1"/>
  <c r="M349" i="3"/>
  <c r="H346" i="4" l="1"/>
  <c r="J346" i="4"/>
  <c r="K348" i="4"/>
  <c r="N348" i="4" s="1"/>
  <c r="F346" i="4"/>
  <c r="E349" i="4"/>
  <c r="G348" i="4"/>
  <c r="L348" i="4" s="1"/>
  <c r="O352" i="2"/>
  <c r="I351" i="2"/>
  <c r="F351" i="2" s="1"/>
  <c r="N350" i="3" s="1"/>
  <c r="I350" i="4"/>
  <c r="M350" i="4" s="1"/>
  <c r="C350" i="4"/>
  <c r="AB349" i="3"/>
  <c r="K352" i="2"/>
  <c r="B351" i="3"/>
  <c r="B353" i="2"/>
  <c r="C352" i="2"/>
  <c r="O346" i="3"/>
  <c r="I346" i="3"/>
  <c r="U346" i="3"/>
  <c r="N350" i="2"/>
  <c r="H349" i="2"/>
  <c r="E349" i="2" s="1"/>
  <c r="H348" i="3" s="1"/>
  <c r="J348" i="3"/>
  <c r="F347" i="3"/>
  <c r="D348" i="3"/>
  <c r="A351" i="4"/>
  <c r="M350" i="3"/>
  <c r="C350" i="3"/>
  <c r="P350" i="3"/>
  <c r="E350" i="3"/>
  <c r="G350" i="3"/>
  <c r="S350" i="3"/>
  <c r="Y350" i="3" s="1"/>
  <c r="Z350" i="3" s="1"/>
  <c r="D348" i="4"/>
  <c r="AA348" i="3"/>
  <c r="D352" i="2"/>
  <c r="T351" i="2"/>
  <c r="L355" i="2"/>
  <c r="P350" i="2"/>
  <c r="J349" i="2"/>
  <c r="G349" i="2" s="1"/>
  <c r="T348" i="3" s="1"/>
  <c r="V348" i="3"/>
  <c r="M356" i="2"/>
  <c r="H347" i="4" l="1"/>
  <c r="K349" i="4"/>
  <c r="N349" i="4" s="1"/>
  <c r="G349" i="4"/>
  <c r="L349" i="4" s="1"/>
  <c r="J347" i="4"/>
  <c r="E350" i="4"/>
  <c r="F347" i="4"/>
  <c r="O353" i="2"/>
  <c r="I352" i="2"/>
  <c r="F352" i="2" s="1"/>
  <c r="N351" i="3" s="1"/>
  <c r="B352" i="3"/>
  <c r="B354" i="2"/>
  <c r="F348" i="3"/>
  <c r="D349" i="3"/>
  <c r="A352" i="4"/>
  <c r="M351" i="3"/>
  <c r="C351" i="3"/>
  <c r="P351" i="3"/>
  <c r="E351" i="3"/>
  <c r="G351" i="3"/>
  <c r="S351" i="3"/>
  <c r="Y351" i="3" s="1"/>
  <c r="Z351" i="3" s="1"/>
  <c r="I351" i="4"/>
  <c r="M351" i="4" s="1"/>
  <c r="M357" i="2"/>
  <c r="I347" i="3"/>
  <c r="U347" i="3"/>
  <c r="O347" i="3"/>
  <c r="K353" i="2"/>
  <c r="P351" i="2"/>
  <c r="J350" i="2"/>
  <c r="G350" i="2" s="1"/>
  <c r="T349" i="3" s="1"/>
  <c r="V349" i="3"/>
  <c r="N351" i="2"/>
  <c r="J349" i="3"/>
  <c r="H350" i="2"/>
  <c r="E350" i="2" s="1"/>
  <c r="H349" i="3" s="1"/>
  <c r="L356" i="2"/>
  <c r="T352" i="2"/>
  <c r="D353" i="2"/>
  <c r="D349" i="4"/>
  <c r="AA349" i="3"/>
  <c r="C351" i="4"/>
  <c r="AB350" i="3"/>
  <c r="C353" i="2"/>
  <c r="H348" i="4" l="1"/>
  <c r="E351" i="4"/>
  <c r="J348" i="4"/>
  <c r="K350" i="4"/>
  <c r="N350" i="4" s="1"/>
  <c r="F348" i="4"/>
  <c r="G350" i="4"/>
  <c r="L350" i="4" s="1"/>
  <c r="O354" i="2"/>
  <c r="I353" i="2"/>
  <c r="F353" i="2" s="1"/>
  <c r="N352" i="3" s="1"/>
  <c r="C354" i="2"/>
  <c r="N352" i="2"/>
  <c r="H351" i="2"/>
  <c r="E351" i="2" s="1"/>
  <c r="H350" i="3" s="1"/>
  <c r="J350" i="3"/>
  <c r="C352" i="4"/>
  <c r="AB351" i="3"/>
  <c r="M358" i="2"/>
  <c r="D350" i="4"/>
  <c r="AA350" i="3"/>
  <c r="P352" i="2"/>
  <c r="J351" i="2"/>
  <c r="G351" i="2" s="1"/>
  <c r="T350" i="3" s="1"/>
  <c r="V350" i="3"/>
  <c r="I352" i="4"/>
  <c r="M352" i="4" s="1"/>
  <c r="D354" i="2"/>
  <c r="T353" i="2"/>
  <c r="K354" i="2"/>
  <c r="F349" i="3"/>
  <c r="D350" i="3"/>
  <c r="I348" i="3"/>
  <c r="U348" i="3"/>
  <c r="O348" i="3"/>
  <c r="B353" i="3"/>
  <c r="B355" i="2"/>
  <c r="L357" i="2"/>
  <c r="A353" i="4"/>
  <c r="G352" i="3"/>
  <c r="S352" i="3"/>
  <c r="Y352" i="3" s="1"/>
  <c r="Z352" i="3" s="1"/>
  <c r="M352" i="3"/>
  <c r="C352" i="3"/>
  <c r="E352" i="3"/>
  <c r="P352" i="3"/>
  <c r="K351" i="4" l="1"/>
  <c r="N351" i="4" s="1"/>
  <c r="H349" i="4"/>
  <c r="J349" i="4"/>
  <c r="F349" i="4"/>
  <c r="E352" i="4"/>
  <c r="G351" i="4"/>
  <c r="L351" i="4" s="1"/>
  <c r="O355" i="2"/>
  <c r="I354" i="2"/>
  <c r="F354" i="2" s="1"/>
  <c r="N353" i="3" s="1"/>
  <c r="L358" i="2"/>
  <c r="D355" i="2"/>
  <c r="T354" i="2"/>
  <c r="I353" i="4"/>
  <c r="M353" i="4" s="1"/>
  <c r="D351" i="4"/>
  <c r="AA351" i="3"/>
  <c r="M359" i="2"/>
  <c r="B354" i="3"/>
  <c r="B356" i="2"/>
  <c r="A354" i="4"/>
  <c r="C353" i="3"/>
  <c r="P353" i="3"/>
  <c r="E353" i="3"/>
  <c r="G353" i="3"/>
  <c r="S353" i="3"/>
  <c r="Y353" i="3" s="1"/>
  <c r="Z353" i="3" s="1"/>
  <c r="M353" i="3"/>
  <c r="C353" i="4"/>
  <c r="AB352" i="3"/>
  <c r="F350" i="3"/>
  <c r="D351" i="3"/>
  <c r="N353" i="2"/>
  <c r="H352" i="2"/>
  <c r="E352" i="2" s="1"/>
  <c r="H351" i="3" s="1"/>
  <c r="J351" i="3"/>
  <c r="O349" i="3"/>
  <c r="I349" i="3"/>
  <c r="U349" i="3"/>
  <c r="C355" i="2"/>
  <c r="K355" i="2"/>
  <c r="P353" i="2"/>
  <c r="J352" i="2"/>
  <c r="G352" i="2" s="1"/>
  <c r="T351" i="3" s="1"/>
  <c r="V351" i="3"/>
  <c r="K352" i="4" l="1"/>
  <c r="N352" i="4" s="1"/>
  <c r="E353" i="4"/>
  <c r="J350" i="4"/>
  <c r="F350" i="4"/>
  <c r="H350" i="4"/>
  <c r="G352" i="4"/>
  <c r="L352" i="4" s="1"/>
  <c r="O356" i="2"/>
  <c r="I355" i="2"/>
  <c r="F355" i="2" s="1"/>
  <c r="N354" i="3" s="1"/>
  <c r="N354" i="2"/>
  <c r="H353" i="2"/>
  <c r="E353" i="2" s="1"/>
  <c r="H352" i="3" s="1"/>
  <c r="J352" i="3"/>
  <c r="P354" i="2"/>
  <c r="J353" i="2"/>
  <c r="G353" i="2" s="1"/>
  <c r="T352" i="3" s="1"/>
  <c r="V352" i="3"/>
  <c r="F351" i="3"/>
  <c r="D352" i="3"/>
  <c r="O350" i="3"/>
  <c r="I350" i="3"/>
  <c r="U350" i="3"/>
  <c r="K356" i="2"/>
  <c r="C356" i="2"/>
  <c r="I354" i="4"/>
  <c r="M354" i="4" s="1"/>
  <c r="C354" i="4"/>
  <c r="AB353" i="3"/>
  <c r="B355" i="3"/>
  <c r="B357" i="2"/>
  <c r="A355" i="4"/>
  <c r="M354" i="3"/>
  <c r="C354" i="3"/>
  <c r="P354" i="3"/>
  <c r="E354" i="3"/>
  <c r="G354" i="3"/>
  <c r="S354" i="3"/>
  <c r="Y354" i="3" s="1"/>
  <c r="Z354" i="3" s="1"/>
  <c r="M360" i="2"/>
  <c r="L359" i="2"/>
  <c r="T355" i="2"/>
  <c r="D356" i="2"/>
  <c r="D352" i="4"/>
  <c r="AA352" i="3"/>
  <c r="H351" i="4" l="1"/>
  <c r="F351" i="4"/>
  <c r="E354" i="4"/>
  <c r="K353" i="4"/>
  <c r="N353" i="4" s="1"/>
  <c r="G353" i="4"/>
  <c r="L353" i="4" s="1"/>
  <c r="J351" i="4"/>
  <c r="O357" i="2"/>
  <c r="I356" i="2"/>
  <c r="F356" i="2" s="1"/>
  <c r="N355" i="3" s="1"/>
  <c r="K357" i="2"/>
  <c r="D353" i="4"/>
  <c r="AA353" i="3"/>
  <c r="D357" i="2"/>
  <c r="T356" i="2"/>
  <c r="F352" i="3"/>
  <c r="D353" i="3"/>
  <c r="I351" i="3"/>
  <c r="U351" i="3"/>
  <c r="O351" i="3"/>
  <c r="L360" i="2"/>
  <c r="C355" i="4"/>
  <c r="AB354" i="3"/>
  <c r="C357" i="2"/>
  <c r="P355" i="2"/>
  <c r="J354" i="2"/>
  <c r="G354" i="2" s="1"/>
  <c r="T353" i="3" s="1"/>
  <c r="V353" i="3"/>
  <c r="M361" i="2"/>
  <c r="I355" i="4"/>
  <c r="M355" i="4" s="1"/>
  <c r="B356" i="3"/>
  <c r="B358" i="2"/>
  <c r="A356" i="4"/>
  <c r="M355" i="3"/>
  <c r="C355" i="3"/>
  <c r="P355" i="3"/>
  <c r="E355" i="3"/>
  <c r="S355" i="3"/>
  <c r="Y355" i="3" s="1"/>
  <c r="Z355" i="3" s="1"/>
  <c r="G355" i="3"/>
  <c r="N355" i="2"/>
  <c r="J353" i="3"/>
  <c r="H354" i="2"/>
  <c r="E354" i="2" s="1"/>
  <c r="H353" i="3" s="1"/>
  <c r="F352" i="4" l="1"/>
  <c r="H352" i="4"/>
  <c r="J352" i="4"/>
  <c r="K354" i="4"/>
  <c r="N354" i="4" s="1"/>
  <c r="G354" i="4"/>
  <c r="L354" i="4" s="1"/>
  <c r="E355" i="4"/>
  <c r="O358" i="2"/>
  <c r="I357" i="2"/>
  <c r="F357" i="2" s="1"/>
  <c r="N356" i="3" s="1"/>
  <c r="M362" i="2"/>
  <c r="N356" i="2"/>
  <c r="H355" i="2"/>
  <c r="E355" i="2" s="1"/>
  <c r="H354" i="3" s="1"/>
  <c r="J354" i="3"/>
  <c r="I356" i="4"/>
  <c r="M356" i="4" s="1"/>
  <c r="F353" i="3"/>
  <c r="D354" i="3"/>
  <c r="B357" i="3"/>
  <c r="B359" i="2"/>
  <c r="P356" i="2"/>
  <c r="J355" i="2"/>
  <c r="G355" i="2" s="1"/>
  <c r="T354" i="3" s="1"/>
  <c r="V354" i="3"/>
  <c r="I352" i="3"/>
  <c r="U352" i="3"/>
  <c r="O352" i="3"/>
  <c r="A357" i="4"/>
  <c r="G356" i="3"/>
  <c r="S356" i="3"/>
  <c r="Y356" i="3" s="1"/>
  <c r="Z356" i="3" s="1"/>
  <c r="M356" i="3"/>
  <c r="C356" i="3"/>
  <c r="E356" i="3"/>
  <c r="P356" i="3"/>
  <c r="C356" i="4"/>
  <c r="AB355" i="3"/>
  <c r="C358" i="2"/>
  <c r="T357" i="2"/>
  <c r="D358" i="2"/>
  <c r="D354" i="4"/>
  <c r="AA354" i="3"/>
  <c r="L361" i="2"/>
  <c r="K358" i="2"/>
  <c r="G355" i="4" l="1"/>
  <c r="L355" i="4" s="1"/>
  <c r="H353" i="4"/>
  <c r="J353" i="4"/>
  <c r="F353" i="4"/>
  <c r="E356" i="4"/>
  <c r="K355" i="4"/>
  <c r="N355" i="4" s="1"/>
  <c r="O359" i="2"/>
  <c r="I358" i="2"/>
  <c r="F358" i="2" s="1"/>
  <c r="N357" i="3" s="1"/>
  <c r="O353" i="3"/>
  <c r="I353" i="3"/>
  <c r="U353" i="3"/>
  <c r="K359" i="2"/>
  <c r="I357" i="4"/>
  <c r="M357" i="4" s="1"/>
  <c r="L362" i="2"/>
  <c r="D355" i="4"/>
  <c r="AA355" i="3"/>
  <c r="P357" i="2"/>
  <c r="J356" i="2"/>
  <c r="G356" i="2" s="1"/>
  <c r="T355" i="3" s="1"/>
  <c r="V355" i="3"/>
  <c r="C357" i="4"/>
  <c r="AB356" i="3"/>
  <c r="B358" i="3"/>
  <c r="B360" i="2"/>
  <c r="N357" i="2"/>
  <c r="H356" i="2"/>
  <c r="E356" i="2" s="1"/>
  <c r="H355" i="3" s="1"/>
  <c r="J355" i="3"/>
  <c r="C359" i="2"/>
  <c r="A358" i="4"/>
  <c r="C357" i="3"/>
  <c r="P357" i="3"/>
  <c r="E357" i="3"/>
  <c r="G357" i="3"/>
  <c r="S357" i="3"/>
  <c r="Y357" i="3" s="1"/>
  <c r="Z357" i="3" s="1"/>
  <c r="M357" i="3"/>
  <c r="M363" i="2"/>
  <c r="D359" i="2"/>
  <c r="T358" i="2"/>
  <c r="F354" i="3"/>
  <c r="D355" i="3"/>
  <c r="G356" i="4" l="1"/>
  <c r="L356" i="4" s="1"/>
  <c r="J354" i="4"/>
  <c r="F354" i="4"/>
  <c r="E357" i="4"/>
  <c r="H354" i="4"/>
  <c r="K356" i="4"/>
  <c r="N356" i="4" s="1"/>
  <c r="O360" i="2"/>
  <c r="I359" i="2"/>
  <c r="F359" i="2" s="1"/>
  <c r="N358" i="3" s="1"/>
  <c r="F355" i="3"/>
  <c r="D356" i="3"/>
  <c r="N358" i="2"/>
  <c r="J356" i="3"/>
  <c r="H357" i="2"/>
  <c r="E357" i="2" s="1"/>
  <c r="H356" i="3" s="1"/>
  <c r="O354" i="3"/>
  <c r="I354" i="3"/>
  <c r="U354" i="3"/>
  <c r="B359" i="3"/>
  <c r="B361" i="2"/>
  <c r="A359" i="4"/>
  <c r="M358" i="3"/>
  <c r="C358" i="3"/>
  <c r="P358" i="3"/>
  <c r="E358" i="3"/>
  <c r="G358" i="3"/>
  <c r="S358" i="3"/>
  <c r="Y358" i="3" s="1"/>
  <c r="Z358" i="3" s="1"/>
  <c r="T359" i="2"/>
  <c r="D360" i="2"/>
  <c r="M364" i="2"/>
  <c r="I358" i="4"/>
  <c r="M358" i="4" s="1"/>
  <c r="K360" i="2"/>
  <c r="P358" i="2"/>
  <c r="J357" i="2"/>
  <c r="G357" i="2" s="1"/>
  <c r="T356" i="3" s="1"/>
  <c r="V356" i="3"/>
  <c r="C358" i="4"/>
  <c r="AB357" i="3"/>
  <c r="D356" i="4"/>
  <c r="AA356" i="3"/>
  <c r="C360" i="2"/>
  <c r="L363" i="2"/>
  <c r="J355" i="4" l="1"/>
  <c r="F355" i="4"/>
  <c r="H355" i="4"/>
  <c r="G357" i="4"/>
  <c r="L357" i="4" s="1"/>
  <c r="E358" i="4"/>
  <c r="K357" i="4"/>
  <c r="N357" i="4" s="1"/>
  <c r="O361" i="2"/>
  <c r="I360" i="2"/>
  <c r="F360" i="2" s="1"/>
  <c r="N359" i="3" s="1"/>
  <c r="C359" i="4"/>
  <c r="AB358" i="3"/>
  <c r="L364" i="2"/>
  <c r="K361" i="2"/>
  <c r="I359" i="4"/>
  <c r="M359" i="4" s="1"/>
  <c r="B360" i="3"/>
  <c r="B362" i="2"/>
  <c r="P359" i="2"/>
  <c r="J358" i="2"/>
  <c r="G358" i="2" s="1"/>
  <c r="T357" i="3" s="1"/>
  <c r="V357" i="3"/>
  <c r="C361" i="2"/>
  <c r="A360" i="4"/>
  <c r="M359" i="3"/>
  <c r="C359" i="3"/>
  <c r="P359" i="3"/>
  <c r="E359" i="3"/>
  <c r="G359" i="3"/>
  <c r="S359" i="3"/>
  <c r="Y359" i="3" s="1"/>
  <c r="Z359" i="3" s="1"/>
  <c r="N359" i="2"/>
  <c r="J357" i="3"/>
  <c r="H358" i="2"/>
  <c r="E358" i="2" s="1"/>
  <c r="H357" i="3" s="1"/>
  <c r="D357" i="4"/>
  <c r="AA357" i="3"/>
  <c r="M365" i="2"/>
  <c r="F356" i="3"/>
  <c r="D357" i="3"/>
  <c r="T360" i="2"/>
  <c r="D361" i="2"/>
  <c r="I355" i="3"/>
  <c r="U355" i="3"/>
  <c r="O355" i="3"/>
  <c r="K358" i="4" l="1"/>
  <c r="N358" i="4" s="1"/>
  <c r="G358" i="4"/>
  <c r="L358" i="4" s="1"/>
  <c r="H356" i="4"/>
  <c r="E359" i="4"/>
  <c r="J356" i="4"/>
  <c r="F356" i="4"/>
  <c r="O362" i="2"/>
  <c r="I361" i="2"/>
  <c r="F361" i="2" s="1"/>
  <c r="N360" i="3" s="1"/>
  <c r="C360" i="4"/>
  <c r="AB359" i="3"/>
  <c r="I360" i="4"/>
  <c r="M360" i="4" s="1"/>
  <c r="C362" i="2"/>
  <c r="K362" i="2"/>
  <c r="I356" i="3"/>
  <c r="U356" i="3"/>
  <c r="O356" i="3"/>
  <c r="L365" i="2"/>
  <c r="D362" i="2"/>
  <c r="T361" i="2"/>
  <c r="M366" i="2"/>
  <c r="P360" i="2"/>
  <c r="J359" i="2"/>
  <c r="G359" i="2" s="1"/>
  <c r="T358" i="3" s="1"/>
  <c r="V358" i="3"/>
  <c r="B361" i="3"/>
  <c r="B363" i="2"/>
  <c r="N360" i="2"/>
  <c r="J358" i="3"/>
  <c r="H359" i="2"/>
  <c r="E359" i="2" s="1"/>
  <c r="H358" i="3" s="1"/>
  <c r="F357" i="3"/>
  <c r="D358" i="3"/>
  <c r="D358" i="4"/>
  <c r="AA358" i="3"/>
  <c r="A361" i="4"/>
  <c r="G360" i="3"/>
  <c r="S360" i="3"/>
  <c r="Y360" i="3" s="1"/>
  <c r="Z360" i="3" s="1"/>
  <c r="M360" i="3"/>
  <c r="C360" i="3"/>
  <c r="E360" i="3"/>
  <c r="P360" i="3"/>
  <c r="G359" i="4" l="1"/>
  <c r="L359" i="4" s="1"/>
  <c r="J357" i="4"/>
  <c r="F357" i="4"/>
  <c r="H357" i="4"/>
  <c r="K359" i="4"/>
  <c r="N359" i="4" s="1"/>
  <c r="E360" i="4"/>
  <c r="O363" i="2"/>
  <c r="I362" i="2"/>
  <c r="F362" i="2" s="1"/>
  <c r="N361" i="3" s="1"/>
  <c r="I361" i="4"/>
  <c r="M361" i="4" s="1"/>
  <c r="P361" i="2"/>
  <c r="J360" i="2"/>
  <c r="G360" i="2" s="1"/>
  <c r="T359" i="3" s="1"/>
  <c r="V359" i="3"/>
  <c r="K363" i="2"/>
  <c r="D359" i="4"/>
  <c r="AA359" i="3"/>
  <c r="M367" i="2"/>
  <c r="F358" i="3"/>
  <c r="D359" i="3"/>
  <c r="C363" i="2"/>
  <c r="O357" i="3"/>
  <c r="I357" i="3"/>
  <c r="U357" i="3"/>
  <c r="C361" i="4"/>
  <c r="AB360" i="3"/>
  <c r="D363" i="2"/>
  <c r="T362" i="2"/>
  <c r="L366" i="2"/>
  <c r="N361" i="2"/>
  <c r="H360" i="2"/>
  <c r="E360" i="2" s="1"/>
  <c r="H359" i="3" s="1"/>
  <c r="J359" i="3"/>
  <c r="B362" i="3"/>
  <c r="B364" i="2"/>
  <c r="A362" i="4"/>
  <c r="C361" i="3"/>
  <c r="P361" i="3"/>
  <c r="E361" i="3"/>
  <c r="G361" i="3"/>
  <c r="S361" i="3"/>
  <c r="Y361" i="3" s="1"/>
  <c r="Z361" i="3" s="1"/>
  <c r="M361" i="3"/>
  <c r="G360" i="4" l="1"/>
  <c r="L360" i="4" s="1"/>
  <c r="K360" i="4"/>
  <c r="N360" i="4" s="1"/>
  <c r="E361" i="4"/>
  <c r="J358" i="4"/>
  <c r="F358" i="4"/>
  <c r="H358" i="4"/>
  <c r="O364" i="2"/>
  <c r="I363" i="2"/>
  <c r="F363" i="2" s="1"/>
  <c r="N362" i="3" s="1"/>
  <c r="I362" i="4"/>
  <c r="M362" i="4" s="1"/>
  <c r="B363" i="3"/>
  <c r="B365" i="2"/>
  <c r="C362" i="4"/>
  <c r="AB361" i="3"/>
  <c r="A363" i="4"/>
  <c r="M362" i="3"/>
  <c r="C362" i="3"/>
  <c r="P362" i="3"/>
  <c r="E362" i="3"/>
  <c r="G362" i="3"/>
  <c r="S362" i="3"/>
  <c r="Y362" i="3" s="1"/>
  <c r="Z362" i="3" s="1"/>
  <c r="K364" i="2"/>
  <c r="C364" i="2"/>
  <c r="N362" i="2"/>
  <c r="H361" i="2"/>
  <c r="E361" i="2" s="1"/>
  <c r="H360" i="3" s="1"/>
  <c r="J360" i="3"/>
  <c r="P362" i="2"/>
  <c r="J361" i="2"/>
  <c r="G361" i="2" s="1"/>
  <c r="T360" i="3" s="1"/>
  <c r="V360" i="3"/>
  <c r="L367" i="2"/>
  <c r="F359" i="3"/>
  <c r="D360" i="3"/>
  <c r="O358" i="3"/>
  <c r="I358" i="3"/>
  <c r="U358" i="3"/>
  <c r="M368" i="2"/>
  <c r="D364" i="2"/>
  <c r="T363" i="2"/>
  <c r="D360" i="4"/>
  <c r="AA360" i="3"/>
  <c r="F359" i="4" l="1"/>
  <c r="H359" i="4"/>
  <c r="K361" i="4"/>
  <c r="N361" i="4" s="1"/>
  <c r="G361" i="4"/>
  <c r="L361" i="4" s="1"/>
  <c r="E362" i="4"/>
  <c r="J359" i="4"/>
  <c r="O365" i="2"/>
  <c r="I364" i="2"/>
  <c r="F364" i="2" s="1"/>
  <c r="N363" i="3" s="1"/>
  <c r="I359" i="3"/>
  <c r="U359" i="3"/>
  <c r="O359" i="3"/>
  <c r="K365" i="2"/>
  <c r="C363" i="4"/>
  <c r="AB362" i="3"/>
  <c r="D361" i="4"/>
  <c r="AA361" i="3"/>
  <c r="I363" i="4"/>
  <c r="M363" i="4" s="1"/>
  <c r="L368" i="2"/>
  <c r="B364" i="3"/>
  <c r="B366" i="2"/>
  <c r="D365" i="2"/>
  <c r="T364" i="2"/>
  <c r="P363" i="2"/>
  <c r="J362" i="2"/>
  <c r="G362" i="2" s="1"/>
  <c r="T361" i="3" s="1"/>
  <c r="V361" i="3"/>
  <c r="A364" i="4"/>
  <c r="M363" i="3"/>
  <c r="C363" i="3"/>
  <c r="P363" i="3"/>
  <c r="E363" i="3"/>
  <c r="G363" i="3"/>
  <c r="S363" i="3"/>
  <c r="Y363" i="3" s="1"/>
  <c r="Z363" i="3" s="1"/>
  <c r="N363" i="2"/>
  <c r="J361" i="3"/>
  <c r="H362" i="2"/>
  <c r="E362" i="2" s="1"/>
  <c r="H361" i="3" s="1"/>
  <c r="M369" i="2"/>
  <c r="C365" i="2"/>
  <c r="F360" i="3"/>
  <c r="D361" i="3"/>
  <c r="E363" i="4" l="1"/>
  <c r="H360" i="4"/>
  <c r="G362" i="4"/>
  <c r="L362" i="4" s="1"/>
  <c r="K362" i="4"/>
  <c r="N362" i="4" s="1"/>
  <c r="J360" i="4"/>
  <c r="F360" i="4"/>
  <c r="O366" i="2"/>
  <c r="I365" i="2"/>
  <c r="F365" i="2" s="1"/>
  <c r="N364" i="3" s="1"/>
  <c r="F361" i="3"/>
  <c r="D362" i="3"/>
  <c r="P364" i="2"/>
  <c r="J363" i="2"/>
  <c r="G363" i="2" s="1"/>
  <c r="T362" i="3" s="1"/>
  <c r="V362" i="3"/>
  <c r="I360" i="3"/>
  <c r="U360" i="3"/>
  <c r="O360" i="3"/>
  <c r="B365" i="3"/>
  <c r="B367" i="2"/>
  <c r="C366" i="2"/>
  <c r="T365" i="2"/>
  <c r="D366" i="2"/>
  <c r="M370" i="2"/>
  <c r="A365" i="4"/>
  <c r="G364" i="3"/>
  <c r="S364" i="3"/>
  <c r="Y364" i="3" s="1"/>
  <c r="Z364" i="3" s="1"/>
  <c r="M364" i="3"/>
  <c r="C364" i="3"/>
  <c r="P364" i="3"/>
  <c r="E364" i="3"/>
  <c r="D362" i="4"/>
  <c r="AA362" i="3"/>
  <c r="C364" i="4"/>
  <c r="AB363" i="3"/>
  <c r="L369" i="2"/>
  <c r="K366" i="2"/>
  <c r="N364" i="2"/>
  <c r="J362" i="3"/>
  <c r="H363" i="2"/>
  <c r="E363" i="2" s="1"/>
  <c r="H362" i="3" s="1"/>
  <c r="I364" i="4"/>
  <c r="M364" i="4" s="1"/>
  <c r="H361" i="4" l="1"/>
  <c r="J361" i="4"/>
  <c r="F361" i="4"/>
  <c r="K363" i="4"/>
  <c r="N363" i="4" s="1"/>
  <c r="G363" i="4"/>
  <c r="L363" i="4" s="1"/>
  <c r="E364" i="4"/>
  <c r="O367" i="2"/>
  <c r="I366" i="2"/>
  <c r="F366" i="2" s="1"/>
  <c r="N365" i="3" s="1"/>
  <c r="L370" i="2"/>
  <c r="B366" i="3"/>
  <c r="B368" i="2"/>
  <c r="A366" i="4"/>
  <c r="C365" i="3"/>
  <c r="P365" i="3"/>
  <c r="E365" i="3"/>
  <c r="G365" i="3"/>
  <c r="S365" i="3"/>
  <c r="Y365" i="3" s="1"/>
  <c r="Z365" i="3" s="1"/>
  <c r="M365" i="3"/>
  <c r="D363" i="4"/>
  <c r="AA363" i="3"/>
  <c r="I365" i="4"/>
  <c r="M365" i="4" s="1"/>
  <c r="M371" i="2"/>
  <c r="D367" i="2"/>
  <c r="T366" i="2"/>
  <c r="N365" i="2"/>
  <c r="J363" i="3"/>
  <c r="H364" i="2"/>
  <c r="E364" i="2" s="1"/>
  <c r="H363" i="3" s="1"/>
  <c r="P365" i="2"/>
  <c r="J364" i="2"/>
  <c r="G364" i="2" s="1"/>
  <c r="T363" i="3" s="1"/>
  <c r="V363" i="3"/>
  <c r="C365" i="4"/>
  <c r="AB364" i="3"/>
  <c r="F362" i="3"/>
  <c r="D363" i="3"/>
  <c r="C367" i="2"/>
  <c r="K367" i="2"/>
  <c r="O361" i="3"/>
  <c r="I361" i="3"/>
  <c r="U361" i="3"/>
  <c r="K364" i="4" l="1"/>
  <c r="N364" i="4" s="1"/>
  <c r="G364" i="4"/>
  <c r="L364" i="4" s="1"/>
  <c r="H362" i="4"/>
  <c r="J362" i="4"/>
  <c r="F362" i="4"/>
  <c r="E365" i="4"/>
  <c r="O368" i="2"/>
  <c r="I367" i="2"/>
  <c r="F367" i="2" s="1"/>
  <c r="N366" i="3" s="1"/>
  <c r="P366" i="2"/>
  <c r="J365" i="2"/>
  <c r="G365" i="2" s="1"/>
  <c r="T364" i="3" s="1"/>
  <c r="V364" i="3"/>
  <c r="K368" i="2"/>
  <c r="C368" i="2"/>
  <c r="N366" i="2"/>
  <c r="H365" i="2"/>
  <c r="E365" i="2" s="1"/>
  <c r="H364" i="3" s="1"/>
  <c r="J364" i="3"/>
  <c r="D364" i="4"/>
  <c r="AA364" i="3"/>
  <c r="I366" i="4"/>
  <c r="M366" i="4" s="1"/>
  <c r="B367" i="3"/>
  <c r="B369" i="2"/>
  <c r="F363" i="3"/>
  <c r="D364" i="3"/>
  <c r="T367" i="2"/>
  <c r="D368" i="2"/>
  <c r="C366" i="4"/>
  <c r="AB365" i="3"/>
  <c r="A367" i="4"/>
  <c r="M366" i="3"/>
  <c r="C366" i="3"/>
  <c r="P366" i="3"/>
  <c r="E366" i="3"/>
  <c r="G366" i="3"/>
  <c r="S366" i="3"/>
  <c r="Y366" i="3" s="1"/>
  <c r="Z366" i="3" s="1"/>
  <c r="O362" i="3"/>
  <c r="I362" i="3"/>
  <c r="U362" i="3"/>
  <c r="M372" i="2"/>
  <c r="L371" i="2"/>
  <c r="E366" i="4" l="1"/>
  <c r="J363" i="4"/>
  <c r="F363" i="4"/>
  <c r="H363" i="4"/>
  <c r="G365" i="4"/>
  <c r="L365" i="4" s="1"/>
  <c r="K365" i="4"/>
  <c r="N365" i="4" s="1"/>
  <c r="O369" i="2"/>
  <c r="I368" i="2"/>
  <c r="F368" i="2" s="1"/>
  <c r="N367" i="3" s="1"/>
  <c r="L372" i="2"/>
  <c r="I363" i="3"/>
  <c r="U363" i="3"/>
  <c r="O363" i="3"/>
  <c r="B368" i="3"/>
  <c r="B370" i="2"/>
  <c r="N367" i="2"/>
  <c r="J365" i="3"/>
  <c r="H366" i="2"/>
  <c r="E366" i="2" s="1"/>
  <c r="H365" i="3" s="1"/>
  <c r="F364" i="3"/>
  <c r="D365" i="3"/>
  <c r="M373" i="2"/>
  <c r="A368" i="4"/>
  <c r="M367" i="3"/>
  <c r="C367" i="3"/>
  <c r="P367" i="3"/>
  <c r="E367" i="3"/>
  <c r="G367" i="3"/>
  <c r="S367" i="3"/>
  <c r="Y367" i="3" s="1"/>
  <c r="Z367" i="3" s="1"/>
  <c r="C369" i="2"/>
  <c r="C367" i="4"/>
  <c r="AB366" i="3"/>
  <c r="I367" i="4"/>
  <c r="M367" i="4" s="1"/>
  <c r="K369" i="2"/>
  <c r="D369" i="2"/>
  <c r="T368" i="2"/>
  <c r="D365" i="4"/>
  <c r="AA365" i="3"/>
  <c r="P367" i="2"/>
  <c r="J366" i="2"/>
  <c r="G366" i="2" s="1"/>
  <c r="T365" i="3" s="1"/>
  <c r="V365" i="3"/>
  <c r="K366" i="4" l="1"/>
  <c r="N366" i="4" s="1"/>
  <c r="G366" i="4"/>
  <c r="L366" i="4" s="1"/>
  <c r="H364" i="4"/>
  <c r="J364" i="4"/>
  <c r="F364" i="4"/>
  <c r="E367" i="4"/>
  <c r="O370" i="2"/>
  <c r="I369" i="2"/>
  <c r="F369" i="2" s="1"/>
  <c r="N368" i="3" s="1"/>
  <c r="I364" i="3"/>
  <c r="U364" i="3"/>
  <c r="O364" i="3"/>
  <c r="P368" i="2"/>
  <c r="J367" i="2"/>
  <c r="G367" i="2" s="1"/>
  <c r="T366" i="3" s="1"/>
  <c r="V366" i="3"/>
  <c r="D366" i="4"/>
  <c r="AA366" i="3"/>
  <c r="N368" i="2"/>
  <c r="J366" i="3"/>
  <c r="H367" i="2"/>
  <c r="E367" i="2" s="1"/>
  <c r="H366" i="3" s="1"/>
  <c r="B369" i="3"/>
  <c r="B371" i="2"/>
  <c r="C368" i="4"/>
  <c r="AB367" i="3"/>
  <c r="A369" i="4"/>
  <c r="G368" i="3"/>
  <c r="S368" i="3"/>
  <c r="Y368" i="3" s="1"/>
  <c r="Z368" i="3" s="1"/>
  <c r="M368" i="3"/>
  <c r="C368" i="3"/>
  <c r="E368" i="3"/>
  <c r="P368" i="3"/>
  <c r="C370" i="2"/>
  <c r="F365" i="3"/>
  <c r="D366" i="3"/>
  <c r="T369" i="2"/>
  <c r="D370" i="2"/>
  <c r="K370" i="2"/>
  <c r="I368" i="4"/>
  <c r="M368" i="4" s="1"/>
  <c r="M374" i="2"/>
  <c r="L373" i="2"/>
  <c r="G367" i="4" l="1"/>
  <c r="L367" i="4" s="1"/>
  <c r="E368" i="4"/>
  <c r="J365" i="4"/>
  <c r="F365" i="4"/>
  <c r="K367" i="4"/>
  <c r="N367" i="4" s="1"/>
  <c r="H365" i="4"/>
  <c r="O371" i="2"/>
  <c r="I370" i="2"/>
  <c r="F370" i="2" s="1"/>
  <c r="N369" i="3" s="1"/>
  <c r="L374" i="2"/>
  <c r="D371" i="2"/>
  <c r="T370" i="2"/>
  <c r="C369" i="4"/>
  <c r="AB368" i="3"/>
  <c r="N369" i="2"/>
  <c r="H368" i="2"/>
  <c r="E368" i="2" s="1"/>
  <c r="H367" i="3" s="1"/>
  <c r="J367" i="3"/>
  <c r="A370" i="4"/>
  <c r="C369" i="3"/>
  <c r="P369" i="3"/>
  <c r="E369" i="3"/>
  <c r="G369" i="3"/>
  <c r="S369" i="3"/>
  <c r="Y369" i="3" s="1"/>
  <c r="Z369" i="3" s="1"/>
  <c r="M369" i="3"/>
  <c r="M375" i="2"/>
  <c r="F366" i="3"/>
  <c r="D367" i="3"/>
  <c r="D367" i="4"/>
  <c r="AA367" i="3"/>
  <c r="O365" i="3"/>
  <c r="I365" i="3"/>
  <c r="U365" i="3"/>
  <c r="C371" i="2"/>
  <c r="I369" i="4"/>
  <c r="M369" i="4" s="1"/>
  <c r="P369" i="2"/>
  <c r="J368" i="2"/>
  <c r="G368" i="2" s="1"/>
  <c r="T367" i="3" s="1"/>
  <c r="V367" i="3"/>
  <c r="K371" i="2"/>
  <c r="B370" i="3"/>
  <c r="B372" i="2"/>
  <c r="H366" i="4" l="1"/>
  <c r="G368" i="4"/>
  <c r="L368" i="4" s="1"/>
  <c r="E369" i="4"/>
  <c r="F366" i="4"/>
  <c r="K368" i="4"/>
  <c r="N368" i="4" s="1"/>
  <c r="J366" i="4"/>
  <c r="O372" i="2"/>
  <c r="I371" i="2"/>
  <c r="F371" i="2" s="1"/>
  <c r="N370" i="3" s="1"/>
  <c r="B371" i="3"/>
  <c r="B373" i="2"/>
  <c r="M376" i="2"/>
  <c r="I370" i="4"/>
  <c r="M370" i="4" s="1"/>
  <c r="A371" i="4"/>
  <c r="M370" i="3"/>
  <c r="C370" i="3"/>
  <c r="P370" i="3"/>
  <c r="E370" i="3"/>
  <c r="G370" i="3"/>
  <c r="S370" i="3"/>
  <c r="Y370" i="3" s="1"/>
  <c r="Z370" i="3" s="1"/>
  <c r="C370" i="4"/>
  <c r="AB369" i="3"/>
  <c r="K372" i="2"/>
  <c r="C372" i="2"/>
  <c r="N370" i="2"/>
  <c r="H369" i="2"/>
  <c r="E369" i="2" s="1"/>
  <c r="H368" i="3" s="1"/>
  <c r="J368" i="3"/>
  <c r="P370" i="2"/>
  <c r="J369" i="2"/>
  <c r="G369" i="2" s="1"/>
  <c r="T368" i="3" s="1"/>
  <c r="V368" i="3"/>
  <c r="D368" i="4"/>
  <c r="AA368" i="3"/>
  <c r="T371" i="2"/>
  <c r="D372" i="2"/>
  <c r="F367" i="3"/>
  <c r="D368" i="3"/>
  <c r="O366" i="3"/>
  <c r="I366" i="3"/>
  <c r="U366" i="3"/>
  <c r="L375" i="2"/>
  <c r="K369" i="4" l="1"/>
  <c r="N369" i="4" s="1"/>
  <c r="J367" i="4"/>
  <c r="G369" i="4"/>
  <c r="L369" i="4" s="1"/>
  <c r="F367" i="4"/>
  <c r="H367" i="4"/>
  <c r="E370" i="4"/>
  <c r="O373" i="2"/>
  <c r="I372" i="2"/>
  <c r="F372" i="2" s="1"/>
  <c r="N371" i="3" s="1"/>
  <c r="C371" i="4"/>
  <c r="AB370" i="3"/>
  <c r="I371" i="4"/>
  <c r="M371" i="4" s="1"/>
  <c r="P371" i="2"/>
  <c r="J370" i="2"/>
  <c r="G370" i="2" s="1"/>
  <c r="T369" i="3" s="1"/>
  <c r="V369" i="3"/>
  <c r="L376" i="2"/>
  <c r="I367" i="3"/>
  <c r="U367" i="3"/>
  <c r="O367" i="3"/>
  <c r="C373" i="2"/>
  <c r="D373" i="2"/>
  <c r="T372" i="2"/>
  <c r="N371" i="2"/>
  <c r="J369" i="3"/>
  <c r="H370" i="2"/>
  <c r="E370" i="2" s="1"/>
  <c r="H369" i="3" s="1"/>
  <c r="M377" i="2"/>
  <c r="B372" i="3"/>
  <c r="B374" i="2"/>
  <c r="F368" i="3"/>
  <c r="D369" i="3"/>
  <c r="D369" i="4"/>
  <c r="AA369" i="3"/>
  <c r="K373" i="2"/>
  <c r="A372" i="4"/>
  <c r="M371" i="3"/>
  <c r="C371" i="3"/>
  <c r="P371" i="3"/>
  <c r="E371" i="3"/>
  <c r="S371" i="3"/>
  <c r="Y371" i="3" s="1"/>
  <c r="Z371" i="3" s="1"/>
  <c r="G371" i="3"/>
  <c r="G370" i="4" l="1"/>
  <c r="L370" i="4" s="1"/>
  <c r="H368" i="4"/>
  <c r="J368" i="4"/>
  <c r="F368" i="4"/>
  <c r="E371" i="4"/>
  <c r="K370" i="4"/>
  <c r="N370" i="4" s="1"/>
  <c r="O374" i="2"/>
  <c r="I373" i="2"/>
  <c r="F373" i="2" s="1"/>
  <c r="N372" i="3" s="1"/>
  <c r="K374" i="2"/>
  <c r="N372" i="2"/>
  <c r="H371" i="2"/>
  <c r="E371" i="2" s="1"/>
  <c r="H370" i="3" s="1"/>
  <c r="J370" i="3"/>
  <c r="D370" i="4"/>
  <c r="AA370" i="3"/>
  <c r="P372" i="2"/>
  <c r="J371" i="2"/>
  <c r="G371" i="2" s="1"/>
  <c r="T370" i="3" s="1"/>
  <c r="V370" i="3"/>
  <c r="T373" i="2"/>
  <c r="D374" i="2"/>
  <c r="I372" i="4"/>
  <c r="M372" i="4" s="1"/>
  <c r="F369" i="3"/>
  <c r="D370" i="3"/>
  <c r="L377" i="2"/>
  <c r="I368" i="3"/>
  <c r="U368" i="3"/>
  <c r="O368" i="3"/>
  <c r="B373" i="3"/>
  <c r="B375" i="2"/>
  <c r="C374" i="2"/>
  <c r="A373" i="4"/>
  <c r="G372" i="3"/>
  <c r="S372" i="3"/>
  <c r="Y372" i="3" s="1"/>
  <c r="Z372" i="3" s="1"/>
  <c r="M372" i="3"/>
  <c r="C372" i="3"/>
  <c r="E372" i="3"/>
  <c r="P372" i="3"/>
  <c r="C372" i="4"/>
  <c r="AB371" i="3"/>
  <c r="M378" i="2"/>
  <c r="K371" i="4" l="1"/>
  <c r="N371" i="4" s="1"/>
  <c r="E372" i="4"/>
  <c r="J369" i="4"/>
  <c r="G371" i="4"/>
  <c r="L371" i="4" s="1"/>
  <c r="H369" i="4"/>
  <c r="F369" i="4"/>
  <c r="O375" i="2"/>
  <c r="I374" i="2"/>
  <c r="F374" i="2" s="1"/>
  <c r="N373" i="3" s="1"/>
  <c r="M379" i="2"/>
  <c r="L378" i="2"/>
  <c r="F370" i="3"/>
  <c r="D371" i="3"/>
  <c r="I373" i="4"/>
  <c r="M373" i="4" s="1"/>
  <c r="O369" i="3"/>
  <c r="I369" i="3"/>
  <c r="U369" i="3"/>
  <c r="P373" i="2"/>
  <c r="J372" i="2"/>
  <c r="G372" i="2" s="1"/>
  <c r="T371" i="3" s="1"/>
  <c r="V371" i="3"/>
  <c r="C375" i="2"/>
  <c r="D371" i="4"/>
  <c r="AA371" i="3"/>
  <c r="B374" i="3"/>
  <c r="B376" i="2"/>
  <c r="C373" i="4"/>
  <c r="AB372" i="3"/>
  <c r="A374" i="4"/>
  <c r="C373" i="3"/>
  <c r="P373" i="3"/>
  <c r="E373" i="3"/>
  <c r="G373" i="3"/>
  <c r="S373" i="3"/>
  <c r="Y373" i="3" s="1"/>
  <c r="Z373" i="3" s="1"/>
  <c r="M373" i="3"/>
  <c r="N373" i="2"/>
  <c r="J371" i="3"/>
  <c r="H372" i="2"/>
  <c r="E372" i="2" s="1"/>
  <c r="H371" i="3" s="1"/>
  <c r="D375" i="2"/>
  <c r="T374" i="2"/>
  <c r="K375" i="2"/>
  <c r="J370" i="4" l="1"/>
  <c r="F370" i="4"/>
  <c r="H370" i="4"/>
  <c r="E373" i="4"/>
  <c r="G372" i="4"/>
  <c r="L372" i="4" s="1"/>
  <c r="K372" i="4"/>
  <c r="N372" i="4" s="1"/>
  <c r="O376" i="2"/>
  <c r="I375" i="2"/>
  <c r="F375" i="2" s="1"/>
  <c r="N374" i="3" s="1"/>
  <c r="D372" i="4"/>
  <c r="AA372" i="3"/>
  <c r="K376" i="2"/>
  <c r="C376" i="2"/>
  <c r="A375" i="4"/>
  <c r="M374" i="3"/>
  <c r="C374" i="3"/>
  <c r="P374" i="3"/>
  <c r="E374" i="3"/>
  <c r="G374" i="3"/>
  <c r="S374" i="3"/>
  <c r="Y374" i="3" s="1"/>
  <c r="Z374" i="3" s="1"/>
  <c r="D376" i="2"/>
  <c r="T375" i="2"/>
  <c r="F371" i="3"/>
  <c r="D372" i="3"/>
  <c r="O370" i="3"/>
  <c r="I370" i="3"/>
  <c r="U370" i="3"/>
  <c r="N374" i="2"/>
  <c r="J372" i="3"/>
  <c r="H373" i="2"/>
  <c r="E373" i="2" s="1"/>
  <c r="H372" i="3" s="1"/>
  <c r="I374" i="4"/>
  <c r="M374" i="4" s="1"/>
  <c r="P374" i="2"/>
  <c r="J373" i="2"/>
  <c r="G373" i="2" s="1"/>
  <c r="T372" i="3" s="1"/>
  <c r="V372" i="3"/>
  <c r="L379" i="2"/>
  <c r="C374" i="4"/>
  <c r="AB373" i="3"/>
  <c r="B375" i="3"/>
  <c r="B377" i="2"/>
  <c r="M380" i="2"/>
  <c r="J371" i="4" l="1"/>
  <c r="F371" i="4"/>
  <c r="G373" i="4"/>
  <c r="L373" i="4" s="1"/>
  <c r="E374" i="4"/>
  <c r="H371" i="4"/>
  <c r="K373" i="4"/>
  <c r="N373" i="4" s="1"/>
  <c r="O377" i="2"/>
  <c r="I376" i="2"/>
  <c r="I371" i="3"/>
  <c r="U371" i="3"/>
  <c r="O371" i="3"/>
  <c r="M381" i="2"/>
  <c r="F372" i="3"/>
  <c r="D373" i="3"/>
  <c r="B376" i="3"/>
  <c r="B378" i="2"/>
  <c r="C375" i="4"/>
  <c r="AB374" i="3"/>
  <c r="A376" i="4"/>
  <c r="M375" i="3"/>
  <c r="C375" i="3"/>
  <c r="P375" i="3"/>
  <c r="E375" i="3"/>
  <c r="G375" i="3"/>
  <c r="S375" i="3"/>
  <c r="Y375" i="3" s="1"/>
  <c r="Z375" i="3" s="1"/>
  <c r="T376" i="2"/>
  <c r="D377" i="2"/>
  <c r="I375" i="4"/>
  <c r="M375" i="4" s="1"/>
  <c r="F376" i="2"/>
  <c r="N375" i="3" s="1"/>
  <c r="C377" i="2"/>
  <c r="L380" i="2"/>
  <c r="N375" i="2"/>
  <c r="J373" i="3"/>
  <c r="H374" i="2"/>
  <c r="E374" i="2" s="1"/>
  <c r="H373" i="3" s="1"/>
  <c r="K377" i="2"/>
  <c r="D373" i="4"/>
  <c r="AA373" i="3"/>
  <c r="P375" i="2"/>
  <c r="J374" i="2"/>
  <c r="G374" i="2" s="1"/>
  <c r="T373" i="3" s="1"/>
  <c r="V373" i="3"/>
  <c r="K374" i="4" l="1"/>
  <c r="N374" i="4" s="1"/>
  <c r="E375" i="4"/>
  <c r="H372" i="4"/>
  <c r="J372" i="4"/>
  <c r="G374" i="4"/>
  <c r="L374" i="4" s="1"/>
  <c r="F372" i="4"/>
  <c r="O378" i="2"/>
  <c r="I377" i="2"/>
  <c r="F377" i="2" s="1"/>
  <c r="N376" i="3" s="1"/>
  <c r="L381" i="2"/>
  <c r="I376" i="4"/>
  <c r="M376" i="4" s="1"/>
  <c r="B377" i="3"/>
  <c r="B379" i="2"/>
  <c r="A377" i="4"/>
  <c r="G376" i="3"/>
  <c r="S376" i="3"/>
  <c r="Y376" i="3" s="1"/>
  <c r="Z376" i="3" s="1"/>
  <c r="M376" i="3"/>
  <c r="C376" i="3"/>
  <c r="E376" i="3"/>
  <c r="P376" i="3"/>
  <c r="P376" i="2"/>
  <c r="J375" i="2"/>
  <c r="G375" i="2" s="1"/>
  <c r="T374" i="3" s="1"/>
  <c r="V374" i="3"/>
  <c r="D374" i="4"/>
  <c r="AA374" i="3"/>
  <c r="F373" i="3"/>
  <c r="D374" i="3"/>
  <c r="C378" i="2"/>
  <c r="I372" i="3"/>
  <c r="U372" i="3"/>
  <c r="O372" i="3"/>
  <c r="K378" i="2"/>
  <c r="M382" i="2"/>
  <c r="C376" i="4"/>
  <c r="AB375" i="3"/>
  <c r="N376" i="2"/>
  <c r="H375" i="2"/>
  <c r="E375" i="2" s="1"/>
  <c r="H374" i="3" s="1"/>
  <c r="J374" i="3"/>
  <c r="D378" i="2"/>
  <c r="T377" i="2"/>
  <c r="F373" i="4" l="1"/>
  <c r="E376" i="4"/>
  <c r="K375" i="4"/>
  <c r="N375" i="4" s="1"/>
  <c r="G375" i="4"/>
  <c r="L375" i="4" s="1"/>
  <c r="H373" i="4"/>
  <c r="J373" i="4"/>
  <c r="O379" i="2"/>
  <c r="I378" i="2"/>
  <c r="F378" i="2" s="1"/>
  <c r="N377" i="3" s="1"/>
  <c r="P377" i="2"/>
  <c r="J376" i="2"/>
  <c r="G376" i="2" s="1"/>
  <c r="T375" i="3" s="1"/>
  <c r="V375" i="3"/>
  <c r="I377" i="4"/>
  <c r="M377" i="4" s="1"/>
  <c r="K379" i="2"/>
  <c r="B378" i="3"/>
  <c r="B380" i="2"/>
  <c r="T378" i="2"/>
  <c r="D379" i="2"/>
  <c r="A378" i="4"/>
  <c r="C377" i="3"/>
  <c r="P377" i="3"/>
  <c r="E377" i="3"/>
  <c r="G377" i="3"/>
  <c r="S377" i="3"/>
  <c r="Y377" i="3" s="1"/>
  <c r="Z377" i="3" s="1"/>
  <c r="M377" i="3"/>
  <c r="C379" i="2"/>
  <c r="C377" i="4"/>
  <c r="AB376" i="3"/>
  <c r="N377" i="2"/>
  <c r="J375" i="3"/>
  <c r="H376" i="2"/>
  <c r="E376" i="2" s="1"/>
  <c r="H375" i="3" s="1"/>
  <c r="F374" i="3"/>
  <c r="D375" i="3"/>
  <c r="D375" i="4"/>
  <c r="AA375" i="3"/>
  <c r="O373" i="3"/>
  <c r="I373" i="3"/>
  <c r="U373" i="3"/>
  <c r="M383" i="2"/>
  <c r="L382" i="2"/>
  <c r="G376" i="4" l="1"/>
  <c r="L376" i="4" s="1"/>
  <c r="E377" i="4"/>
  <c r="J374" i="4"/>
  <c r="F374" i="4"/>
  <c r="K376" i="4"/>
  <c r="N376" i="4" s="1"/>
  <c r="H374" i="4"/>
  <c r="O380" i="2"/>
  <c r="I379" i="2"/>
  <c r="F379" i="2" s="1"/>
  <c r="N378" i="3" s="1"/>
  <c r="L383" i="2"/>
  <c r="N378" i="2"/>
  <c r="H377" i="2"/>
  <c r="E377" i="2" s="1"/>
  <c r="H376" i="3" s="1"/>
  <c r="J376" i="3"/>
  <c r="K380" i="2"/>
  <c r="C380" i="2"/>
  <c r="A379" i="4"/>
  <c r="M378" i="3"/>
  <c r="C378" i="3"/>
  <c r="P378" i="3"/>
  <c r="E378" i="3"/>
  <c r="G378" i="3"/>
  <c r="S378" i="3"/>
  <c r="Y378" i="3" s="1"/>
  <c r="Z378" i="3" s="1"/>
  <c r="I378" i="4"/>
  <c r="M378" i="4" s="1"/>
  <c r="M384" i="2"/>
  <c r="D376" i="4"/>
  <c r="AA376" i="3"/>
  <c r="D380" i="2"/>
  <c r="T379" i="2"/>
  <c r="C378" i="4"/>
  <c r="AB377" i="3"/>
  <c r="F375" i="3"/>
  <c r="D376" i="3"/>
  <c r="O374" i="3"/>
  <c r="I374" i="3"/>
  <c r="U374" i="3"/>
  <c r="B379" i="3"/>
  <c r="B381" i="2"/>
  <c r="P378" i="2"/>
  <c r="J377" i="2"/>
  <c r="G377" i="2" s="1"/>
  <c r="T376" i="3" s="1"/>
  <c r="V376" i="3"/>
  <c r="K377" i="4" l="1"/>
  <c r="N377" i="4" s="1"/>
  <c r="J375" i="4"/>
  <c r="G377" i="4"/>
  <c r="L377" i="4" s="1"/>
  <c r="H375" i="4"/>
  <c r="F375" i="4"/>
  <c r="E378" i="4"/>
  <c r="O381" i="2"/>
  <c r="I380" i="2"/>
  <c r="F380" i="2" s="1"/>
  <c r="N379" i="3" s="1"/>
  <c r="C379" i="4"/>
  <c r="AB378" i="3"/>
  <c r="T380" i="2"/>
  <c r="D381" i="2"/>
  <c r="P379" i="2"/>
  <c r="J378" i="2"/>
  <c r="G378" i="2" s="1"/>
  <c r="T377" i="3" s="1"/>
  <c r="V377" i="3"/>
  <c r="B380" i="3"/>
  <c r="B382" i="2"/>
  <c r="D377" i="4"/>
  <c r="AA377" i="3"/>
  <c r="C381" i="2"/>
  <c r="I379" i="4"/>
  <c r="M379" i="4" s="1"/>
  <c r="A380" i="4"/>
  <c r="M379" i="3"/>
  <c r="C379" i="3"/>
  <c r="P379" i="3"/>
  <c r="E379" i="3"/>
  <c r="G379" i="3"/>
  <c r="S379" i="3"/>
  <c r="Y379" i="3" s="1"/>
  <c r="Z379" i="3" s="1"/>
  <c r="K381" i="2"/>
  <c r="F376" i="3"/>
  <c r="D377" i="3"/>
  <c r="N379" i="2"/>
  <c r="J377" i="3"/>
  <c r="H378" i="2"/>
  <c r="E378" i="2" s="1"/>
  <c r="H377" i="3" s="1"/>
  <c r="I375" i="3"/>
  <c r="U375" i="3"/>
  <c r="O375" i="3"/>
  <c r="M385" i="2"/>
  <c r="L384" i="2"/>
  <c r="K378" i="4" l="1"/>
  <c r="N378" i="4" s="1"/>
  <c r="F376" i="4"/>
  <c r="H376" i="4"/>
  <c r="J376" i="4"/>
  <c r="E379" i="4"/>
  <c r="G378" i="4"/>
  <c r="L378" i="4" s="1"/>
  <c r="O382" i="2"/>
  <c r="I381" i="2"/>
  <c r="F381" i="2" s="1"/>
  <c r="N380" i="3" s="1"/>
  <c r="L385" i="2"/>
  <c r="K382" i="2"/>
  <c r="I380" i="4"/>
  <c r="M380" i="4" s="1"/>
  <c r="B381" i="3"/>
  <c r="B383" i="2"/>
  <c r="I376" i="3"/>
  <c r="U376" i="3"/>
  <c r="O376" i="3"/>
  <c r="D378" i="4"/>
  <c r="AA378" i="3"/>
  <c r="A381" i="4"/>
  <c r="G380" i="3"/>
  <c r="S380" i="3"/>
  <c r="Y380" i="3" s="1"/>
  <c r="Z380" i="3" s="1"/>
  <c r="C380" i="3"/>
  <c r="E380" i="3"/>
  <c r="M380" i="3"/>
  <c r="P380" i="3"/>
  <c r="P380" i="2"/>
  <c r="J379" i="2"/>
  <c r="G379" i="2" s="1"/>
  <c r="T378" i="3" s="1"/>
  <c r="V378" i="3"/>
  <c r="T381" i="2"/>
  <c r="D382" i="2"/>
  <c r="M386" i="2"/>
  <c r="C382" i="2"/>
  <c r="N380" i="2"/>
  <c r="H379" i="2"/>
  <c r="E379" i="2" s="1"/>
  <c r="H378" i="3" s="1"/>
  <c r="J378" i="3"/>
  <c r="F377" i="3"/>
  <c r="D378" i="3"/>
  <c r="C380" i="4"/>
  <c r="AB379" i="3"/>
  <c r="E380" i="4" l="1"/>
  <c r="K379" i="4"/>
  <c r="N379" i="4" s="1"/>
  <c r="H377" i="4"/>
  <c r="J377" i="4"/>
  <c r="F377" i="4"/>
  <c r="G379" i="4"/>
  <c r="L379" i="4" s="1"/>
  <c r="O383" i="2"/>
  <c r="I382" i="2"/>
  <c r="F382" i="2" s="1"/>
  <c r="N381" i="3" s="1"/>
  <c r="D383" i="2"/>
  <c r="T382" i="2"/>
  <c r="M387" i="2"/>
  <c r="B382" i="3"/>
  <c r="B384" i="2"/>
  <c r="A382" i="4"/>
  <c r="C381" i="3"/>
  <c r="P381" i="3"/>
  <c r="G381" i="3"/>
  <c r="S381" i="3"/>
  <c r="Y381" i="3" s="1"/>
  <c r="Z381" i="3" s="1"/>
  <c r="E381" i="3"/>
  <c r="M381" i="3"/>
  <c r="F378" i="3"/>
  <c r="D379" i="3"/>
  <c r="P381" i="2"/>
  <c r="J380" i="2"/>
  <c r="G380" i="2" s="1"/>
  <c r="T379" i="3" s="1"/>
  <c r="V379" i="3"/>
  <c r="I381" i="4"/>
  <c r="M381" i="4" s="1"/>
  <c r="D379" i="4"/>
  <c r="AA379" i="3"/>
  <c r="N381" i="2"/>
  <c r="J379" i="3"/>
  <c r="H380" i="2"/>
  <c r="E380" i="2" s="1"/>
  <c r="H379" i="3" s="1"/>
  <c r="C383" i="2"/>
  <c r="K383" i="2"/>
  <c r="O377" i="3"/>
  <c r="I377" i="3"/>
  <c r="U377" i="3"/>
  <c r="C381" i="4"/>
  <c r="AB380" i="3"/>
  <c r="L386" i="2"/>
  <c r="J378" i="4" l="1"/>
  <c r="G380" i="4"/>
  <c r="L380" i="4" s="1"/>
  <c r="E381" i="4"/>
  <c r="F378" i="4"/>
  <c r="H378" i="4"/>
  <c r="K380" i="4"/>
  <c r="N380" i="4" s="1"/>
  <c r="O384" i="2"/>
  <c r="I383" i="2"/>
  <c r="F383" i="2" s="1"/>
  <c r="N382" i="3" s="1"/>
  <c r="L387" i="2"/>
  <c r="N382" i="2"/>
  <c r="H381" i="2"/>
  <c r="E381" i="2" s="1"/>
  <c r="H380" i="3" s="1"/>
  <c r="J380" i="3"/>
  <c r="F379" i="3"/>
  <c r="D380" i="3"/>
  <c r="P382" i="2"/>
  <c r="J381" i="2"/>
  <c r="G381" i="2" s="1"/>
  <c r="T380" i="3" s="1"/>
  <c r="V380" i="3"/>
  <c r="D380" i="4"/>
  <c r="AA380" i="3"/>
  <c r="O378" i="3"/>
  <c r="I378" i="3"/>
  <c r="U378" i="3"/>
  <c r="I382" i="4"/>
  <c r="M382" i="4" s="1"/>
  <c r="B383" i="3"/>
  <c r="B385" i="2"/>
  <c r="A383" i="4"/>
  <c r="M382" i="3"/>
  <c r="P382" i="3"/>
  <c r="E382" i="3"/>
  <c r="C382" i="3"/>
  <c r="G382" i="3"/>
  <c r="S382" i="3"/>
  <c r="Y382" i="3" s="1"/>
  <c r="Z382" i="3" s="1"/>
  <c r="C382" i="4"/>
  <c r="AB381" i="3"/>
  <c r="M388" i="2"/>
  <c r="C384" i="2"/>
  <c r="K384" i="2"/>
  <c r="T383" i="2"/>
  <c r="D384" i="2"/>
  <c r="G381" i="4" l="1"/>
  <c r="L381" i="4" s="1"/>
  <c r="K381" i="4"/>
  <c r="N381" i="4" s="1"/>
  <c r="E382" i="4"/>
  <c r="J379" i="4"/>
  <c r="F379" i="4"/>
  <c r="H379" i="4"/>
  <c r="O385" i="2"/>
  <c r="I384" i="2"/>
  <c r="F384" i="2" s="1"/>
  <c r="N383" i="3" s="1"/>
  <c r="D385" i="2"/>
  <c r="T384" i="2"/>
  <c r="I383" i="4"/>
  <c r="M383" i="4" s="1"/>
  <c r="D381" i="4"/>
  <c r="AA381" i="3"/>
  <c r="A384" i="4"/>
  <c r="M383" i="3"/>
  <c r="C383" i="3"/>
  <c r="S383" i="3"/>
  <c r="Y383" i="3" s="1"/>
  <c r="Z383" i="3" s="1"/>
  <c r="E383" i="3"/>
  <c r="G383" i="3"/>
  <c r="P383" i="3"/>
  <c r="P383" i="2"/>
  <c r="J382" i="2"/>
  <c r="G382" i="2" s="1"/>
  <c r="T381" i="3" s="1"/>
  <c r="V381" i="3"/>
  <c r="K385" i="2"/>
  <c r="F380" i="3"/>
  <c r="D381" i="3"/>
  <c r="C385" i="2"/>
  <c r="I379" i="3"/>
  <c r="U379" i="3"/>
  <c r="O379" i="3"/>
  <c r="B384" i="3"/>
  <c r="B386" i="2"/>
  <c r="N383" i="2"/>
  <c r="H382" i="2"/>
  <c r="E382" i="2" s="1"/>
  <c r="H381" i="3" s="1"/>
  <c r="J381" i="3"/>
  <c r="M389" i="2"/>
  <c r="C383" i="4"/>
  <c r="AB382" i="3"/>
  <c r="L388" i="2"/>
  <c r="H380" i="4" l="1"/>
  <c r="J380" i="4"/>
  <c r="F380" i="4"/>
  <c r="E383" i="4"/>
  <c r="K382" i="4"/>
  <c r="N382" i="4" s="1"/>
  <c r="G382" i="4"/>
  <c r="L382" i="4" s="1"/>
  <c r="O386" i="2"/>
  <c r="I385" i="2"/>
  <c r="F385" i="2" s="1"/>
  <c r="N384" i="3" s="1"/>
  <c r="D382" i="4"/>
  <c r="AA382" i="3"/>
  <c r="P384" i="2"/>
  <c r="J383" i="2"/>
  <c r="G383" i="2" s="1"/>
  <c r="T382" i="3" s="1"/>
  <c r="V382" i="3"/>
  <c r="L389" i="2"/>
  <c r="I384" i="4"/>
  <c r="M384" i="4" s="1"/>
  <c r="C386" i="2"/>
  <c r="M390" i="2"/>
  <c r="D382" i="3"/>
  <c r="F381" i="3"/>
  <c r="I380" i="3"/>
  <c r="O380" i="3"/>
  <c r="U380" i="3"/>
  <c r="K386" i="2"/>
  <c r="N384" i="2"/>
  <c r="H383" i="2"/>
  <c r="E383" i="2" s="1"/>
  <c r="H382" i="3" s="1"/>
  <c r="J382" i="3"/>
  <c r="C384" i="4"/>
  <c r="AB383" i="3"/>
  <c r="B385" i="3"/>
  <c r="B387" i="2"/>
  <c r="A385" i="4"/>
  <c r="G384" i="3"/>
  <c r="S384" i="3"/>
  <c r="Y384" i="3" s="1"/>
  <c r="Z384" i="3" s="1"/>
  <c r="C384" i="3"/>
  <c r="M384" i="3"/>
  <c r="P384" i="3"/>
  <c r="E384" i="3"/>
  <c r="T385" i="2"/>
  <c r="D386" i="2"/>
  <c r="K383" i="4" l="1"/>
  <c r="N383" i="4" s="1"/>
  <c r="G383" i="4"/>
  <c r="L383" i="4" s="1"/>
  <c r="E384" i="4"/>
  <c r="J381" i="4"/>
  <c r="F381" i="4"/>
  <c r="H381" i="4"/>
  <c r="O387" i="2"/>
  <c r="I386" i="2"/>
  <c r="F386" i="2" s="1"/>
  <c r="N385" i="3" s="1"/>
  <c r="B386" i="3"/>
  <c r="B388" i="2"/>
  <c r="O381" i="3"/>
  <c r="I381" i="3"/>
  <c r="U381" i="3"/>
  <c r="I385" i="4"/>
  <c r="M385" i="4" s="1"/>
  <c r="A386" i="4"/>
  <c r="C385" i="3"/>
  <c r="P385" i="3"/>
  <c r="G385" i="3"/>
  <c r="S385" i="3"/>
  <c r="Y385" i="3" s="1"/>
  <c r="Z385" i="3" s="1"/>
  <c r="M385" i="3"/>
  <c r="E385" i="3"/>
  <c r="F382" i="3"/>
  <c r="D383" i="3"/>
  <c r="K387" i="2"/>
  <c r="D387" i="2"/>
  <c r="T386" i="2"/>
  <c r="M391" i="2"/>
  <c r="L390" i="2"/>
  <c r="C387" i="2"/>
  <c r="P385" i="2"/>
  <c r="J384" i="2"/>
  <c r="G384" i="2" s="1"/>
  <c r="T383" i="3" s="1"/>
  <c r="V383" i="3"/>
  <c r="C385" i="4"/>
  <c r="AB384" i="3"/>
  <c r="N385" i="2"/>
  <c r="J383" i="3"/>
  <c r="H384" i="2"/>
  <c r="E384" i="2" s="1"/>
  <c r="H383" i="3" s="1"/>
  <c r="D383" i="4"/>
  <c r="AA383" i="3"/>
  <c r="G384" i="4" l="1"/>
  <c r="L384" i="4" s="1"/>
  <c r="J382" i="4"/>
  <c r="F382" i="4"/>
  <c r="E385" i="4"/>
  <c r="H382" i="4"/>
  <c r="K384" i="4"/>
  <c r="N384" i="4" s="1"/>
  <c r="O388" i="2"/>
  <c r="I387" i="2"/>
  <c r="F387" i="2" s="1"/>
  <c r="N386" i="3" s="1"/>
  <c r="C388" i="2"/>
  <c r="I382" i="3"/>
  <c r="U382" i="3"/>
  <c r="O382" i="3"/>
  <c r="I386" i="4"/>
  <c r="M386" i="4" s="1"/>
  <c r="D384" i="4"/>
  <c r="AA384" i="3"/>
  <c r="L391" i="2"/>
  <c r="C386" i="4"/>
  <c r="AB385" i="3"/>
  <c r="N386" i="2"/>
  <c r="H385" i="2"/>
  <c r="E385" i="2" s="1"/>
  <c r="H384" i="3" s="1"/>
  <c r="J384" i="3"/>
  <c r="M392" i="2"/>
  <c r="D388" i="2"/>
  <c r="T387" i="2"/>
  <c r="B387" i="3"/>
  <c r="B389" i="2"/>
  <c r="P386" i="2"/>
  <c r="J385" i="2"/>
  <c r="G385" i="2" s="1"/>
  <c r="T384" i="3" s="1"/>
  <c r="V384" i="3"/>
  <c r="K388" i="2"/>
  <c r="F383" i="3"/>
  <c r="D384" i="3"/>
  <c r="A387" i="4"/>
  <c r="P386" i="3"/>
  <c r="E386" i="3"/>
  <c r="C386" i="3"/>
  <c r="G386" i="3"/>
  <c r="M386" i="3"/>
  <c r="S386" i="3"/>
  <c r="Y386" i="3" s="1"/>
  <c r="Z386" i="3" s="1"/>
  <c r="K385" i="4" l="1"/>
  <c r="N385" i="4" s="1"/>
  <c r="E386" i="4"/>
  <c r="H383" i="4"/>
  <c r="J383" i="4"/>
  <c r="F383" i="4"/>
  <c r="G385" i="4"/>
  <c r="L385" i="4" s="1"/>
  <c r="O389" i="2"/>
  <c r="I388" i="2"/>
  <c r="F388" i="2" s="1"/>
  <c r="N387" i="3" s="1"/>
  <c r="I387" i="4"/>
  <c r="M387" i="4" s="1"/>
  <c r="T388" i="2"/>
  <c r="D389" i="2"/>
  <c r="F384" i="3"/>
  <c r="D385" i="3"/>
  <c r="I383" i="3"/>
  <c r="U383" i="3"/>
  <c r="O383" i="3"/>
  <c r="M393" i="2"/>
  <c r="C387" i="4"/>
  <c r="AB386" i="3"/>
  <c r="K389" i="2"/>
  <c r="N387" i="2"/>
  <c r="H386" i="2"/>
  <c r="E386" i="2" s="1"/>
  <c r="H385" i="3" s="1"/>
  <c r="J385" i="3"/>
  <c r="P387" i="2"/>
  <c r="J386" i="2"/>
  <c r="G386" i="2" s="1"/>
  <c r="T385" i="3" s="1"/>
  <c r="V385" i="3"/>
  <c r="B388" i="3"/>
  <c r="B390" i="2"/>
  <c r="A388" i="4"/>
  <c r="M387" i="3"/>
  <c r="P387" i="3"/>
  <c r="C387" i="3"/>
  <c r="S387" i="3"/>
  <c r="Y387" i="3" s="1"/>
  <c r="Z387" i="3" s="1"/>
  <c r="G387" i="3"/>
  <c r="E387" i="3"/>
  <c r="L392" i="2"/>
  <c r="C389" i="2"/>
  <c r="D385" i="4"/>
  <c r="AA385" i="3"/>
  <c r="J384" i="4" l="1"/>
  <c r="H384" i="4"/>
  <c r="K386" i="4"/>
  <c r="N386" i="4" s="1"/>
  <c r="F384" i="4"/>
  <c r="G386" i="4"/>
  <c r="L386" i="4" s="1"/>
  <c r="E387" i="4"/>
  <c r="O390" i="2"/>
  <c r="I389" i="2"/>
  <c r="F389" i="2" s="1"/>
  <c r="N388" i="3" s="1"/>
  <c r="D386" i="3"/>
  <c r="F385" i="3"/>
  <c r="O384" i="3"/>
  <c r="U384" i="3"/>
  <c r="I384" i="3"/>
  <c r="C390" i="2"/>
  <c r="N388" i="2"/>
  <c r="J386" i="3"/>
  <c r="H387" i="2"/>
  <c r="E387" i="2" s="1"/>
  <c r="H386" i="3" s="1"/>
  <c r="D390" i="2"/>
  <c r="T389" i="2"/>
  <c r="D386" i="4"/>
  <c r="AA386" i="3"/>
  <c r="K390" i="2"/>
  <c r="C388" i="4"/>
  <c r="AB387" i="3"/>
  <c r="L393" i="2"/>
  <c r="I388" i="4"/>
  <c r="M388" i="4" s="1"/>
  <c r="B389" i="3"/>
  <c r="B391" i="2"/>
  <c r="P388" i="2"/>
  <c r="J387" i="2"/>
  <c r="G387" i="2" s="1"/>
  <c r="T386" i="3" s="1"/>
  <c r="V386" i="3"/>
  <c r="A389" i="4"/>
  <c r="C388" i="3"/>
  <c r="P388" i="3"/>
  <c r="S388" i="3"/>
  <c r="Y388" i="3" s="1"/>
  <c r="Z388" i="3" s="1"/>
  <c r="E388" i="3"/>
  <c r="G388" i="3"/>
  <c r="M388" i="3"/>
  <c r="M394" i="2"/>
  <c r="G387" i="4" l="1"/>
  <c r="L387" i="4" s="1"/>
  <c r="F385" i="4"/>
  <c r="E388" i="4"/>
  <c r="J385" i="4"/>
  <c r="H385" i="4"/>
  <c r="K387" i="4"/>
  <c r="N387" i="4" s="1"/>
  <c r="O391" i="2"/>
  <c r="I390" i="2"/>
  <c r="F390" i="2" s="1"/>
  <c r="N389" i="3" s="1"/>
  <c r="T390" i="2"/>
  <c r="D391" i="2"/>
  <c r="M395" i="2"/>
  <c r="I389" i="4"/>
  <c r="M389" i="4" s="1"/>
  <c r="L394" i="2"/>
  <c r="N389" i="2"/>
  <c r="J387" i="3"/>
  <c r="H388" i="2"/>
  <c r="E388" i="2" s="1"/>
  <c r="H387" i="3" s="1"/>
  <c r="P389" i="2"/>
  <c r="J388" i="2"/>
  <c r="G388" i="2" s="1"/>
  <c r="T387" i="3" s="1"/>
  <c r="V387" i="3"/>
  <c r="C389" i="4"/>
  <c r="AB388" i="3"/>
  <c r="B390" i="3"/>
  <c r="B392" i="2"/>
  <c r="C391" i="2"/>
  <c r="A390" i="4"/>
  <c r="C389" i="3"/>
  <c r="G389" i="3"/>
  <c r="S389" i="3"/>
  <c r="Y389" i="3" s="1"/>
  <c r="Z389" i="3" s="1"/>
  <c r="E389" i="3"/>
  <c r="M389" i="3"/>
  <c r="P389" i="3"/>
  <c r="K391" i="2"/>
  <c r="D387" i="4"/>
  <c r="AA387" i="3"/>
  <c r="O385" i="3"/>
  <c r="I385" i="3"/>
  <c r="U385" i="3"/>
  <c r="F386" i="3"/>
  <c r="D387" i="3"/>
  <c r="G388" i="4" l="1"/>
  <c r="L388" i="4" s="1"/>
  <c r="J386" i="4"/>
  <c r="F386" i="4"/>
  <c r="H386" i="4"/>
  <c r="E389" i="4"/>
  <c r="K388" i="4"/>
  <c r="N388" i="4" s="1"/>
  <c r="O392" i="2"/>
  <c r="I391" i="2"/>
  <c r="F391" i="2" s="1"/>
  <c r="N390" i="3" s="1"/>
  <c r="L395" i="2"/>
  <c r="F387" i="3"/>
  <c r="D388" i="3"/>
  <c r="C390" i="4"/>
  <c r="AB389" i="3"/>
  <c r="B391" i="3"/>
  <c r="B393" i="2"/>
  <c r="I386" i="3"/>
  <c r="U386" i="3"/>
  <c r="O386" i="3"/>
  <c r="A391" i="4"/>
  <c r="P390" i="3"/>
  <c r="M390" i="3"/>
  <c r="C390" i="3"/>
  <c r="S390" i="3"/>
  <c r="Y390" i="3" s="1"/>
  <c r="Z390" i="3" s="1"/>
  <c r="G390" i="3"/>
  <c r="E390" i="3"/>
  <c r="D388" i="4"/>
  <c r="AA388" i="3"/>
  <c r="P390" i="2"/>
  <c r="J389" i="2"/>
  <c r="G389" i="2" s="1"/>
  <c r="T388" i="3" s="1"/>
  <c r="V388" i="3"/>
  <c r="M396" i="2"/>
  <c r="D392" i="2"/>
  <c r="T391" i="2"/>
  <c r="I390" i="4"/>
  <c r="M390" i="4" s="1"/>
  <c r="C392" i="2"/>
  <c r="N390" i="2"/>
  <c r="H389" i="2"/>
  <c r="E389" i="2" s="1"/>
  <c r="H388" i="3" s="1"/>
  <c r="J388" i="3"/>
  <c r="K392" i="2"/>
  <c r="H387" i="4" l="1"/>
  <c r="J387" i="4"/>
  <c r="F387" i="4"/>
  <c r="G389" i="4"/>
  <c r="L389" i="4" s="1"/>
  <c r="E390" i="4"/>
  <c r="K389" i="4"/>
  <c r="N389" i="4" s="1"/>
  <c r="O393" i="2"/>
  <c r="I392" i="2"/>
  <c r="K393" i="2"/>
  <c r="I391" i="4"/>
  <c r="M391" i="4" s="1"/>
  <c r="T392" i="2"/>
  <c r="D393" i="2"/>
  <c r="B392" i="3"/>
  <c r="B394" i="2"/>
  <c r="N391" i="2"/>
  <c r="H390" i="2"/>
  <c r="E390" i="2" s="1"/>
  <c r="H389" i="3" s="1"/>
  <c r="J389" i="3"/>
  <c r="A392" i="4"/>
  <c r="M391" i="3"/>
  <c r="P391" i="3"/>
  <c r="C391" i="3"/>
  <c r="E391" i="3"/>
  <c r="S391" i="3"/>
  <c r="Y391" i="3" s="1"/>
  <c r="Z391" i="3" s="1"/>
  <c r="G391" i="3"/>
  <c r="M397" i="2"/>
  <c r="F388" i="3"/>
  <c r="D389" i="3"/>
  <c r="C391" i="4"/>
  <c r="AB390" i="3"/>
  <c r="I387" i="3"/>
  <c r="U387" i="3"/>
  <c r="O387" i="3"/>
  <c r="P391" i="2"/>
  <c r="J390" i="2"/>
  <c r="G390" i="2" s="1"/>
  <c r="T389" i="3" s="1"/>
  <c r="V389" i="3"/>
  <c r="F392" i="2"/>
  <c r="N391" i="3" s="1"/>
  <c r="C393" i="2"/>
  <c r="D389" i="4"/>
  <c r="AA389" i="3"/>
  <c r="L396" i="2"/>
  <c r="F388" i="4" l="1"/>
  <c r="G390" i="4"/>
  <c r="L390" i="4" s="1"/>
  <c r="E391" i="4"/>
  <c r="K390" i="4"/>
  <c r="N390" i="4" s="1"/>
  <c r="H388" i="4"/>
  <c r="J388" i="4"/>
  <c r="O394" i="2"/>
  <c r="I393" i="2"/>
  <c r="F393" i="2" s="1"/>
  <c r="N392" i="3" s="1"/>
  <c r="T393" i="2"/>
  <c r="D394" i="2"/>
  <c r="A393" i="4"/>
  <c r="M392" i="3"/>
  <c r="C392" i="3"/>
  <c r="P392" i="3"/>
  <c r="E392" i="3"/>
  <c r="S392" i="3"/>
  <c r="Y392" i="3" s="1"/>
  <c r="Z392" i="3" s="1"/>
  <c r="G392" i="3"/>
  <c r="L397" i="2"/>
  <c r="D390" i="4"/>
  <c r="AA390" i="3"/>
  <c r="D390" i="3"/>
  <c r="F389" i="3"/>
  <c r="C394" i="2"/>
  <c r="O388" i="3"/>
  <c r="U388" i="3"/>
  <c r="I388" i="3"/>
  <c r="C392" i="4"/>
  <c r="AB391" i="3"/>
  <c r="M398" i="2"/>
  <c r="I392" i="4"/>
  <c r="M392" i="4" s="1"/>
  <c r="P392" i="2"/>
  <c r="J391" i="2"/>
  <c r="G391" i="2" s="1"/>
  <c r="T390" i="3" s="1"/>
  <c r="V390" i="3"/>
  <c r="N392" i="2"/>
  <c r="J390" i="3"/>
  <c r="H391" i="2"/>
  <c r="E391" i="2" s="1"/>
  <c r="H390" i="3" s="1"/>
  <c r="B393" i="3"/>
  <c r="B395" i="2"/>
  <c r="K394" i="2"/>
  <c r="F389" i="4" l="1"/>
  <c r="E392" i="4"/>
  <c r="G391" i="4"/>
  <c r="L391" i="4" s="1"/>
  <c r="J389" i="4"/>
  <c r="K391" i="4"/>
  <c r="N391" i="4" s="1"/>
  <c r="H389" i="4"/>
  <c r="O395" i="2"/>
  <c r="I394" i="2"/>
  <c r="F394" i="2" s="1"/>
  <c r="N393" i="3" s="1"/>
  <c r="K395" i="2"/>
  <c r="B394" i="3"/>
  <c r="B396" i="2"/>
  <c r="O389" i="3"/>
  <c r="U389" i="3"/>
  <c r="I389" i="3"/>
  <c r="C395" i="2"/>
  <c r="A394" i="4"/>
  <c r="C393" i="3"/>
  <c r="M393" i="3"/>
  <c r="P393" i="3"/>
  <c r="E393" i="3"/>
  <c r="G393" i="3"/>
  <c r="S393" i="3"/>
  <c r="Y393" i="3" s="1"/>
  <c r="Z393" i="3" s="1"/>
  <c r="D391" i="3"/>
  <c r="F390" i="3"/>
  <c r="D391" i="4"/>
  <c r="AA391" i="3"/>
  <c r="M399" i="2"/>
  <c r="N393" i="2"/>
  <c r="H392" i="2"/>
  <c r="E392" i="2" s="1"/>
  <c r="H391" i="3" s="1"/>
  <c r="J391" i="3"/>
  <c r="L398" i="2"/>
  <c r="C393" i="4"/>
  <c r="AB392" i="3"/>
  <c r="I393" i="4"/>
  <c r="M393" i="4" s="1"/>
  <c r="D395" i="2"/>
  <c r="T394" i="2"/>
  <c r="P393" i="2"/>
  <c r="J392" i="2"/>
  <c r="G392" i="2" s="1"/>
  <c r="T391" i="3" s="1"/>
  <c r="V391" i="3"/>
  <c r="G392" i="4" l="1"/>
  <c r="L392" i="4" s="1"/>
  <c r="K392" i="4"/>
  <c r="N392" i="4" s="1"/>
  <c r="J390" i="4"/>
  <c r="F390" i="4"/>
  <c r="H390" i="4"/>
  <c r="E393" i="4"/>
  <c r="O396" i="2"/>
  <c r="I395" i="2"/>
  <c r="F395" i="2" s="1"/>
  <c r="N394" i="3" s="1"/>
  <c r="D392" i="3"/>
  <c r="F391" i="3"/>
  <c r="I394" i="4"/>
  <c r="M394" i="4" s="1"/>
  <c r="P394" i="2"/>
  <c r="J393" i="2"/>
  <c r="G393" i="2" s="1"/>
  <c r="T392" i="3" s="1"/>
  <c r="V392" i="3"/>
  <c r="L399" i="2"/>
  <c r="C396" i="2"/>
  <c r="N394" i="2"/>
  <c r="J392" i="3"/>
  <c r="H393" i="2"/>
  <c r="E393" i="2" s="1"/>
  <c r="H392" i="3" s="1"/>
  <c r="T395" i="2"/>
  <c r="D396" i="2"/>
  <c r="B395" i="3"/>
  <c r="B397" i="2"/>
  <c r="M400" i="2"/>
  <c r="A395" i="4"/>
  <c r="M394" i="3"/>
  <c r="C394" i="3"/>
  <c r="P394" i="3"/>
  <c r="S394" i="3"/>
  <c r="Y394" i="3" s="1"/>
  <c r="Z394" i="3" s="1"/>
  <c r="E394" i="3"/>
  <c r="G394" i="3"/>
  <c r="D392" i="4"/>
  <c r="AA392" i="3"/>
  <c r="C394" i="4"/>
  <c r="AB393" i="3"/>
  <c r="I390" i="3"/>
  <c r="O390" i="3"/>
  <c r="U390" i="3"/>
  <c r="K396" i="2"/>
  <c r="J391" i="4" l="1"/>
  <c r="K393" i="4"/>
  <c r="N393" i="4" s="1"/>
  <c r="F391" i="4"/>
  <c r="E394" i="4"/>
  <c r="H391" i="4"/>
  <c r="G393" i="4"/>
  <c r="L393" i="4" s="1"/>
  <c r="O397" i="2"/>
  <c r="I396" i="2"/>
  <c r="F396" i="2" s="1"/>
  <c r="N395" i="3" s="1"/>
  <c r="A396" i="4"/>
  <c r="M395" i="3"/>
  <c r="C395" i="3"/>
  <c r="P395" i="3"/>
  <c r="E395" i="3"/>
  <c r="G395" i="3"/>
  <c r="S395" i="3"/>
  <c r="Y395" i="3" s="1"/>
  <c r="Z395" i="3" s="1"/>
  <c r="L400" i="2"/>
  <c r="K397" i="2"/>
  <c r="D397" i="2"/>
  <c r="T396" i="2"/>
  <c r="P395" i="2"/>
  <c r="J394" i="2"/>
  <c r="G394" i="2" s="1"/>
  <c r="T393" i="3" s="1"/>
  <c r="V393" i="3"/>
  <c r="B396" i="3"/>
  <c r="B398" i="2"/>
  <c r="N395" i="2"/>
  <c r="J393" i="3"/>
  <c r="H394" i="2"/>
  <c r="E394" i="2" s="1"/>
  <c r="H393" i="3" s="1"/>
  <c r="C397" i="2"/>
  <c r="D393" i="4"/>
  <c r="AA393" i="3"/>
  <c r="I395" i="4"/>
  <c r="M395" i="4" s="1"/>
  <c r="I391" i="3"/>
  <c r="U391" i="3"/>
  <c r="O391" i="3"/>
  <c r="C395" i="4"/>
  <c r="AB394" i="3"/>
  <c r="M401" i="2"/>
  <c r="F392" i="3"/>
  <c r="D393" i="3"/>
  <c r="J392" i="4" l="1"/>
  <c r="G394" i="4"/>
  <c r="L394" i="4" s="1"/>
  <c r="E395" i="4"/>
  <c r="H392" i="4"/>
  <c r="K394" i="4"/>
  <c r="N394" i="4" s="1"/>
  <c r="F392" i="4"/>
  <c r="O398" i="2"/>
  <c r="I397" i="2"/>
  <c r="F397" i="2" s="1"/>
  <c r="N396" i="3" s="1"/>
  <c r="D394" i="3"/>
  <c r="F393" i="3"/>
  <c r="A397" i="4"/>
  <c r="M396" i="3"/>
  <c r="G396" i="3"/>
  <c r="C396" i="3"/>
  <c r="E396" i="3"/>
  <c r="P396" i="3"/>
  <c r="S396" i="3"/>
  <c r="Y396" i="3" s="1"/>
  <c r="Z396" i="3" s="1"/>
  <c r="B397" i="3"/>
  <c r="B399" i="2"/>
  <c r="D394" i="4"/>
  <c r="AA394" i="3"/>
  <c r="P396" i="2"/>
  <c r="J395" i="2"/>
  <c r="G395" i="2" s="1"/>
  <c r="T394" i="3" s="1"/>
  <c r="V394" i="3"/>
  <c r="O392" i="3"/>
  <c r="U392" i="3"/>
  <c r="I392" i="3"/>
  <c r="M402" i="2"/>
  <c r="T397" i="2"/>
  <c r="D398" i="2"/>
  <c r="C398" i="2"/>
  <c r="K398" i="2"/>
  <c r="C396" i="4"/>
  <c r="AB395" i="3"/>
  <c r="N396" i="2"/>
  <c r="J394" i="3"/>
  <c r="H395" i="2"/>
  <c r="E395" i="2" s="1"/>
  <c r="H394" i="3" s="1"/>
  <c r="L401" i="2"/>
  <c r="I396" i="4"/>
  <c r="M396" i="4" s="1"/>
  <c r="F393" i="4" l="1"/>
  <c r="J393" i="4"/>
  <c r="K395" i="4"/>
  <c r="N395" i="4" s="1"/>
  <c r="E396" i="4"/>
  <c r="H393" i="4"/>
  <c r="G395" i="4"/>
  <c r="L395" i="4" s="1"/>
  <c r="O399" i="2"/>
  <c r="I398" i="2"/>
  <c r="F398" i="2" s="1"/>
  <c r="N397" i="3" s="1"/>
  <c r="C399" i="2"/>
  <c r="P397" i="2"/>
  <c r="J396" i="2"/>
  <c r="G396" i="2" s="1"/>
  <c r="T395" i="3" s="1"/>
  <c r="V395" i="3"/>
  <c r="D395" i="4"/>
  <c r="AA395" i="3"/>
  <c r="D399" i="2"/>
  <c r="T398" i="2"/>
  <c r="C397" i="4"/>
  <c r="AB396" i="3"/>
  <c r="L402" i="2"/>
  <c r="B398" i="3"/>
  <c r="B400" i="2"/>
  <c r="K399" i="2"/>
  <c r="A398" i="4"/>
  <c r="C397" i="3"/>
  <c r="M397" i="3"/>
  <c r="S397" i="3"/>
  <c r="Y397" i="3" s="1"/>
  <c r="Z397" i="3" s="1"/>
  <c r="E397" i="3"/>
  <c r="G397" i="3"/>
  <c r="P397" i="3"/>
  <c r="I397" i="4"/>
  <c r="M397" i="4" s="1"/>
  <c r="M403" i="2"/>
  <c r="O393" i="3"/>
  <c r="I393" i="3"/>
  <c r="U393" i="3"/>
  <c r="N397" i="2"/>
  <c r="H396" i="2"/>
  <c r="E396" i="2" s="1"/>
  <c r="H395" i="3" s="1"/>
  <c r="J395" i="3"/>
  <c r="F394" i="3"/>
  <c r="D395" i="3"/>
  <c r="E397" i="4" l="1"/>
  <c r="K396" i="4"/>
  <c r="N396" i="4" s="1"/>
  <c r="J394" i="4"/>
  <c r="F394" i="4"/>
  <c r="G396" i="4"/>
  <c r="L396" i="4" s="1"/>
  <c r="H394" i="4"/>
  <c r="O400" i="2"/>
  <c r="I399" i="2"/>
  <c r="F399" i="2" s="1"/>
  <c r="N398" i="3" s="1"/>
  <c r="C398" i="4"/>
  <c r="AB397" i="3"/>
  <c r="I394" i="3"/>
  <c r="O394" i="3"/>
  <c r="U394" i="3"/>
  <c r="D400" i="2"/>
  <c r="T399" i="2"/>
  <c r="I398" i="4"/>
  <c r="M398" i="4" s="1"/>
  <c r="D396" i="4"/>
  <c r="AA396" i="3"/>
  <c r="N398" i="2"/>
  <c r="J396" i="3"/>
  <c r="H397" i="2"/>
  <c r="E397" i="2" s="1"/>
  <c r="H396" i="3" s="1"/>
  <c r="B399" i="3"/>
  <c r="B401" i="2"/>
  <c r="A399" i="4"/>
  <c r="M398" i="3"/>
  <c r="C398" i="3"/>
  <c r="P398" i="3"/>
  <c r="E398" i="3"/>
  <c r="G398" i="3"/>
  <c r="S398" i="3"/>
  <c r="Y398" i="3" s="1"/>
  <c r="Z398" i="3" s="1"/>
  <c r="P398" i="2"/>
  <c r="J397" i="2"/>
  <c r="G397" i="2" s="1"/>
  <c r="T396" i="3" s="1"/>
  <c r="V396" i="3"/>
  <c r="L403" i="2"/>
  <c r="K400" i="2"/>
  <c r="M404" i="2"/>
  <c r="C400" i="2"/>
  <c r="D396" i="3"/>
  <c r="F395" i="3"/>
  <c r="K397" i="4" l="1"/>
  <c r="N397" i="4" s="1"/>
  <c r="J395" i="4"/>
  <c r="H395" i="4"/>
  <c r="F395" i="4"/>
  <c r="E398" i="4"/>
  <c r="G397" i="4"/>
  <c r="L397" i="4" s="1"/>
  <c r="O401" i="2"/>
  <c r="I400" i="2"/>
  <c r="F400" i="2" s="1"/>
  <c r="N399" i="3" s="1"/>
  <c r="F396" i="3"/>
  <c r="D397" i="3"/>
  <c r="P399" i="2"/>
  <c r="J398" i="2"/>
  <c r="G398" i="2" s="1"/>
  <c r="T397" i="3" s="1"/>
  <c r="V397" i="3"/>
  <c r="I399" i="4"/>
  <c r="M399" i="4" s="1"/>
  <c r="A400" i="4"/>
  <c r="G399" i="3"/>
  <c r="M399" i="3"/>
  <c r="C399" i="3"/>
  <c r="E399" i="3"/>
  <c r="P399" i="3"/>
  <c r="S399" i="3"/>
  <c r="Y399" i="3" s="1"/>
  <c r="Z399" i="3" s="1"/>
  <c r="B400" i="3"/>
  <c r="B402" i="2"/>
  <c r="T400" i="2"/>
  <c r="D401" i="2"/>
  <c r="M405" i="2"/>
  <c r="N399" i="2"/>
  <c r="J397" i="3"/>
  <c r="H398" i="2"/>
  <c r="E398" i="2" s="1"/>
  <c r="H397" i="3" s="1"/>
  <c r="C401" i="2"/>
  <c r="D397" i="4"/>
  <c r="AA397" i="3"/>
  <c r="K401" i="2"/>
  <c r="I395" i="3"/>
  <c r="U395" i="3"/>
  <c r="O395" i="3"/>
  <c r="C399" i="4"/>
  <c r="AB398" i="3"/>
  <c r="L404" i="2"/>
  <c r="G398" i="4" l="1"/>
  <c r="L398" i="4" s="1"/>
  <c r="E399" i="4"/>
  <c r="K398" i="4"/>
  <c r="N398" i="4" s="1"/>
  <c r="H396" i="4"/>
  <c r="J396" i="4"/>
  <c r="F396" i="4"/>
  <c r="O402" i="2"/>
  <c r="I401" i="2"/>
  <c r="F401" i="2" s="1"/>
  <c r="N400" i="3" s="1"/>
  <c r="C402" i="2"/>
  <c r="A401" i="4"/>
  <c r="G400" i="3"/>
  <c r="C400" i="3"/>
  <c r="P400" i="3"/>
  <c r="E400" i="3"/>
  <c r="M400" i="3"/>
  <c r="S400" i="3"/>
  <c r="Y400" i="3" s="1"/>
  <c r="Z400" i="3" s="1"/>
  <c r="I400" i="4"/>
  <c r="M400" i="4" s="1"/>
  <c r="L405" i="2"/>
  <c r="N400" i="2"/>
  <c r="J398" i="3"/>
  <c r="H399" i="2"/>
  <c r="E399" i="2" s="1"/>
  <c r="H398" i="3" s="1"/>
  <c r="C400" i="4"/>
  <c r="AB399" i="3"/>
  <c r="M406" i="2"/>
  <c r="K402" i="2"/>
  <c r="P400" i="2"/>
  <c r="J399" i="2"/>
  <c r="G399" i="2" s="1"/>
  <c r="T398" i="3" s="1"/>
  <c r="V398" i="3"/>
  <c r="D398" i="4"/>
  <c r="AA398" i="3"/>
  <c r="F397" i="3"/>
  <c r="D398" i="3"/>
  <c r="D402" i="2"/>
  <c r="T401" i="2"/>
  <c r="B401" i="3"/>
  <c r="B403" i="2"/>
  <c r="O396" i="3"/>
  <c r="U396" i="3"/>
  <c r="I396" i="3"/>
  <c r="F397" i="4" l="1"/>
  <c r="J397" i="4"/>
  <c r="H397" i="4"/>
  <c r="K399" i="4"/>
  <c r="N399" i="4" s="1"/>
  <c r="E400" i="4"/>
  <c r="G399" i="4"/>
  <c r="L399" i="4" s="1"/>
  <c r="O403" i="2"/>
  <c r="I402" i="2"/>
  <c r="F402" i="2" s="1"/>
  <c r="N401" i="3" s="1"/>
  <c r="N401" i="2"/>
  <c r="H400" i="2"/>
  <c r="E400" i="2" s="1"/>
  <c r="H399" i="3" s="1"/>
  <c r="J399" i="3"/>
  <c r="D399" i="3"/>
  <c r="F398" i="3"/>
  <c r="L406" i="2"/>
  <c r="P401" i="2"/>
  <c r="J400" i="2"/>
  <c r="G400" i="2" s="1"/>
  <c r="T399" i="3" s="1"/>
  <c r="V399" i="3"/>
  <c r="B402" i="3"/>
  <c r="B404" i="2"/>
  <c r="A402" i="4"/>
  <c r="C401" i="3"/>
  <c r="S401" i="3"/>
  <c r="Y401" i="3" s="1"/>
  <c r="Z401" i="3" s="1"/>
  <c r="G401" i="3"/>
  <c r="M401" i="3"/>
  <c r="P401" i="3"/>
  <c r="E401" i="3"/>
  <c r="K403" i="2"/>
  <c r="M407" i="2"/>
  <c r="T402" i="2"/>
  <c r="D403" i="2"/>
  <c r="I401" i="4"/>
  <c r="M401" i="4" s="1"/>
  <c r="O397" i="3"/>
  <c r="I397" i="3"/>
  <c r="U397" i="3"/>
  <c r="C401" i="4"/>
  <c r="AB400" i="3"/>
  <c r="D399" i="4"/>
  <c r="AA399" i="3"/>
  <c r="C403" i="2"/>
  <c r="E401" i="4" l="1"/>
  <c r="H398" i="4"/>
  <c r="G400" i="4"/>
  <c r="L400" i="4" s="1"/>
  <c r="K400" i="4"/>
  <c r="N400" i="4" s="1"/>
  <c r="J398" i="4"/>
  <c r="F398" i="4"/>
  <c r="O404" i="2"/>
  <c r="I403" i="2"/>
  <c r="F403" i="2" s="1"/>
  <c r="N402" i="3" s="1"/>
  <c r="B403" i="3"/>
  <c r="B405" i="2"/>
  <c r="C404" i="2"/>
  <c r="P402" i="2"/>
  <c r="J401" i="2"/>
  <c r="G401" i="2" s="1"/>
  <c r="T400" i="3" s="1"/>
  <c r="V400" i="3"/>
  <c r="C402" i="4"/>
  <c r="AB401" i="3"/>
  <c r="D400" i="4"/>
  <c r="AA400" i="3"/>
  <c r="D404" i="2"/>
  <c r="T403" i="2"/>
  <c r="L407" i="2"/>
  <c r="U398" i="3"/>
  <c r="I398" i="3"/>
  <c r="O398" i="3"/>
  <c r="M408" i="2"/>
  <c r="D400" i="3"/>
  <c r="F399" i="3"/>
  <c r="A403" i="4"/>
  <c r="E402" i="3"/>
  <c r="G402" i="3"/>
  <c r="S402" i="3"/>
  <c r="Y402" i="3" s="1"/>
  <c r="Z402" i="3" s="1"/>
  <c r="M402" i="3"/>
  <c r="P402" i="3"/>
  <c r="C402" i="3"/>
  <c r="K404" i="2"/>
  <c r="I402" i="4"/>
  <c r="M402" i="4" s="1"/>
  <c r="N402" i="2"/>
  <c r="H401" i="2"/>
  <c r="E401" i="2" s="1"/>
  <c r="H400" i="3" s="1"/>
  <c r="J400" i="3"/>
  <c r="G401" i="4" l="1"/>
  <c r="L401" i="4" s="1"/>
  <c r="K401" i="4"/>
  <c r="N401" i="4" s="1"/>
  <c r="E402" i="4"/>
  <c r="F399" i="4"/>
  <c r="J399" i="4"/>
  <c r="H399" i="4"/>
  <c r="O405" i="2"/>
  <c r="I404" i="2"/>
  <c r="F404" i="2" s="1"/>
  <c r="N403" i="3" s="1"/>
  <c r="F400" i="3"/>
  <c r="D401" i="3"/>
  <c r="C403" i="4"/>
  <c r="AB402" i="3"/>
  <c r="I399" i="3"/>
  <c r="U399" i="3"/>
  <c r="O399" i="3"/>
  <c r="D401" i="4"/>
  <c r="AA401" i="3"/>
  <c r="N403" i="2"/>
  <c r="H402" i="2"/>
  <c r="E402" i="2" s="1"/>
  <c r="H401" i="3" s="1"/>
  <c r="J401" i="3"/>
  <c r="M409" i="2"/>
  <c r="P403" i="2"/>
  <c r="J402" i="2"/>
  <c r="G402" i="2" s="1"/>
  <c r="T401" i="3" s="1"/>
  <c r="V401" i="3"/>
  <c r="L408" i="2"/>
  <c r="C405" i="2"/>
  <c r="K405" i="2"/>
  <c r="T404" i="2"/>
  <c r="D405" i="2"/>
  <c r="B404" i="3"/>
  <c r="B406" i="2"/>
  <c r="I403" i="4"/>
  <c r="M403" i="4" s="1"/>
  <c r="A404" i="4"/>
  <c r="C403" i="3"/>
  <c r="P403" i="3"/>
  <c r="E403" i="3"/>
  <c r="G403" i="3"/>
  <c r="S403" i="3"/>
  <c r="Y403" i="3" s="1"/>
  <c r="Z403" i="3" s="1"/>
  <c r="M403" i="3"/>
  <c r="G402" i="4" l="1"/>
  <c r="L402" i="4" s="1"/>
  <c r="J400" i="4"/>
  <c r="F400" i="4"/>
  <c r="K402" i="4"/>
  <c r="N402" i="4" s="1"/>
  <c r="E403" i="4"/>
  <c r="H400" i="4"/>
  <c r="O406" i="2"/>
  <c r="I405" i="2"/>
  <c r="F405" i="2" s="1"/>
  <c r="N404" i="3" s="1"/>
  <c r="K406" i="2"/>
  <c r="C406" i="2"/>
  <c r="N404" i="2"/>
  <c r="H403" i="2"/>
  <c r="E403" i="2" s="1"/>
  <c r="H402" i="3" s="1"/>
  <c r="J402" i="3"/>
  <c r="D402" i="4"/>
  <c r="AA402" i="3"/>
  <c r="C404" i="4"/>
  <c r="AB403" i="3"/>
  <c r="L409" i="2"/>
  <c r="I404" i="4"/>
  <c r="M404" i="4" s="1"/>
  <c r="T405" i="2"/>
  <c r="D406" i="2"/>
  <c r="P404" i="2"/>
  <c r="J403" i="2"/>
  <c r="G403" i="2" s="1"/>
  <c r="T402" i="3" s="1"/>
  <c r="V402" i="3"/>
  <c r="B405" i="3"/>
  <c r="B407" i="2"/>
  <c r="A405" i="4"/>
  <c r="M404" i="3"/>
  <c r="C404" i="3"/>
  <c r="P404" i="3"/>
  <c r="S404" i="3"/>
  <c r="Y404" i="3" s="1"/>
  <c r="Z404" i="3" s="1"/>
  <c r="E404" i="3"/>
  <c r="G404" i="3"/>
  <c r="F401" i="3"/>
  <c r="D402" i="3"/>
  <c r="M410" i="2"/>
  <c r="U400" i="3"/>
  <c r="I400" i="3"/>
  <c r="O400" i="3"/>
  <c r="E404" i="4" l="1"/>
  <c r="H401" i="4"/>
  <c r="F401" i="4"/>
  <c r="G403" i="4"/>
  <c r="L403" i="4" s="1"/>
  <c r="J401" i="4"/>
  <c r="K403" i="4"/>
  <c r="N403" i="4" s="1"/>
  <c r="O407" i="2"/>
  <c r="I406" i="2"/>
  <c r="F406" i="2" s="1"/>
  <c r="N405" i="3" s="1"/>
  <c r="P405" i="2"/>
  <c r="J404" i="2"/>
  <c r="G404" i="2" s="1"/>
  <c r="T403" i="3" s="1"/>
  <c r="V403" i="3"/>
  <c r="D407" i="2"/>
  <c r="T406" i="2"/>
  <c r="D403" i="4"/>
  <c r="AA403" i="3"/>
  <c r="C405" i="4"/>
  <c r="AB404" i="3"/>
  <c r="N405" i="2"/>
  <c r="H404" i="2"/>
  <c r="E404" i="2" s="1"/>
  <c r="H403" i="3" s="1"/>
  <c r="J403" i="3"/>
  <c r="M411" i="2"/>
  <c r="F402" i="3"/>
  <c r="D403" i="3"/>
  <c r="O401" i="3"/>
  <c r="U401" i="3"/>
  <c r="I401" i="3"/>
  <c r="I405" i="4"/>
  <c r="M405" i="4" s="1"/>
  <c r="C407" i="2"/>
  <c r="B406" i="3"/>
  <c r="B408" i="2"/>
  <c r="A406" i="4"/>
  <c r="M405" i="3"/>
  <c r="C405" i="3"/>
  <c r="E405" i="3"/>
  <c r="S405" i="3"/>
  <c r="Y405" i="3" s="1"/>
  <c r="Z405" i="3" s="1"/>
  <c r="G405" i="3"/>
  <c r="P405" i="3"/>
  <c r="L410" i="2"/>
  <c r="K407" i="2"/>
  <c r="E405" i="4" l="1"/>
  <c r="F402" i="4"/>
  <c r="H402" i="4"/>
  <c r="J402" i="4"/>
  <c r="K404" i="4"/>
  <c r="N404" i="4" s="1"/>
  <c r="G404" i="4"/>
  <c r="L404" i="4" s="1"/>
  <c r="O408" i="2"/>
  <c r="I407" i="2"/>
  <c r="F407" i="2" s="1"/>
  <c r="N406" i="3" s="1"/>
  <c r="K408" i="2"/>
  <c r="L411" i="2"/>
  <c r="I406" i="4"/>
  <c r="M406" i="4" s="1"/>
  <c r="D404" i="4"/>
  <c r="AA404" i="3"/>
  <c r="B407" i="3"/>
  <c r="B409" i="2"/>
  <c r="A407" i="4"/>
  <c r="E406" i="3"/>
  <c r="G406" i="3"/>
  <c r="S406" i="3"/>
  <c r="Y406" i="3" s="1"/>
  <c r="Z406" i="3" s="1"/>
  <c r="C406" i="3"/>
  <c r="M406" i="3"/>
  <c r="P406" i="3"/>
  <c r="F403" i="3"/>
  <c r="D404" i="3"/>
  <c r="N406" i="2"/>
  <c r="H405" i="2"/>
  <c r="E405" i="2" s="1"/>
  <c r="H404" i="3" s="1"/>
  <c r="J404" i="3"/>
  <c r="I402" i="3"/>
  <c r="U402" i="3"/>
  <c r="O402" i="3"/>
  <c r="T407" i="2"/>
  <c r="D408" i="2"/>
  <c r="C408" i="2"/>
  <c r="M412" i="2"/>
  <c r="C406" i="4"/>
  <c r="AB405" i="3"/>
  <c r="P406" i="2"/>
  <c r="J405" i="2"/>
  <c r="G405" i="2" s="1"/>
  <c r="T404" i="3" s="1"/>
  <c r="V404" i="3"/>
  <c r="J403" i="4" l="1"/>
  <c r="F403" i="4"/>
  <c r="E406" i="4"/>
  <c r="H403" i="4"/>
  <c r="G405" i="4"/>
  <c r="L405" i="4" s="1"/>
  <c r="K405" i="4"/>
  <c r="N405" i="4" s="1"/>
  <c r="O409" i="2"/>
  <c r="I408" i="2"/>
  <c r="F408" i="2" s="1"/>
  <c r="N407" i="3" s="1"/>
  <c r="D405" i="4"/>
  <c r="AA405" i="3"/>
  <c r="M413" i="2"/>
  <c r="P407" i="2"/>
  <c r="J406" i="2"/>
  <c r="G406" i="2" s="1"/>
  <c r="T405" i="3" s="1"/>
  <c r="V405" i="3"/>
  <c r="C409" i="2"/>
  <c r="F404" i="3"/>
  <c r="D405" i="3"/>
  <c r="N407" i="2"/>
  <c r="H406" i="2"/>
  <c r="E406" i="2" s="1"/>
  <c r="H405" i="3" s="1"/>
  <c r="J405" i="3"/>
  <c r="O403" i="3"/>
  <c r="I403" i="3"/>
  <c r="U403" i="3"/>
  <c r="I407" i="4"/>
  <c r="M407" i="4" s="1"/>
  <c r="L412" i="2"/>
  <c r="B408" i="3"/>
  <c r="B410" i="2"/>
  <c r="D409" i="2"/>
  <c r="T408" i="2"/>
  <c r="C407" i="4"/>
  <c r="AB406" i="3"/>
  <c r="A408" i="4"/>
  <c r="C407" i="3"/>
  <c r="P407" i="3"/>
  <c r="E407" i="3"/>
  <c r="G407" i="3"/>
  <c r="S407" i="3"/>
  <c r="Y407" i="3" s="1"/>
  <c r="Z407" i="3" s="1"/>
  <c r="M407" i="3"/>
  <c r="K409" i="2"/>
  <c r="J404" i="4" l="1"/>
  <c r="F404" i="4"/>
  <c r="H404" i="4"/>
  <c r="G406" i="4"/>
  <c r="L406" i="4" s="1"/>
  <c r="K406" i="4"/>
  <c r="N406" i="4" s="1"/>
  <c r="E407" i="4"/>
  <c r="O410" i="2"/>
  <c r="I409" i="2"/>
  <c r="F409" i="2" s="1"/>
  <c r="N408" i="3" s="1"/>
  <c r="F405" i="3"/>
  <c r="D406" i="3"/>
  <c r="O404" i="3"/>
  <c r="U404" i="3"/>
  <c r="I404" i="3"/>
  <c r="I408" i="4"/>
  <c r="M408" i="4" s="1"/>
  <c r="K410" i="2"/>
  <c r="C408" i="4"/>
  <c r="AB407" i="3"/>
  <c r="C410" i="2"/>
  <c r="T409" i="2"/>
  <c r="D410" i="2"/>
  <c r="P408" i="2"/>
  <c r="J407" i="2"/>
  <c r="G407" i="2" s="1"/>
  <c r="T406" i="3" s="1"/>
  <c r="V406" i="3"/>
  <c r="B409" i="3"/>
  <c r="B411" i="2"/>
  <c r="M414" i="2"/>
  <c r="D406" i="4"/>
  <c r="AA406" i="3"/>
  <c r="A409" i="4"/>
  <c r="M408" i="3"/>
  <c r="C408" i="3"/>
  <c r="P408" i="3"/>
  <c r="E408" i="3"/>
  <c r="G408" i="3"/>
  <c r="S408" i="3"/>
  <c r="Y408" i="3" s="1"/>
  <c r="Z408" i="3" s="1"/>
  <c r="L413" i="2"/>
  <c r="N408" i="2"/>
  <c r="H407" i="2"/>
  <c r="E407" i="2" s="1"/>
  <c r="H406" i="3" s="1"/>
  <c r="J406" i="3"/>
  <c r="E408" i="4" l="1"/>
  <c r="G407" i="4"/>
  <c r="L407" i="4" s="1"/>
  <c r="F405" i="4"/>
  <c r="J405" i="4"/>
  <c r="K407" i="4"/>
  <c r="N407" i="4" s="1"/>
  <c r="H405" i="4"/>
  <c r="O411" i="2"/>
  <c r="I410" i="2"/>
  <c r="F410" i="2" s="1"/>
  <c r="N409" i="3" s="1"/>
  <c r="P409" i="2"/>
  <c r="J408" i="2"/>
  <c r="G408" i="2" s="1"/>
  <c r="T407" i="3" s="1"/>
  <c r="V407" i="3"/>
  <c r="D411" i="2"/>
  <c r="T410" i="2"/>
  <c r="C409" i="4"/>
  <c r="AB408" i="3"/>
  <c r="N409" i="2"/>
  <c r="J407" i="3"/>
  <c r="H408" i="2"/>
  <c r="E408" i="2" s="1"/>
  <c r="H407" i="3" s="1"/>
  <c r="L414" i="2"/>
  <c r="I409" i="4"/>
  <c r="M409" i="4" s="1"/>
  <c r="D407" i="4"/>
  <c r="AA407" i="3"/>
  <c r="C411" i="2"/>
  <c r="M415" i="2"/>
  <c r="K411" i="2"/>
  <c r="B410" i="3"/>
  <c r="B412" i="2"/>
  <c r="F406" i="3"/>
  <c r="D407" i="3"/>
  <c r="A410" i="4"/>
  <c r="M409" i="3"/>
  <c r="C409" i="3"/>
  <c r="E409" i="3"/>
  <c r="G409" i="3"/>
  <c r="P409" i="3"/>
  <c r="S409" i="3"/>
  <c r="Y409" i="3" s="1"/>
  <c r="Z409" i="3" s="1"/>
  <c r="I405" i="3"/>
  <c r="U405" i="3"/>
  <c r="O405" i="3"/>
  <c r="G408" i="4" l="1"/>
  <c r="L408" i="4" s="1"/>
  <c r="E409" i="4"/>
  <c r="H406" i="4"/>
  <c r="J406" i="4"/>
  <c r="K408" i="4"/>
  <c r="N408" i="4" s="1"/>
  <c r="F406" i="4"/>
  <c r="O412" i="2"/>
  <c r="I411" i="2"/>
  <c r="F411" i="2" s="1"/>
  <c r="N410" i="3" s="1"/>
  <c r="I410" i="4"/>
  <c r="M410" i="4" s="1"/>
  <c r="D408" i="4"/>
  <c r="AA408" i="3"/>
  <c r="N410" i="2"/>
  <c r="H409" i="2"/>
  <c r="E409" i="2" s="1"/>
  <c r="H408" i="3" s="1"/>
  <c r="J408" i="3"/>
  <c r="F407" i="3"/>
  <c r="D408" i="3"/>
  <c r="I406" i="3"/>
  <c r="U406" i="3"/>
  <c r="O406" i="3"/>
  <c r="B411" i="3"/>
  <c r="B413" i="2"/>
  <c r="A411" i="4"/>
  <c r="E410" i="3"/>
  <c r="G410" i="3"/>
  <c r="S410" i="3"/>
  <c r="Y410" i="3" s="1"/>
  <c r="Z410" i="3" s="1"/>
  <c r="C410" i="3"/>
  <c r="M410" i="3"/>
  <c r="P410" i="3"/>
  <c r="D412" i="2"/>
  <c r="T411" i="2"/>
  <c r="C412" i="2"/>
  <c r="C410" i="4"/>
  <c r="AB409" i="3"/>
  <c r="K412" i="2"/>
  <c r="M416" i="2"/>
  <c r="L415" i="2"/>
  <c r="P410" i="2"/>
  <c r="J409" i="2"/>
  <c r="G409" i="2" s="1"/>
  <c r="T408" i="3" s="1"/>
  <c r="V408" i="3"/>
  <c r="K409" i="4" l="1"/>
  <c r="N409" i="4" s="1"/>
  <c r="J407" i="4"/>
  <c r="F407" i="4"/>
  <c r="E410" i="4"/>
  <c r="G409" i="4"/>
  <c r="L409" i="4" s="1"/>
  <c r="H407" i="4"/>
  <c r="O413" i="2"/>
  <c r="I412" i="2"/>
  <c r="F412" i="2" s="1"/>
  <c r="N411" i="3" s="1"/>
  <c r="O407" i="3"/>
  <c r="I407" i="3"/>
  <c r="U407" i="3"/>
  <c r="N411" i="2"/>
  <c r="H410" i="2"/>
  <c r="E410" i="2" s="1"/>
  <c r="H409" i="3" s="1"/>
  <c r="J409" i="3"/>
  <c r="P411" i="2"/>
  <c r="J410" i="2"/>
  <c r="G410" i="2" s="1"/>
  <c r="T409" i="3" s="1"/>
  <c r="V409" i="3"/>
  <c r="D409" i="4"/>
  <c r="AA409" i="3"/>
  <c r="L416" i="2"/>
  <c r="T412" i="2"/>
  <c r="D413" i="2"/>
  <c r="I411" i="4"/>
  <c r="M411" i="4" s="1"/>
  <c r="B412" i="3"/>
  <c r="B414" i="2"/>
  <c r="M417" i="2"/>
  <c r="C411" i="4"/>
  <c r="AB410" i="3"/>
  <c r="A412" i="4"/>
  <c r="C411" i="3"/>
  <c r="P411" i="3"/>
  <c r="E411" i="3"/>
  <c r="G411" i="3"/>
  <c r="S411" i="3"/>
  <c r="Y411" i="3" s="1"/>
  <c r="Z411" i="3" s="1"/>
  <c r="M411" i="3"/>
  <c r="C413" i="2"/>
  <c r="K413" i="2"/>
  <c r="F408" i="3"/>
  <c r="D409" i="3"/>
  <c r="K410" i="4" l="1"/>
  <c r="N410" i="4" s="1"/>
  <c r="E411" i="4"/>
  <c r="G410" i="4"/>
  <c r="L410" i="4" s="1"/>
  <c r="J408" i="4"/>
  <c r="F408" i="4"/>
  <c r="H408" i="4"/>
  <c r="O414" i="2"/>
  <c r="I413" i="2"/>
  <c r="F413" i="2" s="1"/>
  <c r="N412" i="3" s="1"/>
  <c r="B413" i="3"/>
  <c r="B415" i="2"/>
  <c r="L417" i="2"/>
  <c r="F409" i="3"/>
  <c r="D410" i="3"/>
  <c r="A413" i="4"/>
  <c r="M412" i="3"/>
  <c r="C412" i="3"/>
  <c r="P412" i="3"/>
  <c r="E412" i="3"/>
  <c r="G412" i="3"/>
  <c r="S412" i="3"/>
  <c r="Y412" i="3" s="1"/>
  <c r="Z412" i="3" s="1"/>
  <c r="D410" i="4"/>
  <c r="AA410" i="3"/>
  <c r="O408" i="3"/>
  <c r="I408" i="3"/>
  <c r="U408" i="3"/>
  <c r="K414" i="2"/>
  <c r="C414" i="2"/>
  <c r="P412" i="2"/>
  <c r="J411" i="2"/>
  <c r="G411" i="2" s="1"/>
  <c r="T410" i="3" s="1"/>
  <c r="V410" i="3"/>
  <c r="I412" i="4"/>
  <c r="M412" i="4" s="1"/>
  <c r="D414" i="2"/>
  <c r="T413" i="2"/>
  <c r="N412" i="2"/>
  <c r="J410" i="3"/>
  <c r="H411" i="2"/>
  <c r="E411" i="2" s="1"/>
  <c r="H410" i="3" s="1"/>
  <c r="C412" i="4"/>
  <c r="AB411" i="3"/>
  <c r="M418" i="2"/>
  <c r="K411" i="4" l="1"/>
  <c r="N411" i="4" s="1"/>
  <c r="E412" i="4"/>
  <c r="J409" i="4"/>
  <c r="F409" i="4"/>
  <c r="G411" i="4"/>
  <c r="L411" i="4" s="1"/>
  <c r="H409" i="4"/>
  <c r="O415" i="2"/>
  <c r="I414" i="2"/>
  <c r="F414" i="2" s="1"/>
  <c r="N413" i="3" s="1"/>
  <c r="K415" i="2"/>
  <c r="M419" i="2"/>
  <c r="D411" i="4"/>
  <c r="AA411" i="3"/>
  <c r="C413" i="4"/>
  <c r="AB412" i="3"/>
  <c r="I413" i="4"/>
  <c r="M413" i="4" s="1"/>
  <c r="F410" i="3"/>
  <c r="D411" i="3"/>
  <c r="N413" i="2"/>
  <c r="J411" i="3"/>
  <c r="H412" i="2"/>
  <c r="E412" i="2" s="1"/>
  <c r="H411" i="3" s="1"/>
  <c r="P413" i="2"/>
  <c r="J412" i="2"/>
  <c r="G412" i="2" s="1"/>
  <c r="T411" i="3" s="1"/>
  <c r="V411" i="3"/>
  <c r="I409" i="3"/>
  <c r="U409" i="3"/>
  <c r="O409" i="3"/>
  <c r="L418" i="2"/>
  <c r="T414" i="2"/>
  <c r="D415" i="2"/>
  <c r="C415" i="2"/>
  <c r="B414" i="3"/>
  <c r="B416" i="2"/>
  <c r="A414" i="4"/>
  <c r="M413" i="3"/>
  <c r="C413" i="3"/>
  <c r="E413" i="3"/>
  <c r="G413" i="3"/>
  <c r="P413" i="3"/>
  <c r="S413" i="3"/>
  <c r="Y413" i="3" s="1"/>
  <c r="Z413" i="3" s="1"/>
  <c r="H410" i="4" l="1"/>
  <c r="E413" i="4"/>
  <c r="J410" i="4"/>
  <c r="F410" i="4"/>
  <c r="K412" i="4"/>
  <c r="N412" i="4" s="1"/>
  <c r="G412" i="4"/>
  <c r="L412" i="4" s="1"/>
  <c r="O416" i="2"/>
  <c r="I415" i="2"/>
  <c r="F415" i="2" s="1"/>
  <c r="N414" i="3" s="1"/>
  <c r="B415" i="3"/>
  <c r="B417" i="2"/>
  <c r="C416" i="2"/>
  <c r="P414" i="2"/>
  <c r="J413" i="2"/>
  <c r="G413" i="2" s="1"/>
  <c r="T412" i="3" s="1"/>
  <c r="V412" i="3"/>
  <c r="D412" i="4"/>
  <c r="AA412" i="3"/>
  <c r="D416" i="2"/>
  <c r="T415" i="2"/>
  <c r="C414" i="4"/>
  <c r="AB413" i="3"/>
  <c r="N414" i="2"/>
  <c r="H413" i="2"/>
  <c r="E413" i="2" s="1"/>
  <c r="H412" i="3" s="1"/>
  <c r="J412" i="3"/>
  <c r="F411" i="3"/>
  <c r="D412" i="3"/>
  <c r="M420" i="2"/>
  <c r="I414" i="4"/>
  <c r="M414" i="4" s="1"/>
  <c r="I410" i="3"/>
  <c r="U410" i="3"/>
  <c r="O410" i="3"/>
  <c r="A415" i="4"/>
  <c r="E414" i="3"/>
  <c r="G414" i="3"/>
  <c r="S414" i="3"/>
  <c r="Y414" i="3" s="1"/>
  <c r="Z414" i="3" s="1"/>
  <c r="C414" i="3"/>
  <c r="M414" i="3"/>
  <c r="P414" i="3"/>
  <c r="L419" i="2"/>
  <c r="K416" i="2"/>
  <c r="H411" i="4" l="1"/>
  <c r="K413" i="4"/>
  <c r="N413" i="4" s="1"/>
  <c r="J411" i="4"/>
  <c r="F411" i="4"/>
  <c r="G413" i="4"/>
  <c r="L413" i="4" s="1"/>
  <c r="E414" i="4"/>
  <c r="O417" i="2"/>
  <c r="I416" i="2"/>
  <c r="F416" i="2" s="1"/>
  <c r="N415" i="3" s="1"/>
  <c r="T416" i="2"/>
  <c r="D417" i="2"/>
  <c r="D413" i="4"/>
  <c r="AA413" i="3"/>
  <c r="M421" i="2"/>
  <c r="K417" i="2"/>
  <c r="L420" i="2"/>
  <c r="I415" i="4"/>
  <c r="M415" i="4" s="1"/>
  <c r="F412" i="3"/>
  <c r="D413" i="3"/>
  <c r="O411" i="3"/>
  <c r="I411" i="3"/>
  <c r="U411" i="3"/>
  <c r="P415" i="2"/>
  <c r="J414" i="2"/>
  <c r="G414" i="2" s="1"/>
  <c r="T413" i="3" s="1"/>
  <c r="V413" i="3"/>
  <c r="N415" i="2"/>
  <c r="H414" i="2"/>
  <c r="E414" i="2" s="1"/>
  <c r="H413" i="3" s="1"/>
  <c r="J413" i="3"/>
  <c r="C415" i="4"/>
  <c r="AB414" i="3"/>
  <c r="C417" i="2"/>
  <c r="B416" i="3"/>
  <c r="B418" i="2"/>
  <c r="A416" i="4"/>
  <c r="C415" i="3"/>
  <c r="P415" i="3"/>
  <c r="E415" i="3"/>
  <c r="G415" i="3"/>
  <c r="S415" i="3"/>
  <c r="Y415" i="3" s="1"/>
  <c r="Z415" i="3" s="1"/>
  <c r="M415" i="3"/>
  <c r="J412" i="4" l="1"/>
  <c r="H412" i="4"/>
  <c r="E415" i="4"/>
  <c r="G414" i="4"/>
  <c r="L414" i="4" s="1"/>
  <c r="K414" i="4"/>
  <c r="N414" i="4" s="1"/>
  <c r="F412" i="4"/>
  <c r="O418" i="2"/>
  <c r="I417" i="2"/>
  <c r="F417" i="2" s="1"/>
  <c r="N416" i="3" s="1"/>
  <c r="I416" i="4"/>
  <c r="M416" i="4" s="1"/>
  <c r="A417" i="4"/>
  <c r="M416" i="3"/>
  <c r="C416" i="3"/>
  <c r="P416" i="3"/>
  <c r="S416" i="3"/>
  <c r="Y416" i="3" s="1"/>
  <c r="Z416" i="3" s="1"/>
  <c r="E416" i="3"/>
  <c r="G416" i="3"/>
  <c r="L421" i="2"/>
  <c r="C418" i="2"/>
  <c r="C416" i="4"/>
  <c r="AB415" i="3"/>
  <c r="K418" i="2"/>
  <c r="F413" i="3"/>
  <c r="D414" i="3"/>
  <c r="B417" i="3"/>
  <c r="B419" i="2"/>
  <c r="O412" i="3"/>
  <c r="I412" i="3"/>
  <c r="U412" i="3"/>
  <c r="M422" i="2"/>
  <c r="P416" i="2"/>
  <c r="J415" i="2"/>
  <c r="G415" i="2" s="1"/>
  <c r="T414" i="3" s="1"/>
  <c r="V414" i="3"/>
  <c r="D414" i="4"/>
  <c r="AA414" i="3"/>
  <c r="T417" i="2"/>
  <c r="D418" i="2"/>
  <c r="N416" i="2"/>
  <c r="J414" i="3"/>
  <c r="H415" i="2"/>
  <c r="E415" i="2" s="1"/>
  <c r="H414" i="3" s="1"/>
  <c r="J413" i="4" l="1"/>
  <c r="F413" i="4"/>
  <c r="E416" i="4"/>
  <c r="K415" i="4"/>
  <c r="N415" i="4" s="1"/>
  <c r="G415" i="4"/>
  <c r="L415" i="4" s="1"/>
  <c r="H413" i="4"/>
  <c r="O419" i="2"/>
  <c r="I418" i="2"/>
  <c r="F418" i="2" s="1"/>
  <c r="N417" i="3" s="1"/>
  <c r="M423" i="2"/>
  <c r="C417" i="4"/>
  <c r="AB416" i="3"/>
  <c r="N417" i="2"/>
  <c r="J415" i="3"/>
  <c r="H416" i="2"/>
  <c r="E416" i="2" s="1"/>
  <c r="H415" i="3" s="1"/>
  <c r="D419" i="2"/>
  <c r="T418" i="2"/>
  <c r="L422" i="2"/>
  <c r="B418" i="3"/>
  <c r="B420" i="2"/>
  <c r="I417" i="4"/>
  <c r="M417" i="4" s="1"/>
  <c r="A418" i="4"/>
  <c r="M417" i="3"/>
  <c r="C417" i="3"/>
  <c r="E417" i="3"/>
  <c r="P417" i="3"/>
  <c r="S417" i="3"/>
  <c r="Y417" i="3" s="1"/>
  <c r="Z417" i="3" s="1"/>
  <c r="G417" i="3"/>
  <c r="D415" i="4"/>
  <c r="AA415" i="3"/>
  <c r="F414" i="3"/>
  <c r="D415" i="3"/>
  <c r="I413" i="3"/>
  <c r="U413" i="3"/>
  <c r="O413" i="3"/>
  <c r="K419" i="2"/>
  <c r="C419" i="2"/>
  <c r="P417" i="2"/>
  <c r="J416" i="2"/>
  <c r="G416" i="2" s="1"/>
  <c r="T415" i="3" s="1"/>
  <c r="V415" i="3"/>
  <c r="K416" i="4" l="1"/>
  <c r="N416" i="4" s="1"/>
  <c r="G416" i="4"/>
  <c r="L416" i="4" s="1"/>
  <c r="E417" i="4"/>
  <c r="H414" i="4"/>
  <c r="J414" i="4"/>
  <c r="F414" i="4"/>
  <c r="O420" i="2"/>
  <c r="I419" i="2"/>
  <c r="F419" i="2" s="1"/>
  <c r="N418" i="3" s="1"/>
  <c r="I414" i="3"/>
  <c r="U414" i="3"/>
  <c r="O414" i="3"/>
  <c r="L423" i="2"/>
  <c r="D416" i="4"/>
  <c r="AA416" i="3"/>
  <c r="F415" i="3"/>
  <c r="D416" i="3"/>
  <c r="P418" i="2"/>
  <c r="J417" i="2"/>
  <c r="G417" i="2" s="1"/>
  <c r="T416" i="3" s="1"/>
  <c r="V416" i="3"/>
  <c r="I418" i="4"/>
  <c r="M418" i="4" s="1"/>
  <c r="T419" i="2"/>
  <c r="D420" i="2"/>
  <c r="N418" i="2"/>
  <c r="J416" i="3"/>
  <c r="H417" i="2"/>
  <c r="E417" i="2" s="1"/>
  <c r="H416" i="3" s="1"/>
  <c r="C420" i="2"/>
  <c r="K420" i="2"/>
  <c r="C418" i="4"/>
  <c r="AB417" i="3"/>
  <c r="B419" i="3"/>
  <c r="B421" i="2"/>
  <c r="A419" i="4"/>
  <c r="E418" i="3"/>
  <c r="G418" i="3"/>
  <c r="S418" i="3"/>
  <c r="Y418" i="3" s="1"/>
  <c r="Z418" i="3" s="1"/>
  <c r="M418" i="3"/>
  <c r="P418" i="3"/>
  <c r="C418" i="3"/>
  <c r="M424" i="2"/>
  <c r="E418" i="4" l="1"/>
  <c r="G417" i="4"/>
  <c r="L417" i="4" s="1"/>
  <c r="H415" i="4"/>
  <c r="J415" i="4"/>
  <c r="F415" i="4"/>
  <c r="K417" i="4"/>
  <c r="N417" i="4" s="1"/>
  <c r="O421" i="2"/>
  <c r="I420" i="2"/>
  <c r="F420" i="2" s="1"/>
  <c r="N419" i="3" s="1"/>
  <c r="M425" i="2"/>
  <c r="I419" i="4"/>
  <c r="M419" i="4" s="1"/>
  <c r="N419" i="2"/>
  <c r="H418" i="2"/>
  <c r="E418" i="2" s="1"/>
  <c r="H417" i="3" s="1"/>
  <c r="J417" i="3"/>
  <c r="P419" i="2"/>
  <c r="J418" i="2"/>
  <c r="G418" i="2" s="1"/>
  <c r="T417" i="3" s="1"/>
  <c r="V417" i="3"/>
  <c r="B420" i="3"/>
  <c r="B422" i="2"/>
  <c r="D421" i="2"/>
  <c r="T420" i="2"/>
  <c r="F416" i="3"/>
  <c r="D417" i="3"/>
  <c r="A420" i="4"/>
  <c r="C419" i="3"/>
  <c r="P419" i="3"/>
  <c r="E419" i="3"/>
  <c r="G419" i="3"/>
  <c r="S419" i="3"/>
  <c r="Y419" i="3" s="1"/>
  <c r="Z419" i="3" s="1"/>
  <c r="M419" i="3"/>
  <c r="O415" i="3"/>
  <c r="I415" i="3"/>
  <c r="U415" i="3"/>
  <c r="C419" i="4"/>
  <c r="AB418" i="3"/>
  <c r="D417" i="4"/>
  <c r="AA417" i="3"/>
  <c r="K421" i="2"/>
  <c r="L424" i="2"/>
  <c r="C421" i="2"/>
  <c r="H416" i="4" l="1"/>
  <c r="K418" i="4"/>
  <c r="N418" i="4" s="1"/>
  <c r="G418" i="4"/>
  <c r="L418" i="4" s="1"/>
  <c r="E419" i="4"/>
  <c r="J416" i="4"/>
  <c r="F416" i="4"/>
  <c r="O422" i="2"/>
  <c r="I421" i="2"/>
  <c r="F421" i="2" s="1"/>
  <c r="N420" i="3" s="1"/>
  <c r="I420" i="4"/>
  <c r="M420" i="4" s="1"/>
  <c r="P420" i="2"/>
  <c r="J419" i="2"/>
  <c r="G419" i="2" s="1"/>
  <c r="T418" i="3" s="1"/>
  <c r="V418" i="3"/>
  <c r="C422" i="2"/>
  <c r="F417" i="3"/>
  <c r="D418" i="3"/>
  <c r="N420" i="2"/>
  <c r="J418" i="3"/>
  <c r="H419" i="2"/>
  <c r="E419" i="2" s="1"/>
  <c r="H418" i="3" s="1"/>
  <c r="O416" i="3"/>
  <c r="I416" i="3"/>
  <c r="U416" i="3"/>
  <c r="L425" i="2"/>
  <c r="K422" i="2"/>
  <c r="C420" i="4"/>
  <c r="AB419" i="3"/>
  <c r="T421" i="2"/>
  <c r="D422" i="2"/>
  <c r="D418" i="4"/>
  <c r="AA418" i="3"/>
  <c r="B421" i="3"/>
  <c r="B423" i="2"/>
  <c r="A421" i="4"/>
  <c r="M420" i="3"/>
  <c r="C420" i="3"/>
  <c r="P420" i="3"/>
  <c r="S420" i="3"/>
  <c r="Y420" i="3" s="1"/>
  <c r="Z420" i="3" s="1"/>
  <c r="E420" i="3"/>
  <c r="G420" i="3"/>
  <c r="M426" i="2"/>
  <c r="G419" i="4" l="1"/>
  <c r="L419" i="4" s="1"/>
  <c r="E420" i="4"/>
  <c r="K419" i="4"/>
  <c r="N419" i="4" s="1"/>
  <c r="J417" i="4"/>
  <c r="F417" i="4"/>
  <c r="H417" i="4"/>
  <c r="O423" i="2"/>
  <c r="I422" i="2"/>
  <c r="F422" i="2" s="1"/>
  <c r="N421" i="3" s="1"/>
  <c r="C421" i="4"/>
  <c r="AB420" i="3"/>
  <c r="K423" i="2"/>
  <c r="C423" i="2"/>
  <c r="M427" i="2"/>
  <c r="I421" i="4"/>
  <c r="M421" i="4" s="1"/>
  <c r="B422" i="3"/>
  <c r="B424" i="2"/>
  <c r="L426" i="2"/>
  <c r="A422" i="4"/>
  <c r="M421" i="3"/>
  <c r="C421" i="3"/>
  <c r="E421" i="3"/>
  <c r="S421" i="3"/>
  <c r="Y421" i="3" s="1"/>
  <c r="Z421" i="3" s="1"/>
  <c r="G421" i="3"/>
  <c r="P421" i="3"/>
  <c r="D419" i="4"/>
  <c r="AA419" i="3"/>
  <c r="P421" i="2"/>
  <c r="J420" i="2"/>
  <c r="G420" i="2" s="1"/>
  <c r="T419" i="3" s="1"/>
  <c r="V419" i="3"/>
  <c r="D423" i="2"/>
  <c r="T422" i="2"/>
  <c r="N421" i="2"/>
  <c r="H420" i="2"/>
  <c r="E420" i="2" s="1"/>
  <c r="H419" i="3" s="1"/>
  <c r="J419" i="3"/>
  <c r="F418" i="3"/>
  <c r="D419" i="3"/>
  <c r="I417" i="3"/>
  <c r="U417" i="3"/>
  <c r="O417" i="3"/>
  <c r="K420" i="4" l="1"/>
  <c r="N420" i="4" s="1"/>
  <c r="H418" i="4"/>
  <c r="F418" i="4"/>
  <c r="J418" i="4"/>
  <c r="E421" i="4"/>
  <c r="G420" i="4"/>
  <c r="L420" i="4" s="1"/>
  <c r="O424" i="2"/>
  <c r="I423" i="2"/>
  <c r="F423" i="2" s="1"/>
  <c r="N422" i="3" s="1"/>
  <c r="P422" i="2"/>
  <c r="J421" i="2"/>
  <c r="G421" i="2" s="1"/>
  <c r="T420" i="3" s="1"/>
  <c r="V420" i="3"/>
  <c r="F419" i="3"/>
  <c r="D420" i="3"/>
  <c r="I422" i="4"/>
  <c r="M422" i="4" s="1"/>
  <c r="M428" i="2"/>
  <c r="D420" i="4"/>
  <c r="AA420" i="3"/>
  <c r="I418" i="3"/>
  <c r="U418" i="3"/>
  <c r="O418" i="3"/>
  <c r="L427" i="2"/>
  <c r="C424" i="2"/>
  <c r="B423" i="3"/>
  <c r="B425" i="2"/>
  <c r="N422" i="2"/>
  <c r="J420" i="3"/>
  <c r="H421" i="2"/>
  <c r="E421" i="2" s="1"/>
  <c r="H420" i="3" s="1"/>
  <c r="A423" i="4"/>
  <c r="E422" i="3"/>
  <c r="G422" i="3"/>
  <c r="S422" i="3"/>
  <c r="Y422" i="3" s="1"/>
  <c r="Z422" i="3" s="1"/>
  <c r="C422" i="3"/>
  <c r="M422" i="3"/>
  <c r="P422" i="3"/>
  <c r="K424" i="2"/>
  <c r="D424" i="2"/>
  <c r="T423" i="2"/>
  <c r="C422" i="4"/>
  <c r="AB421" i="3"/>
  <c r="F419" i="4" l="1"/>
  <c r="G421" i="4"/>
  <c r="L421" i="4" s="1"/>
  <c r="K421" i="4"/>
  <c r="N421" i="4" s="1"/>
  <c r="E422" i="4"/>
  <c r="H419" i="4"/>
  <c r="J419" i="4"/>
  <c r="O425" i="2"/>
  <c r="I424" i="2"/>
  <c r="F424" i="2" s="1"/>
  <c r="N423" i="3" s="1"/>
  <c r="M429" i="2"/>
  <c r="C425" i="2"/>
  <c r="A424" i="4"/>
  <c r="C423" i="3"/>
  <c r="P423" i="3"/>
  <c r="E423" i="3"/>
  <c r="G423" i="3"/>
  <c r="S423" i="3"/>
  <c r="Y423" i="3" s="1"/>
  <c r="Z423" i="3" s="1"/>
  <c r="M423" i="3"/>
  <c r="T424" i="2"/>
  <c r="D425" i="2"/>
  <c r="L428" i="2"/>
  <c r="K425" i="2"/>
  <c r="I423" i="4"/>
  <c r="M423" i="4" s="1"/>
  <c r="F420" i="3"/>
  <c r="D421" i="3"/>
  <c r="O419" i="3"/>
  <c r="I419" i="3"/>
  <c r="U419" i="3"/>
  <c r="N423" i="2"/>
  <c r="H422" i="2"/>
  <c r="E422" i="2" s="1"/>
  <c r="H421" i="3" s="1"/>
  <c r="J421" i="3"/>
  <c r="C423" i="4"/>
  <c r="AB422" i="3"/>
  <c r="D421" i="4"/>
  <c r="AA421" i="3"/>
  <c r="B424" i="3"/>
  <c r="B426" i="2"/>
  <c r="P423" i="2"/>
  <c r="J422" i="2"/>
  <c r="G422" i="2" s="1"/>
  <c r="T421" i="3" s="1"/>
  <c r="V421" i="3"/>
  <c r="G422" i="4" l="1"/>
  <c r="L422" i="4" s="1"/>
  <c r="F420" i="4"/>
  <c r="J420" i="4"/>
  <c r="K422" i="4"/>
  <c r="N422" i="4" s="1"/>
  <c r="H420" i="4"/>
  <c r="E423" i="4"/>
  <c r="O426" i="2"/>
  <c r="I425" i="2"/>
  <c r="F425" i="2" s="1"/>
  <c r="N424" i="3" s="1"/>
  <c r="K426" i="2"/>
  <c r="N424" i="2"/>
  <c r="H423" i="2"/>
  <c r="E423" i="2" s="1"/>
  <c r="H422" i="3" s="1"/>
  <c r="J422" i="3"/>
  <c r="L429" i="2"/>
  <c r="P424" i="2"/>
  <c r="J423" i="2"/>
  <c r="G423" i="2" s="1"/>
  <c r="T422" i="3" s="1"/>
  <c r="V422" i="3"/>
  <c r="B425" i="3"/>
  <c r="B427" i="2"/>
  <c r="F421" i="3"/>
  <c r="D422" i="3"/>
  <c r="D426" i="2"/>
  <c r="T425" i="2"/>
  <c r="A425" i="4"/>
  <c r="M424" i="3"/>
  <c r="C424" i="3"/>
  <c r="P424" i="3"/>
  <c r="E424" i="3"/>
  <c r="G424" i="3"/>
  <c r="S424" i="3"/>
  <c r="Y424" i="3" s="1"/>
  <c r="Z424" i="3" s="1"/>
  <c r="O420" i="3"/>
  <c r="U420" i="3"/>
  <c r="I420" i="3"/>
  <c r="D422" i="4"/>
  <c r="AA422" i="3"/>
  <c r="I424" i="4"/>
  <c r="M424" i="4" s="1"/>
  <c r="C426" i="2"/>
  <c r="C424" i="4"/>
  <c r="AB423" i="3"/>
  <c r="M430" i="2"/>
  <c r="H421" i="4" l="1"/>
  <c r="K423" i="4"/>
  <c r="N423" i="4" s="1"/>
  <c r="E424" i="4"/>
  <c r="G423" i="4"/>
  <c r="L423" i="4" s="1"/>
  <c r="F421" i="4"/>
  <c r="J421" i="4"/>
  <c r="O427" i="2"/>
  <c r="I426" i="2"/>
  <c r="F426" i="2" s="1"/>
  <c r="N425" i="3" s="1"/>
  <c r="B426" i="3"/>
  <c r="B428" i="2"/>
  <c r="M431" i="2"/>
  <c r="D423" i="4"/>
  <c r="AA423" i="3"/>
  <c r="P425" i="2"/>
  <c r="J424" i="2"/>
  <c r="G424" i="2" s="1"/>
  <c r="T423" i="3" s="1"/>
  <c r="V423" i="3"/>
  <c r="C425" i="4"/>
  <c r="AB424" i="3"/>
  <c r="A426" i="4"/>
  <c r="M425" i="3"/>
  <c r="C425" i="3"/>
  <c r="E425" i="3"/>
  <c r="G425" i="3"/>
  <c r="P425" i="3"/>
  <c r="S425" i="3"/>
  <c r="Y425" i="3" s="1"/>
  <c r="Z425" i="3" s="1"/>
  <c r="I425" i="4"/>
  <c r="M425" i="4" s="1"/>
  <c r="L430" i="2"/>
  <c r="C427" i="2"/>
  <c r="T426" i="2"/>
  <c r="D427" i="2"/>
  <c r="N425" i="2"/>
  <c r="J423" i="3"/>
  <c r="H424" i="2"/>
  <c r="E424" i="2" s="1"/>
  <c r="H423" i="3" s="1"/>
  <c r="F422" i="3"/>
  <c r="D423" i="3"/>
  <c r="I421" i="3"/>
  <c r="U421" i="3"/>
  <c r="O421" i="3"/>
  <c r="K427" i="2"/>
  <c r="J422" i="4" l="1"/>
  <c r="E425" i="4"/>
  <c r="K424" i="4"/>
  <c r="N424" i="4" s="1"/>
  <c r="H422" i="4"/>
  <c r="G424" i="4"/>
  <c r="L424" i="4" s="1"/>
  <c r="F422" i="4"/>
  <c r="O428" i="2"/>
  <c r="I427" i="2"/>
  <c r="F427" i="2" s="1"/>
  <c r="N426" i="3" s="1"/>
  <c r="I426" i="4"/>
  <c r="M426" i="4" s="1"/>
  <c r="K428" i="2"/>
  <c r="C428" i="2"/>
  <c r="P426" i="2"/>
  <c r="J425" i="2"/>
  <c r="G425" i="2" s="1"/>
  <c r="T424" i="3" s="1"/>
  <c r="V424" i="3"/>
  <c r="F423" i="3"/>
  <c r="D424" i="3"/>
  <c r="L431" i="2"/>
  <c r="D424" i="4"/>
  <c r="AA424" i="3"/>
  <c r="I422" i="3"/>
  <c r="U422" i="3"/>
  <c r="O422" i="3"/>
  <c r="C426" i="4"/>
  <c r="AB425" i="3"/>
  <c r="M432" i="2"/>
  <c r="B427" i="3"/>
  <c r="B429" i="2"/>
  <c r="N426" i="2"/>
  <c r="H425" i="2"/>
  <c r="E425" i="2" s="1"/>
  <c r="H424" i="3" s="1"/>
  <c r="J424" i="3"/>
  <c r="D428" i="2"/>
  <c r="T427" i="2"/>
  <c r="A427" i="4"/>
  <c r="E426" i="3"/>
  <c r="G426" i="3"/>
  <c r="S426" i="3"/>
  <c r="Y426" i="3" s="1"/>
  <c r="Z426" i="3" s="1"/>
  <c r="C426" i="3"/>
  <c r="M426" i="3"/>
  <c r="P426" i="3"/>
  <c r="G425" i="4" l="1"/>
  <c r="L425" i="4" s="1"/>
  <c r="E426" i="4"/>
  <c r="H423" i="4"/>
  <c r="K425" i="4"/>
  <c r="N425" i="4" s="1"/>
  <c r="J423" i="4"/>
  <c r="F423" i="4"/>
  <c r="O429" i="2"/>
  <c r="I428" i="2"/>
  <c r="F428" i="2" s="1"/>
  <c r="N427" i="3" s="1"/>
  <c r="I427" i="4"/>
  <c r="M427" i="4" s="1"/>
  <c r="P427" i="2"/>
  <c r="J426" i="2"/>
  <c r="G426" i="2" s="1"/>
  <c r="T425" i="3" s="1"/>
  <c r="V425" i="3"/>
  <c r="C427" i="4"/>
  <c r="AB426" i="3"/>
  <c r="T428" i="2"/>
  <c r="D429" i="2"/>
  <c r="C429" i="2"/>
  <c r="D425" i="4"/>
  <c r="AA425" i="3"/>
  <c r="K429" i="2"/>
  <c r="N427" i="2"/>
  <c r="J425" i="3"/>
  <c r="H426" i="2"/>
  <c r="E426" i="2" s="1"/>
  <c r="H425" i="3" s="1"/>
  <c r="B428" i="3"/>
  <c r="B430" i="2"/>
  <c r="L432" i="2"/>
  <c r="A428" i="4"/>
  <c r="C427" i="3"/>
  <c r="P427" i="3"/>
  <c r="E427" i="3"/>
  <c r="G427" i="3"/>
  <c r="S427" i="3"/>
  <c r="Y427" i="3" s="1"/>
  <c r="Z427" i="3" s="1"/>
  <c r="M427" i="3"/>
  <c r="F424" i="3"/>
  <c r="D425" i="3"/>
  <c r="O423" i="3"/>
  <c r="I423" i="3"/>
  <c r="U423" i="3"/>
  <c r="M433" i="2"/>
  <c r="J424" i="4" l="1"/>
  <c r="F424" i="4"/>
  <c r="E427" i="4"/>
  <c r="H424" i="4"/>
  <c r="K426" i="4"/>
  <c r="N426" i="4" s="1"/>
  <c r="G426" i="4"/>
  <c r="L426" i="4" s="1"/>
  <c r="O430" i="2"/>
  <c r="I429" i="2"/>
  <c r="F429" i="2" s="1"/>
  <c r="N428" i="3" s="1"/>
  <c r="M434" i="2"/>
  <c r="N428" i="2"/>
  <c r="J426" i="3"/>
  <c r="H427" i="2"/>
  <c r="E427" i="2" s="1"/>
  <c r="H426" i="3" s="1"/>
  <c r="K430" i="2"/>
  <c r="D426" i="4"/>
  <c r="AA426" i="3"/>
  <c r="P428" i="2"/>
  <c r="J427" i="2"/>
  <c r="G427" i="2" s="1"/>
  <c r="T426" i="3" s="1"/>
  <c r="V426" i="3"/>
  <c r="F425" i="3"/>
  <c r="D426" i="3"/>
  <c r="O424" i="3"/>
  <c r="I424" i="3"/>
  <c r="U424" i="3"/>
  <c r="I428" i="4"/>
  <c r="M428" i="4" s="1"/>
  <c r="C430" i="2"/>
  <c r="L433" i="2"/>
  <c r="C428" i="4"/>
  <c r="AB427" i="3"/>
  <c r="B429" i="3"/>
  <c r="B431" i="2"/>
  <c r="T429" i="2"/>
  <c r="D430" i="2"/>
  <c r="A429" i="4"/>
  <c r="M428" i="3"/>
  <c r="C428" i="3"/>
  <c r="P428" i="3"/>
  <c r="E428" i="3"/>
  <c r="G428" i="3"/>
  <c r="S428" i="3"/>
  <c r="Y428" i="3" s="1"/>
  <c r="Z428" i="3" s="1"/>
  <c r="K427" i="4" l="1"/>
  <c r="N427" i="4" s="1"/>
  <c r="E428" i="4"/>
  <c r="G427" i="4"/>
  <c r="L427" i="4" s="1"/>
  <c r="J425" i="4"/>
  <c r="F425" i="4"/>
  <c r="H425" i="4"/>
  <c r="O431" i="2"/>
  <c r="I430" i="2"/>
  <c r="F430" i="2" s="1"/>
  <c r="N429" i="3" s="1"/>
  <c r="D431" i="2"/>
  <c r="T430" i="2"/>
  <c r="P429" i="2"/>
  <c r="J428" i="2"/>
  <c r="G428" i="2" s="1"/>
  <c r="T427" i="3" s="1"/>
  <c r="V427" i="3"/>
  <c r="D427" i="4"/>
  <c r="AA427" i="3"/>
  <c r="B430" i="3"/>
  <c r="B432" i="2"/>
  <c r="A430" i="4"/>
  <c r="M429" i="3"/>
  <c r="C429" i="3"/>
  <c r="E429" i="3"/>
  <c r="G429" i="3"/>
  <c r="P429" i="3"/>
  <c r="S429" i="3"/>
  <c r="Y429" i="3" s="1"/>
  <c r="Z429" i="3" s="1"/>
  <c r="K431" i="2"/>
  <c r="I429" i="4"/>
  <c r="M429" i="4" s="1"/>
  <c r="N429" i="2"/>
  <c r="J427" i="3"/>
  <c r="H428" i="2"/>
  <c r="E428" i="2" s="1"/>
  <c r="H427" i="3" s="1"/>
  <c r="L434" i="2"/>
  <c r="C431" i="2"/>
  <c r="F426" i="3"/>
  <c r="D427" i="3"/>
  <c r="C429" i="4"/>
  <c r="AB428" i="3"/>
  <c r="I425" i="3"/>
  <c r="U425" i="3"/>
  <c r="O425" i="3"/>
  <c r="M435" i="2"/>
  <c r="G428" i="4" l="1"/>
  <c r="L428" i="4" s="1"/>
  <c r="K428" i="4"/>
  <c r="N428" i="4" s="1"/>
  <c r="H426" i="4"/>
  <c r="J426" i="4"/>
  <c r="E429" i="4"/>
  <c r="F426" i="4"/>
  <c r="O432" i="2"/>
  <c r="I431" i="2"/>
  <c r="F431" i="2" s="1"/>
  <c r="N430" i="3" s="1"/>
  <c r="C432" i="2"/>
  <c r="K432" i="2"/>
  <c r="I430" i="4"/>
  <c r="M430" i="4" s="1"/>
  <c r="M436" i="2"/>
  <c r="L435" i="2"/>
  <c r="B431" i="3"/>
  <c r="B433" i="2"/>
  <c r="A431" i="4"/>
  <c r="G430" i="3"/>
  <c r="S430" i="3"/>
  <c r="Y430" i="3" s="1"/>
  <c r="Z430" i="3" s="1"/>
  <c r="C430" i="3"/>
  <c r="E430" i="3"/>
  <c r="M430" i="3"/>
  <c r="P430" i="3"/>
  <c r="D428" i="4"/>
  <c r="AA428" i="3"/>
  <c r="N430" i="2"/>
  <c r="H429" i="2"/>
  <c r="E429" i="2" s="1"/>
  <c r="H428" i="3" s="1"/>
  <c r="J428" i="3"/>
  <c r="F427" i="3"/>
  <c r="D428" i="3"/>
  <c r="C430" i="4"/>
  <c r="AB429" i="3"/>
  <c r="P430" i="2"/>
  <c r="J429" i="2"/>
  <c r="G429" i="2" s="1"/>
  <c r="T428" i="3" s="1"/>
  <c r="V428" i="3"/>
  <c r="I426" i="3"/>
  <c r="U426" i="3"/>
  <c r="O426" i="3"/>
  <c r="T431" i="2"/>
  <c r="D432" i="2"/>
  <c r="F427" i="4" l="1"/>
  <c r="G429" i="4"/>
  <c r="L429" i="4" s="1"/>
  <c r="H427" i="4"/>
  <c r="J427" i="4"/>
  <c r="K429" i="4"/>
  <c r="N429" i="4" s="1"/>
  <c r="E430" i="4"/>
  <c r="O433" i="2"/>
  <c r="I432" i="2"/>
  <c r="F432" i="2" s="1"/>
  <c r="N431" i="3" s="1"/>
  <c r="M437" i="2"/>
  <c r="D433" i="2"/>
  <c r="T432" i="2"/>
  <c r="O427" i="3"/>
  <c r="I427" i="3"/>
  <c r="U427" i="3"/>
  <c r="N431" i="2"/>
  <c r="J429" i="3"/>
  <c r="H430" i="2"/>
  <c r="E430" i="2" s="1"/>
  <c r="H429" i="3" s="1"/>
  <c r="F428" i="3"/>
  <c r="D429" i="3"/>
  <c r="I431" i="4"/>
  <c r="M431" i="4" s="1"/>
  <c r="B432" i="3"/>
  <c r="B434" i="2"/>
  <c r="A432" i="4"/>
  <c r="C431" i="3"/>
  <c r="P431" i="3"/>
  <c r="E431" i="3"/>
  <c r="G431" i="3"/>
  <c r="S431" i="3"/>
  <c r="Y431" i="3" s="1"/>
  <c r="Z431" i="3" s="1"/>
  <c r="M431" i="3"/>
  <c r="K433" i="2"/>
  <c r="D429" i="4"/>
  <c r="AA429" i="3"/>
  <c r="C431" i="4"/>
  <c r="AB430" i="3"/>
  <c r="C433" i="2"/>
  <c r="P431" i="2"/>
  <c r="J430" i="2"/>
  <c r="G430" i="2" s="1"/>
  <c r="T429" i="3" s="1"/>
  <c r="V429" i="3"/>
  <c r="L436" i="2"/>
  <c r="F428" i="4" l="1"/>
  <c r="J428" i="4"/>
  <c r="H428" i="4"/>
  <c r="G430" i="4"/>
  <c r="L430" i="4" s="1"/>
  <c r="E431" i="4"/>
  <c r="K430" i="4"/>
  <c r="N430" i="4" s="1"/>
  <c r="O434" i="2"/>
  <c r="I433" i="2"/>
  <c r="F433" i="2" s="1"/>
  <c r="N432" i="3" s="1"/>
  <c r="O428" i="3"/>
  <c r="I428" i="3"/>
  <c r="U428" i="3"/>
  <c r="K434" i="2"/>
  <c r="L437" i="2"/>
  <c r="I432" i="4"/>
  <c r="M432" i="4" s="1"/>
  <c r="B433" i="3"/>
  <c r="B435" i="2"/>
  <c r="N432" i="2"/>
  <c r="H431" i="2"/>
  <c r="E431" i="2" s="1"/>
  <c r="H430" i="3" s="1"/>
  <c r="J430" i="3"/>
  <c r="C432" i="4"/>
  <c r="AB431" i="3"/>
  <c r="A433" i="4"/>
  <c r="M432" i="3"/>
  <c r="C432" i="3"/>
  <c r="P432" i="3"/>
  <c r="S432" i="3"/>
  <c r="Y432" i="3" s="1"/>
  <c r="Z432" i="3" s="1"/>
  <c r="E432" i="3"/>
  <c r="G432" i="3"/>
  <c r="T433" i="2"/>
  <c r="D434" i="2"/>
  <c r="P432" i="2"/>
  <c r="J431" i="2"/>
  <c r="G431" i="2" s="1"/>
  <c r="T430" i="3" s="1"/>
  <c r="V430" i="3"/>
  <c r="C434" i="2"/>
  <c r="D430" i="4"/>
  <c r="AA430" i="3"/>
  <c r="F429" i="3"/>
  <c r="D430" i="3"/>
  <c r="M438" i="2"/>
  <c r="J429" i="4" l="1"/>
  <c r="F429" i="4"/>
  <c r="K431" i="4"/>
  <c r="N431" i="4" s="1"/>
  <c r="E432" i="4"/>
  <c r="H429" i="4"/>
  <c r="G431" i="4"/>
  <c r="L431" i="4" s="1"/>
  <c r="O435" i="2"/>
  <c r="I434" i="2"/>
  <c r="F434" i="2" s="1"/>
  <c r="N433" i="3" s="1"/>
  <c r="P433" i="2"/>
  <c r="J432" i="2"/>
  <c r="G432" i="2" s="1"/>
  <c r="T431" i="3" s="1"/>
  <c r="V431" i="3"/>
  <c r="M439" i="2"/>
  <c r="D435" i="2"/>
  <c r="T434" i="2"/>
  <c r="C433" i="4"/>
  <c r="AB432" i="3"/>
  <c r="F430" i="3"/>
  <c r="D431" i="3"/>
  <c r="I433" i="4"/>
  <c r="M433" i="4" s="1"/>
  <c r="I429" i="3"/>
  <c r="U429" i="3"/>
  <c r="O429" i="3"/>
  <c r="D431" i="4"/>
  <c r="AA431" i="3"/>
  <c r="L438" i="2"/>
  <c r="C435" i="2"/>
  <c r="N433" i="2"/>
  <c r="J431" i="3"/>
  <c r="H432" i="2"/>
  <c r="E432" i="2" s="1"/>
  <c r="H431" i="3" s="1"/>
  <c r="K435" i="2"/>
  <c r="B434" i="3"/>
  <c r="B436" i="2"/>
  <c r="A434" i="4"/>
  <c r="C433" i="3"/>
  <c r="E433" i="3"/>
  <c r="G433" i="3"/>
  <c r="M433" i="3"/>
  <c r="P433" i="3"/>
  <c r="S433" i="3"/>
  <c r="Y433" i="3" s="1"/>
  <c r="Z433" i="3" s="1"/>
  <c r="E433" i="4" l="1"/>
  <c r="F430" i="4"/>
  <c r="G432" i="4"/>
  <c r="L432" i="4" s="1"/>
  <c r="K432" i="4"/>
  <c r="N432" i="4" s="1"/>
  <c r="H430" i="4"/>
  <c r="J430" i="4"/>
  <c r="O436" i="2"/>
  <c r="I435" i="2"/>
  <c r="I434" i="4"/>
  <c r="M434" i="4" s="1"/>
  <c r="F431" i="3"/>
  <c r="D432" i="3"/>
  <c r="B435" i="3"/>
  <c r="B437" i="2"/>
  <c r="D432" i="4"/>
  <c r="AA432" i="3"/>
  <c r="I430" i="3"/>
  <c r="U430" i="3"/>
  <c r="O430" i="3"/>
  <c r="A435" i="4"/>
  <c r="G434" i="3"/>
  <c r="S434" i="3"/>
  <c r="Y434" i="3" s="1"/>
  <c r="Z434" i="3" s="1"/>
  <c r="M434" i="3"/>
  <c r="P434" i="3"/>
  <c r="C434" i="3"/>
  <c r="E434" i="3"/>
  <c r="C434" i="4"/>
  <c r="AB433" i="3"/>
  <c r="K436" i="2"/>
  <c r="D436" i="2"/>
  <c r="T435" i="2"/>
  <c r="N434" i="2"/>
  <c r="H433" i="2"/>
  <c r="E433" i="2" s="1"/>
  <c r="H432" i="3" s="1"/>
  <c r="J432" i="3"/>
  <c r="M440" i="2"/>
  <c r="F435" i="2"/>
  <c r="N434" i="3" s="1"/>
  <c r="C436" i="2"/>
  <c r="L439" i="2"/>
  <c r="P434" i="2"/>
  <c r="J433" i="2"/>
  <c r="G433" i="2" s="1"/>
  <c r="T432" i="3" s="1"/>
  <c r="V432" i="3"/>
  <c r="J431" i="4" l="1"/>
  <c r="F431" i="4"/>
  <c r="K433" i="4"/>
  <c r="N433" i="4" s="1"/>
  <c r="H431" i="4"/>
  <c r="E434" i="4"/>
  <c r="G433" i="4"/>
  <c r="L433" i="4" s="1"/>
  <c r="O437" i="2"/>
  <c r="I436" i="2"/>
  <c r="F436" i="2" s="1"/>
  <c r="N435" i="3" s="1"/>
  <c r="D433" i="4"/>
  <c r="AA433" i="3"/>
  <c r="M441" i="2"/>
  <c r="B436" i="3"/>
  <c r="B438" i="2"/>
  <c r="P435" i="2"/>
  <c r="J434" i="2"/>
  <c r="G434" i="2" s="1"/>
  <c r="T433" i="3" s="1"/>
  <c r="V433" i="3"/>
  <c r="C435" i="4"/>
  <c r="AB434" i="3"/>
  <c r="A436" i="4"/>
  <c r="C435" i="3"/>
  <c r="P435" i="3"/>
  <c r="E435" i="3"/>
  <c r="S435" i="3"/>
  <c r="Y435" i="3" s="1"/>
  <c r="Z435" i="3" s="1"/>
  <c r="G435" i="3"/>
  <c r="M435" i="3"/>
  <c r="N435" i="2"/>
  <c r="J433" i="3"/>
  <c r="H434" i="2"/>
  <c r="E434" i="2" s="1"/>
  <c r="H433" i="3" s="1"/>
  <c r="T436" i="2"/>
  <c r="D437" i="2"/>
  <c r="F432" i="3"/>
  <c r="D433" i="3"/>
  <c r="L440" i="2"/>
  <c r="O431" i="3"/>
  <c r="I431" i="3"/>
  <c r="U431" i="3"/>
  <c r="C437" i="2"/>
  <c r="K437" i="2"/>
  <c r="I435" i="4"/>
  <c r="M435" i="4" s="1"/>
  <c r="E435" i="4" l="1"/>
  <c r="K434" i="4"/>
  <c r="N434" i="4" s="1"/>
  <c r="G434" i="4"/>
  <c r="L434" i="4" s="1"/>
  <c r="J432" i="4"/>
  <c r="F432" i="4"/>
  <c r="H432" i="4"/>
  <c r="O438" i="2"/>
  <c r="I437" i="2"/>
  <c r="F437" i="2" s="1"/>
  <c r="N436" i="3" s="1"/>
  <c r="C436" i="4"/>
  <c r="AB435" i="3"/>
  <c r="F433" i="3"/>
  <c r="D434" i="3"/>
  <c r="P436" i="2"/>
  <c r="J435" i="2"/>
  <c r="G435" i="2" s="1"/>
  <c r="T434" i="3" s="1"/>
  <c r="V434" i="3"/>
  <c r="I436" i="4"/>
  <c r="M436" i="4" s="1"/>
  <c r="L441" i="2"/>
  <c r="O432" i="3"/>
  <c r="U432" i="3"/>
  <c r="I432" i="3"/>
  <c r="B437" i="3"/>
  <c r="B439" i="2"/>
  <c r="D438" i="2"/>
  <c r="T437" i="2"/>
  <c r="A437" i="4"/>
  <c r="M436" i="3"/>
  <c r="P436" i="3"/>
  <c r="C436" i="3"/>
  <c r="S436" i="3"/>
  <c r="Y436" i="3" s="1"/>
  <c r="Z436" i="3" s="1"/>
  <c r="E436" i="3"/>
  <c r="G436" i="3"/>
  <c r="K438" i="2"/>
  <c r="C438" i="2"/>
  <c r="M442" i="2"/>
  <c r="D434" i="4"/>
  <c r="AA434" i="3"/>
  <c r="N436" i="2"/>
  <c r="J434" i="3"/>
  <c r="H435" i="2"/>
  <c r="E435" i="2" s="1"/>
  <c r="H434" i="3" s="1"/>
  <c r="H433" i="4" l="1"/>
  <c r="K435" i="4"/>
  <c r="N435" i="4" s="1"/>
  <c r="E436" i="4"/>
  <c r="G435" i="4"/>
  <c r="L435" i="4" s="1"/>
  <c r="F433" i="4"/>
  <c r="J433" i="4"/>
  <c r="O439" i="2"/>
  <c r="I438" i="2"/>
  <c r="F438" i="2" s="1"/>
  <c r="N437" i="3" s="1"/>
  <c r="T438" i="2"/>
  <c r="D439" i="2"/>
  <c r="N437" i="2"/>
  <c r="H436" i="2"/>
  <c r="E436" i="2" s="1"/>
  <c r="H435" i="3" s="1"/>
  <c r="J435" i="3"/>
  <c r="D435" i="4"/>
  <c r="AA435" i="3"/>
  <c r="B438" i="3"/>
  <c r="B440" i="2"/>
  <c r="A438" i="4"/>
  <c r="C437" i="3"/>
  <c r="P437" i="3"/>
  <c r="S437" i="3"/>
  <c r="Y437" i="3" s="1"/>
  <c r="Z437" i="3" s="1"/>
  <c r="E437" i="3"/>
  <c r="G437" i="3"/>
  <c r="M437" i="3"/>
  <c r="M443" i="2"/>
  <c r="P437" i="2"/>
  <c r="J436" i="2"/>
  <c r="G436" i="2" s="1"/>
  <c r="T435" i="3" s="1"/>
  <c r="V435" i="3"/>
  <c r="K439" i="2"/>
  <c r="F434" i="3"/>
  <c r="D435" i="3"/>
  <c r="I433" i="3"/>
  <c r="U433" i="3"/>
  <c r="O433" i="3"/>
  <c r="I437" i="4"/>
  <c r="M437" i="4" s="1"/>
  <c r="C439" i="2"/>
  <c r="L442" i="2"/>
  <c r="C437" i="4"/>
  <c r="AB436" i="3"/>
  <c r="K436" i="4" l="1"/>
  <c r="N436" i="4" s="1"/>
  <c r="G436" i="4"/>
  <c r="L436" i="4" s="1"/>
  <c r="E437" i="4"/>
  <c r="H434" i="4"/>
  <c r="J434" i="4"/>
  <c r="F434" i="4"/>
  <c r="O440" i="2"/>
  <c r="I439" i="2"/>
  <c r="F439" i="2" s="1"/>
  <c r="N438" i="3" s="1"/>
  <c r="M444" i="2"/>
  <c r="A439" i="4"/>
  <c r="G438" i="3"/>
  <c r="S438" i="3"/>
  <c r="Y438" i="3" s="1"/>
  <c r="Z438" i="3" s="1"/>
  <c r="C438" i="3"/>
  <c r="E438" i="3"/>
  <c r="M438" i="3"/>
  <c r="P438" i="3"/>
  <c r="D436" i="4"/>
  <c r="AA436" i="3"/>
  <c r="I438" i="4"/>
  <c r="M438" i="4" s="1"/>
  <c r="B439" i="3"/>
  <c r="B441" i="2"/>
  <c r="L443" i="2"/>
  <c r="C440" i="2"/>
  <c r="F435" i="3"/>
  <c r="D436" i="3"/>
  <c r="C438" i="4"/>
  <c r="AB437" i="3"/>
  <c r="O434" i="3"/>
  <c r="U434" i="3"/>
  <c r="I434" i="3"/>
  <c r="K440" i="2"/>
  <c r="N438" i="2"/>
  <c r="H437" i="2"/>
  <c r="E437" i="2" s="1"/>
  <c r="H436" i="3" s="1"/>
  <c r="J436" i="3"/>
  <c r="D440" i="2"/>
  <c r="T439" i="2"/>
  <c r="P438" i="2"/>
  <c r="J437" i="2"/>
  <c r="G437" i="2" s="1"/>
  <c r="T436" i="3" s="1"/>
  <c r="V436" i="3"/>
  <c r="F435" i="4" l="1"/>
  <c r="H435" i="4"/>
  <c r="J435" i="4"/>
  <c r="K437" i="4"/>
  <c r="N437" i="4" s="1"/>
  <c r="E438" i="4"/>
  <c r="G437" i="4"/>
  <c r="L437" i="4" s="1"/>
  <c r="O441" i="2"/>
  <c r="I440" i="2"/>
  <c r="F440" i="2" s="1"/>
  <c r="N439" i="3" s="1"/>
  <c r="A440" i="4"/>
  <c r="C439" i="3"/>
  <c r="P439" i="3"/>
  <c r="M439" i="3"/>
  <c r="S439" i="3"/>
  <c r="Y439" i="3" s="1"/>
  <c r="Z439" i="3" s="1"/>
  <c r="E439" i="3"/>
  <c r="G439" i="3"/>
  <c r="C439" i="4"/>
  <c r="AB438" i="3"/>
  <c r="T440" i="2"/>
  <c r="D441" i="2"/>
  <c r="F436" i="3"/>
  <c r="D437" i="3"/>
  <c r="O435" i="3"/>
  <c r="I435" i="3"/>
  <c r="U435" i="3"/>
  <c r="B440" i="3"/>
  <c r="B442" i="2"/>
  <c r="D437" i="4"/>
  <c r="AA437" i="3"/>
  <c r="N439" i="2"/>
  <c r="H438" i="2"/>
  <c r="E438" i="2" s="1"/>
  <c r="H437" i="3" s="1"/>
  <c r="J437" i="3"/>
  <c r="C441" i="2"/>
  <c r="I439" i="4"/>
  <c r="M439" i="4" s="1"/>
  <c r="P439" i="2"/>
  <c r="J438" i="2"/>
  <c r="G438" i="2" s="1"/>
  <c r="T437" i="3" s="1"/>
  <c r="V437" i="3"/>
  <c r="K441" i="2"/>
  <c r="L444" i="2"/>
  <c r="M445" i="2"/>
  <c r="E439" i="4" l="1"/>
  <c r="K438" i="4"/>
  <c r="N438" i="4" s="1"/>
  <c r="J436" i="4"/>
  <c r="F436" i="4"/>
  <c r="H436" i="4"/>
  <c r="G438" i="4"/>
  <c r="L438" i="4" s="1"/>
  <c r="O442" i="2"/>
  <c r="I441" i="2"/>
  <c r="F441" i="2" s="1"/>
  <c r="N440" i="3" s="1"/>
  <c r="B441" i="3"/>
  <c r="B443" i="2"/>
  <c r="A441" i="4"/>
  <c r="M440" i="3"/>
  <c r="P440" i="3"/>
  <c r="C440" i="3"/>
  <c r="S440" i="3"/>
  <c r="Y440" i="3" s="1"/>
  <c r="Z440" i="3" s="1"/>
  <c r="E440" i="3"/>
  <c r="G440" i="3"/>
  <c r="M446" i="2"/>
  <c r="L445" i="2"/>
  <c r="C442" i="2"/>
  <c r="D438" i="3"/>
  <c r="F437" i="3"/>
  <c r="K442" i="2"/>
  <c r="I436" i="3"/>
  <c r="O436" i="3"/>
  <c r="U436" i="3"/>
  <c r="C440" i="4"/>
  <c r="AB439" i="3"/>
  <c r="T441" i="2"/>
  <c r="D442" i="2"/>
  <c r="P440" i="2"/>
  <c r="J439" i="2"/>
  <c r="G439" i="2" s="1"/>
  <c r="T438" i="3" s="1"/>
  <c r="V438" i="3"/>
  <c r="N440" i="2"/>
  <c r="H439" i="2"/>
  <c r="E439" i="2" s="1"/>
  <c r="H438" i="3" s="1"/>
  <c r="J438" i="3"/>
  <c r="D438" i="4"/>
  <c r="AA438" i="3"/>
  <c r="I440" i="4"/>
  <c r="M440" i="4" s="1"/>
  <c r="E440" i="4" l="1"/>
  <c r="J437" i="4"/>
  <c r="H437" i="4"/>
  <c r="K439" i="4"/>
  <c r="N439" i="4" s="1"/>
  <c r="G439" i="4"/>
  <c r="L439" i="4" s="1"/>
  <c r="F437" i="4"/>
  <c r="O443" i="2"/>
  <c r="I442" i="2"/>
  <c r="F442" i="2" s="1"/>
  <c r="N441" i="3" s="1"/>
  <c r="I437" i="3"/>
  <c r="U437" i="3"/>
  <c r="O437" i="3"/>
  <c r="P441" i="2"/>
  <c r="J440" i="2"/>
  <c r="G440" i="2" s="1"/>
  <c r="T439" i="3" s="1"/>
  <c r="V439" i="3"/>
  <c r="F438" i="3"/>
  <c r="D439" i="3"/>
  <c r="T442" i="2"/>
  <c r="D443" i="2"/>
  <c r="C443" i="2"/>
  <c r="D439" i="4"/>
  <c r="AA439" i="3"/>
  <c r="L446" i="2"/>
  <c r="C441" i="4"/>
  <c r="AB440" i="3"/>
  <c r="M447" i="2"/>
  <c r="I441" i="4"/>
  <c r="M441" i="4" s="1"/>
  <c r="B442" i="3"/>
  <c r="B444" i="2"/>
  <c r="N441" i="2"/>
  <c r="J439" i="3"/>
  <c r="H440" i="2"/>
  <c r="E440" i="2" s="1"/>
  <c r="H439" i="3" s="1"/>
  <c r="K443" i="2"/>
  <c r="A442" i="4"/>
  <c r="C441" i="3"/>
  <c r="P441" i="3"/>
  <c r="E441" i="3"/>
  <c r="S441" i="3"/>
  <c r="Y441" i="3" s="1"/>
  <c r="Z441" i="3" s="1"/>
  <c r="G441" i="3"/>
  <c r="M441" i="3"/>
  <c r="J438" i="4" l="1"/>
  <c r="H438" i="4"/>
  <c r="K440" i="4"/>
  <c r="N440" i="4" s="1"/>
  <c r="E441" i="4"/>
  <c r="F438" i="4"/>
  <c r="G440" i="4"/>
  <c r="L440" i="4" s="1"/>
  <c r="O444" i="2"/>
  <c r="I443" i="2"/>
  <c r="F443" i="2" s="1"/>
  <c r="N442" i="3" s="1"/>
  <c r="T443" i="2"/>
  <c r="D444" i="2"/>
  <c r="I442" i="4"/>
  <c r="M442" i="4" s="1"/>
  <c r="C444" i="2"/>
  <c r="C442" i="4"/>
  <c r="AB441" i="3"/>
  <c r="K444" i="2"/>
  <c r="M448" i="2"/>
  <c r="D440" i="3"/>
  <c r="F439" i="3"/>
  <c r="N442" i="2"/>
  <c r="J440" i="3"/>
  <c r="H441" i="2"/>
  <c r="E441" i="2" s="1"/>
  <c r="H440" i="3" s="1"/>
  <c r="U438" i="3"/>
  <c r="I438" i="3"/>
  <c r="O438" i="3"/>
  <c r="B443" i="3"/>
  <c r="B445" i="2"/>
  <c r="D440" i="4"/>
  <c r="AA440" i="3"/>
  <c r="P442" i="2"/>
  <c r="J441" i="2"/>
  <c r="G441" i="2" s="1"/>
  <c r="T440" i="3" s="1"/>
  <c r="V440" i="3"/>
  <c r="L447" i="2"/>
  <c r="A443" i="4"/>
  <c r="C442" i="3"/>
  <c r="S442" i="3"/>
  <c r="Y442" i="3" s="1"/>
  <c r="Z442" i="3" s="1"/>
  <c r="E442" i="3"/>
  <c r="G442" i="3"/>
  <c r="M442" i="3"/>
  <c r="P442" i="3"/>
  <c r="F439" i="4" l="1"/>
  <c r="E442" i="4"/>
  <c r="G441" i="4"/>
  <c r="L441" i="4" s="1"/>
  <c r="H439" i="4"/>
  <c r="J439" i="4"/>
  <c r="K441" i="4"/>
  <c r="N441" i="4" s="1"/>
  <c r="O445" i="2"/>
  <c r="I444" i="2"/>
  <c r="F444" i="2" s="1"/>
  <c r="N443" i="3" s="1"/>
  <c r="I443" i="4"/>
  <c r="M443" i="4" s="1"/>
  <c r="C445" i="2"/>
  <c r="L448" i="2"/>
  <c r="P443" i="2"/>
  <c r="J442" i="2"/>
  <c r="G442" i="2" s="1"/>
  <c r="T441" i="3" s="1"/>
  <c r="V441" i="3"/>
  <c r="F440" i="3"/>
  <c r="D441" i="3"/>
  <c r="D441" i="4"/>
  <c r="AA441" i="3"/>
  <c r="N443" i="2"/>
  <c r="J441" i="3"/>
  <c r="H442" i="2"/>
  <c r="E442" i="2" s="1"/>
  <c r="H441" i="3" s="1"/>
  <c r="M449" i="2"/>
  <c r="O439" i="3"/>
  <c r="I439" i="3"/>
  <c r="U439" i="3"/>
  <c r="B444" i="3"/>
  <c r="B446" i="2"/>
  <c r="A444" i="4"/>
  <c r="C443" i="3"/>
  <c r="E443" i="3"/>
  <c r="S443" i="3"/>
  <c r="Y443" i="3" s="1"/>
  <c r="Z443" i="3" s="1"/>
  <c r="G443" i="3"/>
  <c r="M443" i="3"/>
  <c r="P443" i="3"/>
  <c r="K445" i="2"/>
  <c r="D445" i="2"/>
  <c r="T444" i="2"/>
  <c r="C443" i="4"/>
  <c r="AB442" i="3"/>
  <c r="E443" i="4" l="1"/>
  <c r="K442" i="4"/>
  <c r="N442" i="4" s="1"/>
  <c r="J440" i="4"/>
  <c r="F440" i="4"/>
  <c r="H440" i="4"/>
  <c r="G442" i="4"/>
  <c r="L442" i="4" s="1"/>
  <c r="O446" i="2"/>
  <c r="I445" i="2"/>
  <c r="F445" i="2" s="1"/>
  <c r="N444" i="3" s="1"/>
  <c r="P444" i="2"/>
  <c r="J443" i="2"/>
  <c r="G443" i="2" s="1"/>
  <c r="T442" i="3" s="1"/>
  <c r="V442" i="3"/>
  <c r="M450" i="2"/>
  <c r="L449" i="2"/>
  <c r="C444" i="4"/>
  <c r="AB443" i="3"/>
  <c r="T445" i="2"/>
  <c r="D446" i="2"/>
  <c r="N444" i="2"/>
  <c r="H443" i="2"/>
  <c r="E443" i="2" s="1"/>
  <c r="H442" i="3" s="1"/>
  <c r="J442" i="3"/>
  <c r="C446" i="2"/>
  <c r="K446" i="2"/>
  <c r="D442" i="4"/>
  <c r="AA442" i="3"/>
  <c r="I444" i="4"/>
  <c r="M444" i="4" s="1"/>
  <c r="B445" i="3"/>
  <c r="B447" i="2"/>
  <c r="D442" i="3"/>
  <c r="F441" i="3"/>
  <c r="A445" i="4"/>
  <c r="G444" i="3"/>
  <c r="M444" i="3"/>
  <c r="P444" i="3"/>
  <c r="C444" i="3"/>
  <c r="S444" i="3"/>
  <c r="Y444" i="3" s="1"/>
  <c r="Z444" i="3" s="1"/>
  <c r="E444" i="3"/>
  <c r="O440" i="3"/>
  <c r="U440" i="3"/>
  <c r="I440" i="3"/>
  <c r="F441" i="4" l="1"/>
  <c r="E444" i="4"/>
  <c r="J441" i="4"/>
  <c r="H441" i="4"/>
  <c r="K443" i="4"/>
  <c r="N443" i="4" s="1"/>
  <c r="G443" i="4"/>
  <c r="L443" i="4" s="1"/>
  <c r="O447" i="2"/>
  <c r="I446" i="2"/>
  <c r="F446" i="2" s="1"/>
  <c r="N445" i="3" s="1"/>
  <c r="D447" i="2"/>
  <c r="T446" i="2"/>
  <c r="D443" i="4"/>
  <c r="AA443" i="3"/>
  <c r="I445" i="4"/>
  <c r="M445" i="4" s="1"/>
  <c r="I441" i="3"/>
  <c r="U441" i="3"/>
  <c r="O441" i="3"/>
  <c r="F442" i="3"/>
  <c r="D443" i="3"/>
  <c r="K447" i="2"/>
  <c r="B446" i="3"/>
  <c r="B448" i="2"/>
  <c r="C447" i="2"/>
  <c r="L450" i="2"/>
  <c r="C445" i="4"/>
  <c r="AB444" i="3"/>
  <c r="A446" i="4"/>
  <c r="S445" i="3"/>
  <c r="Y445" i="3" s="1"/>
  <c r="Z445" i="3" s="1"/>
  <c r="G445" i="3"/>
  <c r="M445" i="3"/>
  <c r="C445" i="3"/>
  <c r="P445" i="3"/>
  <c r="E445" i="3"/>
  <c r="M451" i="2"/>
  <c r="N445" i="2"/>
  <c r="J443" i="3"/>
  <c r="H444" i="2"/>
  <c r="E444" i="2" s="1"/>
  <c r="H443" i="3" s="1"/>
  <c r="P445" i="2"/>
  <c r="J444" i="2"/>
  <c r="G444" i="2" s="1"/>
  <c r="T443" i="3" s="1"/>
  <c r="V443" i="3"/>
  <c r="K444" i="4" l="1"/>
  <c r="N444" i="4" s="1"/>
  <c r="G444" i="4"/>
  <c r="L444" i="4" s="1"/>
  <c r="H442" i="4"/>
  <c r="J442" i="4"/>
  <c r="F442" i="4"/>
  <c r="E445" i="4"/>
  <c r="O448" i="2"/>
  <c r="I447" i="2"/>
  <c r="F447" i="2" s="1"/>
  <c r="N446" i="3" s="1"/>
  <c r="C446" i="4"/>
  <c r="AB445" i="3"/>
  <c r="C448" i="2"/>
  <c r="B447" i="3"/>
  <c r="B449" i="2"/>
  <c r="A447" i="4"/>
  <c r="E446" i="3"/>
  <c r="S446" i="3"/>
  <c r="Y446" i="3" s="1"/>
  <c r="Z446" i="3" s="1"/>
  <c r="G446" i="3"/>
  <c r="M446" i="3"/>
  <c r="P446" i="3"/>
  <c r="C446" i="3"/>
  <c r="K448" i="2"/>
  <c r="D444" i="4"/>
  <c r="AA444" i="3"/>
  <c r="M452" i="2"/>
  <c r="I446" i="4"/>
  <c r="M446" i="4" s="1"/>
  <c r="F443" i="3"/>
  <c r="D444" i="3"/>
  <c r="N446" i="2"/>
  <c r="H445" i="2"/>
  <c r="E445" i="2" s="1"/>
  <c r="H444" i="3" s="1"/>
  <c r="J444" i="3"/>
  <c r="U442" i="3"/>
  <c r="I442" i="3"/>
  <c r="O442" i="3"/>
  <c r="P446" i="2"/>
  <c r="J445" i="2"/>
  <c r="G445" i="2" s="1"/>
  <c r="T444" i="3" s="1"/>
  <c r="V444" i="3"/>
  <c r="L451" i="2"/>
  <c r="D448" i="2"/>
  <c r="T447" i="2"/>
  <c r="G445" i="4" l="1"/>
  <c r="L445" i="4" s="1"/>
  <c r="J443" i="4"/>
  <c r="K445" i="4"/>
  <c r="N445" i="4" s="1"/>
  <c r="E446" i="4"/>
  <c r="F443" i="4"/>
  <c r="H443" i="4"/>
  <c r="O449" i="2"/>
  <c r="I448" i="2"/>
  <c r="F448" i="2" s="1"/>
  <c r="N447" i="3" s="1"/>
  <c r="D445" i="4"/>
  <c r="AA445" i="3"/>
  <c r="N447" i="2"/>
  <c r="H446" i="2"/>
  <c r="E446" i="2" s="1"/>
  <c r="H445" i="3" s="1"/>
  <c r="J445" i="3"/>
  <c r="D449" i="2"/>
  <c r="T448" i="2"/>
  <c r="F444" i="3"/>
  <c r="D445" i="3"/>
  <c r="O443" i="3"/>
  <c r="I443" i="3"/>
  <c r="U443" i="3"/>
  <c r="K449" i="2"/>
  <c r="I447" i="4"/>
  <c r="M447" i="4" s="1"/>
  <c r="L452" i="2"/>
  <c r="B448" i="3"/>
  <c r="B450" i="2"/>
  <c r="A448" i="4"/>
  <c r="C447" i="3"/>
  <c r="E447" i="3"/>
  <c r="S447" i="3"/>
  <c r="Y447" i="3" s="1"/>
  <c r="Z447" i="3" s="1"/>
  <c r="G447" i="3"/>
  <c r="M447" i="3"/>
  <c r="P447" i="3"/>
  <c r="C449" i="2"/>
  <c r="P447" i="2"/>
  <c r="J446" i="2"/>
  <c r="G446" i="2" s="1"/>
  <c r="T445" i="3" s="1"/>
  <c r="V445" i="3"/>
  <c r="C447" i="4"/>
  <c r="AB446" i="3"/>
  <c r="M453" i="2"/>
  <c r="E447" i="4" l="1"/>
  <c r="K446" i="4"/>
  <c r="N446" i="4" s="1"/>
  <c r="G446" i="4"/>
  <c r="L446" i="4" s="1"/>
  <c r="J444" i="4"/>
  <c r="H444" i="4"/>
  <c r="F444" i="4"/>
  <c r="O450" i="2"/>
  <c r="I449" i="2"/>
  <c r="F449" i="2" s="1"/>
  <c r="N448" i="3" s="1"/>
  <c r="C448" i="4"/>
  <c r="AB447" i="3"/>
  <c r="M454" i="2"/>
  <c r="L453" i="2"/>
  <c r="F445" i="3"/>
  <c r="D446" i="3"/>
  <c r="A449" i="4"/>
  <c r="E448" i="3"/>
  <c r="S448" i="3"/>
  <c r="Y448" i="3" s="1"/>
  <c r="Z448" i="3" s="1"/>
  <c r="G448" i="3"/>
  <c r="M448" i="3"/>
  <c r="P448" i="3"/>
  <c r="C448" i="3"/>
  <c r="U444" i="3"/>
  <c r="I444" i="3"/>
  <c r="O444" i="3"/>
  <c r="D450" i="2"/>
  <c r="T449" i="2"/>
  <c r="P448" i="2"/>
  <c r="J447" i="2"/>
  <c r="G447" i="2" s="1"/>
  <c r="T446" i="3" s="1"/>
  <c r="V446" i="3"/>
  <c r="C450" i="2"/>
  <c r="N448" i="2"/>
  <c r="J446" i="3"/>
  <c r="H447" i="2"/>
  <c r="E447" i="2" s="1"/>
  <c r="H446" i="3" s="1"/>
  <c r="I448" i="4"/>
  <c r="M448" i="4" s="1"/>
  <c r="K450" i="2"/>
  <c r="D446" i="4"/>
  <c r="AA446" i="3"/>
  <c r="B449" i="3"/>
  <c r="B451" i="2"/>
  <c r="K447" i="4" l="1"/>
  <c r="N447" i="4" s="1"/>
  <c r="H445" i="4"/>
  <c r="F445" i="4"/>
  <c r="J445" i="4"/>
  <c r="E448" i="4"/>
  <c r="G447" i="4"/>
  <c r="L447" i="4" s="1"/>
  <c r="O451" i="2"/>
  <c r="I450" i="2"/>
  <c r="F450" i="2" s="1"/>
  <c r="N449" i="3" s="1"/>
  <c r="I449" i="4"/>
  <c r="M449" i="4" s="1"/>
  <c r="B450" i="3"/>
  <c r="B452" i="2"/>
  <c r="D447" i="4"/>
  <c r="AA447" i="3"/>
  <c r="N449" i="2"/>
  <c r="H448" i="2"/>
  <c r="E448" i="2" s="1"/>
  <c r="H447" i="3" s="1"/>
  <c r="J447" i="3"/>
  <c r="C451" i="2"/>
  <c r="F446" i="3"/>
  <c r="D447" i="3"/>
  <c r="T450" i="2"/>
  <c r="D451" i="2"/>
  <c r="A450" i="4"/>
  <c r="C449" i="3"/>
  <c r="P449" i="3"/>
  <c r="E449" i="3"/>
  <c r="S449" i="3"/>
  <c r="Y449" i="3" s="1"/>
  <c r="Z449" i="3" s="1"/>
  <c r="G449" i="3"/>
  <c r="M449" i="3"/>
  <c r="I445" i="3"/>
  <c r="U445" i="3"/>
  <c r="O445" i="3"/>
  <c r="K451" i="2"/>
  <c r="C449" i="4"/>
  <c r="AB448" i="3"/>
  <c r="L454" i="2"/>
  <c r="P449" i="2"/>
  <c r="J448" i="2"/>
  <c r="G448" i="2" s="1"/>
  <c r="T447" i="3" s="1"/>
  <c r="V447" i="3"/>
  <c r="M455" i="2"/>
  <c r="G448" i="4" l="1"/>
  <c r="L448" i="4" s="1"/>
  <c r="F446" i="4"/>
  <c r="K448" i="4"/>
  <c r="N448" i="4" s="1"/>
  <c r="E449" i="4"/>
  <c r="H446" i="4"/>
  <c r="J446" i="4"/>
  <c r="O452" i="2"/>
  <c r="I451" i="2"/>
  <c r="F451" i="2" s="1"/>
  <c r="N450" i="3" s="1"/>
  <c r="N450" i="2"/>
  <c r="J448" i="3"/>
  <c r="H449" i="2"/>
  <c r="E449" i="2" s="1"/>
  <c r="H448" i="3" s="1"/>
  <c r="I450" i="4"/>
  <c r="M450" i="4" s="1"/>
  <c r="D448" i="4"/>
  <c r="AA448" i="3"/>
  <c r="D452" i="2"/>
  <c r="T451" i="2"/>
  <c r="C450" i="4"/>
  <c r="AB449" i="3"/>
  <c r="B451" i="3"/>
  <c r="B453" i="2"/>
  <c r="M456" i="2"/>
  <c r="P450" i="2"/>
  <c r="J449" i="2"/>
  <c r="G449" i="2" s="1"/>
  <c r="T448" i="3" s="1"/>
  <c r="V448" i="3"/>
  <c r="A451" i="4"/>
  <c r="C450" i="3"/>
  <c r="P450" i="3"/>
  <c r="E450" i="3"/>
  <c r="S450" i="3"/>
  <c r="Y450" i="3" s="1"/>
  <c r="Z450" i="3" s="1"/>
  <c r="G450" i="3"/>
  <c r="M450" i="3"/>
  <c r="D448" i="3"/>
  <c r="F447" i="3"/>
  <c r="L455" i="2"/>
  <c r="U446" i="3"/>
  <c r="I446" i="3"/>
  <c r="O446" i="3"/>
  <c r="C452" i="2"/>
  <c r="K452" i="2"/>
  <c r="E450" i="4" l="1"/>
  <c r="H447" i="4"/>
  <c r="F447" i="4"/>
  <c r="G449" i="4"/>
  <c r="L449" i="4" s="1"/>
  <c r="K449" i="4"/>
  <c r="N449" i="4" s="1"/>
  <c r="J447" i="4"/>
  <c r="O453" i="2"/>
  <c r="I452" i="2"/>
  <c r="F452" i="2" s="1"/>
  <c r="N451" i="3" s="1"/>
  <c r="L456" i="2"/>
  <c r="D449" i="3"/>
  <c r="F448" i="3"/>
  <c r="I451" i="4"/>
  <c r="M451" i="4" s="1"/>
  <c r="D449" i="4"/>
  <c r="AA449" i="3"/>
  <c r="C451" i="4"/>
  <c r="AB450" i="3"/>
  <c r="P451" i="2"/>
  <c r="J450" i="2"/>
  <c r="G450" i="2" s="1"/>
  <c r="T449" i="3" s="1"/>
  <c r="V449" i="3"/>
  <c r="C453" i="2"/>
  <c r="M457" i="2"/>
  <c r="B452" i="3"/>
  <c r="B454" i="2"/>
  <c r="A452" i="4"/>
  <c r="C451" i="3"/>
  <c r="P451" i="3"/>
  <c r="E451" i="3"/>
  <c r="S451" i="3"/>
  <c r="Y451" i="3" s="1"/>
  <c r="Z451" i="3" s="1"/>
  <c r="G451" i="3"/>
  <c r="M451" i="3"/>
  <c r="K453" i="2"/>
  <c r="O447" i="3"/>
  <c r="U447" i="3"/>
  <c r="I447" i="3"/>
  <c r="T452" i="2"/>
  <c r="D453" i="2"/>
  <c r="N451" i="2"/>
  <c r="H450" i="2"/>
  <c r="E450" i="2" s="1"/>
  <c r="H449" i="3" s="1"/>
  <c r="J449" i="3"/>
  <c r="G450" i="4" l="1"/>
  <c r="L450" i="4" s="1"/>
  <c r="J448" i="4"/>
  <c r="F448" i="4"/>
  <c r="H448" i="4"/>
  <c r="E451" i="4"/>
  <c r="K450" i="4"/>
  <c r="N450" i="4" s="1"/>
  <c r="O454" i="2"/>
  <c r="I453" i="2"/>
  <c r="F453" i="2" s="1"/>
  <c r="N452" i="3" s="1"/>
  <c r="C452" i="4"/>
  <c r="AB451" i="3"/>
  <c r="B453" i="3"/>
  <c r="B455" i="2"/>
  <c r="D450" i="4"/>
  <c r="AA450" i="3"/>
  <c r="C454" i="2"/>
  <c r="A453" i="4"/>
  <c r="C452" i="3"/>
  <c r="P452" i="3"/>
  <c r="E452" i="3"/>
  <c r="S452" i="3"/>
  <c r="Y452" i="3" s="1"/>
  <c r="Z452" i="3" s="1"/>
  <c r="G452" i="3"/>
  <c r="M452" i="3"/>
  <c r="N452" i="2"/>
  <c r="J450" i="3"/>
  <c r="H451" i="2"/>
  <c r="E451" i="2" s="1"/>
  <c r="H450" i="3" s="1"/>
  <c r="U448" i="3"/>
  <c r="I448" i="3"/>
  <c r="O448" i="3"/>
  <c r="P452" i="2"/>
  <c r="J451" i="2"/>
  <c r="G451" i="2" s="1"/>
  <c r="T450" i="3" s="1"/>
  <c r="V450" i="3"/>
  <c r="D450" i="3"/>
  <c r="F449" i="3"/>
  <c r="M458" i="2"/>
  <c r="T453" i="2"/>
  <c r="D454" i="2"/>
  <c r="K454" i="2"/>
  <c r="I452" i="4"/>
  <c r="M452" i="4" s="1"/>
  <c r="L457" i="2"/>
  <c r="F449" i="4" l="1"/>
  <c r="J449" i="4"/>
  <c r="H449" i="4"/>
  <c r="G451" i="4"/>
  <c r="L451" i="4" s="1"/>
  <c r="E452" i="4"/>
  <c r="K451" i="4"/>
  <c r="N451" i="4" s="1"/>
  <c r="O455" i="2"/>
  <c r="I454" i="2"/>
  <c r="F454" i="2" s="1"/>
  <c r="N453" i="3" s="1"/>
  <c r="L458" i="2"/>
  <c r="N453" i="2"/>
  <c r="H452" i="2"/>
  <c r="E452" i="2" s="1"/>
  <c r="H451" i="3" s="1"/>
  <c r="J451" i="3"/>
  <c r="I453" i="4"/>
  <c r="M453" i="4" s="1"/>
  <c r="M459" i="2"/>
  <c r="C453" i="4"/>
  <c r="AB452" i="3"/>
  <c r="I449" i="3"/>
  <c r="U449" i="3"/>
  <c r="O449" i="3"/>
  <c r="C455" i="2"/>
  <c r="F450" i="3"/>
  <c r="D451" i="3"/>
  <c r="D451" i="4"/>
  <c r="AA451" i="3"/>
  <c r="P453" i="2"/>
  <c r="J452" i="2"/>
  <c r="G452" i="2" s="1"/>
  <c r="T451" i="3" s="1"/>
  <c r="V451" i="3"/>
  <c r="B454" i="3"/>
  <c r="B456" i="2"/>
  <c r="K455" i="2"/>
  <c r="A454" i="4"/>
  <c r="M453" i="3"/>
  <c r="C453" i="3"/>
  <c r="P453" i="3"/>
  <c r="E453" i="3"/>
  <c r="G453" i="3"/>
  <c r="S453" i="3"/>
  <c r="Y453" i="3" s="1"/>
  <c r="Z453" i="3" s="1"/>
  <c r="T454" i="2"/>
  <c r="D455" i="2"/>
  <c r="F450" i="4" l="1"/>
  <c r="E453" i="4"/>
  <c r="K452" i="4"/>
  <c r="N452" i="4" s="1"/>
  <c r="J450" i="4"/>
  <c r="G452" i="4"/>
  <c r="L452" i="4" s="1"/>
  <c r="H450" i="4"/>
  <c r="O456" i="2"/>
  <c r="I455" i="2"/>
  <c r="F455" i="2" s="1"/>
  <c r="N454" i="3" s="1"/>
  <c r="T455" i="2"/>
  <c r="D456" i="2"/>
  <c r="D452" i="3"/>
  <c r="F451" i="3"/>
  <c r="C454" i="4"/>
  <c r="AB453" i="3"/>
  <c r="O450" i="3"/>
  <c r="U450" i="3"/>
  <c r="I450" i="3"/>
  <c r="M460" i="2"/>
  <c r="I454" i="4"/>
  <c r="M454" i="4" s="1"/>
  <c r="K456" i="2"/>
  <c r="C456" i="2"/>
  <c r="B455" i="3"/>
  <c r="B457" i="2"/>
  <c r="A455" i="4"/>
  <c r="M454" i="3"/>
  <c r="C454" i="3"/>
  <c r="P454" i="3"/>
  <c r="E454" i="3"/>
  <c r="G454" i="3"/>
  <c r="S454" i="3"/>
  <c r="Y454" i="3" s="1"/>
  <c r="Z454" i="3" s="1"/>
  <c r="N454" i="2"/>
  <c r="H453" i="2"/>
  <c r="E453" i="2" s="1"/>
  <c r="H452" i="3" s="1"/>
  <c r="J452" i="3"/>
  <c r="P454" i="2"/>
  <c r="J453" i="2"/>
  <c r="G453" i="2" s="1"/>
  <c r="T452" i="3" s="1"/>
  <c r="V452" i="3"/>
  <c r="D452" i="4"/>
  <c r="AA452" i="3"/>
  <c r="L459" i="2"/>
  <c r="F451" i="4" l="1"/>
  <c r="E454" i="4"/>
  <c r="K453" i="4"/>
  <c r="N453" i="4" s="1"/>
  <c r="J451" i="4"/>
  <c r="H451" i="4"/>
  <c r="G453" i="4"/>
  <c r="L453" i="4" s="1"/>
  <c r="O457" i="2"/>
  <c r="I456" i="2"/>
  <c r="F456" i="2" s="1"/>
  <c r="N455" i="3" s="1"/>
  <c r="A456" i="4"/>
  <c r="E455" i="3"/>
  <c r="G455" i="3"/>
  <c r="S455" i="3"/>
  <c r="Y455" i="3" s="1"/>
  <c r="Z455" i="3" s="1"/>
  <c r="M455" i="3"/>
  <c r="P455" i="3"/>
  <c r="C455" i="3"/>
  <c r="L460" i="2"/>
  <c r="C457" i="2"/>
  <c r="M461" i="2"/>
  <c r="D453" i="4"/>
  <c r="AA453" i="3"/>
  <c r="C455" i="4"/>
  <c r="AB454" i="3"/>
  <c r="K457" i="2"/>
  <c r="P455" i="2"/>
  <c r="J454" i="2"/>
  <c r="G454" i="2" s="1"/>
  <c r="T453" i="3" s="1"/>
  <c r="V453" i="3"/>
  <c r="O451" i="3"/>
  <c r="U451" i="3"/>
  <c r="I451" i="3"/>
  <c r="F452" i="3"/>
  <c r="D453" i="3"/>
  <c r="D457" i="2"/>
  <c r="T456" i="2"/>
  <c r="N455" i="2"/>
  <c r="H454" i="2"/>
  <c r="E454" i="2" s="1"/>
  <c r="H453" i="3" s="1"/>
  <c r="J453" i="3"/>
  <c r="I455" i="4"/>
  <c r="M455" i="4" s="1"/>
  <c r="B456" i="3"/>
  <c r="B458" i="2"/>
  <c r="F452" i="4" l="1"/>
  <c r="J452" i="4"/>
  <c r="H452" i="4"/>
  <c r="K454" i="4"/>
  <c r="N454" i="4" s="1"/>
  <c r="E455" i="4"/>
  <c r="G454" i="4"/>
  <c r="L454" i="4" s="1"/>
  <c r="O458" i="2"/>
  <c r="I457" i="2"/>
  <c r="F457" i="2" s="1"/>
  <c r="N456" i="3" s="1"/>
  <c r="B457" i="3"/>
  <c r="B459" i="2"/>
  <c r="A457" i="4"/>
  <c r="C456" i="3"/>
  <c r="P456" i="3"/>
  <c r="E456" i="3"/>
  <c r="G456" i="3"/>
  <c r="S456" i="3"/>
  <c r="Y456" i="3" s="1"/>
  <c r="Z456" i="3" s="1"/>
  <c r="M456" i="3"/>
  <c r="T457" i="2"/>
  <c r="D458" i="2"/>
  <c r="C456" i="4"/>
  <c r="AB455" i="3"/>
  <c r="O452" i="3"/>
  <c r="U452" i="3"/>
  <c r="I452" i="3"/>
  <c r="D454" i="4"/>
  <c r="AA454" i="3"/>
  <c r="M462" i="2"/>
  <c r="P456" i="2"/>
  <c r="J455" i="2"/>
  <c r="G455" i="2" s="1"/>
  <c r="T454" i="3" s="1"/>
  <c r="V454" i="3"/>
  <c r="F453" i="3"/>
  <c r="D454" i="3"/>
  <c r="C458" i="2"/>
  <c r="N456" i="2"/>
  <c r="J454" i="3"/>
  <c r="H455" i="2"/>
  <c r="E455" i="2" s="1"/>
  <c r="H454" i="3" s="1"/>
  <c r="K458" i="2"/>
  <c r="L461" i="2"/>
  <c r="I456" i="4"/>
  <c r="M456" i="4" s="1"/>
  <c r="K455" i="4" l="1"/>
  <c r="N455" i="4" s="1"/>
  <c r="F453" i="4"/>
  <c r="J453" i="4"/>
  <c r="H453" i="4"/>
  <c r="E456" i="4"/>
  <c r="G455" i="4"/>
  <c r="L455" i="4" s="1"/>
  <c r="O459" i="2"/>
  <c r="I458" i="2"/>
  <c r="F458" i="2" s="1"/>
  <c r="N457" i="3" s="1"/>
  <c r="N457" i="2"/>
  <c r="J455" i="3"/>
  <c r="H456" i="2"/>
  <c r="E456" i="2" s="1"/>
  <c r="H455" i="3" s="1"/>
  <c r="C459" i="2"/>
  <c r="D455" i="3"/>
  <c r="F454" i="3"/>
  <c r="O453" i="3"/>
  <c r="U453" i="3"/>
  <c r="I453" i="3"/>
  <c r="D459" i="2"/>
  <c r="T458" i="2"/>
  <c r="L462" i="2"/>
  <c r="D455" i="4"/>
  <c r="AA455" i="3"/>
  <c r="P457" i="2"/>
  <c r="J456" i="2"/>
  <c r="G456" i="2" s="1"/>
  <c r="T455" i="3" s="1"/>
  <c r="V455" i="3"/>
  <c r="I457" i="4"/>
  <c r="M457" i="4" s="1"/>
  <c r="K459" i="2"/>
  <c r="M463" i="2"/>
  <c r="C457" i="4"/>
  <c r="AB456" i="3"/>
  <c r="B458" i="3"/>
  <c r="B460" i="2"/>
  <c r="A458" i="4"/>
  <c r="M457" i="3"/>
  <c r="C457" i="3"/>
  <c r="P457" i="3"/>
  <c r="E457" i="3"/>
  <c r="G457" i="3"/>
  <c r="S457" i="3"/>
  <c r="Y457" i="3" s="1"/>
  <c r="Z457" i="3" s="1"/>
  <c r="J454" i="4" l="1"/>
  <c r="H454" i="4"/>
  <c r="F454" i="4"/>
  <c r="G456" i="4"/>
  <c r="L456" i="4" s="1"/>
  <c r="K456" i="4"/>
  <c r="N456" i="4" s="1"/>
  <c r="E457" i="4"/>
  <c r="O460" i="2"/>
  <c r="I459" i="2"/>
  <c r="F459" i="2" s="1"/>
  <c r="N458" i="3" s="1"/>
  <c r="I458" i="4"/>
  <c r="M458" i="4" s="1"/>
  <c r="D460" i="2"/>
  <c r="T459" i="2"/>
  <c r="I454" i="3"/>
  <c r="U454" i="3"/>
  <c r="O454" i="3"/>
  <c r="B459" i="3"/>
  <c r="B461" i="2"/>
  <c r="A459" i="4"/>
  <c r="M458" i="3"/>
  <c r="C458" i="3"/>
  <c r="P458" i="3"/>
  <c r="E458" i="3"/>
  <c r="S458" i="3"/>
  <c r="Y458" i="3" s="1"/>
  <c r="Z458" i="3" s="1"/>
  <c r="G458" i="3"/>
  <c r="P458" i="2"/>
  <c r="J457" i="2"/>
  <c r="G457" i="2" s="1"/>
  <c r="T456" i="3" s="1"/>
  <c r="V456" i="3"/>
  <c r="F455" i="3"/>
  <c r="D456" i="3"/>
  <c r="M464" i="2"/>
  <c r="D456" i="4"/>
  <c r="AA456" i="3"/>
  <c r="C460" i="2"/>
  <c r="K460" i="2"/>
  <c r="L463" i="2"/>
  <c r="C458" i="4"/>
  <c r="AB457" i="3"/>
  <c r="N458" i="2"/>
  <c r="H457" i="2"/>
  <c r="E457" i="2" s="1"/>
  <c r="H456" i="3" s="1"/>
  <c r="J456" i="3"/>
  <c r="K457" i="4" l="1"/>
  <c r="N457" i="4" s="1"/>
  <c r="H455" i="4"/>
  <c r="E458" i="4"/>
  <c r="J455" i="4"/>
  <c r="G457" i="4"/>
  <c r="L457" i="4" s="1"/>
  <c r="F455" i="4"/>
  <c r="O461" i="2"/>
  <c r="I460" i="2"/>
  <c r="D457" i="4"/>
  <c r="AA457" i="3"/>
  <c r="N459" i="2"/>
  <c r="H458" i="2"/>
  <c r="E458" i="2" s="1"/>
  <c r="H457" i="3" s="1"/>
  <c r="J457" i="3"/>
  <c r="M465" i="2"/>
  <c r="C459" i="4"/>
  <c r="AB458" i="3"/>
  <c r="F456" i="3"/>
  <c r="D457" i="3"/>
  <c r="D461" i="2"/>
  <c r="T460" i="2"/>
  <c r="I455" i="3"/>
  <c r="U455" i="3"/>
  <c r="O455" i="3"/>
  <c r="K461" i="2"/>
  <c r="P459" i="2"/>
  <c r="J458" i="2"/>
  <c r="G458" i="2" s="1"/>
  <c r="T457" i="3" s="1"/>
  <c r="V457" i="3"/>
  <c r="I459" i="4"/>
  <c r="M459" i="4" s="1"/>
  <c r="F460" i="2"/>
  <c r="N459" i="3" s="1"/>
  <c r="C461" i="2"/>
  <c r="B460" i="3"/>
  <c r="B462" i="2"/>
  <c r="L464" i="2"/>
  <c r="A460" i="4"/>
  <c r="E459" i="3"/>
  <c r="G459" i="3"/>
  <c r="S459" i="3"/>
  <c r="Y459" i="3" s="1"/>
  <c r="Z459" i="3" s="1"/>
  <c r="M459" i="3"/>
  <c r="C459" i="3"/>
  <c r="P459" i="3"/>
  <c r="G458" i="4" l="1"/>
  <c r="L458" i="4" s="1"/>
  <c r="H456" i="4"/>
  <c r="E459" i="4"/>
  <c r="J456" i="4"/>
  <c r="F456" i="4"/>
  <c r="K458" i="4"/>
  <c r="N458" i="4" s="1"/>
  <c r="O462" i="2"/>
  <c r="I461" i="2"/>
  <c r="F461" i="2" s="1"/>
  <c r="N460" i="3" s="1"/>
  <c r="I460" i="4"/>
  <c r="M460" i="4" s="1"/>
  <c r="O456" i="3"/>
  <c r="I456" i="3"/>
  <c r="U456" i="3"/>
  <c r="B461" i="3"/>
  <c r="B463" i="2"/>
  <c r="L465" i="2"/>
  <c r="C460" i="4"/>
  <c r="AB459" i="3"/>
  <c r="A461" i="4"/>
  <c r="C460" i="3"/>
  <c r="P460" i="3"/>
  <c r="E460" i="3"/>
  <c r="G460" i="3"/>
  <c r="S460" i="3"/>
  <c r="Y460" i="3" s="1"/>
  <c r="Z460" i="3" s="1"/>
  <c r="M460" i="3"/>
  <c r="P460" i="2"/>
  <c r="J459" i="2"/>
  <c r="G459" i="2" s="1"/>
  <c r="T458" i="3" s="1"/>
  <c r="V458" i="3"/>
  <c r="F457" i="3"/>
  <c r="D458" i="3"/>
  <c r="C462" i="2"/>
  <c r="K462" i="2"/>
  <c r="M466" i="2"/>
  <c r="N460" i="2"/>
  <c r="H459" i="2"/>
  <c r="E459" i="2" s="1"/>
  <c r="H458" i="3" s="1"/>
  <c r="J458" i="3"/>
  <c r="D458" i="4"/>
  <c r="AA458" i="3"/>
  <c r="D462" i="2"/>
  <c r="T461" i="2"/>
  <c r="K459" i="4" l="1"/>
  <c r="N459" i="4" s="1"/>
  <c r="E460" i="4"/>
  <c r="J457" i="4"/>
  <c r="G459" i="4"/>
  <c r="L459" i="4" s="1"/>
  <c r="F457" i="4"/>
  <c r="H457" i="4"/>
  <c r="O463" i="2"/>
  <c r="I462" i="2"/>
  <c r="F462" i="2" s="1"/>
  <c r="N461" i="3" s="1"/>
  <c r="C463" i="2"/>
  <c r="T462" i="2"/>
  <c r="D463" i="2"/>
  <c r="K463" i="2"/>
  <c r="L466" i="2"/>
  <c r="B462" i="3"/>
  <c r="B464" i="2"/>
  <c r="A462" i="4"/>
  <c r="M461" i="3"/>
  <c r="C461" i="3"/>
  <c r="P461" i="3"/>
  <c r="E461" i="3"/>
  <c r="G461" i="3"/>
  <c r="S461" i="3"/>
  <c r="Y461" i="3" s="1"/>
  <c r="Z461" i="3" s="1"/>
  <c r="D459" i="4"/>
  <c r="AA459" i="3"/>
  <c r="D459" i="3"/>
  <c r="F458" i="3"/>
  <c r="O457" i="3"/>
  <c r="I457" i="3"/>
  <c r="U457" i="3"/>
  <c r="N461" i="2"/>
  <c r="J459" i="3"/>
  <c r="H460" i="2"/>
  <c r="E460" i="2" s="1"/>
  <c r="H459" i="3" s="1"/>
  <c r="P461" i="2"/>
  <c r="J460" i="2"/>
  <c r="G460" i="2" s="1"/>
  <c r="T459" i="3" s="1"/>
  <c r="V459" i="3"/>
  <c r="I461" i="4"/>
  <c r="M461" i="4" s="1"/>
  <c r="C461" i="4"/>
  <c r="AB460" i="3"/>
  <c r="M467" i="2"/>
  <c r="G460" i="4" l="1"/>
  <c r="L460" i="4" s="1"/>
  <c r="F458" i="4"/>
  <c r="J458" i="4"/>
  <c r="H458" i="4"/>
  <c r="E461" i="4"/>
  <c r="K460" i="4"/>
  <c r="N460" i="4" s="1"/>
  <c r="O464" i="2"/>
  <c r="I463" i="2"/>
  <c r="F463" i="2" s="1"/>
  <c r="N462" i="3" s="1"/>
  <c r="B463" i="3"/>
  <c r="B465" i="2"/>
  <c r="L467" i="2"/>
  <c r="P462" i="2"/>
  <c r="J461" i="2"/>
  <c r="G461" i="2" s="1"/>
  <c r="T460" i="3" s="1"/>
  <c r="V460" i="3"/>
  <c r="N462" i="2"/>
  <c r="J460" i="3"/>
  <c r="H461" i="2"/>
  <c r="E461" i="2" s="1"/>
  <c r="H460" i="3" s="1"/>
  <c r="K464" i="2"/>
  <c r="D464" i="2"/>
  <c r="T463" i="2"/>
  <c r="A463" i="4"/>
  <c r="M462" i="3"/>
  <c r="C462" i="3"/>
  <c r="P462" i="3"/>
  <c r="E462" i="3"/>
  <c r="G462" i="3"/>
  <c r="S462" i="3"/>
  <c r="Y462" i="3" s="1"/>
  <c r="Z462" i="3" s="1"/>
  <c r="I458" i="3"/>
  <c r="U458" i="3"/>
  <c r="O458" i="3"/>
  <c r="M468" i="2"/>
  <c r="F459" i="3"/>
  <c r="D460" i="3"/>
  <c r="C464" i="2"/>
  <c r="C462" i="4"/>
  <c r="AB461" i="3"/>
  <c r="D460" i="4"/>
  <c r="AA460" i="3"/>
  <c r="I462" i="4"/>
  <c r="M462" i="4" s="1"/>
  <c r="G461" i="4" l="1"/>
  <c r="L461" i="4" s="1"/>
  <c r="J459" i="4"/>
  <c r="F459" i="4"/>
  <c r="H459" i="4"/>
  <c r="K461" i="4"/>
  <c r="N461" i="4" s="1"/>
  <c r="E462" i="4"/>
  <c r="O465" i="2"/>
  <c r="I464" i="2"/>
  <c r="F464" i="2" s="1"/>
  <c r="N463" i="3" s="1"/>
  <c r="K465" i="2"/>
  <c r="C465" i="2"/>
  <c r="F460" i="3"/>
  <c r="D461" i="3"/>
  <c r="C463" i="4"/>
  <c r="AB462" i="3"/>
  <c r="N463" i="2"/>
  <c r="H462" i="2"/>
  <c r="E462" i="2" s="1"/>
  <c r="H461" i="3" s="1"/>
  <c r="J461" i="3"/>
  <c r="P463" i="2"/>
  <c r="J462" i="2"/>
  <c r="G462" i="2" s="1"/>
  <c r="T461" i="3" s="1"/>
  <c r="V461" i="3"/>
  <c r="I463" i="4"/>
  <c r="M463" i="4" s="1"/>
  <c r="I459" i="3"/>
  <c r="U459" i="3"/>
  <c r="O459" i="3"/>
  <c r="D461" i="4"/>
  <c r="AA461" i="3"/>
  <c r="L468" i="2"/>
  <c r="T464" i="2"/>
  <c r="D465" i="2"/>
  <c r="B464" i="3"/>
  <c r="B466" i="2"/>
  <c r="M469" i="2"/>
  <c r="A464" i="4"/>
  <c r="E463" i="3"/>
  <c r="G463" i="3"/>
  <c r="S463" i="3"/>
  <c r="Y463" i="3" s="1"/>
  <c r="Z463" i="3" s="1"/>
  <c r="M463" i="3"/>
  <c r="P463" i="3"/>
  <c r="C463" i="3"/>
  <c r="G462" i="4" l="1"/>
  <c r="L462" i="4" s="1"/>
  <c r="H460" i="4"/>
  <c r="J460" i="4"/>
  <c r="E463" i="4"/>
  <c r="F460" i="4"/>
  <c r="K462" i="4"/>
  <c r="N462" i="4" s="1"/>
  <c r="O466" i="2"/>
  <c r="I465" i="2"/>
  <c r="F465" i="2" s="1"/>
  <c r="N464" i="3" s="1"/>
  <c r="M470" i="2"/>
  <c r="N464" i="2"/>
  <c r="J462" i="3"/>
  <c r="H463" i="2"/>
  <c r="E463" i="2" s="1"/>
  <c r="H462" i="3" s="1"/>
  <c r="B465" i="3"/>
  <c r="B467" i="2"/>
  <c r="C464" i="4"/>
  <c r="AB463" i="3"/>
  <c r="A465" i="4"/>
  <c r="C464" i="3"/>
  <c r="P464" i="3"/>
  <c r="E464" i="3"/>
  <c r="G464" i="3"/>
  <c r="S464" i="3"/>
  <c r="Y464" i="3" s="1"/>
  <c r="Z464" i="3" s="1"/>
  <c r="M464" i="3"/>
  <c r="T465" i="2"/>
  <c r="D466" i="2"/>
  <c r="F461" i="3"/>
  <c r="D462" i="3"/>
  <c r="O460" i="3"/>
  <c r="I460" i="3"/>
  <c r="U460" i="3"/>
  <c r="C466" i="2"/>
  <c r="L469" i="2"/>
  <c r="I464" i="4"/>
  <c r="M464" i="4" s="1"/>
  <c r="D462" i="4"/>
  <c r="AA462" i="3"/>
  <c r="P464" i="2"/>
  <c r="J463" i="2"/>
  <c r="G463" i="2" s="1"/>
  <c r="T462" i="3" s="1"/>
  <c r="V462" i="3"/>
  <c r="K466" i="2"/>
  <c r="J461" i="4" l="1"/>
  <c r="F461" i="4"/>
  <c r="K463" i="4"/>
  <c r="N463" i="4" s="1"/>
  <c r="H461" i="4"/>
  <c r="E464" i="4"/>
  <c r="G463" i="4"/>
  <c r="L463" i="4" s="1"/>
  <c r="O467" i="2"/>
  <c r="I466" i="2"/>
  <c r="T466" i="2"/>
  <c r="D467" i="2"/>
  <c r="K467" i="2"/>
  <c r="L470" i="2"/>
  <c r="I465" i="4"/>
  <c r="M465" i="4" s="1"/>
  <c r="C465" i="4"/>
  <c r="AB464" i="3"/>
  <c r="P465" i="2"/>
  <c r="J464" i="2"/>
  <c r="G464" i="2" s="1"/>
  <c r="T463" i="3" s="1"/>
  <c r="V463" i="3"/>
  <c r="C467" i="2"/>
  <c r="F466" i="2"/>
  <c r="N465" i="3" s="1"/>
  <c r="B466" i="3"/>
  <c r="B468" i="2"/>
  <c r="D463" i="4"/>
  <c r="AA463" i="3"/>
  <c r="A466" i="4"/>
  <c r="M465" i="3"/>
  <c r="C465" i="3"/>
  <c r="P465" i="3"/>
  <c r="E465" i="3"/>
  <c r="G465" i="3"/>
  <c r="S465" i="3"/>
  <c r="Y465" i="3" s="1"/>
  <c r="Z465" i="3" s="1"/>
  <c r="N465" i="2"/>
  <c r="H464" i="2"/>
  <c r="E464" i="2" s="1"/>
  <c r="H463" i="3" s="1"/>
  <c r="J463" i="3"/>
  <c r="D463" i="3"/>
  <c r="F462" i="3"/>
  <c r="O461" i="3"/>
  <c r="U461" i="3"/>
  <c r="I461" i="3"/>
  <c r="M471" i="2"/>
  <c r="F462" i="4" l="1"/>
  <c r="E465" i="4"/>
  <c r="H462" i="4"/>
  <c r="J462" i="4"/>
  <c r="K464" i="4"/>
  <c r="N464" i="4" s="1"/>
  <c r="G464" i="4"/>
  <c r="L464" i="4" s="1"/>
  <c r="O468" i="2"/>
  <c r="I467" i="2"/>
  <c r="F467" i="2" s="1"/>
  <c r="N466" i="3" s="1"/>
  <c r="B467" i="3"/>
  <c r="B469" i="2"/>
  <c r="M472" i="2"/>
  <c r="A467" i="4"/>
  <c r="M466" i="3"/>
  <c r="C466" i="3"/>
  <c r="P466" i="3"/>
  <c r="E466" i="3"/>
  <c r="S466" i="3"/>
  <c r="Y466" i="3" s="1"/>
  <c r="Z466" i="3" s="1"/>
  <c r="G466" i="3"/>
  <c r="C468" i="2"/>
  <c r="I462" i="3"/>
  <c r="U462" i="3"/>
  <c r="O462" i="3"/>
  <c r="L471" i="2"/>
  <c r="F463" i="3"/>
  <c r="D464" i="3"/>
  <c r="P466" i="2"/>
  <c r="J465" i="2"/>
  <c r="G465" i="2" s="1"/>
  <c r="T464" i="3" s="1"/>
  <c r="V464" i="3"/>
  <c r="K468" i="2"/>
  <c r="C466" i="4"/>
  <c r="AB465" i="3"/>
  <c r="T467" i="2"/>
  <c r="D468" i="2"/>
  <c r="N466" i="2"/>
  <c r="J464" i="3"/>
  <c r="H465" i="2"/>
  <c r="E465" i="2" s="1"/>
  <c r="H464" i="3" s="1"/>
  <c r="I466" i="4"/>
  <c r="M466" i="4" s="1"/>
  <c r="D464" i="4"/>
  <c r="AA464" i="3"/>
  <c r="K465" i="4" l="1"/>
  <c r="N465" i="4" s="1"/>
  <c r="G465" i="4"/>
  <c r="L465" i="4" s="1"/>
  <c r="H463" i="4"/>
  <c r="F463" i="4"/>
  <c r="J463" i="4"/>
  <c r="E466" i="4"/>
  <c r="O469" i="2"/>
  <c r="I468" i="2"/>
  <c r="F468" i="2" s="1"/>
  <c r="N467" i="3" s="1"/>
  <c r="D469" i="2"/>
  <c r="T468" i="2"/>
  <c r="L472" i="2"/>
  <c r="C467" i="4"/>
  <c r="AB466" i="3"/>
  <c r="C469" i="2"/>
  <c r="K469" i="2"/>
  <c r="I467" i="4"/>
  <c r="M467" i="4" s="1"/>
  <c r="P467" i="2"/>
  <c r="J466" i="2"/>
  <c r="G466" i="2" s="1"/>
  <c r="T465" i="3" s="1"/>
  <c r="V465" i="3"/>
  <c r="M473" i="2"/>
  <c r="D465" i="4"/>
  <c r="AA465" i="3"/>
  <c r="F464" i="3"/>
  <c r="D465" i="3"/>
  <c r="B468" i="3"/>
  <c r="B470" i="2"/>
  <c r="N467" i="2"/>
  <c r="J465" i="3"/>
  <c r="H466" i="2"/>
  <c r="E466" i="2" s="1"/>
  <c r="H465" i="3" s="1"/>
  <c r="I463" i="3"/>
  <c r="U463" i="3"/>
  <c r="O463" i="3"/>
  <c r="A468" i="4"/>
  <c r="E467" i="3"/>
  <c r="G467" i="3"/>
  <c r="S467" i="3"/>
  <c r="Y467" i="3" s="1"/>
  <c r="Z467" i="3" s="1"/>
  <c r="M467" i="3"/>
  <c r="C467" i="3"/>
  <c r="P467" i="3"/>
  <c r="H464" i="4" l="1"/>
  <c r="G466" i="4"/>
  <c r="L466" i="4" s="1"/>
  <c r="E467" i="4"/>
  <c r="J464" i="4"/>
  <c r="F464" i="4"/>
  <c r="K466" i="4"/>
  <c r="N466" i="4" s="1"/>
  <c r="O470" i="2"/>
  <c r="I469" i="2"/>
  <c r="F469" i="2" s="1"/>
  <c r="N468" i="3" s="1"/>
  <c r="I468" i="4"/>
  <c r="M468" i="4" s="1"/>
  <c r="K470" i="2"/>
  <c r="M474" i="2"/>
  <c r="C470" i="2"/>
  <c r="P468" i="2"/>
  <c r="J467" i="2"/>
  <c r="G467" i="2" s="1"/>
  <c r="T466" i="3" s="1"/>
  <c r="V466" i="3"/>
  <c r="N468" i="2"/>
  <c r="H467" i="2"/>
  <c r="E467" i="2" s="1"/>
  <c r="H466" i="3" s="1"/>
  <c r="J466" i="3"/>
  <c r="C468" i="4"/>
  <c r="AB467" i="3"/>
  <c r="B469" i="3"/>
  <c r="B471" i="2"/>
  <c r="A469" i="4"/>
  <c r="C468" i="3"/>
  <c r="P468" i="3"/>
  <c r="E468" i="3"/>
  <c r="G468" i="3"/>
  <c r="S468" i="3"/>
  <c r="Y468" i="3" s="1"/>
  <c r="Z468" i="3" s="1"/>
  <c r="M468" i="3"/>
  <c r="L473" i="2"/>
  <c r="F465" i="3"/>
  <c r="D466" i="3"/>
  <c r="O464" i="3"/>
  <c r="I464" i="3"/>
  <c r="U464" i="3"/>
  <c r="D466" i="4"/>
  <c r="AA466" i="3"/>
  <c r="T469" i="2"/>
  <c r="D470" i="2"/>
  <c r="K467" i="4" l="1"/>
  <c r="N467" i="4" s="1"/>
  <c r="J465" i="4"/>
  <c r="F465" i="4"/>
  <c r="H465" i="4"/>
  <c r="E468" i="4"/>
  <c r="G467" i="4"/>
  <c r="L467" i="4" s="1"/>
  <c r="O471" i="2"/>
  <c r="I470" i="2"/>
  <c r="F470" i="2" s="1"/>
  <c r="N469" i="3" s="1"/>
  <c r="D467" i="3"/>
  <c r="F466" i="3"/>
  <c r="L474" i="2"/>
  <c r="I469" i="4"/>
  <c r="M469" i="4" s="1"/>
  <c r="D471" i="2"/>
  <c r="T470" i="2"/>
  <c r="B470" i="3"/>
  <c r="B472" i="2"/>
  <c r="A470" i="4"/>
  <c r="M469" i="3"/>
  <c r="C469" i="3"/>
  <c r="P469" i="3"/>
  <c r="E469" i="3"/>
  <c r="G469" i="3"/>
  <c r="S469" i="3"/>
  <c r="Y469" i="3" s="1"/>
  <c r="Z469" i="3" s="1"/>
  <c r="M475" i="2"/>
  <c r="D467" i="4"/>
  <c r="AA467" i="3"/>
  <c r="C469" i="4"/>
  <c r="AB468" i="3"/>
  <c r="K471" i="2"/>
  <c r="N469" i="2"/>
  <c r="J467" i="3"/>
  <c r="H468" i="2"/>
  <c r="E468" i="2" s="1"/>
  <c r="H467" i="3" s="1"/>
  <c r="O465" i="3"/>
  <c r="I465" i="3"/>
  <c r="U465" i="3"/>
  <c r="P469" i="2"/>
  <c r="J468" i="2"/>
  <c r="G468" i="2" s="1"/>
  <c r="T467" i="3" s="1"/>
  <c r="V467" i="3"/>
  <c r="C471" i="2"/>
  <c r="E469" i="4" l="1"/>
  <c r="K468" i="4"/>
  <c r="N468" i="4" s="1"/>
  <c r="J466" i="4"/>
  <c r="F466" i="4"/>
  <c r="H466" i="4"/>
  <c r="G468" i="4"/>
  <c r="L468" i="4" s="1"/>
  <c r="O472" i="2"/>
  <c r="I471" i="2"/>
  <c r="F471" i="2" s="1"/>
  <c r="N470" i="3" s="1"/>
  <c r="D472" i="2"/>
  <c r="T471" i="2"/>
  <c r="C472" i="2"/>
  <c r="N470" i="2"/>
  <c r="H469" i="2"/>
  <c r="E469" i="2" s="1"/>
  <c r="H468" i="3" s="1"/>
  <c r="J468" i="3"/>
  <c r="K472" i="2"/>
  <c r="D468" i="4"/>
  <c r="AA468" i="3"/>
  <c r="P470" i="2"/>
  <c r="J469" i="2"/>
  <c r="G469" i="2" s="1"/>
  <c r="T468" i="3" s="1"/>
  <c r="V468" i="3"/>
  <c r="C470" i="4"/>
  <c r="AB469" i="3"/>
  <c r="M476" i="2"/>
  <c r="I470" i="4"/>
  <c r="M470" i="4" s="1"/>
  <c r="L475" i="2"/>
  <c r="B471" i="3"/>
  <c r="B473" i="2"/>
  <c r="A471" i="4"/>
  <c r="M470" i="3"/>
  <c r="C470" i="3"/>
  <c r="P470" i="3"/>
  <c r="E470" i="3"/>
  <c r="G470" i="3"/>
  <c r="S470" i="3"/>
  <c r="Y470" i="3" s="1"/>
  <c r="Z470" i="3" s="1"/>
  <c r="I466" i="3"/>
  <c r="U466" i="3"/>
  <c r="O466" i="3"/>
  <c r="F467" i="3"/>
  <c r="D468" i="3"/>
  <c r="H467" i="4" l="1"/>
  <c r="J467" i="4"/>
  <c r="G469" i="4"/>
  <c r="L469" i="4" s="1"/>
  <c r="F467" i="4"/>
  <c r="E470" i="4"/>
  <c r="K469" i="4"/>
  <c r="N469" i="4" s="1"/>
  <c r="O473" i="2"/>
  <c r="I472" i="2"/>
  <c r="F472" i="2" s="1"/>
  <c r="N471" i="3" s="1"/>
  <c r="C471" i="4"/>
  <c r="AB470" i="3"/>
  <c r="M477" i="2"/>
  <c r="I471" i="4"/>
  <c r="M471" i="4" s="1"/>
  <c r="N471" i="2"/>
  <c r="J469" i="3"/>
  <c r="H470" i="2"/>
  <c r="E470" i="2" s="1"/>
  <c r="H469" i="3" s="1"/>
  <c r="B472" i="3"/>
  <c r="B474" i="2"/>
  <c r="C473" i="2"/>
  <c r="A472" i="4"/>
  <c r="E471" i="3"/>
  <c r="G471" i="3"/>
  <c r="S471" i="3"/>
  <c r="Y471" i="3" s="1"/>
  <c r="Z471" i="3" s="1"/>
  <c r="M471" i="3"/>
  <c r="P471" i="3"/>
  <c r="C471" i="3"/>
  <c r="I467" i="3"/>
  <c r="U467" i="3"/>
  <c r="O467" i="3"/>
  <c r="F468" i="3"/>
  <c r="D469" i="3"/>
  <c r="K473" i="2"/>
  <c r="L476" i="2"/>
  <c r="P471" i="2"/>
  <c r="J470" i="2"/>
  <c r="G470" i="2" s="1"/>
  <c r="T469" i="3" s="1"/>
  <c r="V469" i="3"/>
  <c r="D469" i="4"/>
  <c r="AA469" i="3"/>
  <c r="D473" i="2"/>
  <c r="T472" i="2"/>
  <c r="H468" i="4" l="1"/>
  <c r="J468" i="4"/>
  <c r="F468" i="4"/>
  <c r="G470" i="4"/>
  <c r="L470" i="4" s="1"/>
  <c r="K470" i="4"/>
  <c r="N470" i="4" s="1"/>
  <c r="E471" i="4"/>
  <c r="O474" i="2"/>
  <c r="I473" i="2"/>
  <c r="F473" i="2" s="1"/>
  <c r="N472" i="3" s="1"/>
  <c r="F469" i="3"/>
  <c r="D470" i="3"/>
  <c r="N472" i="2"/>
  <c r="J470" i="3"/>
  <c r="H471" i="2"/>
  <c r="E471" i="2" s="1"/>
  <c r="H470" i="3" s="1"/>
  <c r="D474" i="2"/>
  <c r="T473" i="2"/>
  <c r="O468" i="3"/>
  <c r="I468" i="3"/>
  <c r="U468" i="3"/>
  <c r="D470" i="4"/>
  <c r="AA470" i="3"/>
  <c r="I472" i="4"/>
  <c r="M472" i="4" s="1"/>
  <c r="C474" i="2"/>
  <c r="P472" i="2"/>
  <c r="J471" i="2"/>
  <c r="G471" i="2" s="1"/>
  <c r="T470" i="3" s="1"/>
  <c r="V470" i="3"/>
  <c r="C472" i="4"/>
  <c r="AB471" i="3"/>
  <c r="B473" i="3"/>
  <c r="B475" i="2"/>
  <c r="M478" i="2"/>
  <c r="K474" i="2"/>
  <c r="L477" i="2"/>
  <c r="A473" i="4"/>
  <c r="C472" i="3"/>
  <c r="P472" i="3"/>
  <c r="E472" i="3"/>
  <c r="G472" i="3"/>
  <c r="S472" i="3"/>
  <c r="Y472" i="3" s="1"/>
  <c r="Z472" i="3" s="1"/>
  <c r="M472" i="3"/>
  <c r="J469" i="4" l="1"/>
  <c r="F469" i="4"/>
  <c r="H469" i="4"/>
  <c r="E472" i="4"/>
  <c r="K471" i="4"/>
  <c r="N471" i="4" s="1"/>
  <c r="G471" i="4"/>
  <c r="L471" i="4" s="1"/>
  <c r="O475" i="2"/>
  <c r="I474" i="2"/>
  <c r="F474" i="2" s="1"/>
  <c r="N473" i="3" s="1"/>
  <c r="C473" i="4"/>
  <c r="AB472" i="3"/>
  <c r="P473" i="2"/>
  <c r="J472" i="2"/>
  <c r="G472" i="2" s="1"/>
  <c r="T471" i="3" s="1"/>
  <c r="V471" i="3"/>
  <c r="L478" i="2"/>
  <c r="C475" i="2"/>
  <c r="K475" i="2"/>
  <c r="M479" i="2"/>
  <c r="T474" i="2"/>
  <c r="D475" i="2"/>
  <c r="B474" i="3"/>
  <c r="B476" i="2"/>
  <c r="I473" i="4"/>
  <c r="M473" i="4" s="1"/>
  <c r="N473" i="2"/>
  <c r="J471" i="3"/>
  <c r="H472" i="2"/>
  <c r="E472" i="2" s="1"/>
  <c r="H471" i="3" s="1"/>
  <c r="A474" i="4"/>
  <c r="M473" i="3"/>
  <c r="C473" i="3"/>
  <c r="P473" i="3"/>
  <c r="E473" i="3"/>
  <c r="G473" i="3"/>
  <c r="S473" i="3"/>
  <c r="Y473" i="3" s="1"/>
  <c r="Z473" i="3" s="1"/>
  <c r="D471" i="3"/>
  <c r="F470" i="3"/>
  <c r="D471" i="4"/>
  <c r="AA471" i="3"/>
  <c r="O469" i="3"/>
  <c r="U469" i="3"/>
  <c r="I469" i="3"/>
  <c r="K472" i="4" l="1"/>
  <c r="N472" i="4" s="1"/>
  <c r="H470" i="4"/>
  <c r="J470" i="4"/>
  <c r="G472" i="4"/>
  <c r="L472" i="4" s="1"/>
  <c r="E473" i="4"/>
  <c r="F470" i="4"/>
  <c r="O476" i="2"/>
  <c r="I475" i="2"/>
  <c r="F475" i="2" s="1"/>
  <c r="N474" i="3" s="1"/>
  <c r="C476" i="2"/>
  <c r="D472" i="4"/>
  <c r="AA472" i="3"/>
  <c r="B475" i="3"/>
  <c r="B477" i="2"/>
  <c r="I470" i="3"/>
  <c r="U470" i="3"/>
  <c r="O470" i="3"/>
  <c r="C474" i="4"/>
  <c r="AB473" i="3"/>
  <c r="A475" i="4"/>
  <c r="M474" i="3"/>
  <c r="C474" i="3"/>
  <c r="P474" i="3"/>
  <c r="E474" i="3"/>
  <c r="S474" i="3"/>
  <c r="Y474" i="3" s="1"/>
  <c r="Z474" i="3" s="1"/>
  <c r="G474" i="3"/>
  <c r="L479" i="2"/>
  <c r="K476" i="2"/>
  <c r="F471" i="3"/>
  <c r="D472" i="3"/>
  <c r="I474" i="4"/>
  <c r="M474" i="4" s="1"/>
  <c r="D476" i="2"/>
  <c r="T475" i="2"/>
  <c r="P474" i="2"/>
  <c r="J473" i="2"/>
  <c r="G473" i="2" s="1"/>
  <c r="T472" i="3" s="1"/>
  <c r="V472" i="3"/>
  <c r="N474" i="2"/>
  <c r="H473" i="2"/>
  <c r="E473" i="2" s="1"/>
  <c r="H472" i="3" s="1"/>
  <c r="J472" i="3"/>
  <c r="M480" i="2"/>
  <c r="F471" i="4" l="1"/>
  <c r="H471" i="4"/>
  <c r="E474" i="4"/>
  <c r="J471" i="4"/>
  <c r="G473" i="4"/>
  <c r="L473" i="4" s="1"/>
  <c r="K473" i="4"/>
  <c r="N473" i="4" s="1"/>
  <c r="O477" i="2"/>
  <c r="I476" i="2"/>
  <c r="F476" i="2" s="1"/>
  <c r="N475" i="3" s="1"/>
  <c r="M481" i="2"/>
  <c r="B476" i="3"/>
  <c r="B478" i="2"/>
  <c r="F472" i="3"/>
  <c r="D473" i="3"/>
  <c r="C475" i="4"/>
  <c r="AB474" i="3"/>
  <c r="A476" i="4"/>
  <c r="E475" i="3"/>
  <c r="G475" i="3"/>
  <c r="S475" i="3"/>
  <c r="Y475" i="3" s="1"/>
  <c r="Z475" i="3" s="1"/>
  <c r="M475" i="3"/>
  <c r="C475" i="3"/>
  <c r="P475" i="3"/>
  <c r="I471" i="3"/>
  <c r="U471" i="3"/>
  <c r="O471" i="3"/>
  <c r="D473" i="4"/>
  <c r="AA473" i="3"/>
  <c r="P475" i="2"/>
  <c r="J474" i="2"/>
  <c r="G474" i="2" s="1"/>
  <c r="T473" i="3" s="1"/>
  <c r="V473" i="3"/>
  <c r="N475" i="2"/>
  <c r="J473" i="3"/>
  <c r="H474" i="2"/>
  <c r="E474" i="2" s="1"/>
  <c r="H473" i="3" s="1"/>
  <c r="K477" i="2"/>
  <c r="D477" i="2"/>
  <c r="T476" i="2"/>
  <c r="L480" i="2"/>
  <c r="I475" i="4"/>
  <c r="M475" i="4" s="1"/>
  <c r="C477" i="2"/>
  <c r="K474" i="4" l="1"/>
  <c r="N474" i="4" s="1"/>
  <c r="H472" i="4"/>
  <c r="J472" i="4"/>
  <c r="E475" i="4"/>
  <c r="F472" i="4"/>
  <c r="G474" i="4"/>
  <c r="L474" i="4" s="1"/>
  <c r="O478" i="2"/>
  <c r="I477" i="2"/>
  <c r="F477" i="2" s="1"/>
  <c r="N476" i="3" s="1"/>
  <c r="C478" i="2"/>
  <c r="D478" i="2"/>
  <c r="T477" i="2"/>
  <c r="I476" i="4"/>
  <c r="M476" i="4" s="1"/>
  <c r="K478" i="2"/>
  <c r="F473" i="3"/>
  <c r="D474" i="3"/>
  <c r="N476" i="2"/>
  <c r="J474" i="3"/>
  <c r="H475" i="2"/>
  <c r="E475" i="2" s="1"/>
  <c r="H474" i="3" s="1"/>
  <c r="C476" i="4"/>
  <c r="AB475" i="3"/>
  <c r="O472" i="3"/>
  <c r="I472" i="3"/>
  <c r="U472" i="3"/>
  <c r="B477" i="3"/>
  <c r="B479" i="2"/>
  <c r="A477" i="4"/>
  <c r="C476" i="3"/>
  <c r="P476" i="3"/>
  <c r="E476" i="3"/>
  <c r="G476" i="3"/>
  <c r="S476" i="3"/>
  <c r="Y476" i="3" s="1"/>
  <c r="Z476" i="3" s="1"/>
  <c r="M476" i="3"/>
  <c r="P476" i="2"/>
  <c r="J475" i="2"/>
  <c r="G475" i="2" s="1"/>
  <c r="T474" i="3" s="1"/>
  <c r="V474" i="3"/>
  <c r="L481" i="2"/>
  <c r="D474" i="4"/>
  <c r="AA474" i="3"/>
  <c r="M482" i="2"/>
  <c r="G475" i="4" l="1"/>
  <c r="L475" i="4" s="1"/>
  <c r="K475" i="4"/>
  <c r="N475" i="4" s="1"/>
  <c r="J473" i="4"/>
  <c r="F473" i="4"/>
  <c r="H473" i="4"/>
  <c r="E476" i="4"/>
  <c r="O479" i="2"/>
  <c r="I478" i="2"/>
  <c r="F478" i="2" s="1"/>
  <c r="N477" i="3" s="1"/>
  <c r="N477" i="2"/>
  <c r="J475" i="3"/>
  <c r="H476" i="2"/>
  <c r="E476" i="2" s="1"/>
  <c r="H475" i="3" s="1"/>
  <c r="D479" i="2"/>
  <c r="T478" i="2"/>
  <c r="D475" i="3"/>
  <c r="F474" i="3"/>
  <c r="P477" i="2"/>
  <c r="J476" i="2"/>
  <c r="G476" i="2" s="1"/>
  <c r="T475" i="3" s="1"/>
  <c r="V475" i="3"/>
  <c r="I477" i="4"/>
  <c r="M477" i="4" s="1"/>
  <c r="O473" i="3"/>
  <c r="I473" i="3"/>
  <c r="U473" i="3"/>
  <c r="D475" i="4"/>
  <c r="AA475" i="3"/>
  <c r="L482" i="2"/>
  <c r="C477" i="4"/>
  <c r="AB476" i="3"/>
  <c r="B478" i="3"/>
  <c r="B480" i="2"/>
  <c r="C479" i="2"/>
  <c r="M483" i="2"/>
  <c r="A478" i="4"/>
  <c r="M477" i="3"/>
  <c r="C477" i="3"/>
  <c r="P477" i="3"/>
  <c r="E477" i="3"/>
  <c r="G477" i="3"/>
  <c r="S477" i="3"/>
  <c r="Y477" i="3" s="1"/>
  <c r="Z477" i="3" s="1"/>
  <c r="K479" i="2"/>
  <c r="K476" i="4" l="1"/>
  <c r="N476" i="4" s="1"/>
  <c r="H474" i="4"/>
  <c r="E477" i="4"/>
  <c r="J474" i="4"/>
  <c r="G476" i="4"/>
  <c r="L476" i="4" s="1"/>
  <c r="F474" i="4"/>
  <c r="O480" i="2"/>
  <c r="I479" i="2"/>
  <c r="F479" i="2" s="1"/>
  <c r="N478" i="3" s="1"/>
  <c r="I478" i="4"/>
  <c r="M478" i="4" s="1"/>
  <c r="D476" i="4"/>
  <c r="AA476" i="3"/>
  <c r="C478" i="4"/>
  <c r="AB477" i="3"/>
  <c r="L483" i="2"/>
  <c r="P478" i="2"/>
  <c r="J477" i="2"/>
  <c r="G477" i="2" s="1"/>
  <c r="T476" i="3" s="1"/>
  <c r="V476" i="3"/>
  <c r="M484" i="2"/>
  <c r="I474" i="3"/>
  <c r="U474" i="3"/>
  <c r="O474" i="3"/>
  <c r="F475" i="3"/>
  <c r="D476" i="3"/>
  <c r="C480" i="2"/>
  <c r="K480" i="2"/>
  <c r="B479" i="3"/>
  <c r="B481" i="2"/>
  <c r="D480" i="2"/>
  <c r="T479" i="2"/>
  <c r="A479" i="4"/>
  <c r="M478" i="3"/>
  <c r="C478" i="3"/>
  <c r="P478" i="3"/>
  <c r="E478" i="3"/>
  <c r="G478" i="3"/>
  <c r="S478" i="3"/>
  <c r="Y478" i="3" s="1"/>
  <c r="Z478" i="3" s="1"/>
  <c r="N478" i="2"/>
  <c r="H477" i="2"/>
  <c r="E477" i="2" s="1"/>
  <c r="H476" i="3" s="1"/>
  <c r="J476" i="3"/>
  <c r="K477" i="4" l="1"/>
  <c r="N477" i="4" s="1"/>
  <c r="G477" i="4"/>
  <c r="L477" i="4" s="1"/>
  <c r="E478" i="4"/>
  <c r="H475" i="4"/>
  <c r="J475" i="4"/>
  <c r="F475" i="4"/>
  <c r="O481" i="2"/>
  <c r="I480" i="2"/>
  <c r="F480" i="2" s="1"/>
  <c r="N479" i="3" s="1"/>
  <c r="L484" i="2"/>
  <c r="F476" i="3"/>
  <c r="D477" i="3"/>
  <c r="N479" i="2"/>
  <c r="J477" i="3"/>
  <c r="H478" i="2"/>
  <c r="E478" i="2" s="1"/>
  <c r="H477" i="3" s="1"/>
  <c r="I479" i="4"/>
  <c r="M479" i="4" s="1"/>
  <c r="I475" i="3"/>
  <c r="U475" i="3"/>
  <c r="O475" i="3"/>
  <c r="D477" i="4"/>
  <c r="AA477" i="3"/>
  <c r="D481" i="2"/>
  <c r="T480" i="2"/>
  <c r="B480" i="3"/>
  <c r="B482" i="2"/>
  <c r="A480" i="4"/>
  <c r="E479" i="3"/>
  <c r="G479" i="3"/>
  <c r="S479" i="3"/>
  <c r="Y479" i="3" s="1"/>
  <c r="Z479" i="3" s="1"/>
  <c r="M479" i="3"/>
  <c r="P479" i="3"/>
  <c r="C479" i="3"/>
  <c r="M485" i="2"/>
  <c r="C479" i="4"/>
  <c r="AB478" i="3"/>
  <c r="K481" i="2"/>
  <c r="C481" i="2"/>
  <c r="P479" i="2"/>
  <c r="J478" i="2"/>
  <c r="G478" i="2" s="1"/>
  <c r="T477" i="3" s="1"/>
  <c r="V477" i="3"/>
  <c r="J476" i="4" l="1"/>
  <c r="H476" i="4"/>
  <c r="G478" i="4"/>
  <c r="L478" i="4" s="1"/>
  <c r="F476" i="4"/>
  <c r="K478" i="4"/>
  <c r="N478" i="4" s="1"/>
  <c r="E479" i="4"/>
  <c r="O482" i="2"/>
  <c r="I481" i="2"/>
  <c r="F481" i="2" s="1"/>
  <c r="N480" i="3" s="1"/>
  <c r="B481" i="3"/>
  <c r="B483" i="2"/>
  <c r="A481" i="4"/>
  <c r="C480" i="3"/>
  <c r="P480" i="3"/>
  <c r="E480" i="3"/>
  <c r="G480" i="3"/>
  <c r="S480" i="3"/>
  <c r="Y480" i="3" s="1"/>
  <c r="Z480" i="3" s="1"/>
  <c r="M480" i="3"/>
  <c r="C480" i="4"/>
  <c r="AB479" i="3"/>
  <c r="D482" i="2"/>
  <c r="T481" i="2"/>
  <c r="P480" i="2"/>
  <c r="J479" i="2"/>
  <c r="G479" i="2" s="1"/>
  <c r="T478" i="3" s="1"/>
  <c r="V478" i="3"/>
  <c r="C482" i="2"/>
  <c r="D478" i="4"/>
  <c r="AA478" i="3"/>
  <c r="N480" i="2"/>
  <c r="J478" i="3"/>
  <c r="H479" i="2"/>
  <c r="E479" i="2" s="1"/>
  <c r="H478" i="3" s="1"/>
  <c r="I480" i="4"/>
  <c r="M480" i="4" s="1"/>
  <c r="F477" i="3"/>
  <c r="D478" i="3"/>
  <c r="O476" i="3"/>
  <c r="I476" i="3"/>
  <c r="U476" i="3"/>
  <c r="K482" i="2"/>
  <c r="M486" i="2"/>
  <c r="L485" i="2"/>
  <c r="G479" i="4" l="1"/>
  <c r="L479" i="4" s="1"/>
  <c r="J477" i="4"/>
  <c r="K479" i="4"/>
  <c r="N479" i="4" s="1"/>
  <c r="H477" i="4"/>
  <c r="F477" i="4"/>
  <c r="E480" i="4"/>
  <c r="O483" i="2"/>
  <c r="I482" i="2"/>
  <c r="F482" i="2" s="1"/>
  <c r="N481" i="3" s="1"/>
  <c r="C483" i="2"/>
  <c r="P481" i="2"/>
  <c r="J480" i="2"/>
  <c r="G480" i="2" s="1"/>
  <c r="T479" i="3" s="1"/>
  <c r="V479" i="3"/>
  <c r="M487" i="2"/>
  <c r="K483" i="2"/>
  <c r="D483" i="2"/>
  <c r="T482" i="2"/>
  <c r="N481" i="2"/>
  <c r="H480" i="2"/>
  <c r="E480" i="2" s="1"/>
  <c r="H479" i="3" s="1"/>
  <c r="J479" i="3"/>
  <c r="L486" i="2"/>
  <c r="D479" i="4"/>
  <c r="AA479" i="3"/>
  <c r="I481" i="4"/>
  <c r="M481" i="4" s="1"/>
  <c r="D479" i="3"/>
  <c r="F478" i="3"/>
  <c r="C481" i="4"/>
  <c r="AB480" i="3"/>
  <c r="B482" i="3"/>
  <c r="B484" i="2"/>
  <c r="O477" i="3"/>
  <c r="U477" i="3"/>
  <c r="I477" i="3"/>
  <c r="A482" i="4"/>
  <c r="M481" i="3"/>
  <c r="C481" i="3"/>
  <c r="P481" i="3"/>
  <c r="G481" i="3"/>
  <c r="S481" i="3"/>
  <c r="Y481" i="3" s="1"/>
  <c r="Z481" i="3" s="1"/>
  <c r="E481" i="3"/>
  <c r="F478" i="4" l="1"/>
  <c r="J478" i="4"/>
  <c r="H478" i="4"/>
  <c r="E481" i="4"/>
  <c r="K480" i="4"/>
  <c r="N480" i="4" s="1"/>
  <c r="G480" i="4"/>
  <c r="L480" i="4" s="1"/>
  <c r="O484" i="2"/>
  <c r="I483" i="2"/>
  <c r="F483" i="2" s="1"/>
  <c r="N482" i="3" s="1"/>
  <c r="I482" i="4"/>
  <c r="M482" i="4" s="1"/>
  <c r="K484" i="2"/>
  <c r="D484" i="2"/>
  <c r="T483" i="2"/>
  <c r="B483" i="3"/>
  <c r="B485" i="2"/>
  <c r="D480" i="4"/>
  <c r="AA480" i="3"/>
  <c r="A483" i="4"/>
  <c r="M482" i="3"/>
  <c r="C482" i="3"/>
  <c r="P482" i="3"/>
  <c r="E482" i="3"/>
  <c r="G482" i="3"/>
  <c r="S482" i="3"/>
  <c r="Y482" i="3" s="1"/>
  <c r="Z482" i="3" s="1"/>
  <c r="M488" i="2"/>
  <c r="L487" i="2"/>
  <c r="P482" i="2"/>
  <c r="J481" i="2"/>
  <c r="G481" i="2" s="1"/>
  <c r="T480" i="3" s="1"/>
  <c r="V480" i="3"/>
  <c r="I478" i="3"/>
  <c r="U478" i="3"/>
  <c r="O478" i="3"/>
  <c r="F479" i="3"/>
  <c r="D480" i="3"/>
  <c r="C484" i="2"/>
  <c r="N482" i="2"/>
  <c r="H481" i="2"/>
  <c r="E481" i="2" s="1"/>
  <c r="H480" i="3" s="1"/>
  <c r="J480" i="3"/>
  <c r="C482" i="4"/>
  <c r="AB481" i="3"/>
  <c r="K481" i="4" l="1"/>
  <c r="N481" i="4" s="1"/>
  <c r="J479" i="4"/>
  <c r="G481" i="4"/>
  <c r="L481" i="4" s="1"/>
  <c r="F479" i="4"/>
  <c r="E482" i="4"/>
  <c r="H479" i="4"/>
  <c r="O485" i="2"/>
  <c r="I484" i="2"/>
  <c r="F484" i="2" s="1"/>
  <c r="N483" i="3" s="1"/>
  <c r="D485" i="2"/>
  <c r="T484" i="2"/>
  <c r="A484" i="4"/>
  <c r="E483" i="3"/>
  <c r="G483" i="3"/>
  <c r="S483" i="3"/>
  <c r="Y483" i="3" s="1"/>
  <c r="Z483" i="3" s="1"/>
  <c r="M483" i="3"/>
  <c r="P483" i="3"/>
  <c r="C483" i="3"/>
  <c r="C483" i="4"/>
  <c r="AB482" i="3"/>
  <c r="P483" i="2"/>
  <c r="J482" i="2"/>
  <c r="G482" i="2" s="1"/>
  <c r="T481" i="3" s="1"/>
  <c r="V481" i="3"/>
  <c r="N483" i="2"/>
  <c r="J481" i="3"/>
  <c r="H482" i="2"/>
  <c r="E482" i="2" s="1"/>
  <c r="H481" i="3" s="1"/>
  <c r="K485" i="2"/>
  <c r="L488" i="2"/>
  <c r="C485" i="2"/>
  <c r="M489" i="2"/>
  <c r="I483" i="4"/>
  <c r="M483" i="4" s="1"/>
  <c r="D481" i="4"/>
  <c r="AA481" i="3"/>
  <c r="I479" i="3"/>
  <c r="U479" i="3"/>
  <c r="O479" i="3"/>
  <c r="F480" i="3"/>
  <c r="D481" i="3"/>
  <c r="B484" i="3"/>
  <c r="B486" i="2"/>
  <c r="H480" i="4" l="1"/>
  <c r="G482" i="4"/>
  <c r="L482" i="4" s="1"/>
  <c r="J480" i="4"/>
  <c r="F480" i="4"/>
  <c r="K482" i="4"/>
  <c r="N482" i="4" s="1"/>
  <c r="E483" i="4"/>
  <c r="O486" i="2"/>
  <c r="I485" i="2"/>
  <c r="F485" i="2" s="1"/>
  <c r="N484" i="3" s="1"/>
  <c r="N484" i="2"/>
  <c r="J482" i="3"/>
  <c r="H483" i="2"/>
  <c r="E483" i="2" s="1"/>
  <c r="H482" i="3" s="1"/>
  <c r="B485" i="3"/>
  <c r="B487" i="2"/>
  <c r="C484" i="4"/>
  <c r="AB483" i="3"/>
  <c r="A485" i="4"/>
  <c r="C484" i="3"/>
  <c r="P484" i="3"/>
  <c r="E484" i="3"/>
  <c r="G484" i="3"/>
  <c r="S484" i="3"/>
  <c r="Y484" i="3" s="1"/>
  <c r="Z484" i="3" s="1"/>
  <c r="M484" i="3"/>
  <c r="F481" i="3"/>
  <c r="D482" i="3"/>
  <c r="O480" i="3"/>
  <c r="I480" i="3"/>
  <c r="U480" i="3"/>
  <c r="M490" i="2"/>
  <c r="D482" i="4"/>
  <c r="AA482" i="3"/>
  <c r="C486" i="2"/>
  <c r="I484" i="4"/>
  <c r="M484" i="4" s="1"/>
  <c r="P484" i="2"/>
  <c r="J483" i="2"/>
  <c r="G483" i="2" s="1"/>
  <c r="T482" i="3" s="1"/>
  <c r="V482" i="3"/>
  <c r="L489" i="2"/>
  <c r="K486" i="2"/>
  <c r="D486" i="2"/>
  <c r="T485" i="2"/>
  <c r="F481" i="4" l="1"/>
  <c r="E484" i="4"/>
  <c r="H481" i="4"/>
  <c r="K483" i="4"/>
  <c r="N483" i="4" s="1"/>
  <c r="J481" i="4"/>
  <c r="G483" i="4"/>
  <c r="L483" i="4" s="1"/>
  <c r="O487" i="2"/>
  <c r="I486" i="2"/>
  <c r="F486" i="2" s="1"/>
  <c r="N485" i="3" s="1"/>
  <c r="D483" i="3"/>
  <c r="F482" i="3"/>
  <c r="O481" i="3"/>
  <c r="I481" i="3"/>
  <c r="U481" i="3"/>
  <c r="I485" i="4"/>
  <c r="M485" i="4" s="1"/>
  <c r="K487" i="2"/>
  <c r="C487" i="2"/>
  <c r="C485" i="4"/>
  <c r="AB484" i="3"/>
  <c r="D487" i="2"/>
  <c r="T486" i="2"/>
  <c r="L490" i="2"/>
  <c r="B486" i="3"/>
  <c r="B488" i="2"/>
  <c r="D483" i="4"/>
  <c r="AA483" i="3"/>
  <c r="A486" i="4"/>
  <c r="M485" i="3"/>
  <c r="C485" i="3"/>
  <c r="P485" i="3"/>
  <c r="G485" i="3"/>
  <c r="S485" i="3"/>
  <c r="Y485" i="3" s="1"/>
  <c r="Z485" i="3" s="1"/>
  <c r="E485" i="3"/>
  <c r="P485" i="2"/>
  <c r="J484" i="2"/>
  <c r="G484" i="2" s="1"/>
  <c r="T483" i="3" s="1"/>
  <c r="V483" i="3"/>
  <c r="M491" i="2"/>
  <c r="N485" i="2"/>
  <c r="H484" i="2"/>
  <c r="E484" i="2" s="1"/>
  <c r="H483" i="3" s="1"/>
  <c r="J483" i="3"/>
  <c r="E485" i="4" l="1"/>
  <c r="G484" i="4"/>
  <c r="L484" i="4" s="1"/>
  <c r="J482" i="4"/>
  <c r="F482" i="4"/>
  <c r="K484" i="4"/>
  <c r="N484" i="4" s="1"/>
  <c r="H482" i="4"/>
  <c r="O488" i="2"/>
  <c r="I487" i="2"/>
  <c r="F487" i="2" s="1"/>
  <c r="N486" i="3" s="1"/>
  <c r="A487" i="4"/>
  <c r="M486" i="3"/>
  <c r="C486" i="3"/>
  <c r="P486" i="3"/>
  <c r="E486" i="3"/>
  <c r="G486" i="3"/>
  <c r="S486" i="3"/>
  <c r="Y486" i="3" s="1"/>
  <c r="Z486" i="3" s="1"/>
  <c r="K488" i="2"/>
  <c r="L491" i="2"/>
  <c r="D488" i="2"/>
  <c r="T487" i="2"/>
  <c r="N486" i="2"/>
  <c r="J484" i="3"/>
  <c r="H485" i="2"/>
  <c r="E485" i="2" s="1"/>
  <c r="H484" i="3" s="1"/>
  <c r="M492" i="2"/>
  <c r="C486" i="4"/>
  <c r="AB485" i="3"/>
  <c r="P486" i="2"/>
  <c r="J485" i="2"/>
  <c r="G485" i="2" s="1"/>
  <c r="T484" i="3" s="1"/>
  <c r="V484" i="3"/>
  <c r="I486" i="4"/>
  <c r="M486" i="4" s="1"/>
  <c r="C488" i="2"/>
  <c r="I482" i="3"/>
  <c r="U482" i="3"/>
  <c r="O482" i="3"/>
  <c r="D484" i="4"/>
  <c r="AA484" i="3"/>
  <c r="B487" i="3"/>
  <c r="B489" i="2"/>
  <c r="F483" i="3"/>
  <c r="D484" i="3"/>
  <c r="E486" i="4" l="1"/>
  <c r="K485" i="4"/>
  <c r="N485" i="4" s="1"/>
  <c r="H483" i="4"/>
  <c r="G485" i="4"/>
  <c r="L485" i="4" s="1"/>
  <c r="J483" i="4"/>
  <c r="F483" i="4"/>
  <c r="O489" i="2"/>
  <c r="I488" i="2"/>
  <c r="F488" i="2" s="1"/>
  <c r="N487" i="3" s="1"/>
  <c r="F484" i="3"/>
  <c r="D485" i="3"/>
  <c r="M493" i="2"/>
  <c r="I483" i="3"/>
  <c r="U483" i="3"/>
  <c r="O483" i="3"/>
  <c r="B488" i="3"/>
  <c r="B490" i="2"/>
  <c r="N487" i="2"/>
  <c r="H486" i="2"/>
  <c r="E486" i="2" s="1"/>
  <c r="H485" i="3" s="1"/>
  <c r="J485" i="3"/>
  <c r="A488" i="4"/>
  <c r="E487" i="3"/>
  <c r="G487" i="3"/>
  <c r="S487" i="3"/>
  <c r="Y487" i="3" s="1"/>
  <c r="Z487" i="3" s="1"/>
  <c r="M487" i="3"/>
  <c r="P487" i="3"/>
  <c r="C487" i="3"/>
  <c r="D485" i="4"/>
  <c r="AA485" i="3"/>
  <c r="C487" i="4"/>
  <c r="AB486" i="3"/>
  <c r="D489" i="2"/>
  <c r="T488" i="2"/>
  <c r="P487" i="2"/>
  <c r="J486" i="2"/>
  <c r="G486" i="2" s="1"/>
  <c r="T485" i="3" s="1"/>
  <c r="V485" i="3"/>
  <c r="L492" i="2"/>
  <c r="C489" i="2"/>
  <c r="K489" i="2"/>
  <c r="I487" i="4"/>
  <c r="M487" i="4" s="1"/>
  <c r="H484" i="4" l="1"/>
  <c r="J484" i="4"/>
  <c r="F484" i="4"/>
  <c r="K486" i="4"/>
  <c r="N486" i="4" s="1"/>
  <c r="E487" i="4"/>
  <c r="G486" i="4"/>
  <c r="L486" i="4" s="1"/>
  <c r="O490" i="2"/>
  <c r="I489" i="2"/>
  <c r="F489" i="2" s="1"/>
  <c r="N488" i="3" s="1"/>
  <c r="L493" i="2"/>
  <c r="N488" i="2"/>
  <c r="H487" i="2"/>
  <c r="E487" i="2" s="1"/>
  <c r="H486" i="3" s="1"/>
  <c r="J486" i="3"/>
  <c r="C488" i="4"/>
  <c r="AB487" i="3"/>
  <c r="B489" i="3"/>
  <c r="B491" i="2"/>
  <c r="P488" i="2"/>
  <c r="J487" i="2"/>
  <c r="G487" i="2" s="1"/>
  <c r="T486" i="3" s="1"/>
  <c r="V486" i="3"/>
  <c r="A489" i="4"/>
  <c r="C488" i="3"/>
  <c r="P488" i="3"/>
  <c r="G488" i="3"/>
  <c r="S488" i="3"/>
  <c r="Y488" i="3" s="1"/>
  <c r="Z488" i="3" s="1"/>
  <c r="M488" i="3"/>
  <c r="E488" i="3"/>
  <c r="M494" i="2"/>
  <c r="C490" i="2"/>
  <c r="D486" i="4"/>
  <c r="AA486" i="3"/>
  <c r="F485" i="3"/>
  <c r="D486" i="3"/>
  <c r="D490" i="2"/>
  <c r="T489" i="2"/>
  <c r="K490" i="2"/>
  <c r="I488" i="4"/>
  <c r="M488" i="4" s="1"/>
  <c r="O484" i="3"/>
  <c r="I484" i="3"/>
  <c r="U484" i="3"/>
  <c r="H485" i="4" l="1"/>
  <c r="J485" i="4"/>
  <c r="F485" i="4"/>
  <c r="E488" i="4"/>
  <c r="G487" i="4"/>
  <c r="L487" i="4" s="1"/>
  <c r="K487" i="4"/>
  <c r="N487" i="4" s="1"/>
  <c r="O491" i="2"/>
  <c r="I490" i="2"/>
  <c r="P489" i="2"/>
  <c r="J488" i="2"/>
  <c r="G488" i="2" s="1"/>
  <c r="T487" i="3" s="1"/>
  <c r="V487" i="3"/>
  <c r="D487" i="3"/>
  <c r="F486" i="3"/>
  <c r="C489" i="4"/>
  <c r="AB488" i="3"/>
  <c r="B490" i="3"/>
  <c r="B492" i="2"/>
  <c r="O485" i="3"/>
  <c r="I485" i="3"/>
  <c r="U485" i="3"/>
  <c r="A490" i="4"/>
  <c r="M489" i="3"/>
  <c r="C489" i="3"/>
  <c r="P489" i="3"/>
  <c r="G489" i="3"/>
  <c r="S489" i="3"/>
  <c r="Y489" i="3" s="1"/>
  <c r="Z489" i="3" s="1"/>
  <c r="E489" i="3"/>
  <c r="D487" i="4"/>
  <c r="AA487" i="3"/>
  <c r="D491" i="2"/>
  <c r="T490" i="2"/>
  <c r="N489" i="2"/>
  <c r="H488" i="2"/>
  <c r="E488" i="2" s="1"/>
  <c r="H487" i="3" s="1"/>
  <c r="J487" i="3"/>
  <c r="C491" i="2"/>
  <c r="F490" i="2"/>
  <c r="N489" i="3" s="1"/>
  <c r="M495" i="2"/>
  <c r="K491" i="2"/>
  <c r="I489" i="4"/>
  <c r="M489" i="4" s="1"/>
  <c r="L494" i="2"/>
  <c r="H486" i="4" l="1"/>
  <c r="E489" i="4"/>
  <c r="K488" i="4"/>
  <c r="N488" i="4" s="1"/>
  <c r="G488" i="4"/>
  <c r="L488" i="4" s="1"/>
  <c r="J486" i="4"/>
  <c r="F486" i="4"/>
  <c r="O492" i="2"/>
  <c r="I491" i="2"/>
  <c r="F491" i="2" s="1"/>
  <c r="N490" i="3" s="1"/>
  <c r="L495" i="2"/>
  <c r="A491" i="4"/>
  <c r="M490" i="3"/>
  <c r="C490" i="3"/>
  <c r="P490" i="3"/>
  <c r="S490" i="3"/>
  <c r="Y490" i="3" s="1"/>
  <c r="Z490" i="3" s="1"/>
  <c r="E490" i="3"/>
  <c r="G490" i="3"/>
  <c r="M496" i="2"/>
  <c r="B491" i="3"/>
  <c r="B493" i="2"/>
  <c r="N490" i="2"/>
  <c r="H489" i="2"/>
  <c r="E489" i="2" s="1"/>
  <c r="H488" i="3" s="1"/>
  <c r="J488" i="3"/>
  <c r="I486" i="3"/>
  <c r="U486" i="3"/>
  <c r="O486" i="3"/>
  <c r="F487" i="3"/>
  <c r="D488" i="3"/>
  <c r="D492" i="2"/>
  <c r="T491" i="2"/>
  <c r="K492" i="2"/>
  <c r="D488" i="4"/>
  <c r="AA488" i="3"/>
  <c r="C492" i="2"/>
  <c r="C490" i="4"/>
  <c r="AB489" i="3"/>
  <c r="I490" i="4"/>
  <c r="M490" i="4" s="1"/>
  <c r="P490" i="2"/>
  <c r="J489" i="2"/>
  <c r="G489" i="2" s="1"/>
  <c r="T488" i="3" s="1"/>
  <c r="V488" i="3"/>
  <c r="J487" i="4" l="1"/>
  <c r="K489" i="4"/>
  <c r="N489" i="4" s="1"/>
  <c r="G489" i="4"/>
  <c r="L489" i="4" s="1"/>
  <c r="E490" i="4"/>
  <c r="F487" i="4"/>
  <c r="H487" i="4"/>
  <c r="O493" i="2"/>
  <c r="I492" i="2"/>
  <c r="F492" i="2" s="1"/>
  <c r="N491" i="3" s="1"/>
  <c r="P491" i="2"/>
  <c r="J490" i="2"/>
  <c r="G490" i="2" s="1"/>
  <c r="T489" i="3" s="1"/>
  <c r="V489" i="3"/>
  <c r="D489" i="4"/>
  <c r="AA489" i="3"/>
  <c r="N491" i="2"/>
  <c r="H490" i="2"/>
  <c r="E490" i="2" s="1"/>
  <c r="H489" i="3" s="1"/>
  <c r="J489" i="3"/>
  <c r="K493" i="2"/>
  <c r="B492" i="3"/>
  <c r="B494" i="2"/>
  <c r="C491" i="4"/>
  <c r="AB490" i="3"/>
  <c r="A492" i="4"/>
  <c r="E491" i="3"/>
  <c r="M491" i="3"/>
  <c r="P491" i="3"/>
  <c r="S491" i="3"/>
  <c r="Y491" i="3" s="1"/>
  <c r="Z491" i="3" s="1"/>
  <c r="C491" i="3"/>
  <c r="G491" i="3"/>
  <c r="C493" i="2"/>
  <c r="D493" i="2"/>
  <c r="T492" i="2"/>
  <c r="M497" i="2"/>
  <c r="I491" i="4"/>
  <c r="M491" i="4" s="1"/>
  <c r="F488" i="3"/>
  <c r="D489" i="3"/>
  <c r="I487" i="3"/>
  <c r="U487" i="3"/>
  <c r="O487" i="3"/>
  <c r="L496" i="2"/>
  <c r="G490" i="4" l="1"/>
  <c r="L490" i="4" s="1"/>
  <c r="J488" i="4"/>
  <c r="F488" i="4"/>
  <c r="H488" i="4"/>
  <c r="K490" i="4"/>
  <c r="N490" i="4" s="1"/>
  <c r="E491" i="4"/>
  <c r="O494" i="2"/>
  <c r="I493" i="2"/>
  <c r="F493" i="2" s="1"/>
  <c r="N492" i="3" s="1"/>
  <c r="B493" i="3"/>
  <c r="B495" i="2"/>
  <c r="A493" i="4"/>
  <c r="C492" i="3"/>
  <c r="G492" i="3"/>
  <c r="S492" i="3"/>
  <c r="Y492" i="3" s="1"/>
  <c r="Z492" i="3" s="1"/>
  <c r="E492" i="3"/>
  <c r="M492" i="3"/>
  <c r="P492" i="3"/>
  <c r="L497" i="2"/>
  <c r="M498" i="2"/>
  <c r="K494" i="2"/>
  <c r="C492" i="4"/>
  <c r="AB491" i="3"/>
  <c r="D494" i="2"/>
  <c r="T493" i="2"/>
  <c r="F489" i="3"/>
  <c r="D490" i="3"/>
  <c r="N492" i="2"/>
  <c r="J490" i="3"/>
  <c r="H491" i="2"/>
  <c r="E491" i="2" s="1"/>
  <c r="H490" i="3" s="1"/>
  <c r="O488" i="3"/>
  <c r="I488" i="3"/>
  <c r="U488" i="3"/>
  <c r="D490" i="4"/>
  <c r="AA490" i="3"/>
  <c r="C494" i="2"/>
  <c r="I492" i="4"/>
  <c r="M492" i="4" s="1"/>
  <c r="P492" i="2"/>
  <c r="J491" i="2"/>
  <c r="G491" i="2" s="1"/>
  <c r="T490" i="3" s="1"/>
  <c r="V490" i="3"/>
  <c r="H489" i="4" l="1"/>
  <c r="G491" i="4"/>
  <c r="L491" i="4" s="1"/>
  <c r="K491" i="4"/>
  <c r="N491" i="4" s="1"/>
  <c r="E492" i="4"/>
  <c r="J489" i="4"/>
  <c r="F489" i="4"/>
  <c r="O495" i="2"/>
  <c r="I494" i="2"/>
  <c r="F494" i="2" s="1"/>
  <c r="N493" i="3" s="1"/>
  <c r="D491" i="4"/>
  <c r="AA491" i="3"/>
  <c r="D495" i="2"/>
  <c r="T494" i="2"/>
  <c r="C493" i="4"/>
  <c r="AB492" i="3"/>
  <c r="P493" i="2"/>
  <c r="J492" i="2"/>
  <c r="G492" i="2" s="1"/>
  <c r="T491" i="3" s="1"/>
  <c r="V491" i="3"/>
  <c r="K495" i="2"/>
  <c r="M499" i="2"/>
  <c r="N493" i="2"/>
  <c r="J491" i="3"/>
  <c r="H492" i="2"/>
  <c r="E492" i="2" s="1"/>
  <c r="H491" i="3" s="1"/>
  <c r="F490" i="3"/>
  <c r="D491" i="3"/>
  <c r="L498" i="2"/>
  <c r="I493" i="4"/>
  <c r="M493" i="4" s="1"/>
  <c r="C495" i="2"/>
  <c r="O489" i="3"/>
  <c r="U489" i="3"/>
  <c r="I489" i="3"/>
  <c r="B494" i="3"/>
  <c r="B496" i="2"/>
  <c r="A494" i="4"/>
  <c r="C493" i="3"/>
  <c r="P493" i="3"/>
  <c r="G493" i="3"/>
  <c r="S493" i="3"/>
  <c r="Y493" i="3" s="1"/>
  <c r="Z493" i="3" s="1"/>
  <c r="E493" i="3"/>
  <c r="M493" i="3"/>
  <c r="K492" i="4" l="1"/>
  <c r="N492" i="4" s="1"/>
  <c r="E493" i="4"/>
  <c r="F490" i="4"/>
  <c r="J490" i="4"/>
  <c r="H490" i="4"/>
  <c r="G492" i="4"/>
  <c r="L492" i="4" s="1"/>
  <c r="O496" i="2"/>
  <c r="I495" i="2"/>
  <c r="F495" i="2" s="1"/>
  <c r="N494" i="3" s="1"/>
  <c r="B495" i="3"/>
  <c r="B497" i="2"/>
  <c r="K496" i="2"/>
  <c r="L499" i="2"/>
  <c r="P494" i="2"/>
  <c r="J493" i="2"/>
  <c r="G493" i="2" s="1"/>
  <c r="T492" i="3" s="1"/>
  <c r="V492" i="3"/>
  <c r="C494" i="4"/>
  <c r="AB493" i="3"/>
  <c r="F491" i="3"/>
  <c r="D492" i="3"/>
  <c r="I494" i="4"/>
  <c r="M494" i="4" s="1"/>
  <c r="A495" i="4"/>
  <c r="M494" i="3"/>
  <c r="P494" i="3"/>
  <c r="S494" i="3"/>
  <c r="Y494" i="3" s="1"/>
  <c r="Z494" i="3" s="1"/>
  <c r="C494" i="3"/>
  <c r="E494" i="3"/>
  <c r="G494" i="3"/>
  <c r="C496" i="2"/>
  <c r="I490" i="3"/>
  <c r="U490" i="3"/>
  <c r="O490" i="3"/>
  <c r="N494" i="2"/>
  <c r="H493" i="2"/>
  <c r="E493" i="2" s="1"/>
  <c r="H492" i="3" s="1"/>
  <c r="J492" i="3"/>
  <c r="D496" i="2"/>
  <c r="T495" i="2"/>
  <c r="D492" i="4"/>
  <c r="AA492" i="3"/>
  <c r="M500" i="2"/>
  <c r="F491" i="4" l="1"/>
  <c r="K493" i="4"/>
  <c r="N493" i="4" s="1"/>
  <c r="E494" i="4"/>
  <c r="H491" i="4"/>
  <c r="G493" i="4"/>
  <c r="L493" i="4" s="1"/>
  <c r="J491" i="4"/>
  <c r="O497" i="2"/>
  <c r="I496" i="2"/>
  <c r="F496" i="2" s="1"/>
  <c r="N495" i="3" s="1"/>
  <c r="C495" i="4"/>
  <c r="AB494" i="3"/>
  <c r="I491" i="3"/>
  <c r="U491" i="3"/>
  <c r="O491" i="3"/>
  <c r="M501" i="2"/>
  <c r="D493" i="4"/>
  <c r="AA493" i="3"/>
  <c r="I495" i="4"/>
  <c r="M495" i="4" s="1"/>
  <c r="P495" i="2"/>
  <c r="J494" i="2"/>
  <c r="G494" i="2" s="1"/>
  <c r="T493" i="3" s="1"/>
  <c r="V493" i="3"/>
  <c r="C497" i="2"/>
  <c r="D497" i="2"/>
  <c r="T496" i="2"/>
  <c r="L500" i="2"/>
  <c r="K497" i="2"/>
  <c r="N495" i="2"/>
  <c r="J493" i="3"/>
  <c r="H494" i="2"/>
  <c r="E494" i="2" s="1"/>
  <c r="H493" i="3" s="1"/>
  <c r="B496" i="3"/>
  <c r="B498" i="2"/>
  <c r="F492" i="3"/>
  <c r="D493" i="3"/>
  <c r="A496" i="4"/>
  <c r="E495" i="3"/>
  <c r="C495" i="3"/>
  <c r="G495" i="3"/>
  <c r="M495" i="3"/>
  <c r="P495" i="3"/>
  <c r="S495" i="3"/>
  <c r="Y495" i="3" s="1"/>
  <c r="Z495" i="3" s="1"/>
  <c r="G494" i="4" l="1"/>
  <c r="L494" i="4" s="1"/>
  <c r="H492" i="4"/>
  <c r="J492" i="4"/>
  <c r="F492" i="4"/>
  <c r="E495" i="4"/>
  <c r="K494" i="4"/>
  <c r="N494" i="4" s="1"/>
  <c r="O498" i="2"/>
  <c r="I497" i="2"/>
  <c r="F497" i="2" s="1"/>
  <c r="N496" i="3" s="1"/>
  <c r="I496" i="4"/>
  <c r="M496" i="4" s="1"/>
  <c r="O492" i="3"/>
  <c r="I492" i="3"/>
  <c r="U492" i="3"/>
  <c r="D498" i="2"/>
  <c r="T497" i="2"/>
  <c r="F493" i="3"/>
  <c r="D494" i="3"/>
  <c r="B497" i="3"/>
  <c r="B499" i="2"/>
  <c r="D494" i="4"/>
  <c r="AA494" i="3"/>
  <c r="C496" i="4"/>
  <c r="AB495" i="3"/>
  <c r="A497" i="4"/>
  <c r="C496" i="3"/>
  <c r="G496" i="3"/>
  <c r="S496" i="3"/>
  <c r="Y496" i="3" s="1"/>
  <c r="Z496" i="3" s="1"/>
  <c r="M496" i="3"/>
  <c r="P496" i="3"/>
  <c r="E496" i="3"/>
  <c r="C498" i="2"/>
  <c r="M502" i="2"/>
  <c r="N496" i="2"/>
  <c r="H495" i="2"/>
  <c r="E495" i="2" s="1"/>
  <c r="H494" i="3" s="1"/>
  <c r="J494" i="3"/>
  <c r="K498" i="2"/>
  <c r="P496" i="2"/>
  <c r="J495" i="2"/>
  <c r="G495" i="2" s="1"/>
  <c r="T494" i="3" s="1"/>
  <c r="V494" i="3"/>
  <c r="L501" i="2"/>
  <c r="K495" i="4" l="1"/>
  <c r="N495" i="4" s="1"/>
  <c r="J493" i="4"/>
  <c r="F493" i="4"/>
  <c r="G495" i="4"/>
  <c r="L495" i="4" s="1"/>
  <c r="E496" i="4"/>
  <c r="H493" i="4"/>
  <c r="O499" i="2"/>
  <c r="I498" i="2"/>
  <c r="F498" i="2" s="1"/>
  <c r="N497" i="3" s="1"/>
  <c r="M503" i="2"/>
  <c r="C499" i="2"/>
  <c r="L502" i="2"/>
  <c r="D499" i="2"/>
  <c r="T498" i="2"/>
  <c r="I497" i="4"/>
  <c r="M497" i="4" s="1"/>
  <c r="D495" i="4"/>
  <c r="AA495" i="3"/>
  <c r="P497" i="2"/>
  <c r="J496" i="2"/>
  <c r="G496" i="2" s="1"/>
  <c r="T495" i="3" s="1"/>
  <c r="V495" i="3"/>
  <c r="K499" i="2"/>
  <c r="B498" i="3"/>
  <c r="B500" i="2"/>
  <c r="A498" i="4"/>
  <c r="P497" i="3"/>
  <c r="M497" i="3"/>
  <c r="C497" i="3"/>
  <c r="E497" i="3"/>
  <c r="S497" i="3"/>
  <c r="Y497" i="3" s="1"/>
  <c r="Z497" i="3" s="1"/>
  <c r="G497" i="3"/>
  <c r="N497" i="2"/>
  <c r="H496" i="2"/>
  <c r="E496" i="2" s="1"/>
  <c r="H495" i="3" s="1"/>
  <c r="J495" i="3"/>
  <c r="C497" i="4"/>
  <c r="AB496" i="3"/>
  <c r="D495" i="3"/>
  <c r="F494" i="3"/>
  <c r="O493" i="3"/>
  <c r="U493" i="3"/>
  <c r="I493" i="3"/>
  <c r="F494" i="4" l="1"/>
  <c r="G496" i="4"/>
  <c r="L496" i="4" s="1"/>
  <c r="J494" i="4"/>
  <c r="H494" i="4"/>
  <c r="E497" i="4"/>
  <c r="K496" i="4"/>
  <c r="N496" i="4" s="1"/>
  <c r="O500" i="2"/>
  <c r="I499" i="2"/>
  <c r="F499" i="2" s="1"/>
  <c r="N498" i="3" s="1"/>
  <c r="A499" i="4"/>
  <c r="M498" i="3"/>
  <c r="C498" i="3"/>
  <c r="P498" i="3"/>
  <c r="E498" i="3"/>
  <c r="S498" i="3"/>
  <c r="Y498" i="3" s="1"/>
  <c r="Z498" i="3" s="1"/>
  <c r="G498" i="3"/>
  <c r="K500" i="2"/>
  <c r="D500" i="2"/>
  <c r="T499" i="2"/>
  <c r="F495" i="3"/>
  <c r="D496" i="3"/>
  <c r="P498" i="2"/>
  <c r="J497" i="2"/>
  <c r="G497" i="2" s="1"/>
  <c r="T496" i="3" s="1"/>
  <c r="V496" i="3"/>
  <c r="I494" i="3"/>
  <c r="U494" i="3"/>
  <c r="O494" i="3"/>
  <c r="D496" i="4"/>
  <c r="AA496" i="3"/>
  <c r="L503" i="2"/>
  <c r="C498" i="4"/>
  <c r="AB497" i="3"/>
  <c r="C500" i="2"/>
  <c r="N498" i="2"/>
  <c r="J496" i="3"/>
  <c r="H497" i="2"/>
  <c r="E497" i="2" s="1"/>
  <c r="H496" i="3" s="1"/>
  <c r="I498" i="4"/>
  <c r="M498" i="4" s="1"/>
  <c r="M504" i="2"/>
  <c r="B499" i="3"/>
  <c r="B501" i="2"/>
  <c r="H495" i="4" l="1"/>
  <c r="J495" i="4"/>
  <c r="K497" i="4"/>
  <c r="N497" i="4" s="1"/>
  <c r="F495" i="4"/>
  <c r="G497" i="4"/>
  <c r="L497" i="4" s="1"/>
  <c r="E498" i="4"/>
  <c r="O501" i="2"/>
  <c r="I500" i="2"/>
  <c r="F500" i="2" s="1"/>
  <c r="N499" i="3" s="1"/>
  <c r="B500" i="3"/>
  <c r="B502" i="2"/>
  <c r="N499" i="2"/>
  <c r="J497" i="3"/>
  <c r="H498" i="2"/>
  <c r="E498" i="2" s="1"/>
  <c r="H497" i="3" s="1"/>
  <c r="M505" i="2"/>
  <c r="C501" i="2"/>
  <c r="P499" i="2"/>
  <c r="J498" i="2"/>
  <c r="G498" i="2" s="1"/>
  <c r="T497" i="3" s="1"/>
  <c r="V497" i="3"/>
  <c r="D497" i="3"/>
  <c r="F496" i="3"/>
  <c r="I495" i="3"/>
  <c r="U495" i="3"/>
  <c r="O495" i="3"/>
  <c r="A500" i="4"/>
  <c r="M499" i="3"/>
  <c r="C499" i="3"/>
  <c r="P499" i="3"/>
  <c r="E499" i="3"/>
  <c r="S499" i="3"/>
  <c r="Y499" i="3" s="1"/>
  <c r="Z499" i="3" s="1"/>
  <c r="G499" i="3"/>
  <c r="L504" i="2"/>
  <c r="D497" i="4"/>
  <c r="AA497" i="3"/>
  <c r="D501" i="2"/>
  <c r="T500" i="2"/>
  <c r="K501" i="2"/>
  <c r="C499" i="4"/>
  <c r="AB498" i="3"/>
  <c r="I499" i="4"/>
  <c r="M499" i="4" s="1"/>
  <c r="K498" i="4" l="1"/>
  <c r="N498" i="4" s="1"/>
  <c r="E499" i="4"/>
  <c r="G498" i="4"/>
  <c r="L498" i="4" s="1"/>
  <c r="H496" i="4"/>
  <c r="J496" i="4"/>
  <c r="F496" i="4"/>
  <c r="O502" i="2"/>
  <c r="I501" i="2"/>
  <c r="F501" i="2" s="1"/>
  <c r="N500" i="3" s="1"/>
  <c r="D502" i="2"/>
  <c r="T501" i="2"/>
  <c r="P500" i="2"/>
  <c r="J499" i="2"/>
  <c r="G499" i="2" s="1"/>
  <c r="T498" i="3" s="1"/>
  <c r="V498" i="3"/>
  <c r="D498" i="4"/>
  <c r="AA498" i="3"/>
  <c r="C502" i="2"/>
  <c r="C500" i="4"/>
  <c r="AB499" i="3"/>
  <c r="L505" i="2"/>
  <c r="I500" i="4"/>
  <c r="M500" i="4" s="1"/>
  <c r="M506" i="2"/>
  <c r="O496" i="3"/>
  <c r="U496" i="3"/>
  <c r="I496" i="3"/>
  <c r="N500" i="2"/>
  <c r="H499" i="2"/>
  <c r="E499" i="2" s="1"/>
  <c r="H498" i="3" s="1"/>
  <c r="J498" i="3"/>
  <c r="K502" i="2"/>
  <c r="D498" i="3"/>
  <c r="F497" i="3"/>
  <c r="B501" i="3"/>
  <c r="B503" i="2"/>
  <c r="A501" i="4"/>
  <c r="C500" i="3"/>
  <c r="M500" i="3"/>
  <c r="P500" i="3"/>
  <c r="E500" i="3"/>
  <c r="S500" i="3"/>
  <c r="Y500" i="3" s="1"/>
  <c r="Z500" i="3" s="1"/>
  <c r="G500" i="3"/>
  <c r="F497" i="4" l="1"/>
  <c r="K499" i="4"/>
  <c r="N499" i="4" s="1"/>
  <c r="J497" i="4"/>
  <c r="H497" i="4"/>
  <c r="G499" i="4"/>
  <c r="L499" i="4" s="1"/>
  <c r="E500" i="4"/>
  <c r="O503" i="2"/>
  <c r="I502" i="2"/>
  <c r="F502" i="2" s="1"/>
  <c r="N501" i="3" s="1"/>
  <c r="I501" i="4"/>
  <c r="M501" i="4" s="1"/>
  <c r="B502" i="3"/>
  <c r="B504" i="2"/>
  <c r="M507" i="2"/>
  <c r="A502" i="4"/>
  <c r="M501" i="3"/>
  <c r="C501" i="3"/>
  <c r="P501" i="3"/>
  <c r="E501" i="3"/>
  <c r="G501" i="3"/>
  <c r="S501" i="3"/>
  <c r="Y501" i="3" s="1"/>
  <c r="Z501" i="3" s="1"/>
  <c r="C503" i="2"/>
  <c r="O497" i="3"/>
  <c r="U497" i="3"/>
  <c r="I497" i="3"/>
  <c r="D499" i="3"/>
  <c r="F498" i="3"/>
  <c r="D499" i="4"/>
  <c r="AA499" i="3"/>
  <c r="P501" i="2"/>
  <c r="J500" i="2"/>
  <c r="G500" i="2" s="1"/>
  <c r="T499" i="3" s="1"/>
  <c r="V499" i="3"/>
  <c r="N501" i="2"/>
  <c r="H500" i="2"/>
  <c r="E500" i="2" s="1"/>
  <c r="H499" i="3" s="1"/>
  <c r="J499" i="3"/>
  <c r="C501" i="4"/>
  <c r="AB500" i="3"/>
  <c r="L506" i="2"/>
  <c r="D503" i="2"/>
  <c r="T502" i="2"/>
  <c r="K503" i="2"/>
  <c r="E501" i="4" l="1"/>
  <c r="F498" i="4"/>
  <c r="J498" i="4"/>
  <c r="G500" i="4"/>
  <c r="L500" i="4" s="1"/>
  <c r="H498" i="4"/>
  <c r="K500" i="4"/>
  <c r="N500" i="4" s="1"/>
  <c r="O504" i="2"/>
  <c r="I503" i="2"/>
  <c r="F503" i="2" s="1"/>
  <c r="N502" i="3" s="1"/>
  <c r="C504" i="2"/>
  <c r="I502" i="4"/>
  <c r="M502" i="4" s="1"/>
  <c r="P502" i="2"/>
  <c r="J501" i="2"/>
  <c r="G501" i="2" s="1"/>
  <c r="T500" i="3" s="1"/>
  <c r="V500" i="3"/>
  <c r="M508" i="2"/>
  <c r="N502" i="2"/>
  <c r="H501" i="2"/>
  <c r="E501" i="2" s="1"/>
  <c r="H500" i="3" s="1"/>
  <c r="J500" i="3"/>
  <c r="B503" i="3"/>
  <c r="B505" i="2"/>
  <c r="K504" i="2"/>
  <c r="D504" i="2"/>
  <c r="T503" i="2"/>
  <c r="A503" i="4"/>
  <c r="G502" i="3"/>
  <c r="S502" i="3"/>
  <c r="Y502" i="3" s="1"/>
  <c r="Z502" i="3" s="1"/>
  <c r="M502" i="3"/>
  <c r="C502" i="3"/>
  <c r="E502" i="3"/>
  <c r="P502" i="3"/>
  <c r="D500" i="4"/>
  <c r="AA500" i="3"/>
  <c r="I498" i="3"/>
  <c r="U498" i="3"/>
  <c r="O498" i="3"/>
  <c r="L507" i="2"/>
  <c r="F499" i="3"/>
  <c r="D500" i="3"/>
  <c r="C502" i="4"/>
  <c r="AB501" i="3"/>
  <c r="K501" i="4" l="1"/>
  <c r="N501" i="4" s="1"/>
  <c r="E502" i="4"/>
  <c r="G501" i="4"/>
  <c r="L501" i="4" s="1"/>
  <c r="H499" i="4"/>
  <c r="J499" i="4"/>
  <c r="F499" i="4"/>
  <c r="O505" i="2"/>
  <c r="I504" i="2"/>
  <c r="F504" i="2" s="1"/>
  <c r="N503" i="3" s="1"/>
  <c r="D505" i="2"/>
  <c r="T504" i="2"/>
  <c r="P503" i="2"/>
  <c r="J502" i="2"/>
  <c r="G502" i="2" s="1"/>
  <c r="T501" i="3" s="1"/>
  <c r="V501" i="3"/>
  <c r="F500" i="3"/>
  <c r="D501" i="3"/>
  <c r="O499" i="3"/>
  <c r="U499" i="3"/>
  <c r="I499" i="3"/>
  <c r="C503" i="4"/>
  <c r="AB502" i="3"/>
  <c r="K505" i="2"/>
  <c r="B504" i="3"/>
  <c r="B506" i="2"/>
  <c r="L508" i="2"/>
  <c r="A504" i="4"/>
  <c r="C503" i="3"/>
  <c r="P503" i="3"/>
  <c r="E503" i="3"/>
  <c r="G503" i="3"/>
  <c r="S503" i="3"/>
  <c r="Y503" i="3" s="1"/>
  <c r="Z503" i="3" s="1"/>
  <c r="M503" i="3"/>
  <c r="N503" i="2"/>
  <c r="H502" i="2"/>
  <c r="E502" i="2" s="1"/>
  <c r="H501" i="3" s="1"/>
  <c r="J501" i="3"/>
  <c r="C505" i="2"/>
  <c r="D501" i="4"/>
  <c r="AA501" i="3"/>
  <c r="I503" i="4"/>
  <c r="M503" i="4" s="1"/>
  <c r="M509" i="2"/>
  <c r="K502" i="4" l="1"/>
  <c r="N502" i="4" s="1"/>
  <c r="J500" i="4"/>
  <c r="H500" i="4"/>
  <c r="G502" i="4"/>
  <c r="L502" i="4" s="1"/>
  <c r="F500" i="4"/>
  <c r="E503" i="4"/>
  <c r="O506" i="2"/>
  <c r="I505" i="2"/>
  <c r="F505" i="2" s="1"/>
  <c r="N504" i="3" s="1"/>
  <c r="M510" i="2"/>
  <c r="N504" i="2"/>
  <c r="J502" i="3"/>
  <c r="H503" i="2"/>
  <c r="E503" i="2" s="1"/>
  <c r="H502" i="3" s="1"/>
  <c r="I504" i="4"/>
  <c r="M504" i="4" s="1"/>
  <c r="F501" i="3"/>
  <c r="D502" i="3"/>
  <c r="O500" i="3"/>
  <c r="U500" i="3"/>
  <c r="I500" i="3"/>
  <c r="C506" i="2"/>
  <c r="B505" i="3"/>
  <c r="B507" i="2"/>
  <c r="A505" i="4"/>
  <c r="M504" i="3"/>
  <c r="C504" i="3"/>
  <c r="P504" i="3"/>
  <c r="E504" i="3"/>
  <c r="G504" i="3"/>
  <c r="S504" i="3"/>
  <c r="Y504" i="3" s="1"/>
  <c r="Z504" i="3" s="1"/>
  <c r="P504" i="2"/>
  <c r="J503" i="2"/>
  <c r="G503" i="2" s="1"/>
  <c r="T502" i="3" s="1"/>
  <c r="V502" i="3"/>
  <c r="D502" i="4"/>
  <c r="AA502" i="3"/>
  <c r="L509" i="2"/>
  <c r="K506" i="2"/>
  <c r="D506" i="2"/>
  <c r="T505" i="2"/>
  <c r="C504" i="4"/>
  <c r="AB503" i="3"/>
  <c r="F501" i="4" l="1"/>
  <c r="H501" i="4"/>
  <c r="J501" i="4"/>
  <c r="E504" i="4"/>
  <c r="G503" i="4"/>
  <c r="L503" i="4" s="1"/>
  <c r="K503" i="4"/>
  <c r="N503" i="4" s="1"/>
  <c r="O507" i="2"/>
  <c r="I506" i="2"/>
  <c r="F506" i="2" s="1"/>
  <c r="N505" i="3" s="1"/>
  <c r="C505" i="4"/>
  <c r="AB504" i="3"/>
  <c r="P505" i="2"/>
  <c r="J504" i="2"/>
  <c r="G504" i="2" s="1"/>
  <c r="T503" i="3" s="1"/>
  <c r="V503" i="3"/>
  <c r="I505" i="4"/>
  <c r="M505" i="4" s="1"/>
  <c r="B506" i="3"/>
  <c r="B508" i="2"/>
  <c r="A506" i="4"/>
  <c r="M505" i="3"/>
  <c r="C505" i="3"/>
  <c r="P505" i="3"/>
  <c r="E505" i="3"/>
  <c r="G505" i="3"/>
  <c r="S505" i="3"/>
  <c r="Y505" i="3" s="1"/>
  <c r="Z505" i="3" s="1"/>
  <c r="C507" i="2"/>
  <c r="D507" i="2"/>
  <c r="T506" i="2"/>
  <c r="L510" i="2"/>
  <c r="N505" i="2"/>
  <c r="H504" i="2"/>
  <c r="E504" i="2" s="1"/>
  <c r="H503" i="3" s="1"/>
  <c r="J503" i="3"/>
  <c r="D503" i="4"/>
  <c r="AA503" i="3"/>
  <c r="I501" i="3"/>
  <c r="U501" i="3"/>
  <c r="O501" i="3"/>
  <c r="K507" i="2"/>
  <c r="F502" i="3"/>
  <c r="D503" i="3"/>
  <c r="M511" i="2"/>
  <c r="G504" i="4" l="1"/>
  <c r="L504" i="4" s="1"/>
  <c r="K504" i="4"/>
  <c r="N504" i="4" s="1"/>
  <c r="H502" i="4"/>
  <c r="E505" i="4"/>
  <c r="J502" i="4"/>
  <c r="F502" i="4"/>
  <c r="O508" i="2"/>
  <c r="I507" i="2"/>
  <c r="F507" i="2" s="1"/>
  <c r="N506" i="3" s="1"/>
  <c r="L511" i="2"/>
  <c r="A507" i="4"/>
  <c r="G506" i="3"/>
  <c r="S506" i="3"/>
  <c r="Y506" i="3" s="1"/>
  <c r="Z506" i="3" s="1"/>
  <c r="M506" i="3"/>
  <c r="C506" i="3"/>
  <c r="P506" i="3"/>
  <c r="E506" i="3"/>
  <c r="M512" i="2"/>
  <c r="N506" i="2"/>
  <c r="H505" i="2"/>
  <c r="E505" i="2" s="1"/>
  <c r="H504" i="3" s="1"/>
  <c r="J504" i="3"/>
  <c r="F503" i="3"/>
  <c r="D504" i="3"/>
  <c r="I502" i="3"/>
  <c r="U502" i="3"/>
  <c r="O502" i="3"/>
  <c r="K508" i="2"/>
  <c r="D508" i="2"/>
  <c r="T507" i="2"/>
  <c r="P506" i="2"/>
  <c r="J505" i="2"/>
  <c r="G505" i="2" s="1"/>
  <c r="T504" i="3" s="1"/>
  <c r="V504" i="3"/>
  <c r="C506" i="4"/>
  <c r="AB505" i="3"/>
  <c r="D504" i="4"/>
  <c r="AA504" i="3"/>
  <c r="I506" i="4"/>
  <c r="M506" i="4" s="1"/>
  <c r="C508" i="2"/>
  <c r="B507" i="3"/>
  <c r="B509" i="2"/>
  <c r="K505" i="4" l="1"/>
  <c r="N505" i="4" s="1"/>
  <c r="F503" i="4"/>
  <c r="H503" i="4"/>
  <c r="J503" i="4"/>
  <c r="E506" i="4"/>
  <c r="G505" i="4"/>
  <c r="L505" i="4" s="1"/>
  <c r="O509" i="2"/>
  <c r="I508" i="2"/>
  <c r="F508" i="2" s="1"/>
  <c r="N507" i="3" s="1"/>
  <c r="C507" i="4"/>
  <c r="AB506" i="3"/>
  <c r="B508" i="3"/>
  <c r="B510" i="2"/>
  <c r="A508" i="4"/>
  <c r="C507" i="3"/>
  <c r="P507" i="3"/>
  <c r="E507" i="3"/>
  <c r="G507" i="3"/>
  <c r="S507" i="3"/>
  <c r="Y507" i="3" s="1"/>
  <c r="Z507" i="3" s="1"/>
  <c r="M507" i="3"/>
  <c r="F504" i="3"/>
  <c r="D505" i="3"/>
  <c r="O503" i="3"/>
  <c r="I503" i="3"/>
  <c r="U503" i="3"/>
  <c r="N507" i="2"/>
  <c r="J505" i="3"/>
  <c r="H506" i="2"/>
  <c r="E506" i="2" s="1"/>
  <c r="H505" i="3" s="1"/>
  <c r="D505" i="4"/>
  <c r="AA505" i="3"/>
  <c r="M513" i="2"/>
  <c r="P507" i="2"/>
  <c r="J506" i="2"/>
  <c r="G506" i="2" s="1"/>
  <c r="T505" i="3" s="1"/>
  <c r="V505" i="3"/>
  <c r="D509" i="2"/>
  <c r="T508" i="2"/>
  <c r="I507" i="4"/>
  <c r="M507" i="4" s="1"/>
  <c r="K509" i="2"/>
  <c r="C509" i="2"/>
  <c r="L512" i="2"/>
  <c r="G506" i="4" l="1"/>
  <c r="L506" i="4" s="1"/>
  <c r="J504" i="4"/>
  <c r="F504" i="4"/>
  <c r="H504" i="4"/>
  <c r="E507" i="4"/>
  <c r="K506" i="4"/>
  <c r="N506" i="4" s="1"/>
  <c r="O510" i="2"/>
  <c r="I509" i="2"/>
  <c r="F509" i="2" s="1"/>
  <c r="N508" i="3" s="1"/>
  <c r="L513" i="2"/>
  <c r="N508" i="2"/>
  <c r="H507" i="2"/>
  <c r="E507" i="2" s="1"/>
  <c r="H506" i="3" s="1"/>
  <c r="J506" i="3"/>
  <c r="D510" i="2"/>
  <c r="T509" i="2"/>
  <c r="C510" i="2"/>
  <c r="F505" i="3"/>
  <c r="D506" i="3"/>
  <c r="K510" i="2"/>
  <c r="P508" i="2"/>
  <c r="J507" i="2"/>
  <c r="G507" i="2" s="1"/>
  <c r="T506" i="3" s="1"/>
  <c r="V506" i="3"/>
  <c r="O504" i="3"/>
  <c r="I504" i="3"/>
  <c r="U504" i="3"/>
  <c r="I508" i="4"/>
  <c r="M508" i="4" s="1"/>
  <c r="B509" i="3"/>
  <c r="B511" i="2"/>
  <c r="M514" i="2"/>
  <c r="C508" i="4"/>
  <c r="AB507" i="3"/>
  <c r="A509" i="4"/>
  <c r="M508" i="3"/>
  <c r="C508" i="3"/>
  <c r="P508" i="3"/>
  <c r="E508" i="3"/>
  <c r="G508" i="3"/>
  <c r="S508" i="3"/>
  <c r="Y508" i="3" s="1"/>
  <c r="Z508" i="3" s="1"/>
  <c r="D506" i="4"/>
  <c r="AA506" i="3"/>
  <c r="J505" i="4" l="1"/>
  <c r="F505" i="4"/>
  <c r="G507" i="4"/>
  <c r="L507" i="4" s="1"/>
  <c r="H505" i="4"/>
  <c r="K507" i="4"/>
  <c r="N507" i="4" s="1"/>
  <c r="E508" i="4"/>
  <c r="O511" i="2"/>
  <c r="I510" i="2"/>
  <c r="F510" i="2" s="1"/>
  <c r="N509" i="3" s="1"/>
  <c r="C509" i="4"/>
  <c r="AB508" i="3"/>
  <c r="I505" i="3"/>
  <c r="U505" i="3"/>
  <c r="O505" i="3"/>
  <c r="D507" i="4"/>
  <c r="AA507" i="3"/>
  <c r="I509" i="4"/>
  <c r="M509" i="4" s="1"/>
  <c r="C511" i="2"/>
  <c r="M515" i="2"/>
  <c r="D511" i="2"/>
  <c r="T510" i="2"/>
  <c r="A510" i="4"/>
  <c r="M509" i="3"/>
  <c r="C509" i="3"/>
  <c r="P509" i="3"/>
  <c r="E509" i="3"/>
  <c r="G509" i="3"/>
  <c r="S509" i="3"/>
  <c r="Y509" i="3" s="1"/>
  <c r="Z509" i="3" s="1"/>
  <c r="P509" i="2"/>
  <c r="J508" i="2"/>
  <c r="G508" i="2" s="1"/>
  <c r="T507" i="3" s="1"/>
  <c r="V507" i="3"/>
  <c r="B510" i="3"/>
  <c r="B512" i="2"/>
  <c r="K511" i="2"/>
  <c r="N509" i="2"/>
  <c r="J507" i="3"/>
  <c r="H508" i="2"/>
  <c r="E508" i="2" s="1"/>
  <c r="H507" i="3" s="1"/>
  <c r="L514" i="2"/>
  <c r="F506" i="3"/>
  <c r="D507" i="3"/>
  <c r="H506" i="4" l="1"/>
  <c r="J506" i="4"/>
  <c r="G508" i="4"/>
  <c r="L508" i="4" s="1"/>
  <c r="E509" i="4"/>
  <c r="F506" i="4"/>
  <c r="K508" i="4"/>
  <c r="N508" i="4" s="1"/>
  <c r="O512" i="2"/>
  <c r="I511" i="2"/>
  <c r="F511" i="2" s="1"/>
  <c r="N510" i="3" s="1"/>
  <c r="I506" i="3"/>
  <c r="U506" i="3"/>
  <c r="O506" i="3"/>
  <c r="P510" i="2"/>
  <c r="J509" i="2"/>
  <c r="G509" i="2" s="1"/>
  <c r="T508" i="3" s="1"/>
  <c r="V508" i="3"/>
  <c r="I510" i="4"/>
  <c r="M510" i="4" s="1"/>
  <c r="D512" i="2"/>
  <c r="T511" i="2"/>
  <c r="D508" i="4"/>
  <c r="AA508" i="3"/>
  <c r="M516" i="2"/>
  <c r="L515" i="2"/>
  <c r="N510" i="2"/>
  <c r="H509" i="2"/>
  <c r="E509" i="2" s="1"/>
  <c r="H508" i="3" s="1"/>
  <c r="J508" i="3"/>
  <c r="F507" i="3"/>
  <c r="D508" i="3"/>
  <c r="C512" i="2"/>
  <c r="K512" i="2"/>
  <c r="B511" i="3"/>
  <c r="B513" i="2"/>
  <c r="A511" i="4"/>
  <c r="G510" i="3"/>
  <c r="S510" i="3"/>
  <c r="Y510" i="3" s="1"/>
  <c r="Z510" i="3" s="1"/>
  <c r="M510" i="3"/>
  <c r="C510" i="3"/>
  <c r="E510" i="3"/>
  <c r="P510" i="3"/>
  <c r="C510" i="4"/>
  <c r="AB509" i="3"/>
  <c r="E510" i="4" l="1"/>
  <c r="K509" i="4"/>
  <c r="N509" i="4" s="1"/>
  <c r="H507" i="4"/>
  <c r="J507" i="4"/>
  <c r="G509" i="4"/>
  <c r="L509" i="4" s="1"/>
  <c r="F507" i="4"/>
  <c r="O513" i="2"/>
  <c r="I512" i="2"/>
  <c r="F512" i="2" s="1"/>
  <c r="N511" i="3" s="1"/>
  <c r="I511" i="4"/>
  <c r="M511" i="4" s="1"/>
  <c r="N511" i="2"/>
  <c r="H510" i="2"/>
  <c r="E510" i="2" s="1"/>
  <c r="H509" i="3" s="1"/>
  <c r="J509" i="3"/>
  <c r="B512" i="3"/>
  <c r="B514" i="2"/>
  <c r="A512" i="4"/>
  <c r="C511" i="3"/>
  <c r="P511" i="3"/>
  <c r="E511" i="3"/>
  <c r="G511" i="3"/>
  <c r="S511" i="3"/>
  <c r="Y511" i="3" s="1"/>
  <c r="Z511" i="3" s="1"/>
  <c r="M511" i="3"/>
  <c r="L516" i="2"/>
  <c r="K513" i="2"/>
  <c r="M517" i="2"/>
  <c r="C511" i="4"/>
  <c r="AB510" i="3"/>
  <c r="D509" i="4"/>
  <c r="AA509" i="3"/>
  <c r="C513" i="2"/>
  <c r="P511" i="2"/>
  <c r="J510" i="2"/>
  <c r="G510" i="2" s="1"/>
  <c r="T509" i="3" s="1"/>
  <c r="V509" i="3"/>
  <c r="F508" i="3"/>
  <c r="D509" i="3"/>
  <c r="O507" i="3"/>
  <c r="I507" i="3"/>
  <c r="U507" i="3"/>
  <c r="D513" i="2"/>
  <c r="T512" i="2"/>
  <c r="F508" i="4" l="1"/>
  <c r="G510" i="4"/>
  <c r="L510" i="4" s="1"/>
  <c r="E511" i="4"/>
  <c r="J508" i="4"/>
  <c r="H508" i="4"/>
  <c r="K510" i="4"/>
  <c r="N510" i="4" s="1"/>
  <c r="O514" i="2"/>
  <c r="I513" i="2"/>
  <c r="F513" i="2" s="1"/>
  <c r="N512" i="3" s="1"/>
  <c r="P512" i="2"/>
  <c r="J511" i="2"/>
  <c r="G511" i="2" s="1"/>
  <c r="T510" i="3" s="1"/>
  <c r="V510" i="3"/>
  <c r="C514" i="2"/>
  <c r="I512" i="4"/>
  <c r="M512" i="4" s="1"/>
  <c r="C512" i="4"/>
  <c r="AB511" i="3"/>
  <c r="N512" i="2"/>
  <c r="J510" i="3"/>
  <c r="H511" i="2"/>
  <c r="E511" i="2" s="1"/>
  <c r="H510" i="3" s="1"/>
  <c r="B513" i="3"/>
  <c r="B515" i="2"/>
  <c r="A513" i="4"/>
  <c r="M512" i="3"/>
  <c r="C512" i="3"/>
  <c r="P512" i="3"/>
  <c r="E512" i="3"/>
  <c r="G512" i="3"/>
  <c r="S512" i="3"/>
  <c r="Y512" i="3" s="1"/>
  <c r="Z512" i="3" s="1"/>
  <c r="T513" i="2"/>
  <c r="D514" i="2"/>
  <c r="D510" i="4"/>
  <c r="AA510" i="3"/>
  <c r="F509" i="3"/>
  <c r="D510" i="3"/>
  <c r="O508" i="3"/>
  <c r="I508" i="3"/>
  <c r="U508" i="3"/>
  <c r="M518" i="2"/>
  <c r="K514" i="2"/>
  <c r="L517" i="2"/>
  <c r="E512" i="4" l="1"/>
  <c r="G511" i="4"/>
  <c r="L511" i="4" s="1"/>
  <c r="J509" i="4"/>
  <c r="K511" i="4"/>
  <c r="N511" i="4" s="1"/>
  <c r="F509" i="4"/>
  <c r="H509" i="4"/>
  <c r="O515" i="2"/>
  <c r="I514" i="2"/>
  <c r="F514" i="2" s="1"/>
  <c r="N513" i="3" s="1"/>
  <c r="L518" i="2"/>
  <c r="C513" i="4"/>
  <c r="AB512" i="3"/>
  <c r="D511" i="4"/>
  <c r="AA511" i="3"/>
  <c r="K515" i="2"/>
  <c r="I513" i="4"/>
  <c r="M513" i="4" s="1"/>
  <c r="T514" i="2"/>
  <c r="D515" i="2"/>
  <c r="M519" i="2"/>
  <c r="B514" i="3"/>
  <c r="B516" i="2"/>
  <c r="A514" i="4"/>
  <c r="M513" i="3"/>
  <c r="C513" i="3"/>
  <c r="P513" i="3"/>
  <c r="E513" i="3"/>
  <c r="S513" i="3"/>
  <c r="Y513" i="3" s="1"/>
  <c r="Z513" i="3" s="1"/>
  <c r="G513" i="3"/>
  <c r="C515" i="2"/>
  <c r="N513" i="2"/>
  <c r="J511" i="3"/>
  <c r="H512" i="2"/>
  <c r="E512" i="2" s="1"/>
  <c r="H511" i="3" s="1"/>
  <c r="F510" i="3"/>
  <c r="D511" i="3"/>
  <c r="I509" i="3"/>
  <c r="U509" i="3"/>
  <c r="O509" i="3"/>
  <c r="P513" i="2"/>
  <c r="J512" i="2"/>
  <c r="G512" i="2" s="1"/>
  <c r="T511" i="3" s="1"/>
  <c r="V511" i="3"/>
  <c r="G512" i="4" l="1"/>
  <c r="L512" i="4" s="1"/>
  <c r="K512" i="4"/>
  <c r="N512" i="4" s="1"/>
  <c r="J510" i="4"/>
  <c r="E513" i="4"/>
  <c r="H510" i="4"/>
  <c r="F510" i="4"/>
  <c r="O516" i="2"/>
  <c r="I515" i="2"/>
  <c r="F515" i="2" s="1"/>
  <c r="N514" i="3" s="1"/>
  <c r="I514" i="4"/>
  <c r="M514" i="4" s="1"/>
  <c r="B515" i="3"/>
  <c r="B517" i="2"/>
  <c r="A515" i="4"/>
  <c r="G514" i="3"/>
  <c r="S514" i="3"/>
  <c r="Y514" i="3" s="1"/>
  <c r="Z514" i="3" s="1"/>
  <c r="M514" i="3"/>
  <c r="C514" i="3"/>
  <c r="E514" i="3"/>
  <c r="P514" i="3"/>
  <c r="K516" i="2"/>
  <c r="M520" i="2"/>
  <c r="P514" i="2"/>
  <c r="J513" i="2"/>
  <c r="G513" i="2" s="1"/>
  <c r="T512" i="3" s="1"/>
  <c r="V512" i="3"/>
  <c r="D512" i="4"/>
  <c r="AA512" i="3"/>
  <c r="F511" i="3"/>
  <c r="D512" i="3"/>
  <c r="D516" i="2"/>
  <c r="T515" i="2"/>
  <c r="I510" i="3"/>
  <c r="U510" i="3"/>
  <c r="O510" i="3"/>
  <c r="C516" i="2"/>
  <c r="N514" i="2"/>
  <c r="J512" i="3"/>
  <c r="H513" i="2"/>
  <c r="E513" i="2" s="1"/>
  <c r="H512" i="3" s="1"/>
  <c r="C514" i="4"/>
  <c r="AB513" i="3"/>
  <c r="L519" i="2"/>
  <c r="F511" i="4" l="1"/>
  <c r="E514" i="4"/>
  <c r="G513" i="4"/>
  <c r="L513" i="4" s="1"/>
  <c r="K513" i="4"/>
  <c r="N513" i="4" s="1"/>
  <c r="H511" i="4"/>
  <c r="J511" i="4"/>
  <c r="O517" i="2"/>
  <c r="I516" i="2"/>
  <c r="F516" i="2" s="1"/>
  <c r="N515" i="3" s="1"/>
  <c r="C517" i="2"/>
  <c r="L520" i="2"/>
  <c r="M521" i="2"/>
  <c r="K517" i="2"/>
  <c r="I515" i="4"/>
  <c r="M515" i="4" s="1"/>
  <c r="T516" i="2"/>
  <c r="D517" i="2"/>
  <c r="B516" i="3"/>
  <c r="B518" i="2"/>
  <c r="F512" i="3"/>
  <c r="D513" i="3"/>
  <c r="A516" i="4"/>
  <c r="C515" i="3"/>
  <c r="P515" i="3"/>
  <c r="E515" i="3"/>
  <c r="G515" i="3"/>
  <c r="S515" i="3"/>
  <c r="Y515" i="3" s="1"/>
  <c r="Z515" i="3" s="1"/>
  <c r="M515" i="3"/>
  <c r="O511" i="3"/>
  <c r="I511" i="3"/>
  <c r="U511" i="3"/>
  <c r="N515" i="2"/>
  <c r="J513" i="3"/>
  <c r="H514" i="2"/>
  <c r="E514" i="2" s="1"/>
  <c r="H513" i="3" s="1"/>
  <c r="D513" i="4"/>
  <c r="AA513" i="3"/>
  <c r="C515" i="4"/>
  <c r="AB514" i="3"/>
  <c r="P515" i="2"/>
  <c r="J514" i="2"/>
  <c r="G514" i="2" s="1"/>
  <c r="T513" i="3" s="1"/>
  <c r="V513" i="3"/>
  <c r="F512" i="4" l="1"/>
  <c r="K514" i="4"/>
  <c r="N514" i="4" s="1"/>
  <c r="H512" i="4"/>
  <c r="J512" i="4"/>
  <c r="E515" i="4"/>
  <c r="G514" i="4"/>
  <c r="L514" i="4" s="1"/>
  <c r="O518" i="2"/>
  <c r="I517" i="2"/>
  <c r="F517" i="2" s="1"/>
  <c r="N516" i="3" s="1"/>
  <c r="F513" i="3"/>
  <c r="D514" i="3"/>
  <c r="P516" i="2"/>
  <c r="J515" i="2"/>
  <c r="G515" i="2" s="1"/>
  <c r="T514" i="3" s="1"/>
  <c r="V514" i="3"/>
  <c r="C516" i="4"/>
  <c r="AB515" i="3"/>
  <c r="O512" i="3"/>
  <c r="I512" i="3"/>
  <c r="U512" i="3"/>
  <c r="K518" i="2"/>
  <c r="B517" i="3"/>
  <c r="B519" i="2"/>
  <c r="I516" i="4"/>
  <c r="M516" i="4" s="1"/>
  <c r="A517" i="4"/>
  <c r="M516" i="3"/>
  <c r="C516" i="3"/>
  <c r="P516" i="3"/>
  <c r="E516" i="3"/>
  <c r="G516" i="3"/>
  <c r="S516" i="3"/>
  <c r="Y516" i="3" s="1"/>
  <c r="Z516" i="3" s="1"/>
  <c r="D514" i="4"/>
  <c r="AA514" i="3"/>
  <c r="T517" i="2"/>
  <c r="D518" i="2"/>
  <c r="M522" i="2"/>
  <c r="L521" i="2"/>
  <c r="C518" i="2"/>
  <c r="N516" i="2"/>
  <c r="J514" i="3"/>
  <c r="H515" i="2"/>
  <c r="E515" i="2" s="1"/>
  <c r="H514" i="3" s="1"/>
  <c r="F513" i="4" l="1"/>
  <c r="G515" i="4"/>
  <c r="L515" i="4" s="1"/>
  <c r="E516" i="4"/>
  <c r="K515" i="4"/>
  <c r="N515" i="4" s="1"/>
  <c r="J513" i="4"/>
  <c r="H513" i="4"/>
  <c r="O519" i="2"/>
  <c r="I518" i="2"/>
  <c r="F518" i="2" s="1"/>
  <c r="N517" i="3" s="1"/>
  <c r="K519" i="2"/>
  <c r="C517" i="4"/>
  <c r="AB516" i="3"/>
  <c r="D515" i="4"/>
  <c r="AA515" i="3"/>
  <c r="N517" i="2"/>
  <c r="J515" i="3"/>
  <c r="H516" i="2"/>
  <c r="E516" i="2" s="1"/>
  <c r="H515" i="3" s="1"/>
  <c r="I517" i="4"/>
  <c r="M517" i="4" s="1"/>
  <c r="C519" i="2"/>
  <c r="L522" i="2"/>
  <c r="M523" i="2"/>
  <c r="P517" i="2"/>
  <c r="J516" i="2"/>
  <c r="G516" i="2" s="1"/>
  <c r="T515" i="3" s="1"/>
  <c r="V515" i="3"/>
  <c r="B518" i="3"/>
  <c r="B520" i="2"/>
  <c r="F514" i="3"/>
  <c r="D515" i="3"/>
  <c r="D519" i="2"/>
  <c r="T518" i="2"/>
  <c r="A518" i="4"/>
  <c r="M517" i="3"/>
  <c r="C517" i="3"/>
  <c r="P517" i="3"/>
  <c r="E517" i="3"/>
  <c r="G517" i="3"/>
  <c r="S517" i="3"/>
  <c r="Y517" i="3" s="1"/>
  <c r="Z517" i="3" s="1"/>
  <c r="I513" i="3"/>
  <c r="U513" i="3"/>
  <c r="O513" i="3"/>
  <c r="G516" i="4" l="1"/>
  <c r="L516" i="4" s="1"/>
  <c r="J514" i="4"/>
  <c r="H514" i="4"/>
  <c r="F514" i="4"/>
  <c r="K516" i="4"/>
  <c r="N516" i="4" s="1"/>
  <c r="E517" i="4"/>
  <c r="O520" i="2"/>
  <c r="I519" i="2"/>
  <c r="F519" i="2" s="1"/>
  <c r="N518" i="3" s="1"/>
  <c r="C518" i="4"/>
  <c r="AB517" i="3"/>
  <c r="I518" i="4"/>
  <c r="M518" i="4" s="1"/>
  <c r="M524" i="2"/>
  <c r="L523" i="2"/>
  <c r="N518" i="2"/>
  <c r="J516" i="3"/>
  <c r="H517" i="2"/>
  <c r="E517" i="2" s="1"/>
  <c r="H516" i="3" s="1"/>
  <c r="P518" i="2"/>
  <c r="J517" i="2"/>
  <c r="G517" i="2" s="1"/>
  <c r="T516" i="3" s="1"/>
  <c r="V516" i="3"/>
  <c r="D520" i="2"/>
  <c r="T519" i="2"/>
  <c r="D516" i="4"/>
  <c r="AA516" i="3"/>
  <c r="F515" i="3"/>
  <c r="D516" i="3"/>
  <c r="C520" i="2"/>
  <c r="I514" i="3"/>
  <c r="U514" i="3"/>
  <c r="O514" i="3"/>
  <c r="B519" i="3"/>
  <c r="B521" i="2"/>
  <c r="A519" i="4"/>
  <c r="M518" i="3"/>
  <c r="C518" i="3"/>
  <c r="P518" i="3"/>
  <c r="S518" i="3"/>
  <c r="Y518" i="3" s="1"/>
  <c r="Z518" i="3" s="1"/>
  <c r="E518" i="3"/>
  <c r="G518" i="3"/>
  <c r="K520" i="2"/>
  <c r="G517" i="4" l="1"/>
  <c r="L517" i="4" s="1"/>
  <c r="F515" i="4"/>
  <c r="E518" i="4"/>
  <c r="H515" i="4"/>
  <c r="J515" i="4"/>
  <c r="K517" i="4"/>
  <c r="N517" i="4" s="1"/>
  <c r="O521" i="2"/>
  <c r="I520" i="2"/>
  <c r="F520" i="2" s="1"/>
  <c r="N519" i="3" s="1"/>
  <c r="C519" i="4"/>
  <c r="AB518" i="3"/>
  <c r="D517" i="4"/>
  <c r="AA517" i="3"/>
  <c r="O515" i="3"/>
  <c r="I515" i="3"/>
  <c r="U515" i="3"/>
  <c r="L524" i="2"/>
  <c r="K521" i="2"/>
  <c r="I519" i="4"/>
  <c r="M519" i="4" s="1"/>
  <c r="M525" i="2"/>
  <c r="B520" i="3"/>
  <c r="B522" i="2"/>
  <c r="A520" i="4"/>
  <c r="C519" i="3"/>
  <c r="E519" i="3"/>
  <c r="G519" i="3"/>
  <c r="S519" i="3"/>
  <c r="Y519" i="3" s="1"/>
  <c r="Z519" i="3" s="1"/>
  <c r="M519" i="3"/>
  <c r="P519" i="3"/>
  <c r="T520" i="2"/>
  <c r="D521" i="2"/>
  <c r="C521" i="2"/>
  <c r="P519" i="2"/>
  <c r="J518" i="2"/>
  <c r="G518" i="2" s="1"/>
  <c r="T517" i="3" s="1"/>
  <c r="V517" i="3"/>
  <c r="F516" i="3"/>
  <c r="D517" i="3"/>
  <c r="N519" i="2"/>
  <c r="H518" i="2"/>
  <c r="E518" i="2" s="1"/>
  <c r="H517" i="3" s="1"/>
  <c r="J517" i="3"/>
  <c r="G518" i="4" l="1"/>
  <c r="L518" i="4" s="1"/>
  <c r="J516" i="4"/>
  <c r="F516" i="4"/>
  <c r="H516" i="4"/>
  <c r="E519" i="4"/>
  <c r="K518" i="4"/>
  <c r="N518" i="4" s="1"/>
  <c r="O522" i="2"/>
  <c r="I521" i="2"/>
  <c r="F521" i="2" s="1"/>
  <c r="N520" i="3" s="1"/>
  <c r="P520" i="2"/>
  <c r="J519" i="2"/>
  <c r="G519" i="2" s="1"/>
  <c r="T518" i="3" s="1"/>
  <c r="V518" i="3"/>
  <c r="C522" i="2"/>
  <c r="D522" i="2"/>
  <c r="T521" i="2"/>
  <c r="I520" i="4"/>
  <c r="M520" i="4" s="1"/>
  <c r="N520" i="2"/>
  <c r="J518" i="3"/>
  <c r="H519" i="2"/>
  <c r="E519" i="2" s="1"/>
  <c r="H518" i="3" s="1"/>
  <c r="B521" i="3"/>
  <c r="B523" i="2"/>
  <c r="K522" i="2"/>
  <c r="F517" i="3"/>
  <c r="D518" i="3"/>
  <c r="A521" i="4"/>
  <c r="C520" i="3"/>
  <c r="P520" i="3"/>
  <c r="E520" i="3"/>
  <c r="G520" i="3"/>
  <c r="S520" i="3"/>
  <c r="Y520" i="3" s="1"/>
  <c r="Z520" i="3" s="1"/>
  <c r="M520" i="3"/>
  <c r="L525" i="2"/>
  <c r="O516" i="3"/>
  <c r="I516" i="3"/>
  <c r="U516" i="3"/>
  <c r="C520" i="4"/>
  <c r="AB519" i="3"/>
  <c r="M526" i="2"/>
  <c r="D518" i="4"/>
  <c r="AA518" i="3"/>
  <c r="G519" i="4" l="1"/>
  <c r="L519" i="4" s="1"/>
  <c r="E520" i="4"/>
  <c r="J517" i="4"/>
  <c r="K519" i="4"/>
  <c r="N519" i="4" s="1"/>
  <c r="H517" i="4"/>
  <c r="F517" i="4"/>
  <c r="O523" i="2"/>
  <c r="I522" i="2"/>
  <c r="F522" i="2" s="1"/>
  <c r="N521" i="3" s="1"/>
  <c r="K523" i="2"/>
  <c r="C521" i="4"/>
  <c r="AB520" i="3"/>
  <c r="B522" i="3"/>
  <c r="B524" i="2"/>
  <c r="F518" i="3"/>
  <c r="D519" i="3"/>
  <c r="D519" i="4"/>
  <c r="AA519" i="3"/>
  <c r="I517" i="3"/>
  <c r="U517" i="3"/>
  <c r="O517" i="3"/>
  <c r="M527" i="2"/>
  <c r="A522" i="4"/>
  <c r="M521" i="3"/>
  <c r="C521" i="3"/>
  <c r="P521" i="3"/>
  <c r="E521" i="3"/>
  <c r="G521" i="3"/>
  <c r="S521" i="3"/>
  <c r="Y521" i="3" s="1"/>
  <c r="Z521" i="3" s="1"/>
  <c r="T522" i="2"/>
  <c r="D523" i="2"/>
  <c r="C523" i="2"/>
  <c r="N521" i="2"/>
  <c r="J519" i="3"/>
  <c r="H520" i="2"/>
  <c r="E520" i="2" s="1"/>
  <c r="H519" i="3" s="1"/>
  <c r="L526" i="2"/>
  <c r="I521" i="4"/>
  <c r="M521" i="4" s="1"/>
  <c r="P521" i="2"/>
  <c r="J520" i="2"/>
  <c r="G520" i="2" s="1"/>
  <c r="T519" i="3" s="1"/>
  <c r="V519" i="3"/>
  <c r="F518" i="4" l="1"/>
  <c r="E521" i="4"/>
  <c r="K520" i="4"/>
  <c r="N520" i="4" s="1"/>
  <c r="G520" i="4"/>
  <c r="L520" i="4" s="1"/>
  <c r="H518" i="4"/>
  <c r="J518" i="4"/>
  <c r="O524" i="2"/>
  <c r="I523" i="2"/>
  <c r="F523" i="2" s="1"/>
  <c r="N522" i="3" s="1"/>
  <c r="N522" i="2"/>
  <c r="H521" i="2"/>
  <c r="E521" i="2" s="1"/>
  <c r="H520" i="3" s="1"/>
  <c r="J520" i="3"/>
  <c r="D520" i="4"/>
  <c r="AA520" i="3"/>
  <c r="F519" i="3"/>
  <c r="D520" i="3"/>
  <c r="P522" i="2"/>
  <c r="J521" i="2"/>
  <c r="G521" i="2" s="1"/>
  <c r="T520" i="3" s="1"/>
  <c r="V520" i="3"/>
  <c r="I518" i="3"/>
  <c r="U518" i="3"/>
  <c r="O518" i="3"/>
  <c r="D524" i="2"/>
  <c r="T523" i="2"/>
  <c r="B523" i="3"/>
  <c r="B525" i="2"/>
  <c r="C522" i="4"/>
  <c r="AB521" i="3"/>
  <c r="A523" i="4"/>
  <c r="M522" i="3"/>
  <c r="C522" i="3"/>
  <c r="P522" i="3"/>
  <c r="S522" i="3"/>
  <c r="Y522" i="3" s="1"/>
  <c r="Z522" i="3" s="1"/>
  <c r="G522" i="3"/>
  <c r="E522" i="3"/>
  <c r="C524" i="2"/>
  <c r="I522" i="4"/>
  <c r="M522" i="4" s="1"/>
  <c r="M528" i="2"/>
  <c r="L527" i="2"/>
  <c r="K524" i="2"/>
  <c r="K521" i="4" l="1"/>
  <c r="N521" i="4" s="1"/>
  <c r="E522" i="4"/>
  <c r="J519" i="4"/>
  <c r="G521" i="4"/>
  <c r="L521" i="4" s="1"/>
  <c r="H519" i="4"/>
  <c r="F519" i="4"/>
  <c r="O525" i="2"/>
  <c r="I524" i="2"/>
  <c r="F524" i="2" s="1"/>
  <c r="N523" i="3" s="1"/>
  <c r="I523" i="4"/>
  <c r="M523" i="4" s="1"/>
  <c r="L528" i="2"/>
  <c r="P523" i="2"/>
  <c r="J522" i="2"/>
  <c r="G522" i="2" s="1"/>
  <c r="T521" i="3" s="1"/>
  <c r="V521" i="3"/>
  <c r="C525" i="2"/>
  <c r="F520" i="3"/>
  <c r="D521" i="3"/>
  <c r="K525" i="2"/>
  <c r="M529" i="2"/>
  <c r="B524" i="3"/>
  <c r="B526" i="2"/>
  <c r="O519" i="3"/>
  <c r="I519" i="3"/>
  <c r="U519" i="3"/>
  <c r="A524" i="4"/>
  <c r="C523" i="3"/>
  <c r="E523" i="3"/>
  <c r="G523" i="3"/>
  <c r="S523" i="3"/>
  <c r="Y523" i="3" s="1"/>
  <c r="Z523" i="3" s="1"/>
  <c r="M523" i="3"/>
  <c r="P523" i="3"/>
  <c r="D521" i="4"/>
  <c r="AA521" i="3"/>
  <c r="C523" i="4"/>
  <c r="AB522" i="3"/>
  <c r="D525" i="2"/>
  <c r="T524" i="2"/>
  <c r="N523" i="2"/>
  <c r="H522" i="2"/>
  <c r="E522" i="2" s="1"/>
  <c r="H521" i="3" s="1"/>
  <c r="J521" i="3"/>
  <c r="K522" i="4" l="1"/>
  <c r="N522" i="4" s="1"/>
  <c r="G522" i="4"/>
  <c r="L522" i="4" s="1"/>
  <c r="J520" i="4"/>
  <c r="E523" i="4"/>
  <c r="F520" i="4"/>
  <c r="H520" i="4"/>
  <c r="O526" i="2"/>
  <c r="I525" i="2"/>
  <c r="F525" i="2" s="1"/>
  <c r="N524" i="3" s="1"/>
  <c r="B525" i="3"/>
  <c r="B527" i="2"/>
  <c r="N524" i="2"/>
  <c r="J522" i="3"/>
  <c r="H523" i="2"/>
  <c r="E523" i="2" s="1"/>
  <c r="H522" i="3" s="1"/>
  <c r="A525" i="4"/>
  <c r="C524" i="3"/>
  <c r="P524" i="3"/>
  <c r="E524" i="3"/>
  <c r="G524" i="3"/>
  <c r="S524" i="3"/>
  <c r="Y524" i="3" s="1"/>
  <c r="Z524" i="3" s="1"/>
  <c r="M524" i="3"/>
  <c r="P524" i="2"/>
  <c r="J523" i="2"/>
  <c r="G523" i="2" s="1"/>
  <c r="T522" i="3" s="1"/>
  <c r="V522" i="3"/>
  <c r="M530" i="2"/>
  <c r="L529" i="2"/>
  <c r="K526" i="2"/>
  <c r="F521" i="3"/>
  <c r="D522" i="3"/>
  <c r="D522" i="4"/>
  <c r="AA522" i="3"/>
  <c r="O520" i="3"/>
  <c r="I520" i="3"/>
  <c r="U520" i="3"/>
  <c r="C524" i="4"/>
  <c r="AB523" i="3"/>
  <c r="T525" i="2"/>
  <c r="D526" i="2"/>
  <c r="I524" i="4"/>
  <c r="M524" i="4" s="1"/>
  <c r="C526" i="2"/>
  <c r="G523" i="4" l="1"/>
  <c r="L523" i="4" s="1"/>
  <c r="K523" i="4"/>
  <c r="N523" i="4" s="1"/>
  <c r="F521" i="4"/>
  <c r="E524" i="4"/>
  <c r="J521" i="4"/>
  <c r="H521" i="4"/>
  <c r="O527" i="2"/>
  <c r="I526" i="2"/>
  <c r="F526" i="2" s="1"/>
  <c r="N525" i="3" s="1"/>
  <c r="L530" i="2"/>
  <c r="C527" i="2"/>
  <c r="M531" i="2"/>
  <c r="D523" i="4"/>
  <c r="AA523" i="3"/>
  <c r="P525" i="2"/>
  <c r="J524" i="2"/>
  <c r="G524" i="2" s="1"/>
  <c r="T523" i="3" s="1"/>
  <c r="V523" i="3"/>
  <c r="I525" i="4"/>
  <c r="M525" i="4" s="1"/>
  <c r="I521" i="3"/>
  <c r="U521" i="3"/>
  <c r="O521" i="3"/>
  <c r="N525" i="2"/>
  <c r="H524" i="2"/>
  <c r="E524" i="2" s="1"/>
  <c r="H523" i="3" s="1"/>
  <c r="J523" i="3"/>
  <c r="F522" i="3"/>
  <c r="D523" i="3"/>
  <c r="D527" i="2"/>
  <c r="T526" i="2"/>
  <c r="B526" i="3"/>
  <c r="B528" i="2"/>
  <c r="C525" i="4"/>
  <c r="AB524" i="3"/>
  <c r="K527" i="2"/>
  <c r="A526" i="4"/>
  <c r="M525" i="3"/>
  <c r="C525" i="3"/>
  <c r="P525" i="3"/>
  <c r="E525" i="3"/>
  <c r="G525" i="3"/>
  <c r="S525" i="3"/>
  <c r="Y525" i="3" s="1"/>
  <c r="Z525" i="3" s="1"/>
  <c r="G524" i="4" l="1"/>
  <c r="L524" i="4" s="1"/>
  <c r="H522" i="4"/>
  <c r="K524" i="4"/>
  <c r="N524" i="4" s="1"/>
  <c r="E525" i="4"/>
  <c r="J522" i="4"/>
  <c r="F522" i="4"/>
  <c r="O528" i="2"/>
  <c r="I527" i="2"/>
  <c r="F527" i="2" s="1"/>
  <c r="N526" i="3" s="1"/>
  <c r="C526" i="4"/>
  <c r="AB525" i="3"/>
  <c r="I522" i="3"/>
  <c r="U522" i="3"/>
  <c r="O522" i="3"/>
  <c r="I526" i="4"/>
  <c r="M526" i="4" s="1"/>
  <c r="N526" i="2"/>
  <c r="H525" i="2"/>
  <c r="E525" i="2" s="1"/>
  <c r="H524" i="3" s="1"/>
  <c r="J524" i="3"/>
  <c r="P526" i="2"/>
  <c r="J525" i="2"/>
  <c r="G525" i="2" s="1"/>
  <c r="T524" i="3" s="1"/>
  <c r="V524" i="3"/>
  <c r="D524" i="4"/>
  <c r="AA524" i="3"/>
  <c r="K528" i="2"/>
  <c r="B527" i="3"/>
  <c r="B529" i="2"/>
  <c r="M532" i="2"/>
  <c r="D528" i="2"/>
  <c r="T527" i="2"/>
  <c r="C528" i="2"/>
  <c r="F523" i="3"/>
  <c r="D524" i="3"/>
  <c r="A527" i="4"/>
  <c r="M526" i="3"/>
  <c r="C526" i="3"/>
  <c r="P526" i="3"/>
  <c r="S526" i="3"/>
  <c r="Y526" i="3" s="1"/>
  <c r="Z526" i="3" s="1"/>
  <c r="E526" i="3"/>
  <c r="G526" i="3"/>
  <c r="L531" i="2"/>
  <c r="G525" i="4" l="1"/>
  <c r="L525" i="4" s="1"/>
  <c r="J523" i="4"/>
  <c r="F523" i="4"/>
  <c r="E526" i="4"/>
  <c r="H523" i="4"/>
  <c r="K525" i="4"/>
  <c r="N525" i="4" s="1"/>
  <c r="O529" i="2"/>
  <c r="I528" i="2"/>
  <c r="F528" i="2" s="1"/>
  <c r="N527" i="3" s="1"/>
  <c r="M533" i="2"/>
  <c r="N527" i="2"/>
  <c r="J525" i="3"/>
  <c r="H526" i="2"/>
  <c r="E526" i="2" s="1"/>
  <c r="H525" i="3" s="1"/>
  <c r="C527" i="4"/>
  <c r="AB526" i="3"/>
  <c r="P527" i="2"/>
  <c r="J526" i="2"/>
  <c r="G526" i="2" s="1"/>
  <c r="T525" i="3" s="1"/>
  <c r="V525" i="3"/>
  <c r="I527" i="4"/>
  <c r="M527" i="4" s="1"/>
  <c r="A528" i="4"/>
  <c r="C527" i="3"/>
  <c r="E527" i="3"/>
  <c r="G527" i="3"/>
  <c r="S527" i="3"/>
  <c r="Y527" i="3" s="1"/>
  <c r="Z527" i="3" s="1"/>
  <c r="M527" i="3"/>
  <c r="P527" i="3"/>
  <c r="F524" i="3"/>
  <c r="D525" i="3"/>
  <c r="K529" i="2"/>
  <c r="C529" i="2"/>
  <c r="T528" i="2"/>
  <c r="D529" i="2"/>
  <c r="B528" i="3"/>
  <c r="B530" i="2"/>
  <c r="L532" i="2"/>
  <c r="O523" i="3"/>
  <c r="I523" i="3"/>
  <c r="U523" i="3"/>
  <c r="D525" i="4"/>
  <c r="AA525" i="3"/>
  <c r="K526" i="4" l="1"/>
  <c r="N526" i="4" s="1"/>
  <c r="E527" i="4"/>
  <c r="G526" i="4"/>
  <c r="L526" i="4" s="1"/>
  <c r="J524" i="4"/>
  <c r="F524" i="4"/>
  <c r="H524" i="4"/>
  <c r="O530" i="2"/>
  <c r="I529" i="2"/>
  <c r="F529" i="2" s="1"/>
  <c r="N528" i="3" s="1"/>
  <c r="P528" i="2"/>
  <c r="J527" i="2"/>
  <c r="G527" i="2" s="1"/>
  <c r="T526" i="3" s="1"/>
  <c r="V526" i="3"/>
  <c r="K530" i="2"/>
  <c r="D526" i="4"/>
  <c r="AA526" i="3"/>
  <c r="L533" i="2"/>
  <c r="F525" i="3"/>
  <c r="D526" i="3"/>
  <c r="C530" i="2"/>
  <c r="O524" i="3"/>
  <c r="I524" i="3"/>
  <c r="U524" i="3"/>
  <c r="I528" i="4"/>
  <c r="M528" i="4" s="1"/>
  <c r="B529" i="3"/>
  <c r="B531" i="2"/>
  <c r="N528" i="2"/>
  <c r="J526" i="3"/>
  <c r="H527" i="2"/>
  <c r="E527" i="2" s="1"/>
  <c r="H526" i="3" s="1"/>
  <c r="C528" i="4"/>
  <c r="AB527" i="3"/>
  <c r="A529" i="4"/>
  <c r="C528" i="3"/>
  <c r="P528" i="3"/>
  <c r="E528" i="3"/>
  <c r="G528" i="3"/>
  <c r="S528" i="3"/>
  <c r="Y528" i="3" s="1"/>
  <c r="Z528" i="3" s="1"/>
  <c r="M528" i="3"/>
  <c r="D530" i="2"/>
  <c r="T529" i="2"/>
  <c r="M534" i="2"/>
  <c r="E528" i="4" l="1"/>
  <c r="K527" i="4"/>
  <c r="N527" i="4" s="1"/>
  <c r="J525" i="4"/>
  <c r="G527" i="4"/>
  <c r="L527" i="4" s="1"/>
  <c r="F525" i="4"/>
  <c r="H525" i="4"/>
  <c r="O531" i="2"/>
  <c r="I530" i="2"/>
  <c r="F530" i="2" s="1"/>
  <c r="N529" i="3" s="1"/>
  <c r="F526" i="3"/>
  <c r="D527" i="3"/>
  <c r="I525" i="3"/>
  <c r="U525" i="3"/>
  <c r="O525" i="3"/>
  <c r="M535" i="2"/>
  <c r="D531" i="2"/>
  <c r="T530" i="2"/>
  <c r="L534" i="2"/>
  <c r="I529" i="4"/>
  <c r="M529" i="4" s="1"/>
  <c r="D527" i="4"/>
  <c r="AA527" i="3"/>
  <c r="C529" i="4"/>
  <c r="AB528" i="3"/>
  <c r="K531" i="2"/>
  <c r="A530" i="4"/>
  <c r="M529" i="3"/>
  <c r="C529" i="3"/>
  <c r="P529" i="3"/>
  <c r="E529" i="3"/>
  <c r="G529" i="3"/>
  <c r="S529" i="3"/>
  <c r="Y529" i="3" s="1"/>
  <c r="Z529" i="3" s="1"/>
  <c r="N529" i="2"/>
  <c r="J527" i="3"/>
  <c r="H528" i="2"/>
  <c r="E528" i="2" s="1"/>
  <c r="H527" i="3" s="1"/>
  <c r="C531" i="2"/>
  <c r="B530" i="3"/>
  <c r="B532" i="2"/>
  <c r="P529" i="2"/>
  <c r="J528" i="2"/>
  <c r="G528" i="2" s="1"/>
  <c r="T527" i="3" s="1"/>
  <c r="V527" i="3"/>
  <c r="K528" i="4" l="1"/>
  <c r="N528" i="4" s="1"/>
  <c r="H526" i="4"/>
  <c r="J526" i="4"/>
  <c r="F526" i="4"/>
  <c r="E529" i="4"/>
  <c r="G528" i="4"/>
  <c r="L528" i="4" s="1"/>
  <c r="O532" i="2"/>
  <c r="I531" i="2"/>
  <c r="F531" i="2" s="1"/>
  <c r="N530" i="3" s="1"/>
  <c r="P530" i="2"/>
  <c r="J529" i="2"/>
  <c r="G529" i="2" s="1"/>
  <c r="T528" i="3" s="1"/>
  <c r="V528" i="3"/>
  <c r="B531" i="3"/>
  <c r="B533" i="2"/>
  <c r="D528" i="4"/>
  <c r="AA528" i="3"/>
  <c r="D532" i="2"/>
  <c r="T531" i="2"/>
  <c r="M536" i="2"/>
  <c r="C532" i="2"/>
  <c r="L535" i="2"/>
  <c r="K532" i="2"/>
  <c r="C530" i="4"/>
  <c r="AB529" i="3"/>
  <c r="F527" i="3"/>
  <c r="D528" i="3"/>
  <c r="A531" i="4"/>
  <c r="M530" i="3"/>
  <c r="C530" i="3"/>
  <c r="P530" i="3"/>
  <c r="S530" i="3"/>
  <c r="Y530" i="3" s="1"/>
  <c r="Z530" i="3" s="1"/>
  <c r="E530" i="3"/>
  <c r="G530" i="3"/>
  <c r="N530" i="2"/>
  <c r="H529" i="2"/>
  <c r="E529" i="2" s="1"/>
  <c r="H528" i="3" s="1"/>
  <c r="J528" i="3"/>
  <c r="I530" i="4"/>
  <c r="M530" i="4" s="1"/>
  <c r="I526" i="3"/>
  <c r="U526" i="3"/>
  <c r="O526" i="3"/>
  <c r="F527" i="4" l="1"/>
  <c r="G529" i="4"/>
  <c r="L529" i="4" s="1"/>
  <c r="E530" i="4"/>
  <c r="K529" i="4"/>
  <c r="N529" i="4" s="1"/>
  <c r="H527" i="4"/>
  <c r="J527" i="4"/>
  <c r="O533" i="2"/>
  <c r="I532" i="2"/>
  <c r="F532" i="2" s="1"/>
  <c r="N531" i="3" s="1"/>
  <c r="F528" i="3"/>
  <c r="D529" i="3"/>
  <c r="M537" i="2"/>
  <c r="O527" i="3"/>
  <c r="I527" i="3"/>
  <c r="U527" i="3"/>
  <c r="T532" i="2"/>
  <c r="D533" i="2"/>
  <c r="K533" i="2"/>
  <c r="D529" i="4"/>
  <c r="AA529" i="3"/>
  <c r="C531" i="4"/>
  <c r="AB530" i="3"/>
  <c r="L536" i="2"/>
  <c r="B532" i="3"/>
  <c r="B534" i="2"/>
  <c r="A532" i="4"/>
  <c r="C531" i="3"/>
  <c r="E531" i="3"/>
  <c r="G531" i="3"/>
  <c r="S531" i="3"/>
  <c r="Y531" i="3" s="1"/>
  <c r="Z531" i="3" s="1"/>
  <c r="M531" i="3"/>
  <c r="P531" i="3"/>
  <c r="N531" i="2"/>
  <c r="H530" i="2"/>
  <c r="E530" i="2" s="1"/>
  <c r="H529" i="3" s="1"/>
  <c r="J529" i="3"/>
  <c r="I531" i="4"/>
  <c r="M531" i="4" s="1"/>
  <c r="C533" i="2"/>
  <c r="P531" i="2"/>
  <c r="J530" i="2"/>
  <c r="G530" i="2" s="1"/>
  <c r="T529" i="3" s="1"/>
  <c r="V529" i="3"/>
  <c r="J528" i="4" l="1"/>
  <c r="H528" i="4"/>
  <c r="K530" i="4"/>
  <c r="N530" i="4" s="1"/>
  <c r="F528" i="4"/>
  <c r="G530" i="4"/>
  <c r="L530" i="4" s="1"/>
  <c r="E531" i="4"/>
  <c r="O534" i="2"/>
  <c r="I533" i="2"/>
  <c r="F533" i="2" s="1"/>
  <c r="N532" i="3" s="1"/>
  <c r="D534" i="2"/>
  <c r="T533" i="2"/>
  <c r="N532" i="2"/>
  <c r="J530" i="3"/>
  <c r="H531" i="2"/>
  <c r="E531" i="2" s="1"/>
  <c r="H530" i="3" s="1"/>
  <c r="I532" i="4"/>
  <c r="M532" i="4" s="1"/>
  <c r="K534" i="2"/>
  <c r="C534" i="2"/>
  <c r="B533" i="3"/>
  <c r="B535" i="2"/>
  <c r="P532" i="2"/>
  <c r="J531" i="2"/>
  <c r="G531" i="2" s="1"/>
  <c r="T530" i="3" s="1"/>
  <c r="V530" i="3"/>
  <c r="A533" i="4"/>
  <c r="C532" i="3"/>
  <c r="P532" i="3"/>
  <c r="E532" i="3"/>
  <c r="G532" i="3"/>
  <c r="S532" i="3"/>
  <c r="Y532" i="3" s="1"/>
  <c r="Z532" i="3" s="1"/>
  <c r="M532" i="3"/>
  <c r="C532" i="4"/>
  <c r="AB531" i="3"/>
  <c r="L537" i="2"/>
  <c r="M538" i="2"/>
  <c r="D530" i="4"/>
  <c r="AA530" i="3"/>
  <c r="F529" i="3"/>
  <c r="D530" i="3"/>
  <c r="O528" i="3"/>
  <c r="I528" i="3"/>
  <c r="U528" i="3"/>
  <c r="G531" i="4" l="1"/>
  <c r="L531" i="4" s="1"/>
  <c r="F529" i="4"/>
  <c r="J529" i="4"/>
  <c r="H529" i="4"/>
  <c r="K531" i="4"/>
  <c r="N531" i="4" s="1"/>
  <c r="E532" i="4"/>
  <c r="O535" i="2"/>
  <c r="I534" i="2"/>
  <c r="F534" i="2" s="1"/>
  <c r="N533" i="3" s="1"/>
  <c r="B534" i="3"/>
  <c r="B536" i="2"/>
  <c r="I533" i="4"/>
  <c r="M533" i="4" s="1"/>
  <c r="C533" i="4"/>
  <c r="AB532" i="3"/>
  <c r="I529" i="3"/>
  <c r="U529" i="3"/>
  <c r="O529" i="3"/>
  <c r="D531" i="4"/>
  <c r="AA531" i="3"/>
  <c r="A534" i="4"/>
  <c r="M533" i="3"/>
  <c r="C533" i="3"/>
  <c r="P533" i="3"/>
  <c r="E533" i="3"/>
  <c r="G533" i="3"/>
  <c r="S533" i="3"/>
  <c r="Y533" i="3" s="1"/>
  <c r="Z533" i="3" s="1"/>
  <c r="F530" i="3"/>
  <c r="D531" i="3"/>
  <c r="C535" i="2"/>
  <c r="N533" i="2"/>
  <c r="J531" i="3"/>
  <c r="H532" i="2"/>
  <c r="E532" i="2" s="1"/>
  <c r="H531" i="3" s="1"/>
  <c r="P533" i="2"/>
  <c r="J532" i="2"/>
  <c r="G532" i="2" s="1"/>
  <c r="T531" i="3" s="1"/>
  <c r="V531" i="3"/>
  <c r="M539" i="2"/>
  <c r="L538" i="2"/>
  <c r="K535" i="2"/>
  <c r="D535" i="2"/>
  <c r="T534" i="2"/>
  <c r="G532" i="4" l="1"/>
  <c r="L532" i="4" s="1"/>
  <c r="H530" i="4"/>
  <c r="J530" i="4"/>
  <c r="F530" i="4"/>
  <c r="E533" i="4"/>
  <c r="K532" i="4"/>
  <c r="N532" i="4" s="1"/>
  <c r="O536" i="2"/>
  <c r="I535" i="2"/>
  <c r="F535" i="2" s="1"/>
  <c r="N534" i="3" s="1"/>
  <c r="T535" i="2"/>
  <c r="D536" i="2"/>
  <c r="N534" i="2"/>
  <c r="H533" i="2"/>
  <c r="E533" i="2" s="1"/>
  <c r="H532" i="3" s="1"/>
  <c r="J532" i="3"/>
  <c r="K536" i="2"/>
  <c r="C536" i="2"/>
  <c r="L539" i="2"/>
  <c r="F531" i="3"/>
  <c r="D532" i="3"/>
  <c r="C534" i="4"/>
  <c r="AB533" i="3"/>
  <c r="P534" i="2"/>
  <c r="J533" i="2"/>
  <c r="G533" i="2" s="1"/>
  <c r="T532" i="3" s="1"/>
  <c r="V532" i="3"/>
  <c r="I530" i="3"/>
  <c r="U530" i="3"/>
  <c r="O530" i="3"/>
  <c r="I534" i="4"/>
  <c r="M534" i="4" s="1"/>
  <c r="M540" i="2"/>
  <c r="D532" i="4"/>
  <c r="AA532" i="3"/>
  <c r="B535" i="3"/>
  <c r="B537" i="2"/>
  <c r="A535" i="4"/>
  <c r="M534" i="3"/>
  <c r="C534" i="3"/>
  <c r="P534" i="3"/>
  <c r="S534" i="3"/>
  <c r="Y534" i="3" s="1"/>
  <c r="Z534" i="3" s="1"/>
  <c r="E534" i="3"/>
  <c r="G534" i="3"/>
  <c r="J531" i="4" l="1"/>
  <c r="F531" i="4"/>
  <c r="H531" i="4"/>
  <c r="K533" i="4"/>
  <c r="N533" i="4" s="1"/>
  <c r="G533" i="4"/>
  <c r="L533" i="4" s="1"/>
  <c r="E534" i="4"/>
  <c r="O537" i="2"/>
  <c r="I536" i="2"/>
  <c r="F536" i="2" s="1"/>
  <c r="N535" i="3" s="1"/>
  <c r="B536" i="3"/>
  <c r="B538" i="2"/>
  <c r="C537" i="2"/>
  <c r="D533" i="4"/>
  <c r="AA533" i="3"/>
  <c r="L540" i="2"/>
  <c r="K537" i="2"/>
  <c r="I535" i="4"/>
  <c r="M535" i="4" s="1"/>
  <c r="P535" i="2"/>
  <c r="J534" i="2"/>
  <c r="G534" i="2" s="1"/>
  <c r="T533" i="3" s="1"/>
  <c r="V533" i="3"/>
  <c r="N535" i="2"/>
  <c r="H534" i="2"/>
  <c r="E534" i="2" s="1"/>
  <c r="H533" i="3" s="1"/>
  <c r="J533" i="3"/>
  <c r="C535" i="4"/>
  <c r="AB534" i="3"/>
  <c r="F532" i="3"/>
  <c r="D533" i="3"/>
  <c r="D537" i="2"/>
  <c r="T536" i="2"/>
  <c r="M541" i="2"/>
  <c r="O531" i="3"/>
  <c r="I531" i="3"/>
  <c r="U531" i="3"/>
  <c r="A536" i="4"/>
  <c r="C535" i="3"/>
  <c r="E535" i="3"/>
  <c r="G535" i="3"/>
  <c r="S535" i="3"/>
  <c r="Y535" i="3" s="1"/>
  <c r="Z535" i="3" s="1"/>
  <c r="M535" i="3"/>
  <c r="P535" i="3"/>
  <c r="H532" i="4" l="1"/>
  <c r="E535" i="4"/>
  <c r="G534" i="4"/>
  <c r="L534" i="4" s="1"/>
  <c r="J532" i="4"/>
  <c r="F532" i="4"/>
  <c r="K534" i="4"/>
  <c r="N534" i="4" s="1"/>
  <c r="O538" i="2"/>
  <c r="I537" i="2"/>
  <c r="F537" i="2" s="1"/>
  <c r="N536" i="3" s="1"/>
  <c r="I536" i="4"/>
  <c r="M536" i="4" s="1"/>
  <c r="N536" i="2"/>
  <c r="J534" i="3"/>
  <c r="H535" i="2"/>
  <c r="E535" i="2" s="1"/>
  <c r="H534" i="3" s="1"/>
  <c r="M542" i="2"/>
  <c r="D534" i="4"/>
  <c r="AA534" i="3"/>
  <c r="L541" i="2"/>
  <c r="P536" i="2"/>
  <c r="J535" i="2"/>
  <c r="G535" i="2" s="1"/>
  <c r="T534" i="3" s="1"/>
  <c r="V534" i="3"/>
  <c r="C536" i="4"/>
  <c r="AB535" i="3"/>
  <c r="T537" i="2"/>
  <c r="D538" i="2"/>
  <c r="C538" i="2"/>
  <c r="F533" i="3"/>
  <c r="D534" i="3"/>
  <c r="K538" i="2"/>
  <c r="O532" i="3"/>
  <c r="I532" i="3"/>
  <c r="U532" i="3"/>
  <c r="B537" i="3"/>
  <c r="B539" i="2"/>
  <c r="A537" i="4"/>
  <c r="C536" i="3"/>
  <c r="P536" i="3"/>
  <c r="E536" i="3"/>
  <c r="G536" i="3"/>
  <c r="S536" i="3"/>
  <c r="Y536" i="3" s="1"/>
  <c r="Z536" i="3" s="1"/>
  <c r="M536" i="3"/>
  <c r="F533" i="4" l="1"/>
  <c r="H533" i="4"/>
  <c r="G535" i="4"/>
  <c r="L535" i="4" s="1"/>
  <c r="E536" i="4"/>
  <c r="J533" i="4"/>
  <c r="K535" i="4"/>
  <c r="N535" i="4" s="1"/>
  <c r="O539" i="2"/>
  <c r="I538" i="2"/>
  <c r="F538" i="2" s="1"/>
  <c r="N537" i="3" s="1"/>
  <c r="C537" i="4"/>
  <c r="AB536" i="3"/>
  <c r="A538" i="4"/>
  <c r="M537" i="3"/>
  <c r="C537" i="3"/>
  <c r="P537" i="3"/>
  <c r="E537" i="3"/>
  <c r="G537" i="3"/>
  <c r="S537" i="3"/>
  <c r="Y537" i="3" s="1"/>
  <c r="Z537" i="3" s="1"/>
  <c r="M543" i="2"/>
  <c r="I537" i="4"/>
  <c r="M537" i="4" s="1"/>
  <c r="T538" i="2"/>
  <c r="D539" i="2"/>
  <c r="N537" i="2"/>
  <c r="J535" i="3"/>
  <c r="H536" i="2"/>
  <c r="E536" i="2" s="1"/>
  <c r="H535" i="3" s="1"/>
  <c r="P537" i="2"/>
  <c r="J536" i="2"/>
  <c r="G536" i="2" s="1"/>
  <c r="T535" i="3" s="1"/>
  <c r="V535" i="3"/>
  <c r="I533" i="3"/>
  <c r="U533" i="3"/>
  <c r="O533" i="3"/>
  <c r="K539" i="2"/>
  <c r="F534" i="3"/>
  <c r="D535" i="3"/>
  <c r="C539" i="2"/>
  <c r="L542" i="2"/>
  <c r="B538" i="3"/>
  <c r="B540" i="2"/>
  <c r="D535" i="4"/>
  <c r="AA535" i="3"/>
  <c r="H534" i="4" l="1"/>
  <c r="K536" i="4"/>
  <c r="N536" i="4" s="1"/>
  <c r="E537" i="4"/>
  <c r="J534" i="4"/>
  <c r="F534" i="4"/>
  <c r="G536" i="4"/>
  <c r="L536" i="4" s="1"/>
  <c r="O540" i="2"/>
  <c r="I539" i="2"/>
  <c r="F539" i="2" s="1"/>
  <c r="N538" i="3" s="1"/>
  <c r="D536" i="4"/>
  <c r="AA536" i="3"/>
  <c r="K540" i="2"/>
  <c r="A539" i="4"/>
  <c r="M538" i="3"/>
  <c r="C538" i="3"/>
  <c r="P538" i="3"/>
  <c r="S538" i="3"/>
  <c r="Y538" i="3" s="1"/>
  <c r="Z538" i="3" s="1"/>
  <c r="E538" i="3"/>
  <c r="G538" i="3"/>
  <c r="C540" i="2"/>
  <c r="P538" i="2"/>
  <c r="J537" i="2"/>
  <c r="G537" i="2" s="1"/>
  <c r="T536" i="3" s="1"/>
  <c r="V536" i="3"/>
  <c r="C538" i="4"/>
  <c r="AB537" i="3"/>
  <c r="B539" i="3"/>
  <c r="B541" i="2"/>
  <c r="M544" i="2"/>
  <c r="I538" i="4"/>
  <c r="M538" i="4" s="1"/>
  <c r="L543" i="2"/>
  <c r="N538" i="2"/>
  <c r="J536" i="3"/>
  <c r="H537" i="2"/>
  <c r="E537" i="2" s="1"/>
  <c r="H536" i="3" s="1"/>
  <c r="F535" i="3"/>
  <c r="D536" i="3"/>
  <c r="I534" i="3"/>
  <c r="U534" i="3"/>
  <c r="O534" i="3"/>
  <c r="D540" i="2"/>
  <c r="T539" i="2"/>
  <c r="F535" i="4" l="1"/>
  <c r="H535" i="4"/>
  <c r="J535" i="4"/>
  <c r="K537" i="4"/>
  <c r="N537" i="4" s="1"/>
  <c r="E538" i="4"/>
  <c r="G537" i="4"/>
  <c r="L537" i="4" s="1"/>
  <c r="O541" i="2"/>
  <c r="I540" i="2"/>
  <c r="F540" i="2" s="1"/>
  <c r="N539" i="3" s="1"/>
  <c r="C539" i="4"/>
  <c r="AB538" i="3"/>
  <c r="T540" i="2"/>
  <c r="D541" i="2"/>
  <c r="P539" i="2"/>
  <c r="J538" i="2"/>
  <c r="G538" i="2" s="1"/>
  <c r="T537" i="3" s="1"/>
  <c r="V537" i="3"/>
  <c r="F536" i="3"/>
  <c r="D537" i="3"/>
  <c r="C541" i="2"/>
  <c r="I539" i="4"/>
  <c r="M539" i="4" s="1"/>
  <c r="O535" i="3"/>
  <c r="I535" i="3"/>
  <c r="U535" i="3"/>
  <c r="K541" i="2"/>
  <c r="L544" i="2"/>
  <c r="M545" i="2"/>
  <c r="B540" i="3"/>
  <c r="B542" i="2"/>
  <c r="D537" i="4"/>
  <c r="AA537" i="3"/>
  <c r="N539" i="2"/>
  <c r="H538" i="2"/>
  <c r="E538" i="2" s="1"/>
  <c r="H537" i="3" s="1"/>
  <c r="J537" i="3"/>
  <c r="A540" i="4"/>
  <c r="C539" i="3"/>
  <c r="E539" i="3"/>
  <c r="G539" i="3"/>
  <c r="S539" i="3"/>
  <c r="Y539" i="3" s="1"/>
  <c r="Z539" i="3" s="1"/>
  <c r="M539" i="3"/>
  <c r="P539" i="3"/>
  <c r="K538" i="4" l="1"/>
  <c r="N538" i="4" s="1"/>
  <c r="E539" i="4"/>
  <c r="J536" i="4"/>
  <c r="F536" i="4"/>
  <c r="G538" i="4"/>
  <c r="L538" i="4" s="1"/>
  <c r="H536" i="4"/>
  <c r="O542" i="2"/>
  <c r="I541" i="2"/>
  <c r="F541" i="2" s="1"/>
  <c r="N540" i="3" s="1"/>
  <c r="K542" i="2"/>
  <c r="F537" i="3"/>
  <c r="D538" i="3"/>
  <c r="C540" i="4"/>
  <c r="AB539" i="3"/>
  <c r="N540" i="2"/>
  <c r="H539" i="2"/>
  <c r="E539" i="2" s="1"/>
  <c r="H538" i="3" s="1"/>
  <c r="J538" i="3"/>
  <c r="O536" i="3"/>
  <c r="I536" i="3"/>
  <c r="U536" i="3"/>
  <c r="D538" i="4"/>
  <c r="AA538" i="3"/>
  <c r="I540" i="4"/>
  <c r="M540" i="4" s="1"/>
  <c r="B541" i="3"/>
  <c r="B543" i="2"/>
  <c r="P540" i="2"/>
  <c r="J539" i="2"/>
  <c r="G539" i="2" s="1"/>
  <c r="T538" i="3" s="1"/>
  <c r="V538" i="3"/>
  <c r="A541" i="4"/>
  <c r="C540" i="3"/>
  <c r="P540" i="3"/>
  <c r="E540" i="3"/>
  <c r="G540" i="3"/>
  <c r="S540" i="3"/>
  <c r="Y540" i="3" s="1"/>
  <c r="Z540" i="3" s="1"/>
  <c r="M540" i="3"/>
  <c r="T541" i="2"/>
  <c r="D542" i="2"/>
  <c r="M546" i="2"/>
  <c r="L545" i="2"/>
  <c r="C542" i="2"/>
  <c r="F537" i="4" l="1"/>
  <c r="K539" i="4"/>
  <c r="N539" i="4" s="1"/>
  <c r="E540" i="4"/>
  <c r="H537" i="4"/>
  <c r="G539" i="4"/>
  <c r="L539" i="4" s="1"/>
  <c r="J537" i="4"/>
  <c r="O543" i="2"/>
  <c r="I542" i="2"/>
  <c r="F542" i="2" s="1"/>
  <c r="N541" i="3" s="1"/>
  <c r="P541" i="2"/>
  <c r="J540" i="2"/>
  <c r="G540" i="2" s="1"/>
  <c r="T539" i="3" s="1"/>
  <c r="V539" i="3"/>
  <c r="B542" i="3"/>
  <c r="B544" i="2"/>
  <c r="A542" i="4"/>
  <c r="M541" i="3"/>
  <c r="C541" i="3"/>
  <c r="P541" i="3"/>
  <c r="E541" i="3"/>
  <c r="G541" i="3"/>
  <c r="S541" i="3"/>
  <c r="Y541" i="3" s="1"/>
  <c r="Z541" i="3" s="1"/>
  <c r="N541" i="2"/>
  <c r="J539" i="3"/>
  <c r="H540" i="2"/>
  <c r="E540" i="2" s="1"/>
  <c r="H539" i="3" s="1"/>
  <c r="L546" i="2"/>
  <c r="M547" i="2"/>
  <c r="C541" i="4"/>
  <c r="AB540" i="3"/>
  <c r="D543" i="2"/>
  <c r="T542" i="2"/>
  <c r="F538" i="3"/>
  <c r="D539" i="3"/>
  <c r="I537" i="3"/>
  <c r="U537" i="3"/>
  <c r="O537" i="3"/>
  <c r="C543" i="2"/>
  <c r="I541" i="4"/>
  <c r="M541" i="4" s="1"/>
  <c r="D539" i="4"/>
  <c r="AA539" i="3"/>
  <c r="K543" i="2"/>
  <c r="K540" i="4" l="1"/>
  <c r="N540" i="4" s="1"/>
  <c r="J538" i="4"/>
  <c r="E541" i="4"/>
  <c r="H538" i="4"/>
  <c r="G540" i="4"/>
  <c r="L540" i="4" s="1"/>
  <c r="F538" i="4"/>
  <c r="O544" i="2"/>
  <c r="I543" i="2"/>
  <c r="F543" i="2" s="1"/>
  <c r="N542" i="3" s="1"/>
  <c r="K544" i="2"/>
  <c r="C544" i="2"/>
  <c r="M548" i="2"/>
  <c r="L547" i="2"/>
  <c r="F539" i="3"/>
  <c r="D540" i="3"/>
  <c r="C542" i="4"/>
  <c r="AB541" i="3"/>
  <c r="N542" i="2"/>
  <c r="H541" i="2"/>
  <c r="E541" i="2" s="1"/>
  <c r="H540" i="3" s="1"/>
  <c r="J540" i="3"/>
  <c r="I542" i="4"/>
  <c r="M542" i="4" s="1"/>
  <c r="B543" i="3"/>
  <c r="B545" i="2"/>
  <c r="D540" i="4"/>
  <c r="AA540" i="3"/>
  <c r="A543" i="4"/>
  <c r="M542" i="3"/>
  <c r="C542" i="3"/>
  <c r="P542" i="3"/>
  <c r="S542" i="3"/>
  <c r="Y542" i="3" s="1"/>
  <c r="Z542" i="3" s="1"/>
  <c r="G542" i="3"/>
  <c r="E542" i="3"/>
  <c r="I538" i="3"/>
  <c r="U538" i="3"/>
  <c r="O538" i="3"/>
  <c r="T543" i="2"/>
  <c r="D544" i="2"/>
  <c r="P542" i="2"/>
  <c r="J541" i="2"/>
  <c r="G541" i="2" s="1"/>
  <c r="T540" i="3" s="1"/>
  <c r="V540" i="3"/>
  <c r="K541" i="4" l="1"/>
  <c r="N541" i="4" s="1"/>
  <c r="H539" i="4"/>
  <c r="J539" i="4"/>
  <c r="F539" i="4"/>
  <c r="E542" i="4"/>
  <c r="G541" i="4"/>
  <c r="L541" i="4" s="1"/>
  <c r="O545" i="2"/>
  <c r="I544" i="2"/>
  <c r="F544" i="2" s="1"/>
  <c r="N543" i="3" s="1"/>
  <c r="A544" i="4"/>
  <c r="C543" i="3"/>
  <c r="E543" i="3"/>
  <c r="G543" i="3"/>
  <c r="S543" i="3"/>
  <c r="Y543" i="3" s="1"/>
  <c r="Z543" i="3" s="1"/>
  <c r="M543" i="3"/>
  <c r="P543" i="3"/>
  <c r="F540" i="3"/>
  <c r="D541" i="3"/>
  <c r="O539" i="3"/>
  <c r="I539" i="3"/>
  <c r="U539" i="3"/>
  <c r="P543" i="2"/>
  <c r="J542" i="2"/>
  <c r="G542" i="2" s="1"/>
  <c r="T541" i="3" s="1"/>
  <c r="V541" i="3"/>
  <c r="T544" i="2"/>
  <c r="D545" i="2"/>
  <c r="C543" i="4"/>
  <c r="AB542" i="3"/>
  <c r="L548" i="2"/>
  <c r="M549" i="2"/>
  <c r="C545" i="2"/>
  <c r="B544" i="3"/>
  <c r="B546" i="2"/>
  <c r="I543" i="4"/>
  <c r="M543" i="4" s="1"/>
  <c r="D541" i="4"/>
  <c r="AA541" i="3"/>
  <c r="N543" i="2"/>
  <c r="J541" i="3"/>
  <c r="H542" i="2"/>
  <c r="E542" i="2" s="1"/>
  <c r="H541" i="3" s="1"/>
  <c r="K545" i="2"/>
  <c r="H540" i="4" l="1"/>
  <c r="E543" i="4"/>
  <c r="G542" i="4"/>
  <c r="L542" i="4" s="1"/>
  <c r="K542" i="4"/>
  <c r="N542" i="4" s="1"/>
  <c r="J540" i="4"/>
  <c r="F540" i="4"/>
  <c r="O546" i="2"/>
  <c r="I545" i="2"/>
  <c r="F545" i="2" s="1"/>
  <c r="N544" i="3" s="1"/>
  <c r="D546" i="2"/>
  <c r="T545" i="2"/>
  <c r="C544" i="4"/>
  <c r="AB543" i="3"/>
  <c r="A545" i="4"/>
  <c r="C544" i="3"/>
  <c r="P544" i="3"/>
  <c r="E544" i="3"/>
  <c r="G544" i="3"/>
  <c r="S544" i="3"/>
  <c r="Y544" i="3" s="1"/>
  <c r="Z544" i="3" s="1"/>
  <c r="M544" i="3"/>
  <c r="B545" i="3"/>
  <c r="B547" i="2"/>
  <c r="C546" i="2"/>
  <c r="D542" i="4"/>
  <c r="AA542" i="3"/>
  <c r="P544" i="2"/>
  <c r="J543" i="2"/>
  <c r="G543" i="2" s="1"/>
  <c r="T542" i="3" s="1"/>
  <c r="V542" i="3"/>
  <c r="M550" i="2"/>
  <c r="K546" i="2"/>
  <c r="L549" i="2"/>
  <c r="F541" i="3"/>
  <c r="D542" i="3"/>
  <c r="N544" i="2"/>
  <c r="H543" i="2"/>
  <c r="E543" i="2" s="1"/>
  <c r="H542" i="3" s="1"/>
  <c r="J542" i="3"/>
  <c r="O540" i="3"/>
  <c r="I540" i="3"/>
  <c r="U540" i="3"/>
  <c r="I544" i="4"/>
  <c r="M544" i="4" s="1"/>
  <c r="K543" i="4" l="1"/>
  <c r="N543" i="4" s="1"/>
  <c r="F541" i="4"/>
  <c r="E544" i="4"/>
  <c r="G543" i="4"/>
  <c r="L543" i="4" s="1"/>
  <c r="J541" i="4"/>
  <c r="H541" i="4"/>
  <c r="O547" i="2"/>
  <c r="I546" i="2"/>
  <c r="F546" i="2" s="1"/>
  <c r="N545" i="3" s="1"/>
  <c r="F542" i="3"/>
  <c r="D543" i="3"/>
  <c r="I541" i="3"/>
  <c r="U541" i="3"/>
  <c r="O541" i="3"/>
  <c r="N545" i="2"/>
  <c r="H544" i="2"/>
  <c r="E544" i="2" s="1"/>
  <c r="H543" i="3" s="1"/>
  <c r="J543" i="3"/>
  <c r="L550" i="2"/>
  <c r="C547" i="2"/>
  <c r="K547" i="2"/>
  <c r="B546" i="3"/>
  <c r="B548" i="2"/>
  <c r="D543" i="4"/>
  <c r="AA543" i="3"/>
  <c r="A546" i="4"/>
  <c r="M545" i="3"/>
  <c r="C545" i="3"/>
  <c r="P545" i="3"/>
  <c r="E545" i="3"/>
  <c r="G545" i="3"/>
  <c r="S545" i="3"/>
  <c r="Y545" i="3" s="1"/>
  <c r="Z545" i="3" s="1"/>
  <c r="I545" i="4"/>
  <c r="M545" i="4" s="1"/>
  <c r="M551" i="2"/>
  <c r="C545" i="4"/>
  <c r="AB544" i="3"/>
  <c r="P545" i="2"/>
  <c r="J544" i="2"/>
  <c r="G544" i="2" s="1"/>
  <c r="T543" i="3" s="1"/>
  <c r="V543" i="3"/>
  <c r="T546" i="2"/>
  <c r="D547" i="2"/>
  <c r="G544" i="4" l="1"/>
  <c r="L544" i="4" s="1"/>
  <c r="F542" i="4"/>
  <c r="E545" i="4"/>
  <c r="K544" i="4"/>
  <c r="N544" i="4" s="1"/>
  <c r="H542" i="4"/>
  <c r="J542" i="4"/>
  <c r="O548" i="2"/>
  <c r="I547" i="2"/>
  <c r="F547" i="2" s="1"/>
  <c r="N546" i="3" s="1"/>
  <c r="C546" i="4"/>
  <c r="AB545" i="3"/>
  <c r="L551" i="2"/>
  <c r="D544" i="4"/>
  <c r="AA544" i="3"/>
  <c r="T547" i="2"/>
  <c r="D548" i="2"/>
  <c r="I546" i="4"/>
  <c r="M546" i="4" s="1"/>
  <c r="P546" i="2"/>
  <c r="J545" i="2"/>
  <c r="G545" i="2" s="1"/>
  <c r="T544" i="3" s="1"/>
  <c r="V544" i="3"/>
  <c r="N546" i="2"/>
  <c r="J544" i="3"/>
  <c r="H545" i="2"/>
  <c r="E545" i="2" s="1"/>
  <c r="H544" i="3" s="1"/>
  <c r="B547" i="3"/>
  <c r="B549" i="2"/>
  <c r="A547" i="4"/>
  <c r="M546" i="3"/>
  <c r="C546" i="3"/>
  <c r="P546" i="3"/>
  <c r="S546" i="3"/>
  <c r="Y546" i="3" s="1"/>
  <c r="Z546" i="3" s="1"/>
  <c r="E546" i="3"/>
  <c r="G546" i="3"/>
  <c r="M552" i="2"/>
  <c r="K548" i="2"/>
  <c r="F543" i="3"/>
  <c r="D544" i="3"/>
  <c r="C548" i="2"/>
  <c r="I542" i="3"/>
  <c r="U542" i="3"/>
  <c r="O542" i="3"/>
  <c r="J543" i="4" l="1"/>
  <c r="F543" i="4"/>
  <c r="E546" i="4"/>
  <c r="G545" i="4"/>
  <c r="L545" i="4" s="1"/>
  <c r="H543" i="4"/>
  <c r="K545" i="4"/>
  <c r="N545" i="4" s="1"/>
  <c r="O549" i="2"/>
  <c r="I548" i="2"/>
  <c r="F548" i="2" s="1"/>
  <c r="N547" i="3" s="1"/>
  <c r="B548" i="3"/>
  <c r="B550" i="2"/>
  <c r="A548" i="4"/>
  <c r="C547" i="3"/>
  <c r="E547" i="3"/>
  <c r="G547" i="3"/>
  <c r="S547" i="3"/>
  <c r="Y547" i="3" s="1"/>
  <c r="Z547" i="3" s="1"/>
  <c r="M547" i="3"/>
  <c r="P547" i="3"/>
  <c r="I547" i="4"/>
  <c r="M547" i="4" s="1"/>
  <c r="D549" i="2"/>
  <c r="T548" i="2"/>
  <c r="M553" i="2"/>
  <c r="N547" i="2"/>
  <c r="H546" i="2"/>
  <c r="E546" i="2" s="1"/>
  <c r="H545" i="3" s="1"/>
  <c r="J545" i="3"/>
  <c r="D545" i="4"/>
  <c r="AA545" i="3"/>
  <c r="C547" i="4"/>
  <c r="AB546" i="3"/>
  <c r="F544" i="3"/>
  <c r="D545" i="3"/>
  <c r="O543" i="3"/>
  <c r="I543" i="3"/>
  <c r="U543" i="3"/>
  <c r="P547" i="2"/>
  <c r="J546" i="2"/>
  <c r="G546" i="2" s="1"/>
  <c r="T545" i="3" s="1"/>
  <c r="V545" i="3"/>
  <c r="C549" i="2"/>
  <c r="L552" i="2"/>
  <c r="K549" i="2"/>
  <c r="G546" i="4" l="1"/>
  <c r="L546" i="4" s="1"/>
  <c r="E547" i="4"/>
  <c r="J544" i="4"/>
  <c r="F544" i="4"/>
  <c r="K546" i="4"/>
  <c r="N546" i="4" s="1"/>
  <c r="H544" i="4"/>
  <c r="O550" i="2"/>
  <c r="I549" i="2"/>
  <c r="F549" i="2" s="1"/>
  <c r="N548" i="3" s="1"/>
  <c r="F545" i="3"/>
  <c r="D546" i="3"/>
  <c r="T549" i="2"/>
  <c r="D550" i="2"/>
  <c r="L553" i="2"/>
  <c r="D546" i="4"/>
  <c r="AA546" i="3"/>
  <c r="M554" i="2"/>
  <c r="O544" i="3"/>
  <c r="I544" i="3"/>
  <c r="U544" i="3"/>
  <c r="C550" i="2"/>
  <c r="K550" i="2"/>
  <c r="I548" i="4"/>
  <c r="M548" i="4" s="1"/>
  <c r="C548" i="4"/>
  <c r="AB547" i="3"/>
  <c r="P548" i="2"/>
  <c r="J547" i="2"/>
  <c r="G547" i="2" s="1"/>
  <c r="T546" i="3" s="1"/>
  <c r="V546" i="3"/>
  <c r="N548" i="2"/>
  <c r="J546" i="3"/>
  <c r="H547" i="2"/>
  <c r="E547" i="2" s="1"/>
  <c r="H546" i="3" s="1"/>
  <c r="B549" i="3"/>
  <c r="B551" i="2"/>
  <c r="A549" i="4"/>
  <c r="C548" i="3"/>
  <c r="P548" i="3"/>
  <c r="E548" i="3"/>
  <c r="G548" i="3"/>
  <c r="S548" i="3"/>
  <c r="Y548" i="3" s="1"/>
  <c r="Z548" i="3" s="1"/>
  <c r="M548" i="3"/>
  <c r="F545" i="4" l="1"/>
  <c r="K547" i="4"/>
  <c r="N547" i="4" s="1"/>
  <c r="H545" i="4"/>
  <c r="E548" i="4"/>
  <c r="G547" i="4"/>
  <c r="L547" i="4" s="1"/>
  <c r="J545" i="4"/>
  <c r="O551" i="2"/>
  <c r="I550" i="2"/>
  <c r="F550" i="2" s="1"/>
  <c r="N549" i="3" s="1"/>
  <c r="I549" i="4"/>
  <c r="M549" i="4" s="1"/>
  <c r="C549" i="4"/>
  <c r="AB548" i="3"/>
  <c r="A550" i="4"/>
  <c r="M549" i="3"/>
  <c r="C549" i="3"/>
  <c r="P549" i="3"/>
  <c r="E549" i="3"/>
  <c r="G549" i="3"/>
  <c r="S549" i="3"/>
  <c r="Y549" i="3" s="1"/>
  <c r="Z549" i="3" s="1"/>
  <c r="M555" i="2"/>
  <c r="B550" i="3"/>
  <c r="B552" i="2"/>
  <c r="N549" i="2"/>
  <c r="J547" i="3"/>
  <c r="H548" i="2"/>
  <c r="E548" i="2" s="1"/>
  <c r="H547" i="3" s="1"/>
  <c r="K551" i="2"/>
  <c r="L554" i="2"/>
  <c r="C551" i="2"/>
  <c r="T550" i="2"/>
  <c r="D551" i="2"/>
  <c r="P549" i="2"/>
  <c r="J548" i="2"/>
  <c r="G548" i="2" s="1"/>
  <c r="T547" i="3" s="1"/>
  <c r="V547" i="3"/>
  <c r="D547" i="4"/>
  <c r="AA547" i="3"/>
  <c r="F546" i="3"/>
  <c r="D547" i="3"/>
  <c r="I545" i="3"/>
  <c r="U545" i="3"/>
  <c r="O545" i="3"/>
  <c r="F546" i="4" l="1"/>
  <c r="G548" i="4"/>
  <c r="L548" i="4" s="1"/>
  <c r="E549" i="4"/>
  <c r="H546" i="4"/>
  <c r="J546" i="4"/>
  <c r="K548" i="4"/>
  <c r="N548" i="4" s="1"/>
  <c r="O552" i="2"/>
  <c r="I551" i="2"/>
  <c r="F551" i="2" s="1"/>
  <c r="N550" i="3" s="1"/>
  <c r="I550" i="4"/>
  <c r="M550" i="4" s="1"/>
  <c r="D548" i="4"/>
  <c r="AA548" i="3"/>
  <c r="B551" i="3"/>
  <c r="B553" i="2"/>
  <c r="C552" i="2"/>
  <c r="C550" i="4"/>
  <c r="AB549" i="3"/>
  <c r="I546" i="3"/>
  <c r="U546" i="3"/>
  <c r="O546" i="3"/>
  <c r="A551" i="4"/>
  <c r="M550" i="3"/>
  <c r="C550" i="3"/>
  <c r="P550" i="3"/>
  <c r="S550" i="3"/>
  <c r="Y550" i="3" s="1"/>
  <c r="Z550" i="3" s="1"/>
  <c r="E550" i="3"/>
  <c r="G550" i="3"/>
  <c r="F547" i="3"/>
  <c r="D548" i="3"/>
  <c r="K552" i="2"/>
  <c r="M556" i="2"/>
  <c r="L555" i="2"/>
  <c r="P550" i="2"/>
  <c r="J549" i="2"/>
  <c r="G549" i="2" s="1"/>
  <c r="T548" i="3" s="1"/>
  <c r="V548" i="3"/>
  <c r="D552" i="2"/>
  <c r="T551" i="2"/>
  <c r="N550" i="2"/>
  <c r="J548" i="3"/>
  <c r="H549" i="2"/>
  <c r="E549" i="2" s="1"/>
  <c r="H548" i="3" s="1"/>
  <c r="F547" i="4" l="1"/>
  <c r="E550" i="4"/>
  <c r="G549" i="4"/>
  <c r="L549" i="4" s="1"/>
  <c r="K549" i="4"/>
  <c r="N549" i="4" s="1"/>
  <c r="H547" i="4"/>
  <c r="J547" i="4"/>
  <c r="O553" i="2"/>
  <c r="I552" i="2"/>
  <c r="F552" i="2" s="1"/>
  <c r="N551" i="3" s="1"/>
  <c r="C551" i="4"/>
  <c r="AB550" i="3"/>
  <c r="M557" i="2"/>
  <c r="B552" i="3"/>
  <c r="B554" i="2"/>
  <c r="K553" i="2"/>
  <c r="N551" i="2"/>
  <c r="J549" i="3"/>
  <c r="H550" i="2"/>
  <c r="E550" i="2" s="1"/>
  <c r="H549" i="3" s="1"/>
  <c r="A552" i="4"/>
  <c r="C551" i="3"/>
  <c r="E551" i="3"/>
  <c r="G551" i="3"/>
  <c r="S551" i="3"/>
  <c r="Y551" i="3" s="1"/>
  <c r="Z551" i="3" s="1"/>
  <c r="M551" i="3"/>
  <c r="P551" i="3"/>
  <c r="C553" i="2"/>
  <c r="F548" i="3"/>
  <c r="D549" i="3"/>
  <c r="D549" i="4"/>
  <c r="AA549" i="3"/>
  <c r="O547" i="3"/>
  <c r="I547" i="3"/>
  <c r="U547" i="3"/>
  <c r="I551" i="4"/>
  <c r="M551" i="4" s="1"/>
  <c r="P551" i="2"/>
  <c r="J550" i="2"/>
  <c r="G550" i="2" s="1"/>
  <c r="T549" i="3" s="1"/>
  <c r="V549" i="3"/>
  <c r="L556" i="2"/>
  <c r="T552" i="2"/>
  <c r="D553" i="2"/>
  <c r="G550" i="4" l="1"/>
  <c r="L550" i="4" s="1"/>
  <c r="E551" i="4"/>
  <c r="J548" i="4"/>
  <c r="K550" i="4"/>
  <c r="N550" i="4" s="1"/>
  <c r="F548" i="4"/>
  <c r="H548" i="4"/>
  <c r="O554" i="2"/>
  <c r="I553" i="2"/>
  <c r="F553" i="2" s="1"/>
  <c r="N552" i="3" s="1"/>
  <c r="I552" i="4"/>
  <c r="M552" i="4" s="1"/>
  <c r="N552" i="2"/>
  <c r="H551" i="2"/>
  <c r="E551" i="2" s="1"/>
  <c r="H550" i="3" s="1"/>
  <c r="J550" i="3"/>
  <c r="C552" i="4"/>
  <c r="AB551" i="3"/>
  <c r="K554" i="2"/>
  <c r="D550" i="4"/>
  <c r="AA550" i="3"/>
  <c r="B553" i="3"/>
  <c r="B555" i="2"/>
  <c r="A553" i="4"/>
  <c r="C552" i="3"/>
  <c r="P552" i="3"/>
  <c r="E552" i="3"/>
  <c r="M552" i="3"/>
  <c r="S552" i="3"/>
  <c r="Y552" i="3" s="1"/>
  <c r="Z552" i="3" s="1"/>
  <c r="G552" i="3"/>
  <c r="T553" i="2"/>
  <c r="D554" i="2"/>
  <c r="P552" i="2"/>
  <c r="J551" i="2"/>
  <c r="G551" i="2" s="1"/>
  <c r="T550" i="3" s="1"/>
  <c r="V550" i="3"/>
  <c r="F549" i="3"/>
  <c r="D550" i="3"/>
  <c r="O548" i="3"/>
  <c r="I548" i="3"/>
  <c r="U548" i="3"/>
  <c r="M558" i="2"/>
  <c r="C554" i="2"/>
  <c r="L557" i="2"/>
  <c r="E552" i="4" l="1"/>
  <c r="G551" i="4"/>
  <c r="L551" i="4" s="1"/>
  <c r="F549" i="4"/>
  <c r="H549" i="4"/>
  <c r="J549" i="4"/>
  <c r="K551" i="4"/>
  <c r="N551" i="4" s="1"/>
  <c r="O555" i="2"/>
  <c r="I554" i="2"/>
  <c r="F554" i="2" s="1"/>
  <c r="N553" i="3" s="1"/>
  <c r="L558" i="2"/>
  <c r="N553" i="2"/>
  <c r="J551" i="3"/>
  <c r="H552" i="2"/>
  <c r="E552" i="2" s="1"/>
  <c r="H551" i="3" s="1"/>
  <c r="C555" i="2"/>
  <c r="I553" i="4"/>
  <c r="M553" i="4" s="1"/>
  <c r="I549" i="3"/>
  <c r="U549" i="3"/>
  <c r="O549" i="3"/>
  <c r="D555" i="2"/>
  <c r="T554" i="2"/>
  <c r="M559" i="2"/>
  <c r="B554" i="3"/>
  <c r="B556" i="2"/>
  <c r="A554" i="4"/>
  <c r="M553" i="3"/>
  <c r="E553" i="3"/>
  <c r="P553" i="3"/>
  <c r="S553" i="3"/>
  <c r="Y553" i="3" s="1"/>
  <c r="Z553" i="3" s="1"/>
  <c r="C553" i="3"/>
  <c r="G553" i="3"/>
  <c r="D551" i="4"/>
  <c r="AA551" i="3"/>
  <c r="P553" i="2"/>
  <c r="J552" i="2"/>
  <c r="G552" i="2" s="1"/>
  <c r="T551" i="3" s="1"/>
  <c r="V551" i="3"/>
  <c r="C553" i="4"/>
  <c r="AB552" i="3"/>
  <c r="K555" i="2"/>
  <c r="F550" i="3"/>
  <c r="D551" i="3"/>
  <c r="H550" i="4" l="1"/>
  <c r="J550" i="4"/>
  <c r="F550" i="4"/>
  <c r="K552" i="4"/>
  <c r="N552" i="4" s="1"/>
  <c r="E553" i="4"/>
  <c r="G552" i="4"/>
  <c r="L552" i="4" s="1"/>
  <c r="O556" i="2"/>
  <c r="I555" i="2"/>
  <c r="F555" i="2" s="1"/>
  <c r="N554" i="3" s="1"/>
  <c r="I550" i="3"/>
  <c r="U550" i="3"/>
  <c r="O550" i="3"/>
  <c r="K556" i="2"/>
  <c r="A555" i="4"/>
  <c r="C554" i="3"/>
  <c r="E554" i="3"/>
  <c r="G554" i="3"/>
  <c r="M554" i="3"/>
  <c r="P554" i="3"/>
  <c r="S554" i="3"/>
  <c r="Y554" i="3" s="1"/>
  <c r="Z554" i="3" s="1"/>
  <c r="B555" i="3"/>
  <c r="B557" i="2"/>
  <c r="F551" i="3"/>
  <c r="D552" i="3"/>
  <c r="M560" i="2"/>
  <c r="T555" i="2"/>
  <c r="D556" i="2"/>
  <c r="C556" i="2"/>
  <c r="N554" i="2"/>
  <c r="H553" i="2"/>
  <c r="E553" i="2" s="1"/>
  <c r="H552" i="3" s="1"/>
  <c r="J552" i="3"/>
  <c r="C554" i="4"/>
  <c r="AB553" i="3"/>
  <c r="L559" i="2"/>
  <c r="P554" i="2"/>
  <c r="J553" i="2"/>
  <c r="G553" i="2" s="1"/>
  <c r="T552" i="3" s="1"/>
  <c r="V552" i="3"/>
  <c r="D552" i="4"/>
  <c r="AA552" i="3"/>
  <c r="I554" i="4"/>
  <c r="M554" i="4" s="1"/>
  <c r="K553" i="4" l="1"/>
  <c r="N553" i="4" s="1"/>
  <c r="H551" i="4"/>
  <c r="J551" i="4"/>
  <c r="F551" i="4"/>
  <c r="G553" i="4"/>
  <c r="L553" i="4" s="1"/>
  <c r="E554" i="4"/>
  <c r="O557" i="2"/>
  <c r="I556" i="2"/>
  <c r="F556" i="2" s="1"/>
  <c r="N555" i="3" s="1"/>
  <c r="L560" i="2"/>
  <c r="M561" i="2"/>
  <c r="F552" i="3"/>
  <c r="D553" i="3"/>
  <c r="O551" i="3"/>
  <c r="U551" i="3"/>
  <c r="I551" i="3"/>
  <c r="B556" i="3"/>
  <c r="B558" i="2"/>
  <c r="N555" i="2"/>
  <c r="J553" i="3"/>
  <c r="H554" i="2"/>
  <c r="E554" i="2" s="1"/>
  <c r="H553" i="3" s="1"/>
  <c r="A556" i="4"/>
  <c r="C555" i="3"/>
  <c r="E555" i="3"/>
  <c r="G555" i="3"/>
  <c r="S555" i="3"/>
  <c r="Y555" i="3" s="1"/>
  <c r="Z555" i="3" s="1"/>
  <c r="M555" i="3"/>
  <c r="P555" i="3"/>
  <c r="I555" i="4"/>
  <c r="M555" i="4" s="1"/>
  <c r="D553" i="4"/>
  <c r="AA553" i="3"/>
  <c r="C557" i="2"/>
  <c r="K557" i="2"/>
  <c r="C555" i="4"/>
  <c r="AB554" i="3"/>
  <c r="T556" i="2"/>
  <c r="D557" i="2"/>
  <c r="P555" i="2"/>
  <c r="J554" i="2"/>
  <c r="G554" i="2" s="1"/>
  <c r="T553" i="3" s="1"/>
  <c r="V553" i="3"/>
  <c r="K554" i="4" l="1"/>
  <c r="N554" i="4" s="1"/>
  <c r="F552" i="4"/>
  <c r="H552" i="4"/>
  <c r="J552" i="4"/>
  <c r="E555" i="4"/>
  <c r="G554" i="4"/>
  <c r="L554" i="4" s="1"/>
  <c r="O558" i="2"/>
  <c r="I557" i="2"/>
  <c r="F557" i="2" s="1"/>
  <c r="N556" i="3" s="1"/>
  <c r="D554" i="4"/>
  <c r="AA554" i="3"/>
  <c r="A557" i="4"/>
  <c r="C556" i="3"/>
  <c r="P556" i="3"/>
  <c r="E556" i="3"/>
  <c r="G556" i="3"/>
  <c r="M556" i="3"/>
  <c r="S556" i="3"/>
  <c r="Y556" i="3" s="1"/>
  <c r="Z556" i="3" s="1"/>
  <c r="N556" i="2"/>
  <c r="H555" i="2"/>
  <c r="E555" i="2" s="1"/>
  <c r="H554" i="3" s="1"/>
  <c r="J554" i="3"/>
  <c r="P556" i="2"/>
  <c r="J555" i="2"/>
  <c r="G555" i="2" s="1"/>
  <c r="T554" i="3" s="1"/>
  <c r="V554" i="3"/>
  <c r="C556" i="4"/>
  <c r="AB555" i="3"/>
  <c r="D558" i="2"/>
  <c r="T557" i="2"/>
  <c r="F553" i="3"/>
  <c r="D554" i="3"/>
  <c r="B557" i="3"/>
  <c r="B559" i="2"/>
  <c r="O552" i="3"/>
  <c r="I552" i="3"/>
  <c r="U552" i="3"/>
  <c r="I556" i="4"/>
  <c r="M556" i="4" s="1"/>
  <c r="M562" i="2"/>
  <c r="K558" i="2"/>
  <c r="C558" i="2"/>
  <c r="L561" i="2"/>
  <c r="K555" i="4" l="1"/>
  <c r="N555" i="4" s="1"/>
  <c r="E556" i="4"/>
  <c r="J553" i="4"/>
  <c r="F553" i="4"/>
  <c r="H553" i="4"/>
  <c r="G555" i="4"/>
  <c r="L555" i="4" s="1"/>
  <c r="O559" i="2"/>
  <c r="I558" i="2"/>
  <c r="F558" i="2" s="1"/>
  <c r="N557" i="3" s="1"/>
  <c r="L562" i="2"/>
  <c r="P557" i="2"/>
  <c r="J556" i="2"/>
  <c r="G556" i="2" s="1"/>
  <c r="T555" i="3" s="1"/>
  <c r="V555" i="3"/>
  <c r="T558" i="2"/>
  <c r="D559" i="2"/>
  <c r="C559" i="2"/>
  <c r="B558" i="3"/>
  <c r="B560" i="2"/>
  <c r="K559" i="2"/>
  <c r="A558" i="4"/>
  <c r="M557" i="3"/>
  <c r="E557" i="3"/>
  <c r="S557" i="3"/>
  <c r="Y557" i="3" s="1"/>
  <c r="Z557" i="3" s="1"/>
  <c r="C557" i="3"/>
  <c r="G557" i="3"/>
  <c r="P557" i="3"/>
  <c r="M563" i="2"/>
  <c r="F554" i="3"/>
  <c r="D555" i="3"/>
  <c r="N557" i="2"/>
  <c r="H556" i="2"/>
  <c r="E556" i="2" s="1"/>
  <c r="H555" i="3" s="1"/>
  <c r="J555" i="3"/>
  <c r="I557" i="4"/>
  <c r="M557" i="4" s="1"/>
  <c r="I553" i="3"/>
  <c r="U553" i="3"/>
  <c r="O553" i="3"/>
  <c r="D555" i="4"/>
  <c r="AA555" i="3"/>
  <c r="C557" i="4"/>
  <c r="AB556" i="3"/>
  <c r="E557" i="4" l="1"/>
  <c r="F554" i="4"/>
  <c r="K556" i="4"/>
  <c r="N556" i="4" s="1"/>
  <c r="J554" i="4"/>
  <c r="G556" i="4"/>
  <c r="L556" i="4" s="1"/>
  <c r="H554" i="4"/>
  <c r="O560" i="2"/>
  <c r="I559" i="2"/>
  <c r="F559" i="2" s="1"/>
  <c r="N558" i="3" s="1"/>
  <c r="C560" i="2"/>
  <c r="T559" i="2"/>
  <c r="D560" i="2"/>
  <c r="A559" i="4"/>
  <c r="C558" i="3"/>
  <c r="M558" i="3"/>
  <c r="P558" i="3"/>
  <c r="S558" i="3"/>
  <c r="Y558" i="3" s="1"/>
  <c r="Z558" i="3" s="1"/>
  <c r="E558" i="3"/>
  <c r="G558" i="3"/>
  <c r="F555" i="3"/>
  <c r="D556" i="3"/>
  <c r="N558" i="2"/>
  <c r="H557" i="2"/>
  <c r="E557" i="2" s="1"/>
  <c r="H556" i="3" s="1"/>
  <c r="J556" i="3"/>
  <c r="I554" i="3"/>
  <c r="U554" i="3"/>
  <c r="O554" i="3"/>
  <c r="M564" i="2"/>
  <c r="I558" i="4"/>
  <c r="M558" i="4" s="1"/>
  <c r="P558" i="2"/>
  <c r="J557" i="2"/>
  <c r="G557" i="2" s="1"/>
  <c r="T556" i="3" s="1"/>
  <c r="V556" i="3"/>
  <c r="D556" i="4"/>
  <c r="AA556" i="3"/>
  <c r="K560" i="2"/>
  <c r="C558" i="4"/>
  <c r="AB557" i="3"/>
  <c r="B559" i="3"/>
  <c r="B561" i="2"/>
  <c r="L563" i="2"/>
  <c r="H555" i="4" l="1"/>
  <c r="G557" i="4"/>
  <c r="L557" i="4" s="1"/>
  <c r="J555" i="4"/>
  <c r="F555" i="4"/>
  <c r="E558" i="4"/>
  <c r="K557" i="4"/>
  <c r="N557" i="4" s="1"/>
  <c r="O561" i="2"/>
  <c r="I560" i="2"/>
  <c r="F560" i="2" s="1"/>
  <c r="N559" i="3" s="1"/>
  <c r="L564" i="2"/>
  <c r="B560" i="3"/>
  <c r="B562" i="2"/>
  <c r="N559" i="2"/>
  <c r="J557" i="3"/>
  <c r="H558" i="2"/>
  <c r="E558" i="2" s="1"/>
  <c r="H557" i="3" s="1"/>
  <c r="A560" i="4"/>
  <c r="C559" i="3"/>
  <c r="E559" i="3"/>
  <c r="G559" i="3"/>
  <c r="S559" i="3"/>
  <c r="Y559" i="3" s="1"/>
  <c r="Z559" i="3" s="1"/>
  <c r="M559" i="3"/>
  <c r="P559" i="3"/>
  <c r="F556" i="3"/>
  <c r="D557" i="3"/>
  <c r="P559" i="2"/>
  <c r="J558" i="2"/>
  <c r="G558" i="2" s="1"/>
  <c r="T557" i="3" s="1"/>
  <c r="V557" i="3"/>
  <c r="O555" i="3"/>
  <c r="I555" i="3"/>
  <c r="U555" i="3"/>
  <c r="I559" i="4"/>
  <c r="M559" i="4" s="1"/>
  <c r="D561" i="2"/>
  <c r="T560" i="2"/>
  <c r="K561" i="2"/>
  <c r="D557" i="4"/>
  <c r="AA557" i="3"/>
  <c r="M565" i="2"/>
  <c r="C561" i="2"/>
  <c r="C559" i="4"/>
  <c r="AB558" i="3"/>
  <c r="F556" i="4" l="1"/>
  <c r="J556" i="4"/>
  <c r="E559" i="4"/>
  <c r="H556" i="4"/>
  <c r="G558" i="4"/>
  <c r="L558" i="4" s="1"/>
  <c r="K558" i="4"/>
  <c r="N558" i="4" s="1"/>
  <c r="O562" i="2"/>
  <c r="I561" i="2"/>
  <c r="F561" i="2" s="1"/>
  <c r="N560" i="3" s="1"/>
  <c r="F557" i="3"/>
  <c r="D558" i="3"/>
  <c r="O556" i="3"/>
  <c r="I556" i="3"/>
  <c r="U556" i="3"/>
  <c r="I560" i="4"/>
  <c r="M560" i="4" s="1"/>
  <c r="C562" i="2"/>
  <c r="T561" i="2"/>
  <c r="D562" i="2"/>
  <c r="M566" i="2"/>
  <c r="N560" i="2"/>
  <c r="H559" i="2"/>
  <c r="E559" i="2" s="1"/>
  <c r="H558" i="3" s="1"/>
  <c r="J558" i="3"/>
  <c r="C560" i="4"/>
  <c r="AB559" i="3"/>
  <c r="B561" i="3"/>
  <c r="B563" i="2"/>
  <c r="A561" i="4"/>
  <c r="C560" i="3"/>
  <c r="P560" i="3"/>
  <c r="E560" i="3"/>
  <c r="G560" i="3"/>
  <c r="M560" i="3"/>
  <c r="S560" i="3"/>
  <c r="Y560" i="3" s="1"/>
  <c r="Z560" i="3" s="1"/>
  <c r="P560" i="2"/>
  <c r="J559" i="2"/>
  <c r="G559" i="2" s="1"/>
  <c r="T558" i="3" s="1"/>
  <c r="V558" i="3"/>
  <c r="D558" i="4"/>
  <c r="AA558" i="3"/>
  <c r="K562" i="2"/>
  <c r="L565" i="2"/>
  <c r="F557" i="4" l="1"/>
  <c r="J557" i="4"/>
  <c r="K559" i="4"/>
  <c r="N559" i="4" s="1"/>
  <c r="E560" i="4"/>
  <c r="H557" i="4"/>
  <c r="G559" i="4"/>
  <c r="L559" i="4" s="1"/>
  <c r="O563" i="2"/>
  <c r="I562" i="2"/>
  <c r="F562" i="2" s="1"/>
  <c r="N561" i="3" s="1"/>
  <c r="C561" i="4"/>
  <c r="AB560" i="3"/>
  <c r="N561" i="2"/>
  <c r="H560" i="2"/>
  <c r="E560" i="2" s="1"/>
  <c r="H559" i="3" s="1"/>
  <c r="J559" i="3"/>
  <c r="K563" i="2"/>
  <c r="D559" i="4"/>
  <c r="AA559" i="3"/>
  <c r="M567" i="2"/>
  <c r="T562" i="2"/>
  <c r="D563" i="2"/>
  <c r="L566" i="2"/>
  <c r="P561" i="2"/>
  <c r="J560" i="2"/>
  <c r="G560" i="2" s="1"/>
  <c r="T559" i="3" s="1"/>
  <c r="V559" i="3"/>
  <c r="I561" i="4"/>
  <c r="M561" i="4" s="1"/>
  <c r="B562" i="3"/>
  <c r="B564" i="2"/>
  <c r="C563" i="2"/>
  <c r="F558" i="3"/>
  <c r="D559" i="3"/>
  <c r="A562" i="4"/>
  <c r="M561" i="3"/>
  <c r="S561" i="3"/>
  <c r="Y561" i="3" s="1"/>
  <c r="Z561" i="3" s="1"/>
  <c r="C561" i="3"/>
  <c r="E561" i="3"/>
  <c r="G561" i="3"/>
  <c r="P561" i="3"/>
  <c r="I557" i="3"/>
  <c r="U557" i="3"/>
  <c r="O557" i="3"/>
  <c r="H558" i="4" l="1"/>
  <c r="J558" i="4"/>
  <c r="F558" i="4"/>
  <c r="G560" i="4"/>
  <c r="L560" i="4" s="1"/>
  <c r="E561" i="4"/>
  <c r="K560" i="4"/>
  <c r="N560" i="4" s="1"/>
  <c r="O564" i="2"/>
  <c r="I563" i="2"/>
  <c r="F563" i="2" s="1"/>
  <c r="N562" i="3" s="1"/>
  <c r="M568" i="2"/>
  <c r="I562" i="4"/>
  <c r="M562" i="4" s="1"/>
  <c r="D560" i="4"/>
  <c r="AA560" i="3"/>
  <c r="C562" i="4"/>
  <c r="AB561" i="3"/>
  <c r="F559" i="3"/>
  <c r="D560" i="3"/>
  <c r="C564" i="2"/>
  <c r="K564" i="2"/>
  <c r="I558" i="3"/>
  <c r="U558" i="3"/>
  <c r="O558" i="3"/>
  <c r="B563" i="3"/>
  <c r="B565" i="2"/>
  <c r="L567" i="2"/>
  <c r="N562" i="2"/>
  <c r="J560" i="3"/>
  <c r="H561" i="2"/>
  <c r="E561" i="2" s="1"/>
  <c r="H560" i="3" s="1"/>
  <c r="P562" i="2"/>
  <c r="J561" i="2"/>
  <c r="G561" i="2" s="1"/>
  <c r="T560" i="3" s="1"/>
  <c r="V560" i="3"/>
  <c r="A563" i="4"/>
  <c r="C562" i="3"/>
  <c r="M562" i="3"/>
  <c r="P562" i="3"/>
  <c r="S562" i="3"/>
  <c r="Y562" i="3" s="1"/>
  <c r="Z562" i="3" s="1"/>
  <c r="G562" i="3"/>
  <c r="E562" i="3"/>
  <c r="D564" i="2"/>
  <c r="T563" i="2"/>
  <c r="K561" i="4" l="1"/>
  <c r="N561" i="4" s="1"/>
  <c r="E562" i="4"/>
  <c r="G561" i="4"/>
  <c r="L561" i="4" s="1"/>
  <c r="H559" i="4"/>
  <c r="J559" i="4"/>
  <c r="F559" i="4"/>
  <c r="O565" i="2"/>
  <c r="I564" i="2"/>
  <c r="F564" i="2" s="1"/>
  <c r="N563" i="3" s="1"/>
  <c r="A564" i="4"/>
  <c r="C563" i="3"/>
  <c r="E563" i="3"/>
  <c r="G563" i="3"/>
  <c r="S563" i="3"/>
  <c r="Y563" i="3" s="1"/>
  <c r="Z563" i="3" s="1"/>
  <c r="M563" i="3"/>
  <c r="P563" i="3"/>
  <c r="D561" i="4"/>
  <c r="AA561" i="3"/>
  <c r="T564" i="2"/>
  <c r="D565" i="2"/>
  <c r="I563" i="4"/>
  <c r="M563" i="4" s="1"/>
  <c r="K565" i="2"/>
  <c r="P563" i="2"/>
  <c r="J562" i="2"/>
  <c r="G562" i="2" s="1"/>
  <c r="T561" i="3" s="1"/>
  <c r="V561" i="3"/>
  <c r="C563" i="4"/>
  <c r="AB562" i="3"/>
  <c r="N563" i="2"/>
  <c r="J561" i="3"/>
  <c r="H562" i="2"/>
  <c r="E562" i="2" s="1"/>
  <c r="H561" i="3" s="1"/>
  <c r="C565" i="2"/>
  <c r="B564" i="3"/>
  <c r="B566" i="2"/>
  <c r="L568" i="2"/>
  <c r="F560" i="3"/>
  <c r="D561" i="3"/>
  <c r="O559" i="3"/>
  <c r="I559" i="3"/>
  <c r="U559" i="3"/>
  <c r="M569" i="2"/>
  <c r="G562" i="4" l="1"/>
  <c r="L562" i="4" s="1"/>
  <c r="H560" i="4"/>
  <c r="J560" i="4"/>
  <c r="F560" i="4"/>
  <c r="K562" i="4"/>
  <c r="N562" i="4" s="1"/>
  <c r="E563" i="4"/>
  <c r="O566" i="2"/>
  <c r="I565" i="2"/>
  <c r="F565" i="2" s="1"/>
  <c r="N564" i="3" s="1"/>
  <c r="C564" i="4"/>
  <c r="AB563" i="3"/>
  <c r="K566" i="2"/>
  <c r="C566" i="2"/>
  <c r="M570" i="2"/>
  <c r="N564" i="2"/>
  <c r="J562" i="3"/>
  <c r="H563" i="2"/>
  <c r="E563" i="2" s="1"/>
  <c r="H562" i="3" s="1"/>
  <c r="F561" i="3"/>
  <c r="D562" i="3"/>
  <c r="T565" i="2"/>
  <c r="D566" i="2"/>
  <c r="O560" i="3"/>
  <c r="I560" i="3"/>
  <c r="U560" i="3"/>
  <c r="L569" i="2"/>
  <c r="B565" i="3"/>
  <c r="B567" i="2"/>
  <c r="P564" i="2"/>
  <c r="J563" i="2"/>
  <c r="G563" i="2" s="1"/>
  <c r="T562" i="3" s="1"/>
  <c r="V562" i="3"/>
  <c r="D562" i="4"/>
  <c r="AA562" i="3"/>
  <c r="A565" i="4"/>
  <c r="P564" i="3"/>
  <c r="E564" i="3"/>
  <c r="M564" i="3"/>
  <c r="S564" i="3"/>
  <c r="Y564" i="3" s="1"/>
  <c r="Z564" i="3" s="1"/>
  <c r="C564" i="3"/>
  <c r="G564" i="3"/>
  <c r="I564" i="4"/>
  <c r="M564" i="4" s="1"/>
  <c r="G563" i="4" l="1"/>
  <c r="L563" i="4" s="1"/>
  <c r="J561" i="4"/>
  <c r="F561" i="4"/>
  <c r="E564" i="4"/>
  <c r="H561" i="4"/>
  <c r="K563" i="4"/>
  <c r="N563" i="4" s="1"/>
  <c r="O567" i="2"/>
  <c r="I566" i="2"/>
  <c r="F566" i="2" s="1"/>
  <c r="N565" i="3" s="1"/>
  <c r="A566" i="4"/>
  <c r="M565" i="3"/>
  <c r="P565" i="3"/>
  <c r="C565" i="3"/>
  <c r="S565" i="3"/>
  <c r="Y565" i="3" s="1"/>
  <c r="Z565" i="3" s="1"/>
  <c r="E565" i="3"/>
  <c r="G565" i="3"/>
  <c r="C565" i="4"/>
  <c r="AB564" i="3"/>
  <c r="N565" i="2"/>
  <c r="H564" i="2"/>
  <c r="E564" i="2" s="1"/>
  <c r="H563" i="3" s="1"/>
  <c r="J563" i="3"/>
  <c r="L570" i="2"/>
  <c r="M571" i="2"/>
  <c r="C567" i="2"/>
  <c r="I565" i="4"/>
  <c r="M565" i="4" s="1"/>
  <c r="D563" i="4"/>
  <c r="AA563" i="3"/>
  <c r="D567" i="2"/>
  <c r="T566" i="2"/>
  <c r="B566" i="3"/>
  <c r="B568" i="2"/>
  <c r="K567" i="2"/>
  <c r="F562" i="3"/>
  <c r="D563" i="3"/>
  <c r="P565" i="2"/>
  <c r="J564" i="2"/>
  <c r="G564" i="2" s="1"/>
  <c r="T563" i="3" s="1"/>
  <c r="V563" i="3"/>
  <c r="I561" i="3"/>
  <c r="U561" i="3"/>
  <c r="O561" i="3"/>
  <c r="E565" i="4" l="1"/>
  <c r="H562" i="4"/>
  <c r="J562" i="4"/>
  <c r="F562" i="4"/>
  <c r="K564" i="4"/>
  <c r="N564" i="4" s="1"/>
  <c r="G564" i="4"/>
  <c r="L564" i="4" s="1"/>
  <c r="O568" i="2"/>
  <c r="I567" i="2"/>
  <c r="F567" i="2" s="1"/>
  <c r="N566" i="3" s="1"/>
  <c r="C568" i="2"/>
  <c r="A567" i="4"/>
  <c r="C566" i="3"/>
  <c r="P566" i="3"/>
  <c r="E566" i="3"/>
  <c r="S566" i="3"/>
  <c r="Y566" i="3" s="1"/>
  <c r="Z566" i="3" s="1"/>
  <c r="G566" i="3"/>
  <c r="M566" i="3"/>
  <c r="M572" i="2"/>
  <c r="L571" i="2"/>
  <c r="P566" i="2"/>
  <c r="J565" i="2"/>
  <c r="G565" i="2" s="1"/>
  <c r="T564" i="3" s="1"/>
  <c r="V564" i="3"/>
  <c r="T567" i="2"/>
  <c r="D568" i="2"/>
  <c r="D564" i="4"/>
  <c r="AA564" i="3"/>
  <c r="K568" i="2"/>
  <c r="N566" i="2"/>
  <c r="H565" i="2"/>
  <c r="E565" i="2" s="1"/>
  <c r="H564" i="3" s="1"/>
  <c r="J564" i="3"/>
  <c r="D564" i="3"/>
  <c r="F563" i="3"/>
  <c r="C566" i="4"/>
  <c r="AB565" i="3"/>
  <c r="O562" i="3"/>
  <c r="I562" i="3"/>
  <c r="U562" i="3"/>
  <c r="B567" i="3"/>
  <c r="B569" i="2"/>
  <c r="I566" i="4"/>
  <c r="M566" i="4" s="1"/>
  <c r="G565" i="4" l="1"/>
  <c r="L565" i="4" s="1"/>
  <c r="J563" i="4"/>
  <c r="F563" i="4"/>
  <c r="H563" i="4"/>
  <c r="K565" i="4"/>
  <c r="N565" i="4" s="1"/>
  <c r="E566" i="4"/>
  <c r="O569" i="2"/>
  <c r="I568" i="2"/>
  <c r="F568" i="2" s="1"/>
  <c r="N567" i="3" s="1"/>
  <c r="O563" i="3"/>
  <c r="U563" i="3"/>
  <c r="I563" i="3"/>
  <c r="P567" i="2"/>
  <c r="J566" i="2"/>
  <c r="G566" i="2" s="1"/>
  <c r="T565" i="3" s="1"/>
  <c r="V565" i="3"/>
  <c r="L572" i="2"/>
  <c r="B568" i="3"/>
  <c r="B570" i="2"/>
  <c r="N567" i="2"/>
  <c r="H566" i="2"/>
  <c r="E566" i="2" s="1"/>
  <c r="H565" i="3" s="1"/>
  <c r="J565" i="3"/>
  <c r="A568" i="4"/>
  <c r="C567" i="3"/>
  <c r="E567" i="3"/>
  <c r="S567" i="3"/>
  <c r="Y567" i="3" s="1"/>
  <c r="Z567" i="3" s="1"/>
  <c r="G567" i="3"/>
  <c r="M567" i="3"/>
  <c r="P567" i="3"/>
  <c r="K569" i="2"/>
  <c r="M573" i="2"/>
  <c r="I567" i="4"/>
  <c r="M567" i="4" s="1"/>
  <c r="D565" i="4"/>
  <c r="AA565" i="3"/>
  <c r="C569" i="2"/>
  <c r="D565" i="3"/>
  <c r="F564" i="3"/>
  <c r="C567" i="4"/>
  <c r="AB566" i="3"/>
  <c r="T568" i="2"/>
  <c r="D569" i="2"/>
  <c r="K566" i="4" l="1"/>
  <c r="N566" i="4" s="1"/>
  <c r="E567" i="4"/>
  <c r="F564" i="4"/>
  <c r="J564" i="4"/>
  <c r="H564" i="4"/>
  <c r="G566" i="4"/>
  <c r="L566" i="4" s="1"/>
  <c r="O570" i="2"/>
  <c r="I569" i="2"/>
  <c r="F569" i="2" s="1"/>
  <c r="N568" i="3" s="1"/>
  <c r="C568" i="4"/>
  <c r="AB567" i="3"/>
  <c r="N568" i="2"/>
  <c r="J566" i="3"/>
  <c r="H567" i="2"/>
  <c r="E567" i="2" s="1"/>
  <c r="H566" i="3" s="1"/>
  <c r="B569" i="3"/>
  <c r="B571" i="2"/>
  <c r="D570" i="2"/>
  <c r="T569" i="2"/>
  <c r="A569" i="4"/>
  <c r="E568" i="3"/>
  <c r="S568" i="3"/>
  <c r="Y568" i="3" s="1"/>
  <c r="Z568" i="3" s="1"/>
  <c r="G568" i="3"/>
  <c r="M568" i="3"/>
  <c r="P568" i="3"/>
  <c r="C568" i="3"/>
  <c r="L573" i="2"/>
  <c r="I564" i="3"/>
  <c r="U564" i="3"/>
  <c r="O564" i="3"/>
  <c r="D566" i="3"/>
  <c r="F565" i="3"/>
  <c r="C570" i="2"/>
  <c r="M574" i="2"/>
  <c r="P568" i="2"/>
  <c r="J567" i="2"/>
  <c r="G567" i="2" s="1"/>
  <c r="T566" i="3" s="1"/>
  <c r="V566" i="3"/>
  <c r="K570" i="2"/>
  <c r="I568" i="4"/>
  <c r="M568" i="4" s="1"/>
  <c r="D566" i="4"/>
  <c r="AA566" i="3"/>
  <c r="H565" i="4" l="1"/>
  <c r="F565" i="4"/>
  <c r="J565" i="4"/>
  <c r="E568" i="4"/>
  <c r="K567" i="4"/>
  <c r="N567" i="4" s="1"/>
  <c r="G567" i="4"/>
  <c r="L567" i="4" s="1"/>
  <c r="O571" i="2"/>
  <c r="I570" i="2"/>
  <c r="F570" i="2" s="1"/>
  <c r="N569" i="3" s="1"/>
  <c r="L574" i="2"/>
  <c r="P569" i="2"/>
  <c r="J568" i="2"/>
  <c r="G568" i="2" s="1"/>
  <c r="T567" i="3" s="1"/>
  <c r="V567" i="3"/>
  <c r="I569" i="4"/>
  <c r="M569" i="4" s="1"/>
  <c r="D567" i="4"/>
  <c r="AA567" i="3"/>
  <c r="C569" i="4"/>
  <c r="AB568" i="3"/>
  <c r="B570" i="3"/>
  <c r="B572" i="2"/>
  <c r="C571" i="2"/>
  <c r="A570" i="4"/>
  <c r="E569" i="3"/>
  <c r="S569" i="3"/>
  <c r="Y569" i="3" s="1"/>
  <c r="Z569" i="3" s="1"/>
  <c r="G569" i="3"/>
  <c r="M569" i="3"/>
  <c r="C569" i="3"/>
  <c r="P569" i="3"/>
  <c r="M575" i="2"/>
  <c r="I565" i="3"/>
  <c r="U565" i="3"/>
  <c r="O565" i="3"/>
  <c r="F566" i="3"/>
  <c r="D567" i="3"/>
  <c r="T570" i="2"/>
  <c r="D571" i="2"/>
  <c r="K571" i="2"/>
  <c r="N569" i="2"/>
  <c r="H568" i="2"/>
  <c r="E568" i="2" s="1"/>
  <c r="H567" i="3" s="1"/>
  <c r="J567" i="3"/>
  <c r="J566" i="4" l="1"/>
  <c r="E569" i="4"/>
  <c r="K568" i="4"/>
  <c r="N568" i="4" s="1"/>
  <c r="F566" i="4"/>
  <c r="G568" i="4"/>
  <c r="L568" i="4" s="1"/>
  <c r="H566" i="4"/>
  <c r="O572" i="2"/>
  <c r="I571" i="2"/>
  <c r="F571" i="2" s="1"/>
  <c r="N570" i="3" s="1"/>
  <c r="M576" i="2"/>
  <c r="I570" i="4"/>
  <c r="M570" i="4" s="1"/>
  <c r="C572" i="2"/>
  <c r="K572" i="2"/>
  <c r="N570" i="2"/>
  <c r="H569" i="2"/>
  <c r="E569" i="2" s="1"/>
  <c r="H568" i="3" s="1"/>
  <c r="J568" i="3"/>
  <c r="T571" i="2"/>
  <c r="D572" i="2"/>
  <c r="A571" i="4"/>
  <c r="E570" i="3"/>
  <c r="S570" i="3"/>
  <c r="Y570" i="3" s="1"/>
  <c r="Z570" i="3" s="1"/>
  <c r="G570" i="3"/>
  <c r="M570" i="3"/>
  <c r="P570" i="3"/>
  <c r="C570" i="3"/>
  <c r="C570" i="4"/>
  <c r="AB569" i="3"/>
  <c r="D568" i="3"/>
  <c r="F567" i="3"/>
  <c r="P570" i="2"/>
  <c r="J569" i="2"/>
  <c r="G569" i="2" s="1"/>
  <c r="T568" i="3" s="1"/>
  <c r="V568" i="3"/>
  <c r="B571" i="3"/>
  <c r="B573" i="2"/>
  <c r="U566" i="3"/>
  <c r="I566" i="3"/>
  <c r="O566" i="3"/>
  <c r="D568" i="4"/>
  <c r="AA568" i="3"/>
  <c r="L575" i="2"/>
  <c r="G569" i="4" l="1"/>
  <c r="L569" i="4" s="1"/>
  <c r="H567" i="4"/>
  <c r="F567" i="4"/>
  <c r="J567" i="4"/>
  <c r="E570" i="4"/>
  <c r="K569" i="4"/>
  <c r="N569" i="4" s="1"/>
  <c r="O573" i="2"/>
  <c r="I572" i="2"/>
  <c r="F572" i="2" s="1"/>
  <c r="N571" i="3" s="1"/>
  <c r="L576" i="2"/>
  <c r="F568" i="3"/>
  <c r="D569" i="3"/>
  <c r="O567" i="3"/>
  <c r="U567" i="3"/>
  <c r="I567" i="3"/>
  <c r="C573" i="2"/>
  <c r="D569" i="4"/>
  <c r="AA569" i="3"/>
  <c r="I571" i="4"/>
  <c r="M571" i="4" s="1"/>
  <c r="P571" i="2"/>
  <c r="J570" i="2"/>
  <c r="G570" i="2" s="1"/>
  <c r="T569" i="3" s="1"/>
  <c r="V569" i="3"/>
  <c r="D573" i="2"/>
  <c r="T572" i="2"/>
  <c r="B572" i="3"/>
  <c r="B574" i="2"/>
  <c r="A572" i="4"/>
  <c r="C571" i="3"/>
  <c r="E571" i="3"/>
  <c r="S571" i="3"/>
  <c r="Y571" i="3" s="1"/>
  <c r="Z571" i="3" s="1"/>
  <c r="G571" i="3"/>
  <c r="M571" i="3"/>
  <c r="P571" i="3"/>
  <c r="K573" i="2"/>
  <c r="N571" i="2"/>
  <c r="J569" i="3"/>
  <c r="H570" i="2"/>
  <c r="E570" i="2" s="1"/>
  <c r="H569" i="3" s="1"/>
  <c r="C571" i="4"/>
  <c r="AB570" i="3"/>
  <c r="M577" i="2"/>
  <c r="E571" i="4" l="1"/>
  <c r="F568" i="4"/>
  <c r="J568" i="4"/>
  <c r="G570" i="4"/>
  <c r="L570" i="4" s="1"/>
  <c r="H568" i="4"/>
  <c r="K570" i="4"/>
  <c r="N570" i="4" s="1"/>
  <c r="O574" i="2"/>
  <c r="I573" i="2"/>
  <c r="F573" i="2" s="1"/>
  <c r="N572" i="3" s="1"/>
  <c r="C572" i="4"/>
  <c r="AB571" i="3"/>
  <c r="T573" i="2"/>
  <c r="D574" i="2"/>
  <c r="C574" i="2"/>
  <c r="P572" i="2"/>
  <c r="J571" i="2"/>
  <c r="G571" i="2" s="1"/>
  <c r="T570" i="3" s="1"/>
  <c r="V570" i="3"/>
  <c r="D570" i="4"/>
  <c r="AA570" i="3"/>
  <c r="M578" i="2"/>
  <c r="D570" i="3"/>
  <c r="F569" i="3"/>
  <c r="I572" i="4"/>
  <c r="M572" i="4" s="1"/>
  <c r="U568" i="3"/>
  <c r="I568" i="3"/>
  <c r="O568" i="3"/>
  <c r="K574" i="2"/>
  <c r="B573" i="3"/>
  <c r="B575" i="2"/>
  <c r="L577" i="2"/>
  <c r="N572" i="2"/>
  <c r="H571" i="2"/>
  <c r="E571" i="2" s="1"/>
  <c r="H570" i="3" s="1"/>
  <c r="J570" i="3"/>
  <c r="A573" i="4"/>
  <c r="C572" i="3"/>
  <c r="P572" i="3"/>
  <c r="E572" i="3"/>
  <c r="S572" i="3"/>
  <c r="Y572" i="3" s="1"/>
  <c r="Z572" i="3" s="1"/>
  <c r="G572" i="3"/>
  <c r="M572" i="3"/>
  <c r="K571" i="4" l="1"/>
  <c r="N571" i="4" s="1"/>
  <c r="H569" i="4"/>
  <c r="E572" i="4"/>
  <c r="J569" i="4"/>
  <c r="G571" i="4"/>
  <c r="L571" i="4" s="1"/>
  <c r="F569" i="4"/>
  <c r="O575" i="2"/>
  <c r="I574" i="2"/>
  <c r="F574" i="2" s="1"/>
  <c r="N573" i="3" s="1"/>
  <c r="N573" i="2"/>
  <c r="H572" i="2"/>
  <c r="E572" i="2" s="1"/>
  <c r="H571" i="3" s="1"/>
  <c r="J571" i="3"/>
  <c r="P573" i="2"/>
  <c r="J572" i="2"/>
  <c r="G572" i="2" s="1"/>
  <c r="T571" i="3" s="1"/>
  <c r="V571" i="3"/>
  <c r="C575" i="2"/>
  <c r="I573" i="4"/>
  <c r="M573" i="4" s="1"/>
  <c r="B574" i="3"/>
  <c r="B576" i="2"/>
  <c r="A574" i="4"/>
  <c r="C573" i="3"/>
  <c r="P573" i="3"/>
  <c r="E573" i="3"/>
  <c r="S573" i="3"/>
  <c r="Y573" i="3" s="1"/>
  <c r="Z573" i="3" s="1"/>
  <c r="G573" i="3"/>
  <c r="M573" i="3"/>
  <c r="I569" i="3"/>
  <c r="U569" i="3"/>
  <c r="O569" i="3"/>
  <c r="T574" i="2"/>
  <c r="D575" i="2"/>
  <c r="F570" i="3"/>
  <c r="D571" i="3"/>
  <c r="K575" i="2"/>
  <c r="M579" i="2"/>
  <c r="C573" i="4"/>
  <c r="AB572" i="3"/>
  <c r="L578" i="2"/>
  <c r="D571" i="4"/>
  <c r="AA571" i="3"/>
  <c r="H570" i="4" l="1"/>
  <c r="F570" i="4"/>
  <c r="J570" i="4"/>
  <c r="K572" i="4"/>
  <c r="N572" i="4" s="1"/>
  <c r="E573" i="4"/>
  <c r="G572" i="4"/>
  <c r="L572" i="4" s="1"/>
  <c r="O576" i="2"/>
  <c r="I575" i="2"/>
  <c r="F575" i="2" s="1"/>
  <c r="N574" i="3" s="1"/>
  <c r="C576" i="2"/>
  <c r="U570" i="3"/>
  <c r="I570" i="3"/>
  <c r="O570" i="3"/>
  <c r="I574" i="4"/>
  <c r="M574" i="4" s="1"/>
  <c r="D572" i="4"/>
  <c r="AA572" i="3"/>
  <c r="B575" i="3"/>
  <c r="B577" i="2"/>
  <c r="C574" i="4"/>
  <c r="AB573" i="3"/>
  <c r="M580" i="2"/>
  <c r="A575" i="4"/>
  <c r="C574" i="3"/>
  <c r="P574" i="3"/>
  <c r="E574" i="3"/>
  <c r="S574" i="3"/>
  <c r="Y574" i="3" s="1"/>
  <c r="Z574" i="3" s="1"/>
  <c r="G574" i="3"/>
  <c r="M574" i="3"/>
  <c r="P574" i="2"/>
  <c r="J573" i="2"/>
  <c r="G573" i="2" s="1"/>
  <c r="T572" i="3" s="1"/>
  <c r="V572" i="3"/>
  <c r="D576" i="2"/>
  <c r="T575" i="2"/>
  <c r="L579" i="2"/>
  <c r="K576" i="2"/>
  <c r="D572" i="3"/>
  <c r="F571" i="3"/>
  <c r="N574" i="2"/>
  <c r="H573" i="2"/>
  <c r="E573" i="2" s="1"/>
  <c r="H572" i="3" s="1"/>
  <c r="J572" i="3"/>
  <c r="G573" i="4" l="1"/>
  <c r="L573" i="4" s="1"/>
  <c r="F571" i="4"/>
  <c r="H571" i="4"/>
  <c r="J571" i="4"/>
  <c r="K573" i="4"/>
  <c r="N573" i="4" s="1"/>
  <c r="E574" i="4"/>
  <c r="O577" i="2"/>
  <c r="I576" i="2"/>
  <c r="F576" i="2" s="1"/>
  <c r="N575" i="3" s="1"/>
  <c r="N575" i="2"/>
  <c r="J573" i="3"/>
  <c r="H574" i="2"/>
  <c r="E574" i="2" s="1"/>
  <c r="H573" i="3" s="1"/>
  <c r="P575" i="2"/>
  <c r="J574" i="2"/>
  <c r="G574" i="2" s="1"/>
  <c r="T573" i="3" s="1"/>
  <c r="V573" i="3"/>
  <c r="I575" i="4"/>
  <c r="M575" i="4" s="1"/>
  <c r="T576" i="2"/>
  <c r="D577" i="2"/>
  <c r="O571" i="3"/>
  <c r="U571" i="3"/>
  <c r="I571" i="3"/>
  <c r="M581" i="2"/>
  <c r="B576" i="3"/>
  <c r="B578" i="2"/>
  <c r="A576" i="4"/>
  <c r="C575" i="3"/>
  <c r="M575" i="3"/>
  <c r="P575" i="3"/>
  <c r="E575" i="3"/>
  <c r="S575" i="3"/>
  <c r="Y575" i="3" s="1"/>
  <c r="Z575" i="3" s="1"/>
  <c r="G575" i="3"/>
  <c r="D573" i="3"/>
  <c r="F572" i="3"/>
  <c r="K577" i="2"/>
  <c r="L580" i="2"/>
  <c r="D573" i="4"/>
  <c r="AA573" i="3"/>
  <c r="C575" i="4"/>
  <c r="AB574" i="3"/>
  <c r="C577" i="2"/>
  <c r="H572" i="4" l="1"/>
  <c r="K574" i="4"/>
  <c r="N574" i="4" s="1"/>
  <c r="G574" i="4"/>
  <c r="L574" i="4" s="1"/>
  <c r="E575" i="4"/>
  <c r="F572" i="4"/>
  <c r="J572" i="4"/>
  <c r="O578" i="2"/>
  <c r="I577" i="2"/>
  <c r="F577" i="2" s="1"/>
  <c r="N576" i="3" s="1"/>
  <c r="B577" i="3"/>
  <c r="B579" i="2"/>
  <c r="M582" i="2"/>
  <c r="C578" i="2"/>
  <c r="P576" i="2"/>
  <c r="J575" i="2"/>
  <c r="G575" i="2" s="1"/>
  <c r="T574" i="3" s="1"/>
  <c r="V574" i="3"/>
  <c r="L581" i="2"/>
  <c r="T577" i="2"/>
  <c r="D578" i="2"/>
  <c r="I576" i="4"/>
  <c r="M576" i="4" s="1"/>
  <c r="U572" i="3"/>
  <c r="I572" i="3"/>
  <c r="O572" i="3"/>
  <c r="D574" i="3"/>
  <c r="F573" i="3"/>
  <c r="A577" i="4"/>
  <c r="M576" i="3"/>
  <c r="C576" i="3"/>
  <c r="P576" i="3"/>
  <c r="E576" i="3"/>
  <c r="S576" i="3"/>
  <c r="Y576" i="3" s="1"/>
  <c r="Z576" i="3" s="1"/>
  <c r="G576" i="3"/>
  <c r="D574" i="4"/>
  <c r="AA574" i="3"/>
  <c r="K578" i="2"/>
  <c r="C576" i="4"/>
  <c r="AB575" i="3"/>
  <c r="N576" i="2"/>
  <c r="H575" i="2"/>
  <c r="E575" i="2" s="1"/>
  <c r="H574" i="3" s="1"/>
  <c r="J574" i="3"/>
  <c r="K575" i="4" l="1"/>
  <c r="N575" i="4" s="1"/>
  <c r="E576" i="4"/>
  <c r="H573" i="4"/>
  <c r="F573" i="4"/>
  <c r="J573" i="4"/>
  <c r="G575" i="4"/>
  <c r="L575" i="4" s="1"/>
  <c r="O579" i="2"/>
  <c r="I578" i="2"/>
  <c r="F578" i="2" s="1"/>
  <c r="N577" i="3" s="1"/>
  <c r="L582" i="2"/>
  <c r="P577" i="2"/>
  <c r="J576" i="2"/>
  <c r="G576" i="2" s="1"/>
  <c r="T575" i="3" s="1"/>
  <c r="V575" i="3"/>
  <c r="C579" i="2"/>
  <c r="N577" i="2"/>
  <c r="H576" i="2"/>
  <c r="E576" i="2" s="1"/>
  <c r="H575" i="3" s="1"/>
  <c r="J575" i="3"/>
  <c r="C577" i="4"/>
  <c r="AB576" i="3"/>
  <c r="I577" i="4"/>
  <c r="M577" i="4" s="1"/>
  <c r="D579" i="2"/>
  <c r="T578" i="2"/>
  <c r="M583" i="2"/>
  <c r="I573" i="3"/>
  <c r="U573" i="3"/>
  <c r="O573" i="3"/>
  <c r="B578" i="3"/>
  <c r="B580" i="2"/>
  <c r="K579" i="2"/>
  <c r="D575" i="4"/>
  <c r="AA575" i="3"/>
  <c r="F574" i="3"/>
  <c r="D575" i="3"/>
  <c r="A578" i="4"/>
  <c r="M577" i="3"/>
  <c r="C577" i="3"/>
  <c r="P577" i="3"/>
  <c r="E577" i="3"/>
  <c r="S577" i="3"/>
  <c r="Y577" i="3" s="1"/>
  <c r="Z577" i="3" s="1"/>
  <c r="G577" i="3"/>
  <c r="E577" i="4" l="1"/>
  <c r="G576" i="4"/>
  <c r="L576" i="4" s="1"/>
  <c r="H574" i="4"/>
  <c r="K576" i="4"/>
  <c r="N576" i="4" s="1"/>
  <c r="F574" i="4"/>
  <c r="J574" i="4"/>
  <c r="O580" i="2"/>
  <c r="I579" i="2"/>
  <c r="F579" i="2" s="1"/>
  <c r="N578" i="3" s="1"/>
  <c r="O574" i="3"/>
  <c r="U574" i="3"/>
  <c r="I574" i="3"/>
  <c r="D576" i="4"/>
  <c r="AA576" i="3"/>
  <c r="N578" i="2"/>
  <c r="J576" i="3"/>
  <c r="H577" i="2"/>
  <c r="E577" i="2" s="1"/>
  <c r="H576" i="3" s="1"/>
  <c r="T579" i="2"/>
  <c r="D580" i="2"/>
  <c r="D576" i="3"/>
  <c r="F575" i="3"/>
  <c r="K580" i="2"/>
  <c r="I578" i="4"/>
  <c r="M578" i="4" s="1"/>
  <c r="M584" i="2"/>
  <c r="C580" i="2"/>
  <c r="B579" i="3"/>
  <c r="B581" i="2"/>
  <c r="A579" i="4"/>
  <c r="M578" i="3"/>
  <c r="C578" i="3"/>
  <c r="P578" i="3"/>
  <c r="E578" i="3"/>
  <c r="G578" i="3"/>
  <c r="S578" i="3"/>
  <c r="Y578" i="3" s="1"/>
  <c r="Z578" i="3" s="1"/>
  <c r="P578" i="2"/>
  <c r="J577" i="2"/>
  <c r="G577" i="2" s="1"/>
  <c r="T576" i="3" s="1"/>
  <c r="V576" i="3"/>
  <c r="L583" i="2"/>
  <c r="C578" i="4"/>
  <c r="AB577" i="3"/>
  <c r="G577" i="4" l="1"/>
  <c r="L577" i="4" s="1"/>
  <c r="F575" i="4"/>
  <c r="E578" i="4"/>
  <c r="K577" i="4"/>
  <c r="N577" i="4" s="1"/>
  <c r="H575" i="4"/>
  <c r="J575" i="4"/>
  <c r="O581" i="2"/>
  <c r="I580" i="2"/>
  <c r="F580" i="2" s="1"/>
  <c r="N579" i="3" s="1"/>
  <c r="D577" i="3"/>
  <c r="F576" i="3"/>
  <c r="T580" i="2"/>
  <c r="D581" i="2"/>
  <c r="M585" i="2"/>
  <c r="N579" i="2"/>
  <c r="H578" i="2"/>
  <c r="E578" i="2" s="1"/>
  <c r="H577" i="3" s="1"/>
  <c r="J577" i="3"/>
  <c r="P579" i="2"/>
  <c r="J578" i="2"/>
  <c r="G578" i="2" s="1"/>
  <c r="T577" i="3" s="1"/>
  <c r="V577" i="3"/>
  <c r="I579" i="4"/>
  <c r="M579" i="4" s="1"/>
  <c r="D577" i="4"/>
  <c r="AA577" i="3"/>
  <c r="B580" i="3"/>
  <c r="B582" i="2"/>
  <c r="C579" i="4"/>
  <c r="AB578" i="3"/>
  <c r="A580" i="4"/>
  <c r="G579" i="3"/>
  <c r="S579" i="3"/>
  <c r="Y579" i="3" s="1"/>
  <c r="Z579" i="3" s="1"/>
  <c r="M579" i="3"/>
  <c r="C579" i="3"/>
  <c r="P579" i="3"/>
  <c r="E579" i="3"/>
  <c r="L584" i="2"/>
  <c r="C581" i="2"/>
  <c r="K581" i="2"/>
  <c r="O575" i="3"/>
  <c r="U575" i="3"/>
  <c r="I575" i="3"/>
  <c r="G578" i="4" l="1"/>
  <c r="L578" i="4" s="1"/>
  <c r="H576" i="4"/>
  <c r="F576" i="4"/>
  <c r="J576" i="4"/>
  <c r="E579" i="4"/>
  <c r="K578" i="4"/>
  <c r="N578" i="4" s="1"/>
  <c r="O582" i="2"/>
  <c r="I581" i="2"/>
  <c r="F581" i="2" s="1"/>
  <c r="N580" i="3" s="1"/>
  <c r="B581" i="3"/>
  <c r="B583" i="2"/>
  <c r="P580" i="2"/>
  <c r="J579" i="2"/>
  <c r="G579" i="2" s="1"/>
  <c r="T578" i="3" s="1"/>
  <c r="V578" i="3"/>
  <c r="C580" i="4"/>
  <c r="AB579" i="3"/>
  <c r="D578" i="4"/>
  <c r="AA578" i="3"/>
  <c r="N580" i="2"/>
  <c r="H579" i="2"/>
  <c r="E579" i="2" s="1"/>
  <c r="H578" i="3" s="1"/>
  <c r="J578" i="3"/>
  <c r="A581" i="4"/>
  <c r="P580" i="3"/>
  <c r="E580" i="3"/>
  <c r="G580" i="3"/>
  <c r="S580" i="3"/>
  <c r="Y580" i="3" s="1"/>
  <c r="Z580" i="3" s="1"/>
  <c r="M580" i="3"/>
  <c r="C580" i="3"/>
  <c r="K582" i="2"/>
  <c r="C582" i="2"/>
  <c r="M586" i="2"/>
  <c r="D582" i="2"/>
  <c r="T581" i="2"/>
  <c r="L585" i="2"/>
  <c r="I580" i="4"/>
  <c r="M580" i="4" s="1"/>
  <c r="O576" i="3"/>
  <c r="U576" i="3"/>
  <c r="I576" i="3"/>
  <c r="D578" i="3"/>
  <c r="F577" i="3"/>
  <c r="E580" i="4" l="1"/>
  <c r="K579" i="4"/>
  <c r="N579" i="4" s="1"/>
  <c r="F577" i="4"/>
  <c r="H577" i="4"/>
  <c r="G579" i="4"/>
  <c r="L579" i="4" s="1"/>
  <c r="J577" i="4"/>
  <c r="O583" i="2"/>
  <c r="I582" i="2"/>
  <c r="F582" i="2" s="1"/>
  <c r="N581" i="3" s="1"/>
  <c r="C581" i="4"/>
  <c r="AB580" i="3"/>
  <c r="N581" i="2"/>
  <c r="J579" i="3"/>
  <c r="H580" i="2"/>
  <c r="E580" i="2" s="1"/>
  <c r="H579" i="3" s="1"/>
  <c r="F578" i="3"/>
  <c r="D579" i="3"/>
  <c r="D579" i="4"/>
  <c r="AA579" i="3"/>
  <c r="M587" i="2"/>
  <c r="I577" i="3"/>
  <c r="U577" i="3"/>
  <c r="O577" i="3"/>
  <c r="C583" i="2"/>
  <c r="P581" i="2"/>
  <c r="J580" i="2"/>
  <c r="G580" i="2" s="1"/>
  <c r="T579" i="3" s="1"/>
  <c r="V579" i="3"/>
  <c r="K583" i="2"/>
  <c r="B582" i="3"/>
  <c r="B584" i="2"/>
  <c r="L586" i="2"/>
  <c r="T582" i="2"/>
  <c r="D583" i="2"/>
  <c r="I581" i="4"/>
  <c r="M581" i="4" s="1"/>
  <c r="A582" i="4"/>
  <c r="M581" i="3"/>
  <c r="C581" i="3"/>
  <c r="P581" i="3"/>
  <c r="E581" i="3"/>
  <c r="G581" i="3"/>
  <c r="S581" i="3"/>
  <c r="Y581" i="3" s="1"/>
  <c r="Z581" i="3" s="1"/>
  <c r="K580" i="4" l="1"/>
  <c r="N580" i="4" s="1"/>
  <c r="G580" i="4"/>
  <c r="L580" i="4" s="1"/>
  <c r="E581" i="4"/>
  <c r="H578" i="4"/>
  <c r="J578" i="4"/>
  <c r="F578" i="4"/>
  <c r="O584" i="2"/>
  <c r="I583" i="2"/>
  <c r="F583" i="2" s="1"/>
  <c r="N582" i="3" s="1"/>
  <c r="A583" i="4"/>
  <c r="M582" i="3"/>
  <c r="C582" i="3"/>
  <c r="P582" i="3"/>
  <c r="E582" i="3"/>
  <c r="G582" i="3"/>
  <c r="S582" i="3"/>
  <c r="Y582" i="3" s="1"/>
  <c r="Z582" i="3" s="1"/>
  <c r="M588" i="2"/>
  <c r="K584" i="2"/>
  <c r="D580" i="4"/>
  <c r="AA580" i="3"/>
  <c r="B583" i="3"/>
  <c r="B585" i="2"/>
  <c r="D580" i="3"/>
  <c r="F579" i="3"/>
  <c r="P582" i="2"/>
  <c r="J581" i="2"/>
  <c r="G581" i="2" s="1"/>
  <c r="T580" i="3" s="1"/>
  <c r="V580" i="3"/>
  <c r="O578" i="3"/>
  <c r="I578" i="3"/>
  <c r="U578" i="3"/>
  <c r="C584" i="2"/>
  <c r="T583" i="2"/>
  <c r="D584" i="2"/>
  <c r="N582" i="2"/>
  <c r="H581" i="2"/>
  <c r="E581" i="2" s="1"/>
  <c r="H580" i="3" s="1"/>
  <c r="J580" i="3"/>
  <c r="I582" i="4"/>
  <c r="M582" i="4" s="1"/>
  <c r="C582" i="4"/>
  <c r="AB581" i="3"/>
  <c r="L587" i="2"/>
  <c r="F579" i="4" l="1"/>
  <c r="K581" i="4"/>
  <c r="N581" i="4" s="1"/>
  <c r="J579" i="4"/>
  <c r="E582" i="4"/>
  <c r="H579" i="4"/>
  <c r="G581" i="4"/>
  <c r="L581" i="4" s="1"/>
  <c r="O585" i="2"/>
  <c r="I584" i="2"/>
  <c r="F584" i="2" s="1"/>
  <c r="N583" i="3" s="1"/>
  <c r="F580" i="3"/>
  <c r="D581" i="3"/>
  <c r="B584" i="3"/>
  <c r="B586" i="2"/>
  <c r="P583" i="2"/>
  <c r="J582" i="2"/>
  <c r="G582" i="2" s="1"/>
  <c r="T581" i="3" s="1"/>
  <c r="V581" i="3"/>
  <c r="C585" i="2"/>
  <c r="A584" i="4"/>
  <c r="G583" i="3"/>
  <c r="S583" i="3"/>
  <c r="Y583" i="3" s="1"/>
  <c r="Z583" i="3" s="1"/>
  <c r="M583" i="3"/>
  <c r="C583" i="3"/>
  <c r="P583" i="3"/>
  <c r="E583" i="3"/>
  <c r="N583" i="2"/>
  <c r="H582" i="2"/>
  <c r="E582" i="2" s="1"/>
  <c r="H581" i="3" s="1"/>
  <c r="J581" i="3"/>
  <c r="D581" i="4"/>
  <c r="AA581" i="3"/>
  <c r="L588" i="2"/>
  <c r="C583" i="4"/>
  <c r="AB582" i="3"/>
  <c r="I579" i="3"/>
  <c r="U579" i="3"/>
  <c r="O579" i="3"/>
  <c r="K585" i="2"/>
  <c r="D585" i="2"/>
  <c r="T584" i="2"/>
  <c r="M589" i="2"/>
  <c r="I583" i="4"/>
  <c r="M583" i="4" s="1"/>
  <c r="G582" i="4" l="1"/>
  <c r="L582" i="4" s="1"/>
  <c r="K582" i="4"/>
  <c r="N582" i="4" s="1"/>
  <c r="H580" i="4"/>
  <c r="J580" i="4"/>
  <c r="F580" i="4"/>
  <c r="E583" i="4"/>
  <c r="O586" i="2"/>
  <c r="I585" i="2"/>
  <c r="F585" i="2" s="1"/>
  <c r="N584" i="3" s="1"/>
  <c r="N584" i="2"/>
  <c r="J582" i="3"/>
  <c r="H583" i="2"/>
  <c r="E583" i="2" s="1"/>
  <c r="H582" i="3" s="1"/>
  <c r="I584" i="4"/>
  <c r="M584" i="4" s="1"/>
  <c r="K586" i="2"/>
  <c r="C586" i="2"/>
  <c r="C584" i="4"/>
  <c r="AB583" i="3"/>
  <c r="L589" i="2"/>
  <c r="P584" i="2"/>
  <c r="J583" i="2"/>
  <c r="G583" i="2" s="1"/>
  <c r="T582" i="3" s="1"/>
  <c r="V582" i="3"/>
  <c r="M590" i="2"/>
  <c r="B585" i="3"/>
  <c r="B587" i="2"/>
  <c r="D582" i="4"/>
  <c r="AA582" i="3"/>
  <c r="A585" i="4"/>
  <c r="P584" i="3"/>
  <c r="E584" i="3"/>
  <c r="G584" i="3"/>
  <c r="S584" i="3"/>
  <c r="Y584" i="3" s="1"/>
  <c r="Z584" i="3" s="1"/>
  <c r="M584" i="3"/>
  <c r="C584" i="3"/>
  <c r="F581" i="3"/>
  <c r="D582" i="3"/>
  <c r="T585" i="2"/>
  <c r="D586" i="2"/>
  <c r="I580" i="3"/>
  <c r="U580" i="3"/>
  <c r="O580" i="3"/>
  <c r="E584" i="4" l="1"/>
  <c r="J581" i="4"/>
  <c r="H581" i="4"/>
  <c r="F581" i="4"/>
  <c r="G583" i="4"/>
  <c r="L583" i="4" s="1"/>
  <c r="K583" i="4"/>
  <c r="N583" i="4" s="1"/>
  <c r="O587" i="2"/>
  <c r="I586" i="2"/>
  <c r="F586" i="2" s="1"/>
  <c r="N585" i="3" s="1"/>
  <c r="M591" i="2"/>
  <c r="K587" i="2"/>
  <c r="T586" i="2"/>
  <c r="D587" i="2"/>
  <c r="P585" i="2"/>
  <c r="J584" i="2"/>
  <c r="G584" i="2" s="1"/>
  <c r="T583" i="3" s="1"/>
  <c r="V583" i="3"/>
  <c r="L590" i="2"/>
  <c r="A586" i="4"/>
  <c r="M585" i="3"/>
  <c r="C585" i="3"/>
  <c r="P585" i="3"/>
  <c r="E585" i="3"/>
  <c r="G585" i="3"/>
  <c r="S585" i="3"/>
  <c r="Y585" i="3" s="1"/>
  <c r="Z585" i="3" s="1"/>
  <c r="D583" i="4"/>
  <c r="AA583" i="3"/>
  <c r="O581" i="3"/>
  <c r="I581" i="3"/>
  <c r="U581" i="3"/>
  <c r="C587" i="2"/>
  <c r="F582" i="3"/>
  <c r="D583" i="3"/>
  <c r="I585" i="4"/>
  <c r="M585" i="4" s="1"/>
  <c r="C585" i="4"/>
  <c r="AB584" i="3"/>
  <c r="B586" i="3"/>
  <c r="B588" i="2"/>
  <c r="N585" i="2"/>
  <c r="J583" i="3"/>
  <c r="H584" i="2"/>
  <c r="E584" i="2" s="1"/>
  <c r="H583" i="3" s="1"/>
  <c r="G584" i="4" l="1"/>
  <c r="L584" i="4" s="1"/>
  <c r="F582" i="4"/>
  <c r="H582" i="4"/>
  <c r="J582" i="4"/>
  <c r="K584" i="4"/>
  <c r="N584" i="4" s="1"/>
  <c r="E585" i="4"/>
  <c r="O588" i="2"/>
  <c r="I587" i="2"/>
  <c r="F587" i="2" s="1"/>
  <c r="N586" i="3" s="1"/>
  <c r="L591" i="2"/>
  <c r="D584" i="3"/>
  <c r="F583" i="3"/>
  <c r="O582" i="3"/>
  <c r="I582" i="3"/>
  <c r="U582" i="3"/>
  <c r="P586" i="2"/>
  <c r="J585" i="2"/>
  <c r="G585" i="2" s="1"/>
  <c r="T584" i="3" s="1"/>
  <c r="V584" i="3"/>
  <c r="A587" i="4"/>
  <c r="M586" i="3"/>
  <c r="C586" i="3"/>
  <c r="P586" i="3"/>
  <c r="E586" i="3"/>
  <c r="G586" i="3"/>
  <c r="S586" i="3"/>
  <c r="Y586" i="3" s="1"/>
  <c r="Z586" i="3" s="1"/>
  <c r="D588" i="2"/>
  <c r="T587" i="2"/>
  <c r="N586" i="2"/>
  <c r="H585" i="2"/>
  <c r="E585" i="2" s="1"/>
  <c r="H584" i="3" s="1"/>
  <c r="J584" i="3"/>
  <c r="C588" i="2"/>
  <c r="K588" i="2"/>
  <c r="B587" i="3"/>
  <c r="B589" i="2"/>
  <c r="D584" i="4"/>
  <c r="AA584" i="3"/>
  <c r="C586" i="4"/>
  <c r="AB585" i="3"/>
  <c r="I586" i="4"/>
  <c r="M586" i="4" s="1"/>
  <c r="M592" i="2"/>
  <c r="K585" i="4" l="1"/>
  <c r="N585" i="4" s="1"/>
  <c r="F583" i="4"/>
  <c r="E586" i="4"/>
  <c r="G585" i="4"/>
  <c r="L585" i="4" s="1"/>
  <c r="J583" i="4"/>
  <c r="H583" i="4"/>
  <c r="O589" i="2"/>
  <c r="I588" i="2"/>
  <c r="F588" i="2" s="1"/>
  <c r="N587" i="3" s="1"/>
  <c r="B588" i="3"/>
  <c r="B590" i="2"/>
  <c r="T588" i="2"/>
  <c r="D589" i="2"/>
  <c r="I587" i="4"/>
  <c r="M587" i="4" s="1"/>
  <c r="M593" i="2"/>
  <c r="A588" i="4"/>
  <c r="G587" i="3"/>
  <c r="S587" i="3"/>
  <c r="Y587" i="3" s="1"/>
  <c r="Z587" i="3" s="1"/>
  <c r="M587" i="3"/>
  <c r="C587" i="3"/>
  <c r="P587" i="3"/>
  <c r="E587" i="3"/>
  <c r="P587" i="2"/>
  <c r="J586" i="2"/>
  <c r="G586" i="2" s="1"/>
  <c r="T585" i="3" s="1"/>
  <c r="V585" i="3"/>
  <c r="K589" i="2"/>
  <c r="I583" i="3"/>
  <c r="U583" i="3"/>
  <c r="O583" i="3"/>
  <c r="F584" i="3"/>
  <c r="D585" i="3"/>
  <c r="N587" i="2"/>
  <c r="H586" i="2"/>
  <c r="E586" i="2" s="1"/>
  <c r="H585" i="3" s="1"/>
  <c r="J585" i="3"/>
  <c r="C587" i="4"/>
  <c r="AB586" i="3"/>
  <c r="L592" i="2"/>
  <c r="C589" i="2"/>
  <c r="D585" i="4"/>
  <c r="AA585" i="3"/>
  <c r="J584" i="4" l="1"/>
  <c r="F584" i="4"/>
  <c r="K586" i="4"/>
  <c r="N586" i="4" s="1"/>
  <c r="G586" i="4"/>
  <c r="L586" i="4" s="1"/>
  <c r="E587" i="4"/>
  <c r="H584" i="4"/>
  <c r="O590" i="2"/>
  <c r="I589" i="2"/>
  <c r="F589" i="2" s="1"/>
  <c r="N588" i="3" s="1"/>
  <c r="F585" i="3"/>
  <c r="D586" i="3"/>
  <c r="C588" i="4"/>
  <c r="AB587" i="3"/>
  <c r="I584" i="3"/>
  <c r="U584" i="3"/>
  <c r="O584" i="3"/>
  <c r="M594" i="2"/>
  <c r="D586" i="4"/>
  <c r="AA586" i="3"/>
  <c r="C590" i="2"/>
  <c r="L593" i="2"/>
  <c r="K590" i="2"/>
  <c r="T589" i="2"/>
  <c r="D590" i="2"/>
  <c r="N588" i="2"/>
  <c r="H587" i="2"/>
  <c r="E587" i="2" s="1"/>
  <c r="H586" i="3" s="1"/>
  <c r="J586" i="3"/>
  <c r="P588" i="2"/>
  <c r="J587" i="2"/>
  <c r="G587" i="2" s="1"/>
  <c r="T586" i="3" s="1"/>
  <c r="V586" i="3"/>
  <c r="I588" i="4"/>
  <c r="M588" i="4" s="1"/>
  <c r="B589" i="3"/>
  <c r="B591" i="2"/>
  <c r="A589" i="4"/>
  <c r="P588" i="3"/>
  <c r="E588" i="3"/>
  <c r="G588" i="3"/>
  <c r="S588" i="3"/>
  <c r="Y588" i="3" s="1"/>
  <c r="Z588" i="3" s="1"/>
  <c r="M588" i="3"/>
  <c r="C588" i="3"/>
  <c r="K587" i="4" l="1"/>
  <c r="N587" i="4" s="1"/>
  <c r="H585" i="4"/>
  <c r="J585" i="4"/>
  <c r="F585" i="4"/>
  <c r="E588" i="4"/>
  <c r="G587" i="4"/>
  <c r="L587" i="4" s="1"/>
  <c r="O591" i="2"/>
  <c r="I590" i="2"/>
  <c r="F590" i="2" s="1"/>
  <c r="N589" i="3" s="1"/>
  <c r="B590" i="3"/>
  <c r="B592" i="2"/>
  <c r="D587" i="4"/>
  <c r="AA587" i="3"/>
  <c r="A590" i="4"/>
  <c r="M589" i="3"/>
  <c r="C589" i="3"/>
  <c r="P589" i="3"/>
  <c r="E589" i="3"/>
  <c r="G589" i="3"/>
  <c r="S589" i="3"/>
  <c r="Y589" i="3" s="1"/>
  <c r="Z589" i="3" s="1"/>
  <c r="N589" i="2"/>
  <c r="H588" i="2"/>
  <c r="E588" i="2" s="1"/>
  <c r="H587" i="3" s="1"/>
  <c r="J587" i="3"/>
  <c r="C589" i="4"/>
  <c r="AB588" i="3"/>
  <c r="D591" i="2"/>
  <c r="T590" i="2"/>
  <c r="M595" i="2"/>
  <c r="I589" i="4"/>
  <c r="M589" i="4" s="1"/>
  <c r="K591" i="2"/>
  <c r="L594" i="2"/>
  <c r="C591" i="2"/>
  <c r="F586" i="3"/>
  <c r="D587" i="3"/>
  <c r="P589" i="2"/>
  <c r="J588" i="2"/>
  <c r="G588" i="2" s="1"/>
  <c r="T587" i="3" s="1"/>
  <c r="V587" i="3"/>
  <c r="O585" i="3"/>
  <c r="I585" i="3"/>
  <c r="U585" i="3"/>
  <c r="H586" i="4" l="1"/>
  <c r="K588" i="4"/>
  <c r="N588" i="4" s="1"/>
  <c r="J586" i="4"/>
  <c r="G588" i="4"/>
  <c r="L588" i="4" s="1"/>
  <c r="F586" i="4"/>
  <c r="E589" i="4"/>
  <c r="O592" i="2"/>
  <c r="I591" i="2"/>
  <c r="F591" i="2" s="1"/>
  <c r="N590" i="3" s="1"/>
  <c r="K592" i="2"/>
  <c r="T591" i="2"/>
  <c r="D592" i="2"/>
  <c r="L595" i="2"/>
  <c r="P590" i="2"/>
  <c r="J589" i="2"/>
  <c r="G589" i="2" s="1"/>
  <c r="T588" i="3" s="1"/>
  <c r="V588" i="3"/>
  <c r="C590" i="4"/>
  <c r="AB589" i="3"/>
  <c r="D588" i="3"/>
  <c r="F587" i="3"/>
  <c r="N590" i="2"/>
  <c r="J588" i="3"/>
  <c r="H589" i="2"/>
  <c r="E589" i="2" s="1"/>
  <c r="H588" i="3" s="1"/>
  <c r="I590" i="4"/>
  <c r="M590" i="4" s="1"/>
  <c r="O586" i="3"/>
  <c r="U586" i="3"/>
  <c r="I586" i="3"/>
  <c r="D588" i="4"/>
  <c r="AA588" i="3"/>
  <c r="B591" i="3"/>
  <c r="B593" i="2"/>
  <c r="C592" i="2"/>
  <c r="M596" i="2"/>
  <c r="A591" i="4"/>
  <c r="M590" i="3"/>
  <c r="C590" i="3"/>
  <c r="P590" i="3"/>
  <c r="E590" i="3"/>
  <c r="G590" i="3"/>
  <c r="S590" i="3"/>
  <c r="Y590" i="3" s="1"/>
  <c r="Z590" i="3" s="1"/>
  <c r="E590" i="4" l="1"/>
  <c r="K589" i="4"/>
  <c r="N589" i="4" s="1"/>
  <c r="F587" i="4"/>
  <c r="J587" i="4"/>
  <c r="G589" i="4"/>
  <c r="L589" i="4" s="1"/>
  <c r="H587" i="4"/>
  <c r="O593" i="2"/>
  <c r="I592" i="2"/>
  <c r="F592" i="2" s="1"/>
  <c r="N591" i="3" s="1"/>
  <c r="I591" i="4"/>
  <c r="M591" i="4" s="1"/>
  <c r="P591" i="2"/>
  <c r="J590" i="2"/>
  <c r="G590" i="2" s="1"/>
  <c r="T589" i="3" s="1"/>
  <c r="V589" i="3"/>
  <c r="C593" i="2"/>
  <c r="B592" i="3"/>
  <c r="B594" i="2"/>
  <c r="L596" i="2"/>
  <c r="A592" i="4"/>
  <c r="G591" i="3"/>
  <c r="S591" i="3"/>
  <c r="Y591" i="3" s="1"/>
  <c r="Z591" i="3" s="1"/>
  <c r="M591" i="3"/>
  <c r="C591" i="3"/>
  <c r="P591" i="3"/>
  <c r="E591" i="3"/>
  <c r="T592" i="2"/>
  <c r="D593" i="2"/>
  <c r="C591" i="4"/>
  <c r="AB590" i="3"/>
  <c r="N591" i="2"/>
  <c r="J589" i="3"/>
  <c r="H590" i="2"/>
  <c r="E590" i="2" s="1"/>
  <c r="H589" i="3" s="1"/>
  <c r="I587" i="3"/>
  <c r="U587" i="3"/>
  <c r="O587" i="3"/>
  <c r="M597" i="2"/>
  <c r="D589" i="4"/>
  <c r="AA589" i="3"/>
  <c r="F588" i="3"/>
  <c r="D589" i="3"/>
  <c r="K593" i="2"/>
  <c r="E591" i="4" l="1"/>
  <c r="K590" i="4"/>
  <c r="N590" i="4" s="1"/>
  <c r="J588" i="4"/>
  <c r="G590" i="4"/>
  <c r="L590" i="4" s="1"/>
  <c r="H588" i="4"/>
  <c r="F588" i="4"/>
  <c r="O594" i="2"/>
  <c r="I593" i="2"/>
  <c r="F593" i="2" s="1"/>
  <c r="N592" i="3" s="1"/>
  <c r="K594" i="2"/>
  <c r="N592" i="2"/>
  <c r="J590" i="3"/>
  <c r="H591" i="2"/>
  <c r="E591" i="2" s="1"/>
  <c r="H590" i="3" s="1"/>
  <c r="D594" i="2"/>
  <c r="T593" i="2"/>
  <c r="P592" i="2"/>
  <c r="J591" i="2"/>
  <c r="G591" i="2" s="1"/>
  <c r="T590" i="3" s="1"/>
  <c r="V590" i="3"/>
  <c r="C594" i="2"/>
  <c r="F589" i="3"/>
  <c r="D590" i="3"/>
  <c r="I588" i="3"/>
  <c r="U588" i="3"/>
  <c r="O588" i="3"/>
  <c r="I592" i="4"/>
  <c r="M592" i="4" s="1"/>
  <c r="M598" i="2"/>
  <c r="D590" i="4"/>
  <c r="AA590" i="3"/>
  <c r="L597" i="2"/>
  <c r="B593" i="3"/>
  <c r="B595" i="2"/>
  <c r="C592" i="4"/>
  <c r="AB591" i="3"/>
  <c r="A593" i="4"/>
  <c r="P592" i="3"/>
  <c r="E592" i="3"/>
  <c r="G592" i="3"/>
  <c r="S592" i="3"/>
  <c r="Y592" i="3" s="1"/>
  <c r="Z592" i="3" s="1"/>
  <c r="M592" i="3"/>
  <c r="C592" i="3"/>
  <c r="K591" i="4" l="1"/>
  <c r="N591" i="4" s="1"/>
  <c r="G591" i="4"/>
  <c r="L591" i="4" s="1"/>
  <c r="J589" i="4"/>
  <c r="F589" i="4"/>
  <c r="H589" i="4"/>
  <c r="E592" i="4"/>
  <c r="O595" i="2"/>
  <c r="I594" i="2"/>
  <c r="F594" i="2" s="1"/>
  <c r="N593" i="3" s="1"/>
  <c r="C595" i="2"/>
  <c r="A594" i="4"/>
  <c r="M593" i="3"/>
  <c r="C593" i="3"/>
  <c r="P593" i="3"/>
  <c r="E593" i="3"/>
  <c r="G593" i="3"/>
  <c r="S593" i="3"/>
  <c r="Y593" i="3" s="1"/>
  <c r="Z593" i="3" s="1"/>
  <c r="B594" i="3"/>
  <c r="B596" i="2"/>
  <c r="L598" i="2"/>
  <c r="T594" i="2"/>
  <c r="D595" i="2"/>
  <c r="I593" i="4"/>
  <c r="M593" i="4" s="1"/>
  <c r="D591" i="4"/>
  <c r="AA591" i="3"/>
  <c r="O589" i="3"/>
  <c r="I589" i="3"/>
  <c r="U589" i="3"/>
  <c r="N593" i="2"/>
  <c r="H592" i="2"/>
  <c r="E592" i="2" s="1"/>
  <c r="H591" i="3" s="1"/>
  <c r="J591" i="3"/>
  <c r="C593" i="4"/>
  <c r="AB592" i="3"/>
  <c r="F590" i="3"/>
  <c r="D591" i="3"/>
  <c r="M599" i="2"/>
  <c r="K595" i="2"/>
  <c r="P593" i="2"/>
  <c r="J592" i="2"/>
  <c r="G592" i="2" s="1"/>
  <c r="T591" i="3" s="1"/>
  <c r="V591" i="3"/>
  <c r="G592" i="4" l="1"/>
  <c r="L592" i="4" s="1"/>
  <c r="H590" i="4"/>
  <c r="F590" i="4"/>
  <c r="K592" i="4"/>
  <c r="N592" i="4" s="1"/>
  <c r="E593" i="4"/>
  <c r="J590" i="4"/>
  <c r="O596" i="2"/>
  <c r="I595" i="2"/>
  <c r="F595" i="2" s="1"/>
  <c r="N594" i="3" s="1"/>
  <c r="N594" i="2"/>
  <c r="H593" i="2"/>
  <c r="E593" i="2" s="1"/>
  <c r="H592" i="3" s="1"/>
  <c r="J592" i="3"/>
  <c r="T595" i="2"/>
  <c r="D596" i="2"/>
  <c r="D592" i="4"/>
  <c r="AA592" i="3"/>
  <c r="L599" i="2"/>
  <c r="B595" i="3"/>
  <c r="B597" i="2"/>
  <c r="C594" i="4"/>
  <c r="AB593" i="3"/>
  <c r="M600" i="2"/>
  <c r="D592" i="3"/>
  <c r="F591" i="3"/>
  <c r="A595" i="4"/>
  <c r="M594" i="3"/>
  <c r="C594" i="3"/>
  <c r="P594" i="3"/>
  <c r="E594" i="3"/>
  <c r="G594" i="3"/>
  <c r="S594" i="3"/>
  <c r="Y594" i="3" s="1"/>
  <c r="Z594" i="3" s="1"/>
  <c r="I594" i="4"/>
  <c r="M594" i="4" s="1"/>
  <c r="O590" i="3"/>
  <c r="I590" i="3"/>
  <c r="U590" i="3"/>
  <c r="C596" i="2"/>
  <c r="P594" i="2"/>
  <c r="J593" i="2"/>
  <c r="G593" i="2" s="1"/>
  <c r="T592" i="3" s="1"/>
  <c r="V592" i="3"/>
  <c r="K596" i="2"/>
  <c r="K593" i="4" l="1"/>
  <c r="N593" i="4" s="1"/>
  <c r="F591" i="4"/>
  <c r="G593" i="4"/>
  <c r="L593" i="4" s="1"/>
  <c r="H591" i="4"/>
  <c r="E594" i="4"/>
  <c r="J591" i="4"/>
  <c r="O597" i="2"/>
  <c r="I596" i="2"/>
  <c r="F596" i="2" s="1"/>
  <c r="N595" i="3" s="1"/>
  <c r="B596" i="3"/>
  <c r="B598" i="2"/>
  <c r="C595" i="4"/>
  <c r="AB594" i="3"/>
  <c r="L600" i="2"/>
  <c r="A596" i="4"/>
  <c r="G595" i="3"/>
  <c r="S595" i="3"/>
  <c r="Y595" i="3" s="1"/>
  <c r="Z595" i="3" s="1"/>
  <c r="M595" i="3"/>
  <c r="C595" i="3"/>
  <c r="P595" i="3"/>
  <c r="E595" i="3"/>
  <c r="D593" i="4"/>
  <c r="AA593" i="3"/>
  <c r="K597" i="2"/>
  <c r="P595" i="2"/>
  <c r="J594" i="2"/>
  <c r="G594" i="2" s="1"/>
  <c r="T593" i="3" s="1"/>
  <c r="V593" i="3"/>
  <c r="I595" i="4"/>
  <c r="M595" i="4" s="1"/>
  <c r="C597" i="2"/>
  <c r="I591" i="3"/>
  <c r="U591" i="3"/>
  <c r="O591" i="3"/>
  <c r="D597" i="2"/>
  <c r="T596" i="2"/>
  <c r="F592" i="3"/>
  <c r="D593" i="3"/>
  <c r="M601" i="2"/>
  <c r="N595" i="2"/>
  <c r="J593" i="3"/>
  <c r="H594" i="2"/>
  <c r="E594" i="2" s="1"/>
  <c r="H593" i="3" s="1"/>
  <c r="J592" i="4" l="1"/>
  <c r="H592" i="4"/>
  <c r="F592" i="4"/>
  <c r="G594" i="4"/>
  <c r="L594" i="4" s="1"/>
  <c r="K594" i="4"/>
  <c r="N594" i="4" s="1"/>
  <c r="E595" i="4"/>
  <c r="O598" i="2"/>
  <c r="I597" i="2"/>
  <c r="F597" i="2" s="1"/>
  <c r="N596" i="3" s="1"/>
  <c r="K598" i="2"/>
  <c r="D594" i="4"/>
  <c r="AA594" i="3"/>
  <c r="N596" i="2"/>
  <c r="H595" i="2"/>
  <c r="E595" i="2" s="1"/>
  <c r="H594" i="3" s="1"/>
  <c r="J594" i="3"/>
  <c r="C598" i="2"/>
  <c r="M602" i="2"/>
  <c r="I596" i="4"/>
  <c r="M596" i="4" s="1"/>
  <c r="F593" i="3"/>
  <c r="D594" i="3"/>
  <c r="L601" i="2"/>
  <c r="I592" i="3"/>
  <c r="U592" i="3"/>
  <c r="O592" i="3"/>
  <c r="P596" i="2"/>
  <c r="J595" i="2"/>
  <c r="G595" i="2" s="1"/>
  <c r="T594" i="3" s="1"/>
  <c r="V594" i="3"/>
  <c r="T597" i="2"/>
  <c r="D598" i="2"/>
  <c r="C596" i="4"/>
  <c r="AB595" i="3"/>
  <c r="B597" i="3"/>
  <c r="B599" i="2"/>
  <c r="A597" i="4"/>
  <c r="P596" i="3"/>
  <c r="E596" i="3"/>
  <c r="G596" i="3"/>
  <c r="S596" i="3"/>
  <c r="Y596" i="3" s="1"/>
  <c r="Z596" i="3" s="1"/>
  <c r="M596" i="3"/>
  <c r="C596" i="3"/>
  <c r="G595" i="4" l="1"/>
  <c r="L595" i="4" s="1"/>
  <c r="K595" i="4"/>
  <c r="N595" i="4" s="1"/>
  <c r="J593" i="4"/>
  <c r="H593" i="4"/>
  <c r="F593" i="4"/>
  <c r="E596" i="4"/>
  <c r="O599" i="2"/>
  <c r="I598" i="2"/>
  <c r="F598" i="2" s="1"/>
  <c r="N597" i="3" s="1"/>
  <c r="M603" i="2"/>
  <c r="B598" i="3"/>
  <c r="B600" i="2"/>
  <c r="A598" i="4"/>
  <c r="M597" i="3"/>
  <c r="C597" i="3"/>
  <c r="P597" i="3"/>
  <c r="E597" i="3"/>
  <c r="G597" i="3"/>
  <c r="S597" i="3"/>
  <c r="Y597" i="3" s="1"/>
  <c r="Z597" i="3" s="1"/>
  <c r="C599" i="2"/>
  <c r="F594" i="3"/>
  <c r="D595" i="3"/>
  <c r="O593" i="3"/>
  <c r="I593" i="3"/>
  <c r="U593" i="3"/>
  <c r="I597" i="4"/>
  <c r="M597" i="4" s="1"/>
  <c r="N597" i="2"/>
  <c r="J595" i="3"/>
  <c r="H596" i="2"/>
  <c r="E596" i="2" s="1"/>
  <c r="H595" i="3" s="1"/>
  <c r="L602" i="2"/>
  <c r="D595" i="4"/>
  <c r="AA595" i="3"/>
  <c r="C597" i="4"/>
  <c r="AB596" i="3"/>
  <c r="P597" i="2"/>
  <c r="J596" i="2"/>
  <c r="G596" i="2" s="1"/>
  <c r="T595" i="3" s="1"/>
  <c r="V595" i="3"/>
  <c r="T598" i="2"/>
  <c r="D599" i="2"/>
  <c r="K599" i="2"/>
  <c r="G596" i="4" l="1"/>
  <c r="L596" i="4" s="1"/>
  <c r="J594" i="4"/>
  <c r="F594" i="4"/>
  <c r="H594" i="4"/>
  <c r="E597" i="4"/>
  <c r="K596" i="4"/>
  <c r="N596" i="4" s="1"/>
  <c r="O600" i="2"/>
  <c r="I599" i="2"/>
  <c r="F599" i="2" s="1"/>
  <c r="N598" i="3" s="1"/>
  <c r="K600" i="2"/>
  <c r="L603" i="2"/>
  <c r="D596" i="3"/>
  <c r="F595" i="3"/>
  <c r="O594" i="3"/>
  <c r="I594" i="3"/>
  <c r="U594" i="3"/>
  <c r="D600" i="2"/>
  <c r="T599" i="2"/>
  <c r="N598" i="2"/>
  <c r="H597" i="2"/>
  <c r="E597" i="2" s="1"/>
  <c r="H596" i="3" s="1"/>
  <c r="J596" i="3"/>
  <c r="C600" i="2"/>
  <c r="C598" i="4"/>
  <c r="AB597" i="3"/>
  <c r="I598" i="4"/>
  <c r="M598" i="4" s="1"/>
  <c r="P598" i="2"/>
  <c r="J597" i="2"/>
  <c r="G597" i="2" s="1"/>
  <c r="T596" i="3" s="1"/>
  <c r="V596" i="3"/>
  <c r="B599" i="3"/>
  <c r="B601" i="2"/>
  <c r="A599" i="4"/>
  <c r="M598" i="3"/>
  <c r="C598" i="3"/>
  <c r="P598" i="3"/>
  <c r="E598" i="3"/>
  <c r="G598" i="3"/>
  <c r="S598" i="3"/>
  <c r="Y598" i="3" s="1"/>
  <c r="Z598" i="3" s="1"/>
  <c r="D596" i="4"/>
  <c r="AA596" i="3"/>
  <c r="M604" i="2"/>
  <c r="J595" i="4" l="1"/>
  <c r="H595" i="4"/>
  <c r="K597" i="4"/>
  <c r="N597" i="4" s="1"/>
  <c r="F595" i="4"/>
  <c r="E598" i="4"/>
  <c r="G597" i="4"/>
  <c r="L597" i="4" s="1"/>
  <c r="O601" i="2"/>
  <c r="I600" i="2"/>
  <c r="F600" i="2" s="1"/>
  <c r="N599" i="3" s="1"/>
  <c r="C599" i="4"/>
  <c r="AB598" i="3"/>
  <c r="T600" i="2"/>
  <c r="D601" i="2"/>
  <c r="I599" i="4"/>
  <c r="M599" i="4" s="1"/>
  <c r="B600" i="3"/>
  <c r="B602" i="2"/>
  <c r="D597" i="4"/>
  <c r="AA597" i="3"/>
  <c r="A600" i="4"/>
  <c r="G599" i="3"/>
  <c r="S599" i="3"/>
  <c r="Y599" i="3" s="1"/>
  <c r="Z599" i="3" s="1"/>
  <c r="M599" i="3"/>
  <c r="C599" i="3"/>
  <c r="P599" i="3"/>
  <c r="E599" i="3"/>
  <c r="I595" i="3"/>
  <c r="U595" i="3"/>
  <c r="O595" i="3"/>
  <c r="F596" i="3"/>
  <c r="D597" i="3"/>
  <c r="M605" i="2"/>
  <c r="C601" i="2"/>
  <c r="L604" i="2"/>
  <c r="P599" i="2"/>
  <c r="J598" i="2"/>
  <c r="G598" i="2" s="1"/>
  <c r="T597" i="3" s="1"/>
  <c r="V597" i="3"/>
  <c r="K601" i="2"/>
  <c r="N599" i="2"/>
  <c r="J597" i="3"/>
  <c r="H598" i="2"/>
  <c r="E598" i="2" s="1"/>
  <c r="H597" i="3" s="1"/>
  <c r="H596" i="4" l="1"/>
  <c r="G598" i="4"/>
  <c r="L598" i="4" s="1"/>
  <c r="J596" i="4"/>
  <c r="E599" i="4"/>
  <c r="K598" i="4"/>
  <c r="N598" i="4" s="1"/>
  <c r="F596" i="4"/>
  <c r="O602" i="2"/>
  <c r="I601" i="2"/>
  <c r="F601" i="2" s="1"/>
  <c r="N600" i="3" s="1"/>
  <c r="C600" i="4"/>
  <c r="AB599" i="3"/>
  <c r="M606" i="2"/>
  <c r="A601" i="4"/>
  <c r="P600" i="3"/>
  <c r="E600" i="3"/>
  <c r="G600" i="3"/>
  <c r="S600" i="3"/>
  <c r="Y600" i="3" s="1"/>
  <c r="Z600" i="3" s="1"/>
  <c r="M600" i="3"/>
  <c r="C600" i="3"/>
  <c r="N600" i="2"/>
  <c r="H599" i="2"/>
  <c r="E599" i="2" s="1"/>
  <c r="H598" i="3" s="1"/>
  <c r="J598" i="3"/>
  <c r="K602" i="2"/>
  <c r="I596" i="3"/>
  <c r="U596" i="3"/>
  <c r="O596" i="3"/>
  <c r="T601" i="2"/>
  <c r="D602" i="2"/>
  <c r="I600" i="4"/>
  <c r="M600" i="4" s="1"/>
  <c r="D598" i="4"/>
  <c r="AA598" i="3"/>
  <c r="F597" i="3"/>
  <c r="D598" i="3"/>
  <c r="P600" i="2"/>
  <c r="J599" i="2"/>
  <c r="G599" i="2" s="1"/>
  <c r="T598" i="3" s="1"/>
  <c r="V598" i="3"/>
  <c r="L605" i="2"/>
  <c r="C602" i="2"/>
  <c r="B601" i="3"/>
  <c r="B603" i="2"/>
  <c r="F597" i="4" l="1"/>
  <c r="G599" i="4"/>
  <c r="L599" i="4" s="1"/>
  <c r="H597" i="4"/>
  <c r="J597" i="4"/>
  <c r="K599" i="4"/>
  <c r="N599" i="4" s="1"/>
  <c r="E600" i="4"/>
  <c r="O603" i="2"/>
  <c r="I602" i="2"/>
  <c r="F602" i="2" s="1"/>
  <c r="N601" i="3" s="1"/>
  <c r="K603" i="2"/>
  <c r="B602" i="3"/>
  <c r="B604" i="2"/>
  <c r="A602" i="4"/>
  <c r="M601" i="3"/>
  <c r="C601" i="3"/>
  <c r="P601" i="3"/>
  <c r="E601" i="3"/>
  <c r="G601" i="3"/>
  <c r="S601" i="3"/>
  <c r="Y601" i="3" s="1"/>
  <c r="Z601" i="3" s="1"/>
  <c r="D599" i="4"/>
  <c r="AA599" i="3"/>
  <c r="N601" i="2"/>
  <c r="H600" i="2"/>
  <c r="E600" i="2" s="1"/>
  <c r="H599" i="3" s="1"/>
  <c r="J599" i="3"/>
  <c r="I601" i="4"/>
  <c r="M601" i="4" s="1"/>
  <c r="C603" i="2"/>
  <c r="D603" i="2"/>
  <c r="T602" i="2"/>
  <c r="M607" i="2"/>
  <c r="O597" i="3"/>
  <c r="I597" i="3"/>
  <c r="U597" i="3"/>
  <c r="P601" i="2"/>
  <c r="J600" i="2"/>
  <c r="G600" i="2" s="1"/>
  <c r="T599" i="3" s="1"/>
  <c r="V599" i="3"/>
  <c r="C601" i="4"/>
  <c r="AB600" i="3"/>
  <c r="L606" i="2"/>
  <c r="F598" i="3"/>
  <c r="D599" i="3"/>
  <c r="H598" i="4" l="1"/>
  <c r="E601" i="4"/>
  <c r="G600" i="4"/>
  <c r="L600" i="4" s="1"/>
  <c r="K600" i="4"/>
  <c r="N600" i="4" s="1"/>
  <c r="J598" i="4"/>
  <c r="F598" i="4"/>
  <c r="O604" i="2"/>
  <c r="I603" i="2"/>
  <c r="F603" i="2" s="1"/>
  <c r="N602" i="3" s="1"/>
  <c r="D600" i="3"/>
  <c r="F599" i="3"/>
  <c r="O598" i="3"/>
  <c r="I598" i="3"/>
  <c r="U598" i="3"/>
  <c r="M608" i="2"/>
  <c r="N602" i="2"/>
  <c r="J600" i="3"/>
  <c r="H601" i="2"/>
  <c r="E601" i="2" s="1"/>
  <c r="H600" i="3" s="1"/>
  <c r="D600" i="4"/>
  <c r="AA600" i="3"/>
  <c r="C602" i="4"/>
  <c r="AB601" i="3"/>
  <c r="I602" i="4"/>
  <c r="M602" i="4" s="1"/>
  <c r="C604" i="2"/>
  <c r="B603" i="3"/>
  <c r="B605" i="2"/>
  <c r="P602" i="2"/>
  <c r="J601" i="2"/>
  <c r="G601" i="2" s="1"/>
  <c r="T600" i="3" s="1"/>
  <c r="V600" i="3"/>
  <c r="A603" i="4"/>
  <c r="M602" i="3"/>
  <c r="C602" i="3"/>
  <c r="P602" i="3"/>
  <c r="E602" i="3"/>
  <c r="G602" i="3"/>
  <c r="S602" i="3"/>
  <c r="Y602" i="3" s="1"/>
  <c r="Z602" i="3" s="1"/>
  <c r="K604" i="2"/>
  <c r="L607" i="2"/>
  <c r="T603" i="2"/>
  <c r="D604" i="2"/>
  <c r="G601" i="4" l="1"/>
  <c r="L601" i="4" s="1"/>
  <c r="J599" i="4"/>
  <c r="K601" i="4"/>
  <c r="N601" i="4" s="1"/>
  <c r="F599" i="4"/>
  <c r="E602" i="4"/>
  <c r="H599" i="4"/>
  <c r="O605" i="2"/>
  <c r="I604" i="2"/>
  <c r="F604" i="2" s="1"/>
  <c r="N603" i="3" s="1"/>
  <c r="T604" i="2"/>
  <c r="D605" i="2"/>
  <c r="C605" i="2"/>
  <c r="A604" i="4"/>
  <c r="G603" i="3"/>
  <c r="S603" i="3"/>
  <c r="Y603" i="3" s="1"/>
  <c r="Z603" i="3" s="1"/>
  <c r="M603" i="3"/>
  <c r="C603" i="3"/>
  <c r="P603" i="3"/>
  <c r="E603" i="3"/>
  <c r="N603" i="2"/>
  <c r="H602" i="2"/>
  <c r="E602" i="2" s="1"/>
  <c r="H601" i="3" s="1"/>
  <c r="J601" i="3"/>
  <c r="D601" i="4"/>
  <c r="AA601" i="3"/>
  <c r="C603" i="4"/>
  <c r="AB602" i="3"/>
  <c r="L608" i="2"/>
  <c r="M609" i="2"/>
  <c r="K605" i="2"/>
  <c r="I603" i="4"/>
  <c r="M603" i="4" s="1"/>
  <c r="P603" i="2"/>
  <c r="J602" i="2"/>
  <c r="G602" i="2" s="1"/>
  <c r="T601" i="3" s="1"/>
  <c r="V601" i="3"/>
  <c r="I599" i="3"/>
  <c r="U599" i="3"/>
  <c r="O599" i="3"/>
  <c r="B604" i="3"/>
  <c r="B606" i="2"/>
  <c r="F600" i="3"/>
  <c r="D601" i="3"/>
  <c r="E603" i="4" l="1"/>
  <c r="H600" i="4"/>
  <c r="J600" i="4"/>
  <c r="F600" i="4"/>
  <c r="G602" i="4"/>
  <c r="L602" i="4" s="1"/>
  <c r="K602" i="4"/>
  <c r="N602" i="4" s="1"/>
  <c r="O606" i="2"/>
  <c r="I605" i="2"/>
  <c r="F605" i="2" s="1"/>
  <c r="N604" i="3" s="1"/>
  <c r="F601" i="3"/>
  <c r="D602" i="3"/>
  <c r="D602" i="4"/>
  <c r="AA602" i="3"/>
  <c r="N604" i="2"/>
  <c r="J602" i="3"/>
  <c r="H603" i="2"/>
  <c r="E603" i="2" s="1"/>
  <c r="H602" i="3" s="1"/>
  <c r="I604" i="4"/>
  <c r="M604" i="4" s="1"/>
  <c r="I600" i="3"/>
  <c r="U600" i="3"/>
  <c r="O600" i="3"/>
  <c r="K606" i="2"/>
  <c r="C606" i="2"/>
  <c r="M610" i="2"/>
  <c r="A605" i="4"/>
  <c r="P604" i="3"/>
  <c r="E604" i="3"/>
  <c r="G604" i="3"/>
  <c r="S604" i="3"/>
  <c r="Y604" i="3" s="1"/>
  <c r="Z604" i="3" s="1"/>
  <c r="M604" i="3"/>
  <c r="C604" i="3"/>
  <c r="D606" i="2"/>
  <c r="T605" i="2"/>
  <c r="B605" i="3"/>
  <c r="B607" i="2"/>
  <c r="P604" i="2"/>
  <c r="J603" i="2"/>
  <c r="G603" i="2" s="1"/>
  <c r="T602" i="3" s="1"/>
  <c r="V602" i="3"/>
  <c r="L609" i="2"/>
  <c r="C604" i="4"/>
  <c r="AB603" i="3"/>
  <c r="F601" i="4" l="1"/>
  <c r="J601" i="4"/>
  <c r="G603" i="4"/>
  <c r="L603" i="4" s="1"/>
  <c r="E604" i="4"/>
  <c r="K603" i="4"/>
  <c r="N603" i="4" s="1"/>
  <c r="H601" i="4"/>
  <c r="O607" i="2"/>
  <c r="I606" i="2"/>
  <c r="F606" i="2" s="1"/>
  <c r="N605" i="3" s="1"/>
  <c r="M611" i="2"/>
  <c r="L610" i="2"/>
  <c r="C605" i="4"/>
  <c r="AB604" i="3"/>
  <c r="T606" i="2"/>
  <c r="D607" i="2"/>
  <c r="C607" i="2"/>
  <c r="K607" i="2"/>
  <c r="N605" i="2"/>
  <c r="J603" i="3"/>
  <c r="H604" i="2"/>
  <c r="E604" i="2" s="1"/>
  <c r="H603" i="3" s="1"/>
  <c r="B606" i="3"/>
  <c r="B608" i="2"/>
  <c r="D603" i="4"/>
  <c r="AA603" i="3"/>
  <c r="A606" i="4"/>
  <c r="M605" i="3"/>
  <c r="C605" i="3"/>
  <c r="P605" i="3"/>
  <c r="E605" i="3"/>
  <c r="G605" i="3"/>
  <c r="S605" i="3"/>
  <c r="Y605" i="3" s="1"/>
  <c r="Z605" i="3" s="1"/>
  <c r="P605" i="2"/>
  <c r="J604" i="2"/>
  <c r="G604" i="2" s="1"/>
  <c r="T603" i="3" s="1"/>
  <c r="V603" i="3"/>
  <c r="F602" i="3"/>
  <c r="D603" i="3"/>
  <c r="I605" i="4"/>
  <c r="M605" i="4" s="1"/>
  <c r="O601" i="3"/>
  <c r="I601" i="3"/>
  <c r="U601" i="3"/>
  <c r="G604" i="4" l="1"/>
  <c r="L604" i="4" s="1"/>
  <c r="J602" i="4"/>
  <c r="F602" i="4"/>
  <c r="H602" i="4"/>
  <c r="E605" i="4"/>
  <c r="K604" i="4"/>
  <c r="N604" i="4" s="1"/>
  <c r="O608" i="2"/>
  <c r="I607" i="2"/>
  <c r="F607" i="2" s="1"/>
  <c r="N606" i="3" s="1"/>
  <c r="C608" i="2"/>
  <c r="C606" i="4"/>
  <c r="AB605" i="3"/>
  <c r="P606" i="2"/>
  <c r="J605" i="2"/>
  <c r="G605" i="2" s="1"/>
  <c r="T604" i="3" s="1"/>
  <c r="V604" i="3"/>
  <c r="I606" i="4"/>
  <c r="M606" i="4" s="1"/>
  <c r="B607" i="3"/>
  <c r="B609" i="2"/>
  <c r="A607" i="4"/>
  <c r="M606" i="3"/>
  <c r="C606" i="3"/>
  <c r="P606" i="3"/>
  <c r="E606" i="3"/>
  <c r="G606" i="3"/>
  <c r="S606" i="3"/>
  <c r="Y606" i="3" s="1"/>
  <c r="Z606" i="3" s="1"/>
  <c r="N606" i="2"/>
  <c r="J604" i="3"/>
  <c r="H605" i="2"/>
  <c r="E605" i="2" s="1"/>
  <c r="H604" i="3" s="1"/>
  <c r="L611" i="2"/>
  <c r="T607" i="2"/>
  <c r="D608" i="2"/>
  <c r="D604" i="4"/>
  <c r="AA604" i="3"/>
  <c r="D604" i="3"/>
  <c r="F603" i="3"/>
  <c r="O602" i="3"/>
  <c r="U602" i="3"/>
  <c r="I602" i="3"/>
  <c r="K608" i="2"/>
  <c r="M612" i="2"/>
  <c r="F603" i="4" l="1"/>
  <c r="G605" i="4"/>
  <c r="L605" i="4" s="1"/>
  <c r="K605" i="4"/>
  <c r="N605" i="4" s="1"/>
  <c r="H603" i="4"/>
  <c r="E606" i="4"/>
  <c r="J603" i="4"/>
  <c r="O609" i="2"/>
  <c r="I608" i="2"/>
  <c r="F608" i="2" s="1"/>
  <c r="N607" i="3" s="1"/>
  <c r="D609" i="2"/>
  <c r="T608" i="2"/>
  <c r="M613" i="2"/>
  <c r="K609" i="2"/>
  <c r="P607" i="2"/>
  <c r="J606" i="2"/>
  <c r="G606" i="2" s="1"/>
  <c r="T605" i="3" s="1"/>
  <c r="V605" i="3"/>
  <c r="C607" i="4"/>
  <c r="AB606" i="3"/>
  <c r="N607" i="2"/>
  <c r="H606" i="2"/>
  <c r="E606" i="2" s="1"/>
  <c r="H605" i="3" s="1"/>
  <c r="J605" i="3"/>
  <c r="I607" i="4"/>
  <c r="M607" i="4" s="1"/>
  <c r="I603" i="3"/>
  <c r="U603" i="3"/>
  <c r="O603" i="3"/>
  <c r="B608" i="3"/>
  <c r="B610" i="2"/>
  <c r="F604" i="3"/>
  <c r="D605" i="3"/>
  <c r="A608" i="4"/>
  <c r="G607" i="3"/>
  <c r="S607" i="3"/>
  <c r="Y607" i="3" s="1"/>
  <c r="Z607" i="3" s="1"/>
  <c r="M607" i="3"/>
  <c r="C607" i="3"/>
  <c r="P607" i="3"/>
  <c r="E607" i="3"/>
  <c r="C609" i="2"/>
  <c r="L612" i="2"/>
  <c r="D605" i="4"/>
  <c r="AA605" i="3"/>
  <c r="K606" i="4" l="1"/>
  <c r="N606" i="4" s="1"/>
  <c r="E607" i="4"/>
  <c r="H604" i="4"/>
  <c r="J604" i="4"/>
  <c r="F604" i="4"/>
  <c r="G606" i="4"/>
  <c r="L606" i="4" s="1"/>
  <c r="O610" i="2"/>
  <c r="I609" i="2"/>
  <c r="F609" i="2" s="1"/>
  <c r="N608" i="3" s="1"/>
  <c r="P608" i="2"/>
  <c r="J607" i="2"/>
  <c r="G607" i="2" s="1"/>
  <c r="T606" i="3" s="1"/>
  <c r="V606" i="3"/>
  <c r="C608" i="4"/>
  <c r="AB607" i="3"/>
  <c r="L613" i="2"/>
  <c r="K610" i="2"/>
  <c r="C610" i="2"/>
  <c r="I608" i="4"/>
  <c r="M608" i="4" s="1"/>
  <c r="F605" i="3"/>
  <c r="D606" i="3"/>
  <c r="M614" i="2"/>
  <c r="D606" i="4"/>
  <c r="AA606" i="3"/>
  <c r="B609" i="3"/>
  <c r="B611" i="2"/>
  <c r="I604" i="3"/>
  <c r="U604" i="3"/>
  <c r="O604" i="3"/>
  <c r="A609" i="4"/>
  <c r="P608" i="3"/>
  <c r="E608" i="3"/>
  <c r="G608" i="3"/>
  <c r="S608" i="3"/>
  <c r="Y608" i="3" s="1"/>
  <c r="Z608" i="3" s="1"/>
  <c r="M608" i="3"/>
  <c r="C608" i="3"/>
  <c r="N608" i="2"/>
  <c r="J606" i="3"/>
  <c r="H607" i="2"/>
  <c r="E607" i="2" s="1"/>
  <c r="H606" i="3" s="1"/>
  <c r="T609" i="2"/>
  <c r="D610" i="2"/>
  <c r="J605" i="4" l="1"/>
  <c r="F605" i="4"/>
  <c r="E608" i="4"/>
  <c r="H605" i="4"/>
  <c r="K607" i="4"/>
  <c r="N607" i="4" s="1"/>
  <c r="G607" i="4"/>
  <c r="L607" i="4" s="1"/>
  <c r="O611" i="2"/>
  <c r="I610" i="2"/>
  <c r="F610" i="2" s="1"/>
  <c r="N609" i="3" s="1"/>
  <c r="D607" i="4"/>
  <c r="AA607" i="3"/>
  <c r="C611" i="2"/>
  <c r="F606" i="3"/>
  <c r="D607" i="3"/>
  <c r="K611" i="2"/>
  <c r="O605" i="3"/>
  <c r="I605" i="3"/>
  <c r="U605" i="3"/>
  <c r="N609" i="2"/>
  <c r="J607" i="3"/>
  <c r="H608" i="2"/>
  <c r="E608" i="2" s="1"/>
  <c r="H607" i="3" s="1"/>
  <c r="I609" i="4"/>
  <c r="M609" i="4" s="1"/>
  <c r="L614" i="2"/>
  <c r="T610" i="2"/>
  <c r="D611" i="2"/>
  <c r="M615" i="2"/>
  <c r="B610" i="3"/>
  <c r="B612" i="2"/>
  <c r="C609" i="4"/>
  <c r="AB608" i="3"/>
  <c r="A610" i="4"/>
  <c r="M609" i="3"/>
  <c r="C609" i="3"/>
  <c r="P609" i="3"/>
  <c r="E609" i="3"/>
  <c r="G609" i="3"/>
  <c r="S609" i="3"/>
  <c r="Y609" i="3" s="1"/>
  <c r="Z609" i="3" s="1"/>
  <c r="P609" i="2"/>
  <c r="J608" i="2"/>
  <c r="G608" i="2" s="1"/>
  <c r="T607" i="3" s="1"/>
  <c r="V607" i="3"/>
  <c r="J606" i="4" l="1"/>
  <c r="H606" i="4"/>
  <c r="E609" i="4"/>
  <c r="K608" i="4"/>
  <c r="N608" i="4" s="1"/>
  <c r="F606" i="4"/>
  <c r="G608" i="4"/>
  <c r="L608" i="4" s="1"/>
  <c r="O612" i="2"/>
  <c r="I611" i="2"/>
  <c r="F611" i="2" s="1"/>
  <c r="N610" i="3" s="1"/>
  <c r="L615" i="2"/>
  <c r="P610" i="2"/>
  <c r="J609" i="2"/>
  <c r="G609" i="2" s="1"/>
  <c r="T608" i="3" s="1"/>
  <c r="V608" i="3"/>
  <c r="I610" i="4"/>
  <c r="M610" i="4" s="1"/>
  <c r="K612" i="2"/>
  <c r="C610" i="4"/>
  <c r="AB609" i="3"/>
  <c r="D608" i="3"/>
  <c r="F607" i="3"/>
  <c r="B611" i="3"/>
  <c r="B613" i="2"/>
  <c r="O606" i="3"/>
  <c r="I606" i="3"/>
  <c r="U606" i="3"/>
  <c r="A611" i="4"/>
  <c r="M610" i="3"/>
  <c r="C610" i="3"/>
  <c r="P610" i="3"/>
  <c r="E610" i="3"/>
  <c r="G610" i="3"/>
  <c r="S610" i="3"/>
  <c r="Y610" i="3" s="1"/>
  <c r="Z610" i="3" s="1"/>
  <c r="C612" i="2"/>
  <c r="M616" i="2"/>
  <c r="D612" i="2"/>
  <c r="T611" i="2"/>
  <c r="D608" i="4"/>
  <c r="AA608" i="3"/>
  <c r="N610" i="2"/>
  <c r="J608" i="3"/>
  <c r="H609" i="2"/>
  <c r="E609" i="2" s="1"/>
  <c r="H608" i="3" s="1"/>
  <c r="E610" i="4" l="1"/>
  <c r="G609" i="4"/>
  <c r="L609" i="4" s="1"/>
  <c r="H607" i="4"/>
  <c r="J607" i="4"/>
  <c r="K609" i="4"/>
  <c r="N609" i="4" s="1"/>
  <c r="F607" i="4"/>
  <c r="O613" i="2"/>
  <c r="I612" i="2"/>
  <c r="F612" i="2" s="1"/>
  <c r="N611" i="3" s="1"/>
  <c r="C613" i="2"/>
  <c r="I611" i="4"/>
  <c r="M611" i="4" s="1"/>
  <c r="B612" i="3"/>
  <c r="B614" i="2"/>
  <c r="A612" i="4"/>
  <c r="G611" i="3"/>
  <c r="S611" i="3"/>
  <c r="Y611" i="3" s="1"/>
  <c r="Z611" i="3" s="1"/>
  <c r="M611" i="3"/>
  <c r="C611" i="3"/>
  <c r="P611" i="3"/>
  <c r="E611" i="3"/>
  <c r="K613" i="2"/>
  <c r="I607" i="3"/>
  <c r="U607" i="3"/>
  <c r="O607" i="3"/>
  <c r="T612" i="2"/>
  <c r="D613" i="2"/>
  <c r="F608" i="3"/>
  <c r="D609" i="3"/>
  <c r="D609" i="4"/>
  <c r="AA609" i="3"/>
  <c r="P611" i="2"/>
  <c r="J610" i="2"/>
  <c r="G610" i="2" s="1"/>
  <c r="T609" i="3" s="1"/>
  <c r="V609" i="3"/>
  <c r="M617" i="2"/>
  <c r="C611" i="4"/>
  <c r="AB610" i="3"/>
  <c r="L616" i="2"/>
  <c r="N611" i="2"/>
  <c r="J609" i="3"/>
  <c r="H610" i="2"/>
  <c r="E610" i="2" s="1"/>
  <c r="H609" i="3" s="1"/>
  <c r="H608" i="4" l="1"/>
  <c r="J608" i="4"/>
  <c r="F608" i="4"/>
  <c r="G610" i="4"/>
  <c r="L610" i="4" s="1"/>
  <c r="E611" i="4"/>
  <c r="K610" i="4"/>
  <c r="N610" i="4" s="1"/>
  <c r="O614" i="2"/>
  <c r="I613" i="2"/>
  <c r="F613" i="2" s="1"/>
  <c r="N612" i="3" s="1"/>
  <c r="A613" i="4"/>
  <c r="P612" i="3"/>
  <c r="E612" i="3"/>
  <c r="G612" i="3"/>
  <c r="S612" i="3"/>
  <c r="Y612" i="3" s="1"/>
  <c r="Z612" i="3" s="1"/>
  <c r="M612" i="3"/>
  <c r="C612" i="3"/>
  <c r="P612" i="2"/>
  <c r="J611" i="2"/>
  <c r="G611" i="2" s="1"/>
  <c r="T610" i="3" s="1"/>
  <c r="V610" i="3"/>
  <c r="I608" i="3"/>
  <c r="U608" i="3"/>
  <c r="O608" i="3"/>
  <c r="L617" i="2"/>
  <c r="T613" i="2"/>
  <c r="D614" i="2"/>
  <c r="C612" i="4"/>
  <c r="AB611" i="3"/>
  <c r="B613" i="3"/>
  <c r="B615" i="2"/>
  <c r="N612" i="2"/>
  <c r="H611" i="2"/>
  <c r="E611" i="2" s="1"/>
  <c r="H610" i="3" s="1"/>
  <c r="J610" i="3"/>
  <c r="I612" i="4"/>
  <c r="M612" i="4" s="1"/>
  <c r="M618" i="2"/>
  <c r="C614" i="2"/>
  <c r="D610" i="4"/>
  <c r="AA610" i="3"/>
  <c r="K614" i="2"/>
  <c r="F609" i="3"/>
  <c r="D610" i="3"/>
  <c r="K611" i="4" l="1"/>
  <c r="N611" i="4" s="1"/>
  <c r="E612" i="4"/>
  <c r="H609" i="4"/>
  <c r="J609" i="4"/>
  <c r="G611" i="4"/>
  <c r="L611" i="4" s="1"/>
  <c r="F609" i="4"/>
  <c r="O615" i="2"/>
  <c r="I614" i="2"/>
  <c r="F614" i="2" s="1"/>
  <c r="N613" i="3" s="1"/>
  <c r="C613" i="4"/>
  <c r="AB612" i="3"/>
  <c r="L618" i="2"/>
  <c r="F610" i="3"/>
  <c r="D611" i="3"/>
  <c r="N613" i="2"/>
  <c r="H612" i="2"/>
  <c r="E612" i="2" s="1"/>
  <c r="H611" i="3" s="1"/>
  <c r="J611" i="3"/>
  <c r="D615" i="2"/>
  <c r="T614" i="2"/>
  <c r="K615" i="2"/>
  <c r="B614" i="3"/>
  <c r="B616" i="2"/>
  <c r="D611" i="4"/>
  <c r="AA611" i="3"/>
  <c r="C615" i="2"/>
  <c r="A614" i="4"/>
  <c r="M613" i="3"/>
  <c r="C613" i="3"/>
  <c r="P613" i="3"/>
  <c r="E613" i="3"/>
  <c r="G613" i="3"/>
  <c r="S613" i="3"/>
  <c r="Y613" i="3" s="1"/>
  <c r="Z613" i="3" s="1"/>
  <c r="O609" i="3"/>
  <c r="I609" i="3"/>
  <c r="U609" i="3"/>
  <c r="M619" i="2"/>
  <c r="P613" i="2"/>
  <c r="J612" i="2"/>
  <c r="G612" i="2" s="1"/>
  <c r="T611" i="3" s="1"/>
  <c r="V611" i="3"/>
  <c r="I613" i="4"/>
  <c r="M613" i="4" s="1"/>
  <c r="K612" i="4" l="1"/>
  <c r="N612" i="4" s="1"/>
  <c r="G612" i="4"/>
  <c r="L612" i="4" s="1"/>
  <c r="F610" i="4"/>
  <c r="E613" i="4"/>
  <c r="J610" i="4"/>
  <c r="H610" i="4"/>
  <c r="O616" i="2"/>
  <c r="I615" i="2"/>
  <c r="F615" i="2" s="1"/>
  <c r="N614" i="3" s="1"/>
  <c r="C614" i="4"/>
  <c r="AB613" i="3"/>
  <c r="I614" i="4"/>
  <c r="M614" i="4" s="1"/>
  <c r="T615" i="2"/>
  <c r="D616" i="2"/>
  <c r="C616" i="2"/>
  <c r="N614" i="2"/>
  <c r="H613" i="2"/>
  <c r="E613" i="2" s="1"/>
  <c r="H612" i="3" s="1"/>
  <c r="J612" i="3"/>
  <c r="D612" i="4"/>
  <c r="AA612" i="3"/>
  <c r="D612" i="3"/>
  <c r="F611" i="3"/>
  <c r="O610" i="3"/>
  <c r="I610" i="3"/>
  <c r="U610" i="3"/>
  <c r="B615" i="3"/>
  <c r="B617" i="2"/>
  <c r="L619" i="2"/>
  <c r="P614" i="2"/>
  <c r="J613" i="2"/>
  <c r="G613" i="2" s="1"/>
  <c r="T612" i="3" s="1"/>
  <c r="V612" i="3"/>
  <c r="A615" i="4"/>
  <c r="M614" i="3"/>
  <c r="C614" i="3"/>
  <c r="P614" i="3"/>
  <c r="E614" i="3"/>
  <c r="G614" i="3"/>
  <c r="S614" i="3"/>
  <c r="Y614" i="3" s="1"/>
  <c r="Z614" i="3" s="1"/>
  <c r="K616" i="2"/>
  <c r="M620" i="2"/>
  <c r="G613" i="4" l="1"/>
  <c r="L613" i="4" s="1"/>
  <c r="J611" i="4"/>
  <c r="F611" i="4"/>
  <c r="H611" i="4"/>
  <c r="E614" i="4"/>
  <c r="K613" i="4"/>
  <c r="N613" i="4" s="1"/>
  <c r="O617" i="2"/>
  <c r="I616" i="2"/>
  <c r="F616" i="2" s="1"/>
  <c r="N615" i="3" s="1"/>
  <c r="M621" i="2"/>
  <c r="I611" i="3"/>
  <c r="U611" i="3"/>
  <c r="O611" i="3"/>
  <c r="T616" i="2"/>
  <c r="D617" i="2"/>
  <c r="K617" i="2"/>
  <c r="I615" i="4"/>
  <c r="M615" i="4" s="1"/>
  <c r="F612" i="3"/>
  <c r="D613" i="3"/>
  <c r="D613" i="4"/>
  <c r="AA613" i="3"/>
  <c r="C615" i="4"/>
  <c r="AB614" i="3"/>
  <c r="N615" i="2"/>
  <c r="H614" i="2"/>
  <c r="E614" i="2" s="1"/>
  <c r="H613" i="3" s="1"/>
  <c r="J613" i="3"/>
  <c r="P615" i="2"/>
  <c r="J614" i="2"/>
  <c r="G614" i="2" s="1"/>
  <c r="T613" i="3" s="1"/>
  <c r="V613" i="3"/>
  <c r="L620" i="2"/>
  <c r="B616" i="3"/>
  <c r="B618" i="2"/>
  <c r="C617" i="2"/>
  <c r="A616" i="4"/>
  <c r="G615" i="3"/>
  <c r="S615" i="3"/>
  <c r="Y615" i="3" s="1"/>
  <c r="Z615" i="3" s="1"/>
  <c r="M615" i="3"/>
  <c r="C615" i="3"/>
  <c r="P615" i="3"/>
  <c r="E615" i="3"/>
  <c r="K614" i="4" l="1"/>
  <c r="N614" i="4" s="1"/>
  <c r="G614" i="4"/>
  <c r="L614" i="4" s="1"/>
  <c r="J612" i="4"/>
  <c r="H612" i="4"/>
  <c r="F612" i="4"/>
  <c r="E615" i="4"/>
  <c r="O618" i="2"/>
  <c r="I617" i="2"/>
  <c r="F617" i="2" s="1"/>
  <c r="N616" i="3" s="1"/>
  <c r="N616" i="2"/>
  <c r="J614" i="3"/>
  <c r="H615" i="2"/>
  <c r="E615" i="2" s="1"/>
  <c r="H614" i="3" s="1"/>
  <c r="K618" i="2"/>
  <c r="B617" i="3"/>
  <c r="B619" i="2"/>
  <c r="D614" i="4"/>
  <c r="AA614" i="3"/>
  <c r="D618" i="2"/>
  <c r="T617" i="2"/>
  <c r="I616" i="4"/>
  <c r="M616" i="4" s="1"/>
  <c r="C618" i="2"/>
  <c r="C616" i="4"/>
  <c r="AB615" i="3"/>
  <c r="A617" i="4"/>
  <c r="P616" i="3"/>
  <c r="E616" i="3"/>
  <c r="G616" i="3"/>
  <c r="S616" i="3"/>
  <c r="Y616" i="3" s="1"/>
  <c r="Z616" i="3" s="1"/>
  <c r="M616" i="3"/>
  <c r="C616" i="3"/>
  <c r="F613" i="3"/>
  <c r="D614" i="3"/>
  <c r="L621" i="2"/>
  <c r="I612" i="3"/>
  <c r="U612" i="3"/>
  <c r="O612" i="3"/>
  <c r="P616" i="2"/>
  <c r="J615" i="2"/>
  <c r="G615" i="2" s="1"/>
  <c r="T614" i="3" s="1"/>
  <c r="V614" i="3"/>
  <c r="M622" i="2"/>
  <c r="E616" i="4" l="1"/>
  <c r="G615" i="4"/>
  <c r="L615" i="4" s="1"/>
  <c r="J613" i="4"/>
  <c r="K615" i="4"/>
  <c r="N615" i="4" s="1"/>
  <c r="H613" i="4"/>
  <c r="F613" i="4"/>
  <c r="O619" i="2"/>
  <c r="I618" i="2"/>
  <c r="F618" i="2" s="1"/>
  <c r="N617" i="3" s="1"/>
  <c r="M623" i="2"/>
  <c r="T618" i="2"/>
  <c r="D619" i="2"/>
  <c r="I617" i="4"/>
  <c r="M617" i="4" s="1"/>
  <c r="D615" i="4"/>
  <c r="AA615" i="3"/>
  <c r="P617" i="2"/>
  <c r="J616" i="2"/>
  <c r="G616" i="2" s="1"/>
  <c r="T615" i="3" s="1"/>
  <c r="V615" i="3"/>
  <c r="C619" i="2"/>
  <c r="B618" i="3"/>
  <c r="B620" i="2"/>
  <c r="A618" i="4"/>
  <c r="M617" i="3"/>
  <c r="C617" i="3"/>
  <c r="P617" i="3"/>
  <c r="E617" i="3"/>
  <c r="G617" i="3"/>
  <c r="S617" i="3"/>
  <c r="Y617" i="3" s="1"/>
  <c r="Z617" i="3" s="1"/>
  <c r="K619" i="2"/>
  <c r="O613" i="3"/>
  <c r="I613" i="3"/>
  <c r="U613" i="3"/>
  <c r="C617" i="4"/>
  <c r="AB616" i="3"/>
  <c r="L622" i="2"/>
  <c r="F614" i="3"/>
  <c r="D615" i="3"/>
  <c r="N617" i="2"/>
  <c r="J615" i="3"/>
  <c r="H616" i="2"/>
  <c r="E616" i="2" s="1"/>
  <c r="H615" i="3" s="1"/>
  <c r="K616" i="4" l="1"/>
  <c r="N616" i="4" s="1"/>
  <c r="G616" i="4"/>
  <c r="L616" i="4" s="1"/>
  <c r="F614" i="4"/>
  <c r="H614" i="4"/>
  <c r="E617" i="4"/>
  <c r="J614" i="4"/>
  <c r="O620" i="2"/>
  <c r="I619" i="2"/>
  <c r="F619" i="2" s="1"/>
  <c r="N618" i="3" s="1"/>
  <c r="K620" i="2"/>
  <c r="I618" i="4"/>
  <c r="M618" i="4" s="1"/>
  <c r="B619" i="3"/>
  <c r="B621" i="2"/>
  <c r="C620" i="2"/>
  <c r="N618" i="2"/>
  <c r="H617" i="2"/>
  <c r="E617" i="2" s="1"/>
  <c r="H616" i="3" s="1"/>
  <c r="J616" i="3"/>
  <c r="D616" i="3"/>
  <c r="F615" i="3"/>
  <c r="L623" i="2"/>
  <c r="T619" i="2"/>
  <c r="D620" i="2"/>
  <c r="A619" i="4"/>
  <c r="M618" i="3"/>
  <c r="C618" i="3"/>
  <c r="P618" i="3"/>
  <c r="E618" i="3"/>
  <c r="G618" i="3"/>
  <c r="S618" i="3"/>
  <c r="Y618" i="3" s="1"/>
  <c r="Z618" i="3" s="1"/>
  <c r="O614" i="3"/>
  <c r="I614" i="3"/>
  <c r="U614" i="3"/>
  <c r="P618" i="2"/>
  <c r="J617" i="2"/>
  <c r="G617" i="2" s="1"/>
  <c r="T616" i="3" s="1"/>
  <c r="V616" i="3"/>
  <c r="C618" i="4"/>
  <c r="AB617" i="3"/>
  <c r="D616" i="4"/>
  <c r="AA616" i="3"/>
  <c r="M624" i="2"/>
  <c r="F615" i="4" l="1"/>
  <c r="H615" i="4"/>
  <c r="G617" i="4"/>
  <c r="L617" i="4" s="1"/>
  <c r="E618" i="4"/>
  <c r="K617" i="4"/>
  <c r="N617" i="4" s="1"/>
  <c r="J615" i="4"/>
  <c r="O621" i="2"/>
  <c r="I620" i="2"/>
  <c r="F620" i="2" s="1"/>
  <c r="N619" i="3" s="1"/>
  <c r="I619" i="4"/>
  <c r="M619" i="4" s="1"/>
  <c r="D621" i="2"/>
  <c r="T620" i="2"/>
  <c r="B620" i="3"/>
  <c r="B622" i="2"/>
  <c r="A620" i="4"/>
  <c r="G619" i="3"/>
  <c r="S619" i="3"/>
  <c r="Y619" i="3" s="1"/>
  <c r="Z619" i="3" s="1"/>
  <c r="M619" i="3"/>
  <c r="C619" i="3"/>
  <c r="P619" i="3"/>
  <c r="E619" i="3"/>
  <c r="M625" i="2"/>
  <c r="D617" i="4"/>
  <c r="AA617" i="3"/>
  <c r="L624" i="2"/>
  <c r="I615" i="3"/>
  <c r="U615" i="3"/>
  <c r="O615" i="3"/>
  <c r="F616" i="3"/>
  <c r="D617" i="3"/>
  <c r="C619" i="4"/>
  <c r="AB618" i="3"/>
  <c r="N619" i="2"/>
  <c r="H618" i="2"/>
  <c r="E618" i="2" s="1"/>
  <c r="H617" i="3" s="1"/>
  <c r="J617" i="3"/>
  <c r="P619" i="2"/>
  <c r="J618" i="2"/>
  <c r="G618" i="2" s="1"/>
  <c r="T617" i="3" s="1"/>
  <c r="V617" i="3"/>
  <c r="C621" i="2"/>
  <c r="K621" i="2"/>
  <c r="J616" i="4" l="1"/>
  <c r="F616" i="4"/>
  <c r="K618" i="4"/>
  <c r="N618" i="4" s="1"/>
  <c r="H616" i="4"/>
  <c r="G618" i="4"/>
  <c r="L618" i="4" s="1"/>
  <c r="E619" i="4"/>
  <c r="O622" i="2"/>
  <c r="I621" i="2"/>
  <c r="F621" i="2" s="1"/>
  <c r="N620" i="3" s="1"/>
  <c r="I616" i="3"/>
  <c r="U616" i="3"/>
  <c r="O616" i="3"/>
  <c r="M626" i="2"/>
  <c r="I620" i="4"/>
  <c r="M620" i="4" s="1"/>
  <c r="K622" i="2"/>
  <c r="B621" i="3"/>
  <c r="B623" i="2"/>
  <c r="F617" i="3"/>
  <c r="D618" i="3"/>
  <c r="A621" i="4"/>
  <c r="P620" i="3"/>
  <c r="E620" i="3"/>
  <c r="G620" i="3"/>
  <c r="S620" i="3"/>
  <c r="Y620" i="3" s="1"/>
  <c r="Z620" i="3" s="1"/>
  <c r="M620" i="3"/>
  <c r="C620" i="3"/>
  <c r="C622" i="2"/>
  <c r="C620" i="4"/>
  <c r="AB619" i="3"/>
  <c r="T621" i="2"/>
  <c r="D622" i="2"/>
  <c r="L625" i="2"/>
  <c r="P620" i="2"/>
  <c r="J619" i="2"/>
  <c r="G619" i="2" s="1"/>
  <c r="T618" i="3" s="1"/>
  <c r="V618" i="3"/>
  <c r="D618" i="4"/>
  <c r="AA618" i="3"/>
  <c r="N620" i="2"/>
  <c r="J618" i="3"/>
  <c r="H619" i="2"/>
  <c r="E619" i="2" s="1"/>
  <c r="H618" i="3" s="1"/>
  <c r="E620" i="4" l="1"/>
  <c r="G619" i="4"/>
  <c r="L619" i="4" s="1"/>
  <c r="K619" i="4"/>
  <c r="N619" i="4" s="1"/>
  <c r="H617" i="4"/>
  <c r="J617" i="4"/>
  <c r="F617" i="4"/>
  <c r="O623" i="2"/>
  <c r="I622" i="2"/>
  <c r="F622" i="2" s="1"/>
  <c r="N621" i="3" s="1"/>
  <c r="K623" i="2"/>
  <c r="C623" i="2"/>
  <c r="D619" i="4"/>
  <c r="AA619" i="3"/>
  <c r="I621" i="4"/>
  <c r="M621" i="4" s="1"/>
  <c r="F618" i="3"/>
  <c r="D619" i="3"/>
  <c r="M627" i="2"/>
  <c r="C621" i="4"/>
  <c r="AB620" i="3"/>
  <c r="B622" i="3"/>
  <c r="B624" i="2"/>
  <c r="P621" i="2"/>
  <c r="J620" i="2"/>
  <c r="G620" i="2" s="1"/>
  <c r="T619" i="3" s="1"/>
  <c r="V619" i="3"/>
  <c r="L626" i="2"/>
  <c r="A622" i="4"/>
  <c r="M621" i="3"/>
  <c r="C621" i="3"/>
  <c r="P621" i="3"/>
  <c r="E621" i="3"/>
  <c r="G621" i="3"/>
  <c r="S621" i="3"/>
  <c r="Y621" i="3" s="1"/>
  <c r="Z621" i="3" s="1"/>
  <c r="N621" i="2"/>
  <c r="J619" i="3"/>
  <c r="H620" i="2"/>
  <c r="E620" i="2" s="1"/>
  <c r="H619" i="3" s="1"/>
  <c r="O617" i="3"/>
  <c r="I617" i="3"/>
  <c r="U617" i="3"/>
  <c r="T622" i="2"/>
  <c r="D623" i="2"/>
  <c r="E621" i="4" l="1"/>
  <c r="J618" i="4"/>
  <c r="F618" i="4"/>
  <c r="K620" i="4"/>
  <c r="N620" i="4" s="1"/>
  <c r="H618" i="4"/>
  <c r="G620" i="4"/>
  <c r="L620" i="4" s="1"/>
  <c r="O624" i="2"/>
  <c r="I623" i="2"/>
  <c r="F623" i="2" s="1"/>
  <c r="N622" i="3" s="1"/>
  <c r="B623" i="3"/>
  <c r="B625" i="2"/>
  <c r="A623" i="4"/>
  <c r="M622" i="3"/>
  <c r="C622" i="3"/>
  <c r="P622" i="3"/>
  <c r="E622" i="3"/>
  <c r="G622" i="3"/>
  <c r="S622" i="3"/>
  <c r="Y622" i="3" s="1"/>
  <c r="Z622" i="3" s="1"/>
  <c r="D620" i="4"/>
  <c r="AA620" i="3"/>
  <c r="D624" i="2"/>
  <c r="T623" i="2"/>
  <c r="C624" i="2"/>
  <c r="C622" i="4"/>
  <c r="AB621" i="3"/>
  <c r="M628" i="2"/>
  <c r="N622" i="2"/>
  <c r="H621" i="2"/>
  <c r="E621" i="2" s="1"/>
  <c r="H620" i="3" s="1"/>
  <c r="J620" i="3"/>
  <c r="I622" i="4"/>
  <c r="M622" i="4" s="1"/>
  <c r="D620" i="3"/>
  <c r="F619" i="3"/>
  <c r="O618" i="3"/>
  <c r="U618" i="3"/>
  <c r="I618" i="3"/>
  <c r="P622" i="2"/>
  <c r="J621" i="2"/>
  <c r="G621" i="2" s="1"/>
  <c r="T620" i="3" s="1"/>
  <c r="V620" i="3"/>
  <c r="L627" i="2"/>
  <c r="K624" i="2"/>
  <c r="G621" i="4" l="1"/>
  <c r="L621" i="4" s="1"/>
  <c r="E622" i="4"/>
  <c r="F619" i="4"/>
  <c r="J619" i="4"/>
  <c r="K621" i="4"/>
  <c r="N621" i="4" s="1"/>
  <c r="H619" i="4"/>
  <c r="O625" i="2"/>
  <c r="I624" i="2"/>
  <c r="F624" i="2" s="1"/>
  <c r="N623" i="3" s="1"/>
  <c r="K625" i="2"/>
  <c r="L628" i="2"/>
  <c r="C625" i="2"/>
  <c r="C623" i="4"/>
  <c r="AB622" i="3"/>
  <c r="T624" i="2"/>
  <c r="D625" i="2"/>
  <c r="F620" i="3"/>
  <c r="D621" i="3"/>
  <c r="D621" i="4"/>
  <c r="AA621" i="3"/>
  <c r="N623" i="2"/>
  <c r="J621" i="3"/>
  <c r="H622" i="2"/>
  <c r="E622" i="2" s="1"/>
  <c r="H621" i="3" s="1"/>
  <c r="I623" i="4"/>
  <c r="M623" i="4" s="1"/>
  <c r="B624" i="3"/>
  <c r="B626" i="2"/>
  <c r="P623" i="2"/>
  <c r="J622" i="2"/>
  <c r="G622" i="2" s="1"/>
  <c r="T621" i="3" s="1"/>
  <c r="V621" i="3"/>
  <c r="I619" i="3"/>
  <c r="U619" i="3"/>
  <c r="O619" i="3"/>
  <c r="M629" i="2"/>
  <c r="A624" i="4"/>
  <c r="G623" i="3"/>
  <c r="S623" i="3"/>
  <c r="Y623" i="3" s="1"/>
  <c r="Z623" i="3" s="1"/>
  <c r="M623" i="3"/>
  <c r="C623" i="3"/>
  <c r="P623" i="3"/>
  <c r="E623" i="3"/>
  <c r="F620" i="4" l="1"/>
  <c r="E623" i="4"/>
  <c r="K622" i="4"/>
  <c r="N622" i="4" s="1"/>
  <c r="G622" i="4"/>
  <c r="L622" i="4" s="1"/>
  <c r="J620" i="4"/>
  <c r="H620" i="4"/>
  <c r="O626" i="2"/>
  <c r="I625" i="2"/>
  <c r="F625" i="2" s="1"/>
  <c r="N624" i="3" s="1"/>
  <c r="T625" i="2"/>
  <c r="D626" i="2"/>
  <c r="C626" i="2"/>
  <c r="N624" i="2"/>
  <c r="J622" i="3"/>
  <c r="H623" i="2"/>
  <c r="E623" i="2" s="1"/>
  <c r="H622" i="3" s="1"/>
  <c r="I624" i="4"/>
  <c r="M624" i="4" s="1"/>
  <c r="P624" i="2"/>
  <c r="J623" i="2"/>
  <c r="G623" i="2" s="1"/>
  <c r="T622" i="3" s="1"/>
  <c r="V622" i="3"/>
  <c r="D622" i="4"/>
  <c r="AA622" i="3"/>
  <c r="C624" i="4"/>
  <c r="AB623" i="3"/>
  <c r="B625" i="3"/>
  <c r="B627" i="2"/>
  <c r="L629" i="2"/>
  <c r="A625" i="4"/>
  <c r="P624" i="3"/>
  <c r="E624" i="3"/>
  <c r="G624" i="3"/>
  <c r="S624" i="3"/>
  <c r="Y624" i="3" s="1"/>
  <c r="Z624" i="3" s="1"/>
  <c r="M624" i="3"/>
  <c r="C624" i="3"/>
  <c r="F621" i="3"/>
  <c r="D622" i="3"/>
  <c r="M630" i="2"/>
  <c r="I620" i="3"/>
  <c r="U620" i="3"/>
  <c r="O620" i="3"/>
  <c r="K626" i="2"/>
  <c r="K623" i="4" l="1"/>
  <c r="N623" i="4" s="1"/>
  <c r="H621" i="4"/>
  <c r="J621" i="4"/>
  <c r="E624" i="4"/>
  <c r="F621" i="4"/>
  <c r="G623" i="4"/>
  <c r="L623" i="4" s="1"/>
  <c r="O627" i="2"/>
  <c r="I626" i="2"/>
  <c r="F626" i="2" s="1"/>
  <c r="N625" i="3" s="1"/>
  <c r="A626" i="4"/>
  <c r="M625" i="3"/>
  <c r="C625" i="3"/>
  <c r="P625" i="3"/>
  <c r="E625" i="3"/>
  <c r="G625" i="3"/>
  <c r="S625" i="3"/>
  <c r="Y625" i="3" s="1"/>
  <c r="Z625" i="3" s="1"/>
  <c r="K627" i="2"/>
  <c r="D623" i="4"/>
  <c r="AA623" i="3"/>
  <c r="N625" i="2"/>
  <c r="H624" i="2"/>
  <c r="E624" i="2" s="1"/>
  <c r="H623" i="3" s="1"/>
  <c r="J623" i="3"/>
  <c r="B626" i="3"/>
  <c r="B628" i="2"/>
  <c r="C627" i="2"/>
  <c r="F622" i="3"/>
  <c r="D623" i="3"/>
  <c r="P625" i="2"/>
  <c r="J624" i="2"/>
  <c r="G624" i="2" s="1"/>
  <c r="T623" i="3" s="1"/>
  <c r="V623" i="3"/>
  <c r="M631" i="2"/>
  <c r="O621" i="3"/>
  <c r="I621" i="3"/>
  <c r="U621" i="3"/>
  <c r="I625" i="4"/>
  <c r="M625" i="4" s="1"/>
  <c r="D627" i="2"/>
  <c r="T626" i="2"/>
  <c r="C625" i="4"/>
  <c r="AB624" i="3"/>
  <c r="L630" i="2"/>
  <c r="K624" i="4" l="1"/>
  <c r="N624" i="4" s="1"/>
  <c r="E625" i="4"/>
  <c r="G624" i="4"/>
  <c r="L624" i="4" s="1"/>
  <c r="J622" i="4"/>
  <c r="F622" i="4"/>
  <c r="H622" i="4"/>
  <c r="O628" i="2"/>
  <c r="I627" i="2"/>
  <c r="F627" i="2" s="1"/>
  <c r="N626" i="3" s="1"/>
  <c r="L631" i="2"/>
  <c r="C628" i="2"/>
  <c r="B627" i="3"/>
  <c r="B629" i="2"/>
  <c r="A627" i="4"/>
  <c r="M626" i="3"/>
  <c r="C626" i="3"/>
  <c r="P626" i="3"/>
  <c r="E626" i="3"/>
  <c r="G626" i="3"/>
  <c r="S626" i="3"/>
  <c r="Y626" i="3" s="1"/>
  <c r="Z626" i="3" s="1"/>
  <c r="M632" i="2"/>
  <c r="N626" i="2"/>
  <c r="H625" i="2"/>
  <c r="E625" i="2" s="1"/>
  <c r="H624" i="3" s="1"/>
  <c r="J624" i="3"/>
  <c r="D624" i="4"/>
  <c r="AA624" i="3"/>
  <c r="T627" i="2"/>
  <c r="D628" i="2"/>
  <c r="D624" i="3"/>
  <c r="F623" i="3"/>
  <c r="K628" i="2"/>
  <c r="C626" i="4"/>
  <c r="AB625" i="3"/>
  <c r="P626" i="2"/>
  <c r="J625" i="2"/>
  <c r="G625" i="2" s="1"/>
  <c r="T624" i="3" s="1"/>
  <c r="V624" i="3"/>
  <c r="O622" i="3"/>
  <c r="I622" i="3"/>
  <c r="U622" i="3"/>
  <c r="I626" i="4"/>
  <c r="M626" i="4" s="1"/>
  <c r="K625" i="4" l="1"/>
  <c r="N625" i="4" s="1"/>
  <c r="H623" i="4"/>
  <c r="G625" i="4"/>
  <c r="L625" i="4" s="1"/>
  <c r="J623" i="4"/>
  <c r="F623" i="4"/>
  <c r="E626" i="4"/>
  <c r="O629" i="2"/>
  <c r="I628" i="2"/>
  <c r="F628" i="2" s="1"/>
  <c r="N627" i="3" s="1"/>
  <c r="C627" i="4"/>
  <c r="AB626" i="3"/>
  <c r="N627" i="2"/>
  <c r="H626" i="2"/>
  <c r="E626" i="2" s="1"/>
  <c r="H625" i="3" s="1"/>
  <c r="J625" i="3"/>
  <c r="K629" i="2"/>
  <c r="M633" i="2"/>
  <c r="I627" i="4"/>
  <c r="M627" i="4" s="1"/>
  <c r="I623" i="3"/>
  <c r="U623" i="3"/>
  <c r="O623" i="3"/>
  <c r="B628" i="3"/>
  <c r="B630" i="2"/>
  <c r="F624" i="3"/>
  <c r="D625" i="3"/>
  <c r="A628" i="4"/>
  <c r="G627" i="3"/>
  <c r="S627" i="3"/>
  <c r="Y627" i="3" s="1"/>
  <c r="Z627" i="3" s="1"/>
  <c r="M627" i="3"/>
  <c r="C627" i="3"/>
  <c r="P627" i="3"/>
  <c r="E627" i="3"/>
  <c r="T628" i="2"/>
  <c r="D629" i="2"/>
  <c r="C629" i="2"/>
  <c r="P627" i="2"/>
  <c r="J626" i="2"/>
  <c r="G626" i="2" s="1"/>
  <c r="T625" i="3" s="1"/>
  <c r="V625" i="3"/>
  <c r="D625" i="4"/>
  <c r="AA625" i="3"/>
  <c r="L632" i="2"/>
  <c r="J624" i="4" l="1"/>
  <c r="F624" i="4"/>
  <c r="G626" i="4"/>
  <c r="L626" i="4" s="1"/>
  <c r="K626" i="4"/>
  <c r="N626" i="4" s="1"/>
  <c r="E627" i="4"/>
  <c r="H624" i="4"/>
  <c r="O630" i="2"/>
  <c r="I629" i="2"/>
  <c r="F629" i="2" s="1"/>
  <c r="N628" i="3" s="1"/>
  <c r="I628" i="4"/>
  <c r="M628" i="4" s="1"/>
  <c r="L633" i="2"/>
  <c r="F625" i="3"/>
  <c r="D626" i="3"/>
  <c r="D626" i="4"/>
  <c r="AA626" i="3"/>
  <c r="I624" i="3"/>
  <c r="U624" i="3"/>
  <c r="O624" i="3"/>
  <c r="B629" i="3"/>
  <c r="B631" i="2"/>
  <c r="M634" i="2"/>
  <c r="A629" i="4"/>
  <c r="P628" i="3"/>
  <c r="E628" i="3"/>
  <c r="G628" i="3"/>
  <c r="S628" i="3"/>
  <c r="Y628" i="3" s="1"/>
  <c r="Z628" i="3" s="1"/>
  <c r="M628" i="3"/>
  <c r="C628" i="3"/>
  <c r="C628" i="4"/>
  <c r="AB627" i="3"/>
  <c r="K630" i="2"/>
  <c r="N628" i="2"/>
  <c r="J626" i="3"/>
  <c r="H627" i="2"/>
  <c r="E627" i="2" s="1"/>
  <c r="H626" i="3" s="1"/>
  <c r="P628" i="2"/>
  <c r="J627" i="2"/>
  <c r="G627" i="2" s="1"/>
  <c r="T626" i="3" s="1"/>
  <c r="V626" i="3"/>
  <c r="C630" i="2"/>
  <c r="D630" i="2"/>
  <c r="T629" i="2"/>
  <c r="J625" i="4" l="1"/>
  <c r="F625" i="4"/>
  <c r="H625" i="4"/>
  <c r="E628" i="4"/>
  <c r="K627" i="4"/>
  <c r="N627" i="4" s="1"/>
  <c r="G627" i="4"/>
  <c r="L627" i="4" s="1"/>
  <c r="O631" i="2"/>
  <c r="I630" i="2"/>
  <c r="F630" i="2" s="1"/>
  <c r="N629" i="3" s="1"/>
  <c r="N629" i="2"/>
  <c r="J627" i="3"/>
  <c r="H628" i="2"/>
  <c r="E628" i="2" s="1"/>
  <c r="H627" i="3" s="1"/>
  <c r="K631" i="2"/>
  <c r="F626" i="3"/>
  <c r="D627" i="3"/>
  <c r="O625" i="3"/>
  <c r="I625" i="3"/>
  <c r="U625" i="3"/>
  <c r="I629" i="4"/>
  <c r="M629" i="4" s="1"/>
  <c r="L634" i="2"/>
  <c r="D627" i="4"/>
  <c r="AA627" i="3"/>
  <c r="T630" i="2"/>
  <c r="D631" i="2"/>
  <c r="C631" i="2"/>
  <c r="M635" i="2"/>
  <c r="C629" i="4"/>
  <c r="AB628" i="3"/>
  <c r="B630" i="3"/>
  <c r="B632" i="2"/>
  <c r="A630" i="4"/>
  <c r="M629" i="3"/>
  <c r="C629" i="3"/>
  <c r="P629" i="3"/>
  <c r="E629" i="3"/>
  <c r="G629" i="3"/>
  <c r="S629" i="3"/>
  <c r="Y629" i="3" s="1"/>
  <c r="Z629" i="3" s="1"/>
  <c r="P629" i="2"/>
  <c r="J628" i="2"/>
  <c r="G628" i="2" s="1"/>
  <c r="T627" i="3" s="1"/>
  <c r="V627" i="3"/>
  <c r="J626" i="4" l="1"/>
  <c r="H626" i="4"/>
  <c r="K628" i="4"/>
  <c r="N628" i="4" s="1"/>
  <c r="F626" i="4"/>
  <c r="G628" i="4"/>
  <c r="L628" i="4" s="1"/>
  <c r="E629" i="4"/>
  <c r="O632" i="2"/>
  <c r="I631" i="2"/>
  <c r="F631" i="2" s="1"/>
  <c r="N630" i="3" s="1"/>
  <c r="T631" i="2"/>
  <c r="D632" i="2"/>
  <c r="C630" i="4"/>
  <c r="AB629" i="3"/>
  <c r="B631" i="3"/>
  <c r="B633" i="2"/>
  <c r="D628" i="4"/>
  <c r="AA628" i="3"/>
  <c r="A631" i="4"/>
  <c r="M630" i="3"/>
  <c r="C630" i="3"/>
  <c r="P630" i="3"/>
  <c r="E630" i="3"/>
  <c r="G630" i="3"/>
  <c r="S630" i="3"/>
  <c r="Y630" i="3" s="1"/>
  <c r="Z630" i="3" s="1"/>
  <c r="D628" i="3"/>
  <c r="F627" i="3"/>
  <c r="O626" i="3"/>
  <c r="I626" i="3"/>
  <c r="U626" i="3"/>
  <c r="L635" i="2"/>
  <c r="P630" i="2"/>
  <c r="J629" i="2"/>
  <c r="G629" i="2" s="1"/>
  <c r="T628" i="3" s="1"/>
  <c r="V628" i="3"/>
  <c r="K632" i="2"/>
  <c r="M636" i="2"/>
  <c r="C632" i="2"/>
  <c r="I630" i="4"/>
  <c r="M630" i="4" s="1"/>
  <c r="N630" i="2"/>
  <c r="J628" i="3"/>
  <c r="H629" i="2"/>
  <c r="E629" i="2" s="1"/>
  <c r="H628" i="3" s="1"/>
  <c r="G629" i="4" l="1"/>
  <c r="L629" i="4" s="1"/>
  <c r="J627" i="4"/>
  <c r="F627" i="4"/>
  <c r="H627" i="4"/>
  <c r="E630" i="4"/>
  <c r="K629" i="4"/>
  <c r="N629" i="4" s="1"/>
  <c r="O633" i="2"/>
  <c r="I632" i="2"/>
  <c r="F632" i="2" s="1"/>
  <c r="N631" i="3" s="1"/>
  <c r="I627" i="3"/>
  <c r="U627" i="3"/>
  <c r="O627" i="3"/>
  <c r="M637" i="2"/>
  <c r="F628" i="3"/>
  <c r="D629" i="3"/>
  <c r="I631" i="4"/>
  <c r="M631" i="4" s="1"/>
  <c r="D629" i="4"/>
  <c r="AA629" i="3"/>
  <c r="B632" i="3"/>
  <c r="B634" i="2"/>
  <c r="A632" i="4"/>
  <c r="G631" i="3"/>
  <c r="S631" i="3"/>
  <c r="Y631" i="3" s="1"/>
  <c r="Z631" i="3" s="1"/>
  <c r="M631" i="3"/>
  <c r="C631" i="3"/>
  <c r="P631" i="3"/>
  <c r="E631" i="3"/>
  <c r="P631" i="2"/>
  <c r="J630" i="2"/>
  <c r="G630" i="2" s="1"/>
  <c r="T629" i="3" s="1"/>
  <c r="V629" i="3"/>
  <c r="N631" i="2"/>
  <c r="H630" i="2"/>
  <c r="E630" i="2" s="1"/>
  <c r="H629" i="3" s="1"/>
  <c r="J629" i="3"/>
  <c r="L636" i="2"/>
  <c r="D633" i="2"/>
  <c r="T632" i="2"/>
  <c r="C633" i="2"/>
  <c r="K633" i="2"/>
  <c r="C631" i="4"/>
  <c r="AB630" i="3"/>
  <c r="K630" i="4" l="1"/>
  <c r="N630" i="4" s="1"/>
  <c r="H628" i="4"/>
  <c r="J628" i="4"/>
  <c r="E631" i="4"/>
  <c r="F628" i="4"/>
  <c r="G630" i="4"/>
  <c r="L630" i="4" s="1"/>
  <c r="O634" i="2"/>
  <c r="I633" i="2"/>
  <c r="F633" i="2" s="1"/>
  <c r="N632" i="3" s="1"/>
  <c r="K634" i="2"/>
  <c r="N632" i="2"/>
  <c r="H631" i="2"/>
  <c r="E631" i="2" s="1"/>
  <c r="H630" i="3" s="1"/>
  <c r="J630" i="3"/>
  <c r="C634" i="2"/>
  <c r="F629" i="3"/>
  <c r="D630" i="3"/>
  <c r="P632" i="2"/>
  <c r="J631" i="2"/>
  <c r="G631" i="2" s="1"/>
  <c r="T630" i="3" s="1"/>
  <c r="V630" i="3"/>
  <c r="I632" i="4"/>
  <c r="M632" i="4" s="1"/>
  <c r="I628" i="3"/>
  <c r="U628" i="3"/>
  <c r="O628" i="3"/>
  <c r="B633" i="3"/>
  <c r="B635" i="2"/>
  <c r="A633" i="4"/>
  <c r="P632" i="3"/>
  <c r="E632" i="3"/>
  <c r="G632" i="3"/>
  <c r="S632" i="3"/>
  <c r="Y632" i="3" s="1"/>
  <c r="Z632" i="3" s="1"/>
  <c r="M632" i="3"/>
  <c r="C632" i="3"/>
  <c r="M638" i="2"/>
  <c r="D630" i="4"/>
  <c r="AA630" i="3"/>
  <c r="T633" i="2"/>
  <c r="D634" i="2"/>
  <c r="L637" i="2"/>
  <c r="C632" i="4"/>
  <c r="AB631" i="3"/>
  <c r="E632" i="4" l="1"/>
  <c r="H629" i="4"/>
  <c r="K631" i="4"/>
  <c r="N631" i="4" s="1"/>
  <c r="J629" i="4"/>
  <c r="G631" i="4"/>
  <c r="L631" i="4" s="1"/>
  <c r="F629" i="4"/>
  <c r="O635" i="2"/>
  <c r="I634" i="2"/>
  <c r="F634" i="2" s="1"/>
  <c r="N633" i="3" s="1"/>
  <c r="C633" i="4"/>
  <c r="AB632" i="3"/>
  <c r="F630" i="3"/>
  <c r="D631" i="3"/>
  <c r="O629" i="3"/>
  <c r="I629" i="3"/>
  <c r="U629" i="3"/>
  <c r="P633" i="2"/>
  <c r="J632" i="2"/>
  <c r="G632" i="2" s="1"/>
  <c r="T631" i="3" s="1"/>
  <c r="V631" i="3"/>
  <c r="C635" i="2"/>
  <c r="L638" i="2"/>
  <c r="T634" i="2"/>
  <c r="D635" i="2"/>
  <c r="B634" i="3"/>
  <c r="B636" i="2"/>
  <c r="A634" i="4"/>
  <c r="M633" i="3"/>
  <c r="C633" i="3"/>
  <c r="P633" i="3"/>
  <c r="E633" i="3"/>
  <c r="G633" i="3"/>
  <c r="S633" i="3"/>
  <c r="Y633" i="3" s="1"/>
  <c r="Z633" i="3" s="1"/>
  <c r="D631" i="4"/>
  <c r="AA631" i="3"/>
  <c r="N633" i="2"/>
  <c r="H632" i="2"/>
  <c r="E632" i="2" s="1"/>
  <c r="H631" i="3" s="1"/>
  <c r="J631" i="3"/>
  <c r="M639" i="2"/>
  <c r="I633" i="4"/>
  <c r="M633" i="4" s="1"/>
  <c r="K635" i="2"/>
  <c r="K632" i="4" l="1"/>
  <c r="N632" i="4" s="1"/>
  <c r="G632" i="4"/>
  <c r="L632" i="4" s="1"/>
  <c r="J630" i="4"/>
  <c r="F630" i="4"/>
  <c r="E633" i="4"/>
  <c r="H630" i="4"/>
  <c r="O636" i="2"/>
  <c r="I635" i="2"/>
  <c r="F635" i="2" s="1"/>
  <c r="N634" i="3" s="1"/>
  <c r="K636" i="2"/>
  <c r="N634" i="2"/>
  <c r="H633" i="2"/>
  <c r="E633" i="2" s="1"/>
  <c r="H632" i="3" s="1"/>
  <c r="J632" i="3"/>
  <c r="D632" i="4"/>
  <c r="AA632" i="3"/>
  <c r="C634" i="4"/>
  <c r="AB633" i="3"/>
  <c r="I634" i="4"/>
  <c r="M634" i="4" s="1"/>
  <c r="B635" i="3"/>
  <c r="B637" i="2"/>
  <c r="P634" i="2"/>
  <c r="J633" i="2"/>
  <c r="G633" i="2" s="1"/>
  <c r="T632" i="3" s="1"/>
  <c r="V632" i="3"/>
  <c r="A635" i="4"/>
  <c r="M634" i="3"/>
  <c r="C634" i="3"/>
  <c r="P634" i="3"/>
  <c r="E634" i="3"/>
  <c r="G634" i="3"/>
  <c r="S634" i="3"/>
  <c r="Y634" i="3" s="1"/>
  <c r="Z634" i="3" s="1"/>
  <c r="D636" i="2"/>
  <c r="T635" i="2"/>
  <c r="D632" i="3"/>
  <c r="F631" i="3"/>
  <c r="O630" i="3"/>
  <c r="I630" i="3"/>
  <c r="U630" i="3"/>
  <c r="M640" i="2"/>
  <c r="L639" i="2"/>
  <c r="C636" i="2"/>
  <c r="E634" i="4" l="1"/>
  <c r="G633" i="4"/>
  <c r="L633" i="4" s="1"/>
  <c r="J631" i="4"/>
  <c r="F631" i="4"/>
  <c r="K633" i="4"/>
  <c r="N633" i="4" s="1"/>
  <c r="H631" i="4"/>
  <c r="O637" i="2"/>
  <c r="I636" i="2"/>
  <c r="F636" i="2" s="1"/>
  <c r="N635" i="3" s="1"/>
  <c r="C635" i="4"/>
  <c r="AB634" i="3"/>
  <c r="D633" i="4"/>
  <c r="AA633" i="3"/>
  <c r="P635" i="2"/>
  <c r="J634" i="2"/>
  <c r="G634" i="2" s="1"/>
  <c r="T633" i="3" s="1"/>
  <c r="V633" i="3"/>
  <c r="F632" i="3"/>
  <c r="D633" i="3"/>
  <c r="C637" i="2"/>
  <c r="T636" i="2"/>
  <c r="D637" i="2"/>
  <c r="I635" i="4"/>
  <c r="M635" i="4" s="1"/>
  <c r="B636" i="3"/>
  <c r="B638" i="2"/>
  <c r="L640" i="2"/>
  <c r="M641" i="2"/>
  <c r="A636" i="4"/>
  <c r="G635" i="3"/>
  <c r="S635" i="3"/>
  <c r="Y635" i="3" s="1"/>
  <c r="Z635" i="3" s="1"/>
  <c r="M635" i="3"/>
  <c r="C635" i="3"/>
  <c r="P635" i="3"/>
  <c r="E635" i="3"/>
  <c r="N635" i="2"/>
  <c r="J633" i="3"/>
  <c r="H634" i="2"/>
  <c r="E634" i="2" s="1"/>
  <c r="H633" i="3" s="1"/>
  <c r="I631" i="3"/>
  <c r="U631" i="3"/>
  <c r="O631" i="3"/>
  <c r="K637" i="2"/>
  <c r="K634" i="4" l="1"/>
  <c r="N634" i="4" s="1"/>
  <c r="H632" i="4"/>
  <c r="J632" i="4"/>
  <c r="F632" i="4"/>
  <c r="G634" i="4"/>
  <c r="L634" i="4" s="1"/>
  <c r="E635" i="4"/>
  <c r="O638" i="2"/>
  <c r="I637" i="2"/>
  <c r="F637" i="2" s="1"/>
  <c r="N636" i="3" s="1"/>
  <c r="K638" i="2"/>
  <c r="L641" i="2"/>
  <c r="C638" i="2"/>
  <c r="B637" i="3"/>
  <c r="B639" i="2"/>
  <c r="A637" i="4"/>
  <c r="P636" i="3"/>
  <c r="G636" i="3"/>
  <c r="S636" i="3"/>
  <c r="Y636" i="3" s="1"/>
  <c r="Z636" i="3" s="1"/>
  <c r="M636" i="3"/>
  <c r="C636" i="3"/>
  <c r="E636" i="3"/>
  <c r="F633" i="3"/>
  <c r="D634" i="3"/>
  <c r="I632" i="3"/>
  <c r="U632" i="3"/>
  <c r="O632" i="3"/>
  <c r="P636" i="2"/>
  <c r="J635" i="2"/>
  <c r="G635" i="2" s="1"/>
  <c r="T634" i="3" s="1"/>
  <c r="V634" i="3"/>
  <c r="N636" i="2"/>
  <c r="H635" i="2"/>
  <c r="E635" i="2" s="1"/>
  <c r="H634" i="3" s="1"/>
  <c r="J634" i="3"/>
  <c r="D634" i="4"/>
  <c r="AA634" i="3"/>
  <c r="T637" i="2"/>
  <c r="D638" i="2"/>
  <c r="M642" i="2"/>
  <c r="C636" i="4"/>
  <c r="AB635" i="3"/>
  <c r="I636" i="4"/>
  <c r="M636" i="4" s="1"/>
  <c r="K635" i="4" l="1"/>
  <c r="N635" i="4" s="1"/>
  <c r="E636" i="4"/>
  <c r="J633" i="4"/>
  <c r="H633" i="4"/>
  <c r="F633" i="4"/>
  <c r="G635" i="4"/>
  <c r="L635" i="4" s="1"/>
  <c r="O639" i="2"/>
  <c r="I638" i="2"/>
  <c r="F638" i="2" s="1"/>
  <c r="N637" i="3" s="1"/>
  <c r="F634" i="3"/>
  <c r="D635" i="3"/>
  <c r="D635" i="4"/>
  <c r="AA635" i="3"/>
  <c r="O633" i="3"/>
  <c r="I633" i="3"/>
  <c r="U633" i="3"/>
  <c r="I637" i="4"/>
  <c r="M637" i="4" s="1"/>
  <c r="B638" i="3"/>
  <c r="B640" i="2"/>
  <c r="A638" i="4"/>
  <c r="M637" i="3"/>
  <c r="C637" i="3"/>
  <c r="P637" i="3"/>
  <c r="E637" i="3"/>
  <c r="G637" i="3"/>
  <c r="S637" i="3"/>
  <c r="Y637" i="3" s="1"/>
  <c r="Z637" i="3" s="1"/>
  <c r="C639" i="2"/>
  <c r="N637" i="2"/>
  <c r="J635" i="3"/>
  <c r="H636" i="2"/>
  <c r="E636" i="2" s="1"/>
  <c r="H635" i="3" s="1"/>
  <c r="C637" i="4"/>
  <c r="AB636" i="3"/>
  <c r="D639" i="2"/>
  <c r="T638" i="2"/>
  <c r="L642" i="2"/>
  <c r="K639" i="2"/>
  <c r="P637" i="2"/>
  <c r="J636" i="2"/>
  <c r="G636" i="2" s="1"/>
  <c r="T635" i="3" s="1"/>
  <c r="V635" i="3"/>
  <c r="M643" i="2"/>
  <c r="G636" i="4" l="1"/>
  <c r="L636" i="4" s="1"/>
  <c r="J634" i="4"/>
  <c r="F634" i="4"/>
  <c r="H634" i="4"/>
  <c r="K636" i="4"/>
  <c r="N636" i="4" s="1"/>
  <c r="E637" i="4"/>
  <c r="O640" i="2"/>
  <c r="I639" i="2"/>
  <c r="F639" i="2" s="1"/>
  <c r="N638" i="3" s="1"/>
  <c r="T639" i="2"/>
  <c r="D640" i="2"/>
  <c r="P638" i="2"/>
  <c r="J637" i="2"/>
  <c r="G637" i="2" s="1"/>
  <c r="T636" i="3" s="1"/>
  <c r="V636" i="3"/>
  <c r="N638" i="2"/>
  <c r="H637" i="2"/>
  <c r="E637" i="2" s="1"/>
  <c r="H636" i="3" s="1"/>
  <c r="J636" i="3"/>
  <c r="K640" i="2"/>
  <c r="C640" i="2"/>
  <c r="C638" i="4"/>
  <c r="AB637" i="3"/>
  <c r="L643" i="2"/>
  <c r="I638" i="4"/>
  <c r="M638" i="4" s="1"/>
  <c r="D636" i="4"/>
  <c r="AA636" i="3"/>
  <c r="B639" i="3"/>
  <c r="B641" i="2"/>
  <c r="M644" i="2"/>
  <c r="A639" i="4"/>
  <c r="M638" i="3"/>
  <c r="C638" i="3"/>
  <c r="P638" i="3"/>
  <c r="E638" i="3"/>
  <c r="G638" i="3"/>
  <c r="S638" i="3"/>
  <c r="Y638" i="3" s="1"/>
  <c r="Z638" i="3" s="1"/>
  <c r="D636" i="3"/>
  <c r="F635" i="3"/>
  <c r="O634" i="3"/>
  <c r="U634" i="3"/>
  <c r="I634" i="3"/>
  <c r="K637" i="4" l="1"/>
  <c r="N637" i="4" s="1"/>
  <c r="F635" i="4"/>
  <c r="G637" i="4"/>
  <c r="L637" i="4" s="1"/>
  <c r="J635" i="4"/>
  <c r="H635" i="4"/>
  <c r="E638" i="4"/>
  <c r="O641" i="2"/>
  <c r="I640" i="2"/>
  <c r="F640" i="2" s="1"/>
  <c r="N639" i="3" s="1"/>
  <c r="C639" i="4"/>
  <c r="AB638" i="3"/>
  <c r="K641" i="2"/>
  <c r="F636" i="3"/>
  <c r="D637" i="3"/>
  <c r="I639" i="4"/>
  <c r="M639" i="4" s="1"/>
  <c r="N639" i="2"/>
  <c r="H638" i="2"/>
  <c r="E638" i="2" s="1"/>
  <c r="H637" i="3" s="1"/>
  <c r="J637" i="3"/>
  <c r="I635" i="3"/>
  <c r="U635" i="3"/>
  <c r="O635" i="3"/>
  <c r="M645" i="2"/>
  <c r="L644" i="2"/>
  <c r="B640" i="3"/>
  <c r="B642" i="2"/>
  <c r="P639" i="2"/>
  <c r="J638" i="2"/>
  <c r="G638" i="2" s="1"/>
  <c r="T637" i="3" s="1"/>
  <c r="V637" i="3"/>
  <c r="A640" i="4"/>
  <c r="G639" i="3"/>
  <c r="S639" i="3"/>
  <c r="Y639" i="3" s="1"/>
  <c r="Z639" i="3" s="1"/>
  <c r="M639" i="3"/>
  <c r="C639" i="3"/>
  <c r="P639" i="3"/>
  <c r="E639" i="3"/>
  <c r="T640" i="2"/>
  <c r="D641" i="2"/>
  <c r="D637" i="4"/>
  <c r="AA637" i="3"/>
  <c r="C641" i="2"/>
  <c r="F636" i="4" l="1"/>
  <c r="G638" i="4"/>
  <c r="L638" i="4" s="1"/>
  <c r="K638" i="4"/>
  <c r="N638" i="4" s="1"/>
  <c r="E639" i="4"/>
  <c r="H636" i="4"/>
  <c r="J636" i="4"/>
  <c r="O642" i="2"/>
  <c r="I641" i="2"/>
  <c r="F641" i="2" s="1"/>
  <c r="N640" i="3" s="1"/>
  <c r="L645" i="2"/>
  <c r="B641" i="3"/>
  <c r="B643" i="2"/>
  <c r="C640" i="4"/>
  <c r="AB639" i="3"/>
  <c r="D638" i="4"/>
  <c r="AA638" i="3"/>
  <c r="M646" i="2"/>
  <c r="A641" i="4"/>
  <c r="P640" i="3"/>
  <c r="G640" i="3"/>
  <c r="S640" i="3"/>
  <c r="Y640" i="3" s="1"/>
  <c r="Z640" i="3" s="1"/>
  <c r="M640" i="3"/>
  <c r="E640" i="3"/>
  <c r="C640" i="3"/>
  <c r="F637" i="3"/>
  <c r="D638" i="3"/>
  <c r="D642" i="2"/>
  <c r="T641" i="2"/>
  <c r="I636" i="3"/>
  <c r="U636" i="3"/>
  <c r="O636" i="3"/>
  <c r="C642" i="2"/>
  <c r="I640" i="4"/>
  <c r="M640" i="4" s="1"/>
  <c r="K642" i="2"/>
  <c r="P640" i="2"/>
  <c r="J639" i="2"/>
  <c r="G639" i="2" s="1"/>
  <c r="T638" i="3" s="1"/>
  <c r="V638" i="3"/>
  <c r="N640" i="2"/>
  <c r="J638" i="3"/>
  <c r="H639" i="2"/>
  <c r="E639" i="2" s="1"/>
  <c r="H638" i="3" s="1"/>
  <c r="E640" i="4" l="1"/>
  <c r="G639" i="4"/>
  <c r="L639" i="4" s="1"/>
  <c r="F637" i="4"/>
  <c r="J637" i="4"/>
  <c r="K639" i="4"/>
  <c r="N639" i="4" s="1"/>
  <c r="H637" i="4"/>
  <c r="O643" i="2"/>
  <c r="I642" i="2"/>
  <c r="F642" i="2" s="1"/>
  <c r="N641" i="3" s="1"/>
  <c r="O637" i="3"/>
  <c r="I637" i="3"/>
  <c r="U637" i="3"/>
  <c r="N641" i="2"/>
  <c r="H640" i="2"/>
  <c r="E640" i="2" s="1"/>
  <c r="H639" i="3" s="1"/>
  <c r="J639" i="3"/>
  <c r="C643" i="2"/>
  <c r="M647" i="2"/>
  <c r="D639" i="4"/>
  <c r="AA639" i="3"/>
  <c r="C641" i="4"/>
  <c r="AB640" i="3"/>
  <c r="I641" i="4"/>
  <c r="M641" i="4" s="1"/>
  <c r="P641" i="2"/>
  <c r="J640" i="2"/>
  <c r="G640" i="2" s="1"/>
  <c r="T639" i="3" s="1"/>
  <c r="V639" i="3"/>
  <c r="F638" i="3"/>
  <c r="D639" i="3"/>
  <c r="K643" i="2"/>
  <c r="B642" i="3"/>
  <c r="B644" i="2"/>
  <c r="A642" i="4"/>
  <c r="M641" i="3"/>
  <c r="P641" i="3"/>
  <c r="E641" i="3"/>
  <c r="G641" i="3"/>
  <c r="S641" i="3"/>
  <c r="Y641" i="3" s="1"/>
  <c r="Z641" i="3" s="1"/>
  <c r="C641" i="3"/>
  <c r="L646" i="2"/>
  <c r="T642" i="2"/>
  <c r="D643" i="2"/>
  <c r="K640" i="4" l="1"/>
  <c r="N640" i="4" s="1"/>
  <c r="G640" i="4"/>
  <c r="L640" i="4" s="1"/>
  <c r="J638" i="4"/>
  <c r="H638" i="4"/>
  <c r="F638" i="4"/>
  <c r="E641" i="4"/>
  <c r="O644" i="2"/>
  <c r="I643" i="2"/>
  <c r="F643" i="2" s="1"/>
  <c r="N642" i="3" s="1"/>
  <c r="P642" i="2"/>
  <c r="J641" i="2"/>
  <c r="G641" i="2" s="1"/>
  <c r="T640" i="3" s="1"/>
  <c r="V640" i="3"/>
  <c r="M648" i="2"/>
  <c r="C644" i="2"/>
  <c r="C642" i="4"/>
  <c r="AB641" i="3"/>
  <c r="L647" i="2"/>
  <c r="I642" i="4"/>
  <c r="M642" i="4" s="1"/>
  <c r="B643" i="3"/>
  <c r="B645" i="2"/>
  <c r="T643" i="2"/>
  <c r="D644" i="2"/>
  <c r="A643" i="4"/>
  <c r="M642" i="3"/>
  <c r="C642" i="3"/>
  <c r="P642" i="3"/>
  <c r="E642" i="3"/>
  <c r="G642" i="3"/>
  <c r="S642" i="3"/>
  <c r="Y642" i="3" s="1"/>
  <c r="Z642" i="3" s="1"/>
  <c r="N642" i="2"/>
  <c r="J640" i="3"/>
  <c r="H641" i="2"/>
  <c r="E641" i="2" s="1"/>
  <c r="H640" i="3" s="1"/>
  <c r="K644" i="2"/>
  <c r="D640" i="3"/>
  <c r="F639" i="3"/>
  <c r="O638" i="3"/>
  <c r="U638" i="3"/>
  <c r="I638" i="3"/>
  <c r="D640" i="4"/>
  <c r="AA640" i="3"/>
  <c r="G641" i="4" l="1"/>
  <c r="L641" i="4" s="1"/>
  <c r="E642" i="4"/>
  <c r="J639" i="4"/>
  <c r="K641" i="4"/>
  <c r="N641" i="4" s="1"/>
  <c r="F639" i="4"/>
  <c r="H639" i="4"/>
  <c r="O645" i="2"/>
  <c r="I644" i="2"/>
  <c r="F644" i="2" s="1"/>
  <c r="N643" i="3" s="1"/>
  <c r="L648" i="2"/>
  <c r="I643" i="4"/>
  <c r="M643" i="4" s="1"/>
  <c r="B644" i="3"/>
  <c r="B646" i="2"/>
  <c r="C645" i="2"/>
  <c r="A644" i="4"/>
  <c r="G643" i="3"/>
  <c r="S643" i="3"/>
  <c r="Y643" i="3" s="1"/>
  <c r="Z643" i="3" s="1"/>
  <c r="M643" i="3"/>
  <c r="C643" i="3"/>
  <c r="P643" i="3"/>
  <c r="E643" i="3"/>
  <c r="N643" i="2"/>
  <c r="J641" i="3"/>
  <c r="H642" i="2"/>
  <c r="E642" i="2" s="1"/>
  <c r="H641" i="3" s="1"/>
  <c r="I639" i="3"/>
  <c r="U639" i="3"/>
  <c r="O639" i="3"/>
  <c r="F640" i="3"/>
  <c r="D641" i="3"/>
  <c r="K645" i="2"/>
  <c r="M649" i="2"/>
  <c r="C643" i="4"/>
  <c r="AB642" i="3"/>
  <c r="D641" i="4"/>
  <c r="AA641" i="3"/>
  <c r="D645" i="2"/>
  <c r="T644" i="2"/>
  <c r="P643" i="2"/>
  <c r="J642" i="2"/>
  <c r="G642" i="2" s="1"/>
  <c r="T641" i="3" s="1"/>
  <c r="V641" i="3"/>
  <c r="H640" i="4" l="1"/>
  <c r="J640" i="4"/>
  <c r="K642" i="4"/>
  <c r="N642" i="4" s="1"/>
  <c r="F640" i="4"/>
  <c r="E643" i="4"/>
  <c r="G642" i="4"/>
  <c r="L642" i="4" s="1"/>
  <c r="O646" i="2"/>
  <c r="I645" i="2"/>
  <c r="F645" i="2" s="1"/>
  <c r="N644" i="3" s="1"/>
  <c r="K646" i="2"/>
  <c r="B645" i="3"/>
  <c r="B647" i="2"/>
  <c r="I640" i="3"/>
  <c r="U640" i="3"/>
  <c r="O640" i="3"/>
  <c r="C644" i="4"/>
  <c r="AB643" i="3"/>
  <c r="P644" i="2"/>
  <c r="J643" i="2"/>
  <c r="G643" i="2" s="1"/>
  <c r="T642" i="3" s="1"/>
  <c r="V642" i="3"/>
  <c r="T645" i="2"/>
  <c r="D646" i="2"/>
  <c r="D642" i="4"/>
  <c r="AA642" i="3"/>
  <c r="A645" i="4"/>
  <c r="P644" i="3"/>
  <c r="G644" i="3"/>
  <c r="S644" i="3"/>
  <c r="Y644" i="3" s="1"/>
  <c r="Z644" i="3" s="1"/>
  <c r="M644" i="3"/>
  <c r="C644" i="3"/>
  <c r="E644" i="3"/>
  <c r="M650" i="2"/>
  <c r="F641" i="3"/>
  <c r="D642" i="3"/>
  <c r="N644" i="2"/>
  <c r="J642" i="3"/>
  <c r="H643" i="2"/>
  <c r="E643" i="2" s="1"/>
  <c r="H642" i="3" s="1"/>
  <c r="I644" i="4"/>
  <c r="M644" i="4" s="1"/>
  <c r="L649" i="2"/>
  <c r="C646" i="2"/>
  <c r="H641" i="4" l="1"/>
  <c r="J641" i="4"/>
  <c r="G643" i="4"/>
  <c r="L643" i="4" s="1"/>
  <c r="E644" i="4"/>
  <c r="F641" i="4"/>
  <c r="K643" i="4"/>
  <c r="N643" i="4" s="1"/>
  <c r="O647" i="2"/>
  <c r="I646" i="2"/>
  <c r="F646" i="2" s="1"/>
  <c r="N645" i="3" s="1"/>
  <c r="C647" i="2"/>
  <c r="N645" i="2"/>
  <c r="J643" i="3"/>
  <c r="H644" i="2"/>
  <c r="E644" i="2" s="1"/>
  <c r="H643" i="3" s="1"/>
  <c r="P645" i="2"/>
  <c r="J644" i="2"/>
  <c r="G644" i="2" s="1"/>
  <c r="T643" i="3" s="1"/>
  <c r="V643" i="3"/>
  <c r="F642" i="3"/>
  <c r="D643" i="3"/>
  <c r="I645" i="4"/>
  <c r="M645" i="4" s="1"/>
  <c r="I641" i="3"/>
  <c r="U641" i="3"/>
  <c r="O641" i="3"/>
  <c r="D643" i="4"/>
  <c r="AA643" i="3"/>
  <c r="B646" i="3"/>
  <c r="B648" i="2"/>
  <c r="L650" i="2"/>
  <c r="T646" i="2"/>
  <c r="D647" i="2"/>
  <c r="A646" i="4"/>
  <c r="M645" i="3"/>
  <c r="P645" i="3"/>
  <c r="E645" i="3"/>
  <c r="G645" i="3"/>
  <c r="S645" i="3"/>
  <c r="Y645" i="3" s="1"/>
  <c r="Z645" i="3" s="1"/>
  <c r="C645" i="3"/>
  <c r="M651" i="2"/>
  <c r="C645" i="4"/>
  <c r="AB644" i="3"/>
  <c r="K647" i="2"/>
  <c r="E645" i="4" l="1"/>
  <c r="G644" i="4"/>
  <c r="L644" i="4" s="1"/>
  <c r="K644" i="4"/>
  <c r="N644" i="4" s="1"/>
  <c r="H642" i="4"/>
  <c r="J642" i="4"/>
  <c r="F642" i="4"/>
  <c r="O648" i="2"/>
  <c r="I647" i="2"/>
  <c r="F647" i="2" s="1"/>
  <c r="N646" i="3" s="1"/>
  <c r="K648" i="2"/>
  <c r="A647" i="4"/>
  <c r="M646" i="3"/>
  <c r="C646" i="3"/>
  <c r="P646" i="3"/>
  <c r="E646" i="3"/>
  <c r="G646" i="3"/>
  <c r="S646" i="3"/>
  <c r="Y646" i="3" s="1"/>
  <c r="Z646" i="3" s="1"/>
  <c r="D644" i="3"/>
  <c r="F643" i="3"/>
  <c r="D644" i="4"/>
  <c r="AA644" i="3"/>
  <c r="O642" i="3"/>
  <c r="U642" i="3"/>
  <c r="I642" i="3"/>
  <c r="B647" i="3"/>
  <c r="B649" i="2"/>
  <c r="C646" i="4"/>
  <c r="AB645" i="3"/>
  <c r="P646" i="2"/>
  <c r="J645" i="2"/>
  <c r="G645" i="2" s="1"/>
  <c r="T644" i="3" s="1"/>
  <c r="V644" i="3"/>
  <c r="I646" i="4"/>
  <c r="M646" i="4" s="1"/>
  <c r="D648" i="2"/>
  <c r="T647" i="2"/>
  <c r="N646" i="2"/>
  <c r="H645" i="2"/>
  <c r="E645" i="2" s="1"/>
  <c r="H644" i="3" s="1"/>
  <c r="J644" i="3"/>
  <c r="C648" i="2"/>
  <c r="M652" i="2"/>
  <c r="L651" i="2"/>
  <c r="E646" i="4" l="1"/>
  <c r="K645" i="4"/>
  <c r="N645" i="4" s="1"/>
  <c r="J643" i="4"/>
  <c r="H643" i="4"/>
  <c r="G645" i="4"/>
  <c r="L645" i="4" s="1"/>
  <c r="F643" i="4"/>
  <c r="O649" i="2"/>
  <c r="I648" i="2"/>
  <c r="F648" i="2" s="1"/>
  <c r="N647" i="3" s="1"/>
  <c r="A648" i="4"/>
  <c r="G647" i="3"/>
  <c r="S647" i="3"/>
  <c r="Y647" i="3" s="1"/>
  <c r="Z647" i="3" s="1"/>
  <c r="M647" i="3"/>
  <c r="C647" i="3"/>
  <c r="P647" i="3"/>
  <c r="E647" i="3"/>
  <c r="B648" i="3"/>
  <c r="B650" i="2"/>
  <c r="M653" i="2"/>
  <c r="L652" i="2"/>
  <c r="C649" i="2"/>
  <c r="C647" i="4"/>
  <c r="AB646" i="3"/>
  <c r="O643" i="3"/>
  <c r="U643" i="3"/>
  <c r="I643" i="3"/>
  <c r="T648" i="2"/>
  <c r="D649" i="2"/>
  <c r="D645" i="3"/>
  <c r="F644" i="3"/>
  <c r="I647" i="4"/>
  <c r="M647" i="4" s="1"/>
  <c r="N647" i="2"/>
  <c r="J645" i="3"/>
  <c r="H646" i="2"/>
  <c r="E646" i="2" s="1"/>
  <c r="H645" i="3" s="1"/>
  <c r="P647" i="2"/>
  <c r="J646" i="2"/>
  <c r="G646" i="2" s="1"/>
  <c r="T645" i="3" s="1"/>
  <c r="V645" i="3"/>
  <c r="D645" i="4"/>
  <c r="AA645" i="3"/>
  <c r="K649" i="2"/>
  <c r="F644" i="4" l="1"/>
  <c r="H644" i="4"/>
  <c r="K646" i="4"/>
  <c r="N646" i="4" s="1"/>
  <c r="E647" i="4"/>
  <c r="J644" i="4"/>
  <c r="G646" i="4"/>
  <c r="L646" i="4" s="1"/>
  <c r="O650" i="2"/>
  <c r="I649" i="2"/>
  <c r="F649" i="2" s="1"/>
  <c r="N648" i="3" s="1"/>
  <c r="K650" i="2"/>
  <c r="D646" i="4"/>
  <c r="AA646" i="3"/>
  <c r="F645" i="3"/>
  <c r="D646" i="3"/>
  <c r="C648" i="4"/>
  <c r="AB647" i="3"/>
  <c r="C650" i="2"/>
  <c r="L653" i="2"/>
  <c r="T649" i="2"/>
  <c r="D650" i="2"/>
  <c r="M654" i="2"/>
  <c r="I644" i="3"/>
  <c r="U644" i="3"/>
  <c r="O644" i="3"/>
  <c r="P648" i="2"/>
  <c r="J647" i="2"/>
  <c r="G647" i="2" s="1"/>
  <c r="T646" i="3" s="1"/>
  <c r="V646" i="3"/>
  <c r="B649" i="3"/>
  <c r="B651" i="2"/>
  <c r="N648" i="2"/>
  <c r="H647" i="2"/>
  <c r="E647" i="2" s="1"/>
  <c r="H646" i="3" s="1"/>
  <c r="J646" i="3"/>
  <c r="A649" i="4"/>
  <c r="P648" i="3"/>
  <c r="G648" i="3"/>
  <c r="S648" i="3"/>
  <c r="Y648" i="3" s="1"/>
  <c r="Z648" i="3" s="1"/>
  <c r="M648" i="3"/>
  <c r="E648" i="3"/>
  <c r="C648" i="3"/>
  <c r="I648" i="4"/>
  <c r="M648" i="4" s="1"/>
  <c r="E648" i="4" l="1"/>
  <c r="H645" i="4"/>
  <c r="J645" i="4"/>
  <c r="F645" i="4"/>
  <c r="G647" i="4"/>
  <c r="L647" i="4" s="1"/>
  <c r="K647" i="4"/>
  <c r="N647" i="4" s="1"/>
  <c r="O651" i="2"/>
  <c r="I650" i="2"/>
  <c r="F650" i="2" s="1"/>
  <c r="N649" i="3" s="1"/>
  <c r="C651" i="2"/>
  <c r="P649" i="2"/>
  <c r="J648" i="2"/>
  <c r="G648" i="2" s="1"/>
  <c r="T647" i="3" s="1"/>
  <c r="V647" i="3"/>
  <c r="I649" i="4"/>
  <c r="M649" i="4" s="1"/>
  <c r="F646" i="3"/>
  <c r="D647" i="3"/>
  <c r="M655" i="2"/>
  <c r="I645" i="3"/>
  <c r="U645" i="3"/>
  <c r="O645" i="3"/>
  <c r="L654" i="2"/>
  <c r="D647" i="4"/>
  <c r="AA647" i="3"/>
  <c r="N649" i="2"/>
  <c r="J647" i="3"/>
  <c r="H648" i="2"/>
  <c r="E648" i="2" s="1"/>
  <c r="H647" i="3" s="1"/>
  <c r="D651" i="2"/>
  <c r="T650" i="2"/>
  <c r="C649" i="4"/>
  <c r="AB648" i="3"/>
  <c r="B650" i="3"/>
  <c r="B652" i="2"/>
  <c r="K651" i="2"/>
  <c r="A650" i="4"/>
  <c r="M649" i="3"/>
  <c r="P649" i="3"/>
  <c r="E649" i="3"/>
  <c r="G649" i="3"/>
  <c r="S649" i="3"/>
  <c r="Y649" i="3" s="1"/>
  <c r="Z649" i="3" s="1"/>
  <c r="C649" i="3"/>
  <c r="J646" i="4" l="1"/>
  <c r="F646" i="4"/>
  <c r="K648" i="4"/>
  <c r="N648" i="4" s="1"/>
  <c r="E649" i="4"/>
  <c r="G648" i="4"/>
  <c r="L648" i="4" s="1"/>
  <c r="H646" i="4"/>
  <c r="O652" i="2"/>
  <c r="I651" i="2"/>
  <c r="F651" i="2" s="1"/>
  <c r="N650" i="3" s="1"/>
  <c r="D648" i="4"/>
  <c r="AA648" i="3"/>
  <c r="K652" i="2"/>
  <c r="B651" i="3"/>
  <c r="B653" i="2"/>
  <c r="L655" i="2"/>
  <c r="A651" i="4"/>
  <c r="M650" i="3"/>
  <c r="C650" i="3"/>
  <c r="P650" i="3"/>
  <c r="E650" i="3"/>
  <c r="G650" i="3"/>
  <c r="S650" i="3"/>
  <c r="Y650" i="3" s="1"/>
  <c r="Z650" i="3" s="1"/>
  <c r="P650" i="2"/>
  <c r="J649" i="2"/>
  <c r="G649" i="2" s="1"/>
  <c r="T648" i="3" s="1"/>
  <c r="V648" i="3"/>
  <c r="T651" i="2"/>
  <c r="D652" i="2"/>
  <c r="M656" i="2"/>
  <c r="C652" i="2"/>
  <c r="I650" i="4"/>
  <c r="M650" i="4" s="1"/>
  <c r="D648" i="3"/>
  <c r="F647" i="3"/>
  <c r="N650" i="2"/>
  <c r="H649" i="2"/>
  <c r="E649" i="2" s="1"/>
  <c r="H648" i="3" s="1"/>
  <c r="J648" i="3"/>
  <c r="C650" i="4"/>
  <c r="AB649" i="3"/>
  <c r="O646" i="3"/>
  <c r="I646" i="3"/>
  <c r="U646" i="3"/>
  <c r="J647" i="4" l="1"/>
  <c r="F647" i="4"/>
  <c r="K649" i="4"/>
  <c r="N649" i="4" s="1"/>
  <c r="H647" i="4"/>
  <c r="G649" i="4"/>
  <c r="L649" i="4" s="1"/>
  <c r="E650" i="4"/>
  <c r="O653" i="2"/>
  <c r="I652" i="2"/>
  <c r="F652" i="2" s="1"/>
  <c r="N651" i="3" s="1"/>
  <c r="P651" i="2"/>
  <c r="J650" i="2"/>
  <c r="G650" i="2" s="1"/>
  <c r="T649" i="3" s="1"/>
  <c r="V649" i="3"/>
  <c r="I651" i="4"/>
  <c r="M651" i="4" s="1"/>
  <c r="C651" i="4"/>
  <c r="AB650" i="3"/>
  <c r="L656" i="2"/>
  <c r="C653" i="2"/>
  <c r="B652" i="3"/>
  <c r="B654" i="2"/>
  <c r="A652" i="4"/>
  <c r="G651" i="3"/>
  <c r="S651" i="3"/>
  <c r="Y651" i="3" s="1"/>
  <c r="Z651" i="3" s="1"/>
  <c r="M651" i="3"/>
  <c r="C651" i="3"/>
  <c r="P651" i="3"/>
  <c r="E651" i="3"/>
  <c r="M657" i="2"/>
  <c r="K653" i="2"/>
  <c r="N651" i="2"/>
  <c r="J649" i="3"/>
  <c r="H650" i="2"/>
  <c r="E650" i="2" s="1"/>
  <c r="H649" i="3" s="1"/>
  <c r="O647" i="3"/>
  <c r="I647" i="3"/>
  <c r="U647" i="3"/>
  <c r="D649" i="3"/>
  <c r="F648" i="3"/>
  <c r="T652" i="2"/>
  <c r="D653" i="2"/>
  <c r="D649" i="4"/>
  <c r="AA649" i="3"/>
  <c r="G650" i="4" l="1"/>
  <c r="L650" i="4" s="1"/>
  <c r="E651" i="4"/>
  <c r="F648" i="4"/>
  <c r="H648" i="4"/>
  <c r="K650" i="4"/>
  <c r="N650" i="4" s="1"/>
  <c r="J648" i="4"/>
  <c r="O654" i="2"/>
  <c r="I653" i="2"/>
  <c r="F653" i="2" s="1"/>
  <c r="N652" i="3" s="1"/>
  <c r="D650" i="4"/>
  <c r="AA650" i="3"/>
  <c r="N652" i="2"/>
  <c r="H651" i="2"/>
  <c r="E651" i="2" s="1"/>
  <c r="H650" i="3" s="1"/>
  <c r="J650" i="3"/>
  <c r="K654" i="2"/>
  <c r="M658" i="2"/>
  <c r="I652" i="4"/>
  <c r="M652" i="4" s="1"/>
  <c r="B653" i="3"/>
  <c r="B655" i="2"/>
  <c r="A653" i="4"/>
  <c r="P652" i="3"/>
  <c r="G652" i="3"/>
  <c r="S652" i="3"/>
  <c r="Y652" i="3" s="1"/>
  <c r="Z652" i="3" s="1"/>
  <c r="M652" i="3"/>
  <c r="C652" i="3"/>
  <c r="E652" i="3"/>
  <c r="C652" i="4"/>
  <c r="AB651" i="3"/>
  <c r="F649" i="3"/>
  <c r="D650" i="3"/>
  <c r="C654" i="2"/>
  <c r="L657" i="2"/>
  <c r="I648" i="3"/>
  <c r="U648" i="3"/>
  <c r="O648" i="3"/>
  <c r="D654" i="2"/>
  <c r="T653" i="2"/>
  <c r="P652" i="2"/>
  <c r="J651" i="2"/>
  <c r="G651" i="2" s="1"/>
  <c r="T650" i="3" s="1"/>
  <c r="V650" i="3"/>
  <c r="G651" i="4" l="1"/>
  <c r="L651" i="4" s="1"/>
  <c r="H649" i="4"/>
  <c r="J649" i="4"/>
  <c r="K651" i="4"/>
  <c r="N651" i="4" s="1"/>
  <c r="E652" i="4"/>
  <c r="F649" i="4"/>
  <c r="O655" i="2"/>
  <c r="I654" i="2"/>
  <c r="F654" i="2" s="1"/>
  <c r="N653" i="3" s="1"/>
  <c r="C655" i="2"/>
  <c r="F650" i="3"/>
  <c r="D651" i="3"/>
  <c r="I649" i="3"/>
  <c r="U649" i="3"/>
  <c r="O649" i="3"/>
  <c r="M659" i="2"/>
  <c r="K655" i="2"/>
  <c r="T654" i="2"/>
  <c r="D655" i="2"/>
  <c r="I653" i="4"/>
  <c r="M653" i="4" s="1"/>
  <c r="B654" i="3"/>
  <c r="B656" i="2"/>
  <c r="P653" i="2"/>
  <c r="J652" i="2"/>
  <c r="G652" i="2" s="1"/>
  <c r="T651" i="3" s="1"/>
  <c r="V651" i="3"/>
  <c r="A654" i="4"/>
  <c r="M653" i="3"/>
  <c r="P653" i="3"/>
  <c r="G653" i="3"/>
  <c r="S653" i="3"/>
  <c r="Y653" i="3" s="1"/>
  <c r="Z653" i="3" s="1"/>
  <c r="C653" i="3"/>
  <c r="E653" i="3"/>
  <c r="N653" i="2"/>
  <c r="H652" i="2"/>
  <c r="E652" i="2" s="1"/>
  <c r="H651" i="3" s="1"/>
  <c r="J651" i="3"/>
  <c r="L658" i="2"/>
  <c r="D651" i="4"/>
  <c r="AA651" i="3"/>
  <c r="C653" i="4"/>
  <c r="AB652" i="3"/>
  <c r="J650" i="4" l="1"/>
  <c r="H650" i="4"/>
  <c r="G652" i="4"/>
  <c r="L652" i="4" s="1"/>
  <c r="E653" i="4"/>
  <c r="K652" i="4"/>
  <c r="N652" i="4" s="1"/>
  <c r="F650" i="4"/>
  <c r="O656" i="2"/>
  <c r="I655" i="2"/>
  <c r="F655" i="2" s="1"/>
  <c r="N654" i="3" s="1"/>
  <c r="B655" i="3"/>
  <c r="B657" i="2"/>
  <c r="K656" i="2"/>
  <c r="A655" i="4"/>
  <c r="M654" i="3"/>
  <c r="C654" i="3"/>
  <c r="P654" i="3"/>
  <c r="E654" i="3"/>
  <c r="G654" i="3"/>
  <c r="S654" i="3"/>
  <c r="Y654" i="3" s="1"/>
  <c r="Z654" i="3" s="1"/>
  <c r="M660" i="2"/>
  <c r="D652" i="3"/>
  <c r="F651" i="3"/>
  <c r="P654" i="2"/>
  <c r="J653" i="2"/>
  <c r="G653" i="2" s="1"/>
  <c r="T652" i="3" s="1"/>
  <c r="V652" i="3"/>
  <c r="O650" i="3"/>
  <c r="U650" i="3"/>
  <c r="I650" i="3"/>
  <c r="D652" i="4"/>
  <c r="AA652" i="3"/>
  <c r="L659" i="2"/>
  <c r="C654" i="4"/>
  <c r="AB653" i="3"/>
  <c r="N654" i="2"/>
  <c r="H653" i="2"/>
  <c r="E653" i="2" s="1"/>
  <c r="H652" i="3" s="1"/>
  <c r="J652" i="3"/>
  <c r="I654" i="4"/>
  <c r="M654" i="4" s="1"/>
  <c r="T655" i="2"/>
  <c r="D656" i="2"/>
  <c r="C656" i="2"/>
  <c r="J651" i="4" l="1"/>
  <c r="H651" i="4"/>
  <c r="K653" i="4"/>
  <c r="N653" i="4" s="1"/>
  <c r="G653" i="4"/>
  <c r="L653" i="4" s="1"/>
  <c r="F651" i="4"/>
  <c r="E654" i="4"/>
  <c r="O657" i="2"/>
  <c r="I656" i="2"/>
  <c r="F656" i="2" s="1"/>
  <c r="N655" i="3" s="1"/>
  <c r="N655" i="2"/>
  <c r="H654" i="2"/>
  <c r="E654" i="2" s="1"/>
  <c r="H653" i="3" s="1"/>
  <c r="J653" i="3"/>
  <c r="P655" i="2"/>
  <c r="J654" i="2"/>
  <c r="G654" i="2" s="1"/>
  <c r="T653" i="3" s="1"/>
  <c r="V653" i="3"/>
  <c r="O651" i="3"/>
  <c r="U651" i="3"/>
  <c r="I651" i="3"/>
  <c r="C655" i="4"/>
  <c r="AB654" i="3"/>
  <c r="D653" i="3"/>
  <c r="F652" i="3"/>
  <c r="C657" i="2"/>
  <c r="D657" i="2"/>
  <c r="T656" i="2"/>
  <c r="L660" i="2"/>
  <c r="M661" i="2"/>
  <c r="I655" i="4"/>
  <c r="M655" i="4" s="1"/>
  <c r="D653" i="4"/>
  <c r="AA653" i="3"/>
  <c r="K657" i="2"/>
  <c r="B656" i="3"/>
  <c r="B658" i="2"/>
  <c r="A656" i="4"/>
  <c r="G655" i="3"/>
  <c r="S655" i="3"/>
  <c r="Y655" i="3" s="1"/>
  <c r="Z655" i="3" s="1"/>
  <c r="M655" i="3"/>
  <c r="C655" i="3"/>
  <c r="P655" i="3"/>
  <c r="E655" i="3"/>
  <c r="F652" i="4" l="1"/>
  <c r="K654" i="4"/>
  <c r="N654" i="4" s="1"/>
  <c r="J652" i="4"/>
  <c r="H652" i="4"/>
  <c r="G654" i="4"/>
  <c r="L654" i="4" s="1"/>
  <c r="E655" i="4"/>
  <c r="O658" i="2"/>
  <c r="I657" i="2"/>
  <c r="F657" i="2" s="1"/>
  <c r="N656" i="3" s="1"/>
  <c r="B657" i="3"/>
  <c r="B659" i="2"/>
  <c r="A657" i="4"/>
  <c r="P656" i="3"/>
  <c r="G656" i="3"/>
  <c r="S656" i="3"/>
  <c r="Y656" i="3" s="1"/>
  <c r="Z656" i="3" s="1"/>
  <c r="M656" i="3"/>
  <c r="C656" i="3"/>
  <c r="E656" i="3"/>
  <c r="M662" i="2"/>
  <c r="K658" i="2"/>
  <c r="L661" i="2"/>
  <c r="D654" i="4"/>
  <c r="AA654" i="3"/>
  <c r="I656" i="4"/>
  <c r="M656" i="4" s="1"/>
  <c r="T657" i="2"/>
  <c r="D658" i="2"/>
  <c r="C656" i="4"/>
  <c r="AB655" i="3"/>
  <c r="C658" i="2"/>
  <c r="P656" i="2"/>
  <c r="J655" i="2"/>
  <c r="G655" i="2" s="1"/>
  <c r="T654" i="3" s="1"/>
  <c r="V654" i="3"/>
  <c r="F653" i="3"/>
  <c r="D654" i="3"/>
  <c r="I652" i="3"/>
  <c r="U652" i="3"/>
  <c r="O652" i="3"/>
  <c r="N656" i="2"/>
  <c r="H655" i="2"/>
  <c r="E655" i="2" s="1"/>
  <c r="H654" i="3" s="1"/>
  <c r="J654" i="3"/>
  <c r="G655" i="4" l="1"/>
  <c r="L655" i="4" s="1"/>
  <c r="H653" i="4"/>
  <c r="J653" i="4"/>
  <c r="E656" i="4"/>
  <c r="F653" i="4"/>
  <c r="K655" i="4"/>
  <c r="N655" i="4" s="1"/>
  <c r="O659" i="2"/>
  <c r="I658" i="2"/>
  <c r="F658" i="2" s="1"/>
  <c r="N657" i="3" s="1"/>
  <c r="C659" i="2"/>
  <c r="D655" i="4"/>
  <c r="AA655" i="3"/>
  <c r="N657" i="2"/>
  <c r="H656" i="2"/>
  <c r="E656" i="2" s="1"/>
  <c r="H655" i="3" s="1"/>
  <c r="J655" i="3"/>
  <c r="C657" i="4"/>
  <c r="AB656" i="3"/>
  <c r="L662" i="2"/>
  <c r="T658" i="2"/>
  <c r="D659" i="2"/>
  <c r="F654" i="3"/>
  <c r="D655" i="3"/>
  <c r="K659" i="2"/>
  <c r="I653" i="3"/>
  <c r="U653" i="3"/>
  <c r="O653" i="3"/>
  <c r="M663" i="2"/>
  <c r="I657" i="4"/>
  <c r="M657" i="4" s="1"/>
  <c r="B658" i="3"/>
  <c r="B660" i="2"/>
  <c r="P657" i="2"/>
  <c r="J656" i="2"/>
  <c r="G656" i="2" s="1"/>
  <c r="T655" i="3" s="1"/>
  <c r="V655" i="3"/>
  <c r="A658" i="4"/>
  <c r="M657" i="3"/>
  <c r="P657" i="3"/>
  <c r="G657" i="3"/>
  <c r="S657" i="3"/>
  <c r="Y657" i="3" s="1"/>
  <c r="Z657" i="3" s="1"/>
  <c r="C657" i="3"/>
  <c r="E657" i="3"/>
  <c r="G656" i="4" l="1"/>
  <c r="L656" i="4" s="1"/>
  <c r="H654" i="4"/>
  <c r="E657" i="4"/>
  <c r="J654" i="4"/>
  <c r="F654" i="4"/>
  <c r="K656" i="4"/>
  <c r="N656" i="4" s="1"/>
  <c r="O660" i="2"/>
  <c r="I659" i="2"/>
  <c r="F659" i="2" s="1"/>
  <c r="N658" i="3" s="1"/>
  <c r="M664" i="2"/>
  <c r="L663" i="2"/>
  <c r="P658" i="2"/>
  <c r="J657" i="2"/>
  <c r="G657" i="2" s="1"/>
  <c r="T656" i="3" s="1"/>
  <c r="V656" i="3"/>
  <c r="A659" i="4"/>
  <c r="M658" i="3"/>
  <c r="C658" i="3"/>
  <c r="P658" i="3"/>
  <c r="G658" i="3"/>
  <c r="S658" i="3"/>
  <c r="Y658" i="3" s="1"/>
  <c r="Z658" i="3" s="1"/>
  <c r="E658" i="3"/>
  <c r="K660" i="2"/>
  <c r="N658" i="2"/>
  <c r="H657" i="2"/>
  <c r="E657" i="2" s="1"/>
  <c r="H656" i="3" s="1"/>
  <c r="J656" i="3"/>
  <c r="D656" i="3"/>
  <c r="F655" i="3"/>
  <c r="D656" i="4"/>
  <c r="AA656" i="3"/>
  <c r="O654" i="3"/>
  <c r="U654" i="3"/>
  <c r="I654" i="3"/>
  <c r="C660" i="2"/>
  <c r="T659" i="2"/>
  <c r="D660" i="2"/>
  <c r="I658" i="4"/>
  <c r="M658" i="4" s="1"/>
  <c r="B659" i="3"/>
  <c r="B661" i="2"/>
  <c r="C658" i="4"/>
  <c r="AB657" i="3"/>
  <c r="E658" i="4" l="1"/>
  <c r="K657" i="4"/>
  <c r="N657" i="4" s="1"/>
  <c r="H655" i="4"/>
  <c r="J655" i="4"/>
  <c r="G657" i="4"/>
  <c r="L657" i="4" s="1"/>
  <c r="F655" i="4"/>
  <c r="O661" i="2"/>
  <c r="I660" i="2"/>
  <c r="F660" i="2" s="1"/>
  <c r="N659" i="3" s="1"/>
  <c r="C659" i="4"/>
  <c r="AB658" i="3"/>
  <c r="C661" i="2"/>
  <c r="N659" i="2"/>
  <c r="J657" i="3"/>
  <c r="H658" i="2"/>
  <c r="E658" i="2" s="1"/>
  <c r="H657" i="3" s="1"/>
  <c r="B660" i="3"/>
  <c r="B662" i="2"/>
  <c r="A660" i="4"/>
  <c r="G659" i="3"/>
  <c r="S659" i="3"/>
  <c r="Y659" i="3" s="1"/>
  <c r="Z659" i="3" s="1"/>
  <c r="M659" i="3"/>
  <c r="C659" i="3"/>
  <c r="P659" i="3"/>
  <c r="E659" i="3"/>
  <c r="K661" i="2"/>
  <c r="I659" i="4"/>
  <c r="M659" i="4" s="1"/>
  <c r="T660" i="2"/>
  <c r="D661" i="2"/>
  <c r="P659" i="2"/>
  <c r="J658" i="2"/>
  <c r="G658" i="2" s="1"/>
  <c r="T657" i="3" s="1"/>
  <c r="V657" i="3"/>
  <c r="D657" i="4"/>
  <c r="AA657" i="3"/>
  <c r="L664" i="2"/>
  <c r="O655" i="3"/>
  <c r="U655" i="3"/>
  <c r="I655" i="3"/>
  <c r="D657" i="3"/>
  <c r="F656" i="3"/>
  <c r="M665" i="2"/>
  <c r="K658" i="4" l="1"/>
  <c r="N658" i="4" s="1"/>
  <c r="G658" i="4"/>
  <c r="L658" i="4" s="1"/>
  <c r="J656" i="4"/>
  <c r="F656" i="4"/>
  <c r="H656" i="4"/>
  <c r="E659" i="4"/>
  <c r="O662" i="2"/>
  <c r="I661" i="2"/>
  <c r="F661" i="2" s="1"/>
  <c r="N660" i="3" s="1"/>
  <c r="K662" i="2"/>
  <c r="I660" i="4"/>
  <c r="M660" i="4" s="1"/>
  <c r="P660" i="2"/>
  <c r="J659" i="2"/>
  <c r="G659" i="2" s="1"/>
  <c r="T658" i="3" s="1"/>
  <c r="V658" i="3"/>
  <c r="B661" i="3"/>
  <c r="B663" i="2"/>
  <c r="A661" i="4"/>
  <c r="P660" i="3"/>
  <c r="G660" i="3"/>
  <c r="S660" i="3"/>
  <c r="Y660" i="3" s="1"/>
  <c r="Z660" i="3" s="1"/>
  <c r="M660" i="3"/>
  <c r="E660" i="3"/>
  <c r="C660" i="3"/>
  <c r="N660" i="2"/>
  <c r="J658" i="3"/>
  <c r="H659" i="2"/>
  <c r="E659" i="2" s="1"/>
  <c r="H658" i="3" s="1"/>
  <c r="T661" i="2"/>
  <c r="D662" i="2"/>
  <c r="C662" i="2"/>
  <c r="L665" i="2"/>
  <c r="C660" i="4"/>
  <c r="AB659" i="3"/>
  <c r="I656" i="3"/>
  <c r="U656" i="3"/>
  <c r="O656" i="3"/>
  <c r="M666" i="2"/>
  <c r="F657" i="3"/>
  <c r="D658" i="3"/>
  <c r="D658" i="4"/>
  <c r="AA658" i="3"/>
  <c r="K659" i="4" l="1"/>
  <c r="N659" i="4" s="1"/>
  <c r="G659" i="4"/>
  <c r="L659" i="4" s="1"/>
  <c r="F657" i="4"/>
  <c r="H657" i="4"/>
  <c r="J657" i="4"/>
  <c r="E660" i="4"/>
  <c r="O663" i="2"/>
  <c r="I662" i="2"/>
  <c r="F662" i="2" s="1"/>
  <c r="N661" i="3" s="1"/>
  <c r="D659" i="4"/>
  <c r="AA659" i="3"/>
  <c r="L666" i="2"/>
  <c r="C663" i="2"/>
  <c r="F658" i="3"/>
  <c r="D659" i="3"/>
  <c r="P661" i="2"/>
  <c r="J660" i="2"/>
  <c r="G660" i="2" s="1"/>
  <c r="T659" i="3" s="1"/>
  <c r="V659" i="3"/>
  <c r="I657" i="3"/>
  <c r="U657" i="3"/>
  <c r="O657" i="3"/>
  <c r="C661" i="4"/>
  <c r="AB660" i="3"/>
  <c r="T662" i="2"/>
  <c r="D663" i="2"/>
  <c r="A662" i="4"/>
  <c r="M661" i="3"/>
  <c r="P661" i="3"/>
  <c r="G661" i="3"/>
  <c r="S661" i="3"/>
  <c r="Y661" i="3" s="1"/>
  <c r="Z661" i="3" s="1"/>
  <c r="C661" i="3"/>
  <c r="E661" i="3"/>
  <c r="M667" i="2"/>
  <c r="N661" i="2"/>
  <c r="J659" i="3"/>
  <c r="H660" i="2"/>
  <c r="E660" i="2" s="1"/>
  <c r="H659" i="3" s="1"/>
  <c r="I661" i="4"/>
  <c r="M661" i="4" s="1"/>
  <c r="B662" i="3"/>
  <c r="B664" i="2"/>
  <c r="K663" i="2"/>
  <c r="F658" i="4" l="1"/>
  <c r="K660" i="4"/>
  <c r="N660" i="4" s="1"/>
  <c r="E661" i="4"/>
  <c r="G660" i="4"/>
  <c r="L660" i="4" s="1"/>
  <c r="H658" i="4"/>
  <c r="J658" i="4"/>
  <c r="O664" i="2"/>
  <c r="I663" i="2"/>
  <c r="F663" i="2" s="1"/>
  <c r="N662" i="3" s="1"/>
  <c r="N662" i="2"/>
  <c r="H661" i="2"/>
  <c r="E661" i="2" s="1"/>
  <c r="H660" i="3" s="1"/>
  <c r="J660" i="3"/>
  <c r="C662" i="4"/>
  <c r="AB661" i="3"/>
  <c r="P662" i="2"/>
  <c r="J661" i="2"/>
  <c r="G661" i="2" s="1"/>
  <c r="T660" i="3" s="1"/>
  <c r="V660" i="3"/>
  <c r="K664" i="2"/>
  <c r="B663" i="3"/>
  <c r="B665" i="2"/>
  <c r="M668" i="2"/>
  <c r="I662" i="4"/>
  <c r="M662" i="4" s="1"/>
  <c r="D660" i="3"/>
  <c r="F659" i="3"/>
  <c r="O658" i="3"/>
  <c r="U658" i="3"/>
  <c r="I658" i="3"/>
  <c r="T663" i="2"/>
  <c r="D664" i="2"/>
  <c r="C664" i="2"/>
  <c r="A663" i="4"/>
  <c r="M662" i="3"/>
  <c r="C662" i="3"/>
  <c r="P662" i="3"/>
  <c r="G662" i="3"/>
  <c r="S662" i="3"/>
  <c r="Y662" i="3" s="1"/>
  <c r="Z662" i="3" s="1"/>
  <c r="E662" i="3"/>
  <c r="L667" i="2"/>
  <c r="D660" i="4"/>
  <c r="AA660" i="3"/>
  <c r="K661" i="4" l="1"/>
  <c r="N661" i="4" s="1"/>
  <c r="J659" i="4"/>
  <c r="G661" i="4"/>
  <c r="L661" i="4" s="1"/>
  <c r="E662" i="4"/>
  <c r="H659" i="4"/>
  <c r="F659" i="4"/>
  <c r="O665" i="2"/>
  <c r="I664" i="2"/>
  <c r="F664" i="2" s="1"/>
  <c r="N663" i="3" s="1"/>
  <c r="C663" i="4"/>
  <c r="AB662" i="3"/>
  <c r="A664" i="4"/>
  <c r="G663" i="3"/>
  <c r="S663" i="3"/>
  <c r="Y663" i="3" s="1"/>
  <c r="Z663" i="3" s="1"/>
  <c r="M663" i="3"/>
  <c r="C663" i="3"/>
  <c r="P663" i="3"/>
  <c r="E663" i="3"/>
  <c r="D661" i="4"/>
  <c r="AA661" i="3"/>
  <c r="O659" i="3"/>
  <c r="I659" i="3"/>
  <c r="U659" i="3"/>
  <c r="L668" i="2"/>
  <c r="D661" i="3"/>
  <c r="F660" i="3"/>
  <c r="K665" i="2"/>
  <c r="C665" i="2"/>
  <c r="P663" i="2"/>
  <c r="J662" i="2"/>
  <c r="G662" i="2" s="1"/>
  <c r="T661" i="3" s="1"/>
  <c r="V661" i="3"/>
  <c r="I663" i="4"/>
  <c r="M663" i="4" s="1"/>
  <c r="T664" i="2"/>
  <c r="D665" i="2"/>
  <c r="M669" i="2"/>
  <c r="B664" i="3"/>
  <c r="B666" i="2"/>
  <c r="N663" i="2"/>
  <c r="J661" i="3"/>
  <c r="H662" i="2"/>
  <c r="E662" i="2" s="1"/>
  <c r="H661" i="3" s="1"/>
  <c r="E663" i="4" l="1"/>
  <c r="F660" i="4"/>
  <c r="J660" i="4"/>
  <c r="H660" i="4"/>
  <c r="G662" i="4"/>
  <c r="L662" i="4" s="1"/>
  <c r="K662" i="4"/>
  <c r="N662" i="4" s="1"/>
  <c r="O666" i="2"/>
  <c r="I665" i="2"/>
  <c r="F665" i="2" s="1"/>
  <c r="N664" i="3" s="1"/>
  <c r="K666" i="2"/>
  <c r="F661" i="3"/>
  <c r="D662" i="3"/>
  <c r="C664" i="4"/>
  <c r="AB663" i="3"/>
  <c r="M670" i="2"/>
  <c r="T665" i="2"/>
  <c r="D666" i="2"/>
  <c r="C666" i="2"/>
  <c r="D662" i="4"/>
  <c r="AA662" i="3"/>
  <c r="I660" i="3"/>
  <c r="U660" i="3"/>
  <c r="O660" i="3"/>
  <c r="N664" i="2"/>
  <c r="J662" i="3"/>
  <c r="H663" i="2"/>
  <c r="E663" i="2" s="1"/>
  <c r="H662" i="3" s="1"/>
  <c r="P664" i="2"/>
  <c r="J663" i="2"/>
  <c r="G663" i="2" s="1"/>
  <c r="T662" i="3" s="1"/>
  <c r="V662" i="3"/>
  <c r="I664" i="4"/>
  <c r="M664" i="4" s="1"/>
  <c r="L669" i="2"/>
  <c r="B665" i="3"/>
  <c r="B667" i="2"/>
  <c r="A665" i="4"/>
  <c r="P664" i="3"/>
  <c r="G664" i="3"/>
  <c r="S664" i="3"/>
  <c r="Y664" i="3" s="1"/>
  <c r="Z664" i="3" s="1"/>
  <c r="M664" i="3"/>
  <c r="C664" i="3"/>
  <c r="E664" i="3"/>
  <c r="K663" i="4" l="1"/>
  <c r="N663" i="4" s="1"/>
  <c r="E664" i="4"/>
  <c r="J661" i="4"/>
  <c r="G663" i="4"/>
  <c r="L663" i="4" s="1"/>
  <c r="H661" i="4"/>
  <c r="F661" i="4"/>
  <c r="O667" i="2"/>
  <c r="I666" i="2"/>
  <c r="F666" i="2" s="1"/>
  <c r="N665" i="3" s="1"/>
  <c r="B666" i="3"/>
  <c r="B668" i="2"/>
  <c r="P665" i="2"/>
  <c r="J664" i="2"/>
  <c r="G664" i="2" s="1"/>
  <c r="T663" i="3" s="1"/>
  <c r="V663" i="3"/>
  <c r="A666" i="4"/>
  <c r="M665" i="3"/>
  <c r="P665" i="3"/>
  <c r="S665" i="3"/>
  <c r="Y665" i="3" s="1"/>
  <c r="Z665" i="3" s="1"/>
  <c r="C665" i="3"/>
  <c r="E665" i="3"/>
  <c r="G665" i="3"/>
  <c r="D667" i="2"/>
  <c r="T666" i="2"/>
  <c r="L670" i="2"/>
  <c r="N665" i="2"/>
  <c r="H664" i="2"/>
  <c r="E664" i="2" s="1"/>
  <c r="H663" i="3" s="1"/>
  <c r="J663" i="3"/>
  <c r="I665" i="4"/>
  <c r="M665" i="4" s="1"/>
  <c r="M671" i="2"/>
  <c r="C665" i="4"/>
  <c r="AB664" i="3"/>
  <c r="D663" i="4"/>
  <c r="AA663" i="3"/>
  <c r="F662" i="3"/>
  <c r="D663" i="3"/>
  <c r="I661" i="3"/>
  <c r="U661" i="3"/>
  <c r="O661" i="3"/>
  <c r="K667" i="2"/>
  <c r="C667" i="2"/>
  <c r="E665" i="4" l="1"/>
  <c r="J662" i="4"/>
  <c r="H662" i="4"/>
  <c r="K664" i="4"/>
  <c r="N664" i="4" s="1"/>
  <c r="F662" i="4"/>
  <c r="G664" i="4"/>
  <c r="L664" i="4" s="1"/>
  <c r="O668" i="2"/>
  <c r="I667" i="2"/>
  <c r="F667" i="2" s="1"/>
  <c r="N666" i="3" s="1"/>
  <c r="N666" i="2"/>
  <c r="H665" i="2"/>
  <c r="E665" i="2" s="1"/>
  <c r="H664" i="3" s="1"/>
  <c r="J664" i="3"/>
  <c r="L671" i="2"/>
  <c r="M672" i="2"/>
  <c r="T667" i="2"/>
  <c r="D668" i="2"/>
  <c r="C666" i="4"/>
  <c r="AB665" i="3"/>
  <c r="I666" i="4"/>
  <c r="M666" i="4" s="1"/>
  <c r="C668" i="2"/>
  <c r="K668" i="2"/>
  <c r="D664" i="3"/>
  <c r="F663" i="3"/>
  <c r="P666" i="2"/>
  <c r="J665" i="2"/>
  <c r="G665" i="2" s="1"/>
  <c r="T664" i="3" s="1"/>
  <c r="V664" i="3"/>
  <c r="O662" i="3"/>
  <c r="I662" i="3"/>
  <c r="U662" i="3"/>
  <c r="B667" i="3"/>
  <c r="B669" i="2"/>
  <c r="D664" i="4"/>
  <c r="AA664" i="3"/>
  <c r="A667" i="4"/>
  <c r="M666" i="3"/>
  <c r="C666" i="3"/>
  <c r="G666" i="3"/>
  <c r="S666" i="3"/>
  <c r="Y666" i="3" s="1"/>
  <c r="Z666" i="3" s="1"/>
  <c r="E666" i="3"/>
  <c r="P666" i="3"/>
  <c r="J663" i="4" l="1"/>
  <c r="F663" i="4"/>
  <c r="K665" i="4"/>
  <c r="N665" i="4" s="1"/>
  <c r="H663" i="4"/>
  <c r="E666" i="4"/>
  <c r="G665" i="4"/>
  <c r="L665" i="4" s="1"/>
  <c r="O669" i="2"/>
  <c r="I668" i="2"/>
  <c r="F668" i="2" s="1"/>
  <c r="N667" i="3" s="1"/>
  <c r="K669" i="2"/>
  <c r="T668" i="2"/>
  <c r="D669" i="2"/>
  <c r="B668" i="3"/>
  <c r="B670" i="2"/>
  <c r="C669" i="2"/>
  <c r="A668" i="4"/>
  <c r="G667" i="3"/>
  <c r="S667" i="3"/>
  <c r="Y667" i="3" s="1"/>
  <c r="Z667" i="3" s="1"/>
  <c r="C667" i="3"/>
  <c r="P667" i="3"/>
  <c r="E667" i="3"/>
  <c r="M667" i="3"/>
  <c r="D665" i="4"/>
  <c r="AA665" i="3"/>
  <c r="M673" i="2"/>
  <c r="I667" i="4"/>
  <c r="M667" i="4" s="1"/>
  <c r="L672" i="2"/>
  <c r="D665" i="3"/>
  <c r="F664" i="3"/>
  <c r="P667" i="2"/>
  <c r="J666" i="2"/>
  <c r="G666" i="2" s="1"/>
  <c r="T665" i="3" s="1"/>
  <c r="V665" i="3"/>
  <c r="C667" i="4"/>
  <c r="AB666" i="3"/>
  <c r="O663" i="3"/>
  <c r="U663" i="3"/>
  <c r="I663" i="3"/>
  <c r="N667" i="2"/>
  <c r="H666" i="2"/>
  <c r="E666" i="2" s="1"/>
  <c r="H665" i="3" s="1"/>
  <c r="J665" i="3"/>
  <c r="G666" i="4" l="1"/>
  <c r="L666" i="4" s="1"/>
  <c r="J664" i="4"/>
  <c r="F664" i="4"/>
  <c r="H664" i="4"/>
  <c r="E667" i="4"/>
  <c r="K666" i="4"/>
  <c r="N666" i="4" s="1"/>
  <c r="O670" i="2"/>
  <c r="I669" i="2"/>
  <c r="F669" i="2" s="1"/>
  <c r="N668" i="3" s="1"/>
  <c r="F665" i="3"/>
  <c r="D666" i="3"/>
  <c r="I668" i="4"/>
  <c r="M668" i="4" s="1"/>
  <c r="L673" i="2"/>
  <c r="N668" i="2"/>
  <c r="J666" i="3"/>
  <c r="H667" i="2"/>
  <c r="E667" i="2" s="1"/>
  <c r="H666" i="3" s="1"/>
  <c r="C668" i="4"/>
  <c r="AB667" i="3"/>
  <c r="C670" i="2"/>
  <c r="D666" i="4"/>
  <c r="AA666" i="3"/>
  <c r="I664" i="3"/>
  <c r="U664" i="3"/>
  <c r="O664" i="3"/>
  <c r="B669" i="3"/>
  <c r="B671" i="2"/>
  <c r="A669" i="4"/>
  <c r="P668" i="3"/>
  <c r="G668" i="3"/>
  <c r="S668" i="3"/>
  <c r="Y668" i="3" s="1"/>
  <c r="Z668" i="3" s="1"/>
  <c r="M668" i="3"/>
  <c r="C668" i="3"/>
  <c r="E668" i="3"/>
  <c r="D670" i="2"/>
  <c r="T669" i="2"/>
  <c r="M674" i="2"/>
  <c r="K670" i="2"/>
  <c r="P668" i="2"/>
  <c r="J667" i="2"/>
  <c r="G667" i="2" s="1"/>
  <c r="T666" i="3" s="1"/>
  <c r="V666" i="3"/>
  <c r="K667" i="4" l="1"/>
  <c r="N667" i="4" s="1"/>
  <c r="H665" i="4"/>
  <c r="J665" i="4"/>
  <c r="E668" i="4"/>
  <c r="G667" i="4"/>
  <c r="L667" i="4" s="1"/>
  <c r="F665" i="4"/>
  <c r="O671" i="2"/>
  <c r="I670" i="2"/>
  <c r="F670" i="2" s="1"/>
  <c r="N669" i="3" s="1"/>
  <c r="N669" i="2"/>
  <c r="H668" i="2"/>
  <c r="E668" i="2" s="1"/>
  <c r="H667" i="3" s="1"/>
  <c r="J667" i="3"/>
  <c r="L674" i="2"/>
  <c r="D667" i="4"/>
  <c r="AA667" i="3"/>
  <c r="A670" i="4"/>
  <c r="M669" i="3"/>
  <c r="P669" i="3"/>
  <c r="G669" i="3"/>
  <c r="S669" i="3"/>
  <c r="Y669" i="3" s="1"/>
  <c r="Z669" i="3" s="1"/>
  <c r="E669" i="3"/>
  <c r="C669" i="3"/>
  <c r="M675" i="2"/>
  <c r="C669" i="4"/>
  <c r="AB668" i="3"/>
  <c r="C671" i="2"/>
  <c r="P669" i="2"/>
  <c r="J668" i="2"/>
  <c r="G668" i="2" s="1"/>
  <c r="T667" i="3" s="1"/>
  <c r="V667" i="3"/>
  <c r="T670" i="2"/>
  <c r="D671" i="2"/>
  <c r="I669" i="4"/>
  <c r="M669" i="4" s="1"/>
  <c r="F666" i="3"/>
  <c r="D667" i="3"/>
  <c r="K671" i="2"/>
  <c r="B670" i="3"/>
  <c r="B672" i="2"/>
  <c r="I665" i="3"/>
  <c r="U665" i="3"/>
  <c r="O665" i="3"/>
  <c r="H666" i="4" l="1"/>
  <c r="K668" i="4"/>
  <c r="N668" i="4" s="1"/>
  <c r="J666" i="4"/>
  <c r="F666" i="4"/>
  <c r="E669" i="4"/>
  <c r="G668" i="4"/>
  <c r="L668" i="4" s="1"/>
  <c r="O672" i="2"/>
  <c r="I671" i="2"/>
  <c r="F671" i="2" s="1"/>
  <c r="N670" i="3" s="1"/>
  <c r="C670" i="4"/>
  <c r="AB669" i="3"/>
  <c r="B671" i="3"/>
  <c r="B673" i="2"/>
  <c r="T671" i="2"/>
  <c r="D672" i="2"/>
  <c r="M676" i="2"/>
  <c r="I670" i="4"/>
  <c r="M670" i="4" s="1"/>
  <c r="D668" i="4"/>
  <c r="AA668" i="3"/>
  <c r="A671" i="4"/>
  <c r="M670" i="3"/>
  <c r="C670" i="3"/>
  <c r="G670" i="3"/>
  <c r="S670" i="3"/>
  <c r="Y670" i="3" s="1"/>
  <c r="Z670" i="3" s="1"/>
  <c r="E670" i="3"/>
  <c r="P670" i="3"/>
  <c r="K672" i="2"/>
  <c r="L675" i="2"/>
  <c r="P670" i="2"/>
  <c r="J669" i="2"/>
  <c r="G669" i="2" s="1"/>
  <c r="T668" i="3" s="1"/>
  <c r="V668" i="3"/>
  <c r="C672" i="2"/>
  <c r="D668" i="3"/>
  <c r="F667" i="3"/>
  <c r="O666" i="3"/>
  <c r="I666" i="3"/>
  <c r="U666" i="3"/>
  <c r="N670" i="2"/>
  <c r="J668" i="3"/>
  <c r="H669" i="2"/>
  <c r="E669" i="2" s="1"/>
  <c r="H668" i="3" s="1"/>
  <c r="G669" i="4" l="1"/>
  <c r="L669" i="4" s="1"/>
  <c r="J667" i="4"/>
  <c r="F667" i="4"/>
  <c r="E670" i="4"/>
  <c r="K669" i="4"/>
  <c r="N669" i="4" s="1"/>
  <c r="H667" i="4"/>
  <c r="O673" i="2"/>
  <c r="I672" i="2"/>
  <c r="F672" i="2" s="1"/>
  <c r="N671" i="3" s="1"/>
  <c r="M677" i="2"/>
  <c r="D673" i="2"/>
  <c r="T672" i="2"/>
  <c r="K673" i="2"/>
  <c r="I671" i="4"/>
  <c r="M671" i="4" s="1"/>
  <c r="N671" i="2"/>
  <c r="J669" i="3"/>
  <c r="H670" i="2"/>
  <c r="E670" i="2" s="1"/>
  <c r="H669" i="3" s="1"/>
  <c r="O667" i="3"/>
  <c r="U667" i="3"/>
  <c r="I667" i="3"/>
  <c r="D669" i="4"/>
  <c r="AA669" i="3"/>
  <c r="C671" i="4"/>
  <c r="AB670" i="3"/>
  <c r="D669" i="3"/>
  <c r="F668" i="3"/>
  <c r="B672" i="3"/>
  <c r="B674" i="2"/>
  <c r="L676" i="2"/>
  <c r="C673" i="2"/>
  <c r="A672" i="4"/>
  <c r="G671" i="3"/>
  <c r="S671" i="3"/>
  <c r="Y671" i="3" s="1"/>
  <c r="Z671" i="3" s="1"/>
  <c r="C671" i="3"/>
  <c r="P671" i="3"/>
  <c r="E671" i="3"/>
  <c r="M671" i="3"/>
  <c r="P671" i="2"/>
  <c r="J670" i="2"/>
  <c r="G670" i="2" s="1"/>
  <c r="T669" i="3" s="1"/>
  <c r="V669" i="3"/>
  <c r="J668" i="4" l="1"/>
  <c r="G670" i="4"/>
  <c r="L670" i="4" s="1"/>
  <c r="H668" i="4"/>
  <c r="K670" i="4"/>
  <c r="N670" i="4" s="1"/>
  <c r="E671" i="4"/>
  <c r="F668" i="4"/>
  <c r="O674" i="2"/>
  <c r="I673" i="2"/>
  <c r="F673" i="2" s="1"/>
  <c r="N672" i="3" s="1"/>
  <c r="F669" i="3"/>
  <c r="D670" i="3"/>
  <c r="P672" i="2"/>
  <c r="J671" i="2"/>
  <c r="G671" i="2" s="1"/>
  <c r="T670" i="3" s="1"/>
  <c r="V670" i="3"/>
  <c r="I672" i="4"/>
  <c r="M672" i="4" s="1"/>
  <c r="D670" i="4"/>
  <c r="AA670" i="3"/>
  <c r="C672" i="4"/>
  <c r="AB671" i="3"/>
  <c r="C674" i="2"/>
  <c r="K674" i="2"/>
  <c r="T673" i="2"/>
  <c r="D674" i="2"/>
  <c r="B673" i="3"/>
  <c r="B675" i="2"/>
  <c r="A673" i="4"/>
  <c r="P672" i="3"/>
  <c r="G672" i="3"/>
  <c r="S672" i="3"/>
  <c r="Y672" i="3" s="1"/>
  <c r="Z672" i="3" s="1"/>
  <c r="M672" i="3"/>
  <c r="C672" i="3"/>
  <c r="E672" i="3"/>
  <c r="N672" i="2"/>
  <c r="H671" i="2"/>
  <c r="E671" i="2" s="1"/>
  <c r="H670" i="3" s="1"/>
  <c r="J670" i="3"/>
  <c r="M678" i="2"/>
  <c r="L677" i="2"/>
  <c r="I668" i="3"/>
  <c r="U668" i="3"/>
  <c r="O668" i="3"/>
  <c r="E672" i="4" l="1"/>
  <c r="K671" i="4"/>
  <c r="N671" i="4" s="1"/>
  <c r="H669" i="4"/>
  <c r="J669" i="4"/>
  <c r="G671" i="4"/>
  <c r="L671" i="4" s="1"/>
  <c r="F669" i="4"/>
  <c r="O675" i="2"/>
  <c r="I674" i="2"/>
  <c r="F674" i="2" s="1"/>
  <c r="N673" i="3" s="1"/>
  <c r="T674" i="2"/>
  <c r="D675" i="2"/>
  <c r="A674" i="4"/>
  <c r="M673" i="3"/>
  <c r="P673" i="3"/>
  <c r="C673" i="3"/>
  <c r="E673" i="3"/>
  <c r="G673" i="3"/>
  <c r="S673" i="3"/>
  <c r="Y673" i="3" s="1"/>
  <c r="Z673" i="3" s="1"/>
  <c r="K675" i="2"/>
  <c r="C673" i="4"/>
  <c r="AB672" i="3"/>
  <c r="C675" i="2"/>
  <c r="L678" i="2"/>
  <c r="P673" i="2"/>
  <c r="J672" i="2"/>
  <c r="G672" i="2" s="1"/>
  <c r="T671" i="3" s="1"/>
  <c r="V671" i="3"/>
  <c r="N673" i="2"/>
  <c r="H672" i="2"/>
  <c r="E672" i="2" s="1"/>
  <c r="H671" i="3" s="1"/>
  <c r="J671" i="3"/>
  <c r="I673" i="4"/>
  <c r="M673" i="4" s="1"/>
  <c r="F670" i="3"/>
  <c r="D671" i="3"/>
  <c r="M679" i="2"/>
  <c r="B674" i="3"/>
  <c r="B676" i="2"/>
  <c r="D671" i="4"/>
  <c r="AA671" i="3"/>
  <c r="I669" i="3"/>
  <c r="U669" i="3"/>
  <c r="O669" i="3"/>
  <c r="K672" i="4" l="1"/>
  <c r="N672" i="4" s="1"/>
  <c r="F670" i="4"/>
  <c r="G672" i="4"/>
  <c r="L672" i="4" s="1"/>
  <c r="J670" i="4"/>
  <c r="H670" i="4"/>
  <c r="E673" i="4"/>
  <c r="O676" i="2"/>
  <c r="I675" i="2"/>
  <c r="F675" i="2" s="1"/>
  <c r="N674" i="3" s="1"/>
  <c r="L679" i="2"/>
  <c r="C676" i="2"/>
  <c r="B675" i="3"/>
  <c r="B677" i="2"/>
  <c r="C674" i="4"/>
  <c r="AB673" i="3"/>
  <c r="A675" i="4"/>
  <c r="M674" i="3"/>
  <c r="C674" i="3"/>
  <c r="G674" i="3"/>
  <c r="S674" i="3"/>
  <c r="Y674" i="3" s="1"/>
  <c r="Z674" i="3" s="1"/>
  <c r="P674" i="3"/>
  <c r="E674" i="3"/>
  <c r="K676" i="2"/>
  <c r="N674" i="2"/>
  <c r="H673" i="2"/>
  <c r="E673" i="2" s="1"/>
  <c r="H672" i="3" s="1"/>
  <c r="J672" i="3"/>
  <c r="I674" i="4"/>
  <c r="M674" i="4" s="1"/>
  <c r="T675" i="2"/>
  <c r="D676" i="2"/>
  <c r="D672" i="4"/>
  <c r="AA672" i="3"/>
  <c r="M680" i="2"/>
  <c r="D672" i="3"/>
  <c r="F671" i="3"/>
  <c r="O670" i="3"/>
  <c r="U670" i="3"/>
  <c r="I670" i="3"/>
  <c r="P674" i="2"/>
  <c r="J673" i="2"/>
  <c r="G673" i="2" s="1"/>
  <c r="T672" i="3" s="1"/>
  <c r="V672" i="3"/>
  <c r="G673" i="4" l="1"/>
  <c r="L673" i="4" s="1"/>
  <c r="E674" i="4"/>
  <c r="K673" i="4"/>
  <c r="N673" i="4" s="1"/>
  <c r="F671" i="4"/>
  <c r="H671" i="4"/>
  <c r="J671" i="4"/>
  <c r="O677" i="2"/>
  <c r="I676" i="2"/>
  <c r="F676" i="2" s="1"/>
  <c r="N675" i="3" s="1"/>
  <c r="K677" i="2"/>
  <c r="I675" i="4"/>
  <c r="M675" i="4" s="1"/>
  <c r="P675" i="2"/>
  <c r="J674" i="2"/>
  <c r="G674" i="2" s="1"/>
  <c r="T673" i="3" s="1"/>
  <c r="V673" i="3"/>
  <c r="B676" i="3"/>
  <c r="B678" i="2"/>
  <c r="A676" i="4"/>
  <c r="G675" i="3"/>
  <c r="S675" i="3"/>
  <c r="Y675" i="3" s="1"/>
  <c r="Z675" i="3" s="1"/>
  <c r="C675" i="3"/>
  <c r="P675" i="3"/>
  <c r="M675" i="3"/>
  <c r="E675" i="3"/>
  <c r="C677" i="2"/>
  <c r="T676" i="2"/>
  <c r="D677" i="2"/>
  <c r="D673" i="3"/>
  <c r="F672" i="3"/>
  <c r="N675" i="2"/>
  <c r="H674" i="2"/>
  <c r="E674" i="2" s="1"/>
  <c r="H673" i="3" s="1"/>
  <c r="J673" i="3"/>
  <c r="L680" i="2"/>
  <c r="O671" i="3"/>
  <c r="U671" i="3"/>
  <c r="I671" i="3"/>
  <c r="M681" i="2"/>
  <c r="D673" i="4"/>
  <c r="AA673" i="3"/>
  <c r="C675" i="4"/>
  <c r="AB674" i="3"/>
  <c r="E675" i="4" l="1"/>
  <c r="K674" i="4"/>
  <c r="N674" i="4" s="1"/>
  <c r="F672" i="4"/>
  <c r="J672" i="4"/>
  <c r="H672" i="4"/>
  <c r="G674" i="4"/>
  <c r="L674" i="4" s="1"/>
  <c r="O678" i="2"/>
  <c r="I677" i="2"/>
  <c r="F677" i="2" s="1"/>
  <c r="N676" i="3" s="1"/>
  <c r="D674" i="4"/>
  <c r="AA674" i="3"/>
  <c r="I672" i="3"/>
  <c r="U672" i="3"/>
  <c r="O672" i="3"/>
  <c r="C676" i="4"/>
  <c r="AB675" i="3"/>
  <c r="P676" i="2"/>
  <c r="J675" i="2"/>
  <c r="G675" i="2" s="1"/>
  <c r="T674" i="3" s="1"/>
  <c r="V674" i="3"/>
  <c r="N676" i="2"/>
  <c r="J674" i="3"/>
  <c r="H675" i="2"/>
  <c r="E675" i="2" s="1"/>
  <c r="H674" i="3" s="1"/>
  <c r="F673" i="3"/>
  <c r="D674" i="3"/>
  <c r="D678" i="2"/>
  <c r="T677" i="2"/>
  <c r="A677" i="4"/>
  <c r="P676" i="3"/>
  <c r="G676" i="3"/>
  <c r="S676" i="3"/>
  <c r="Y676" i="3" s="1"/>
  <c r="Z676" i="3" s="1"/>
  <c r="M676" i="3"/>
  <c r="C676" i="3"/>
  <c r="E676" i="3"/>
  <c r="M682" i="2"/>
  <c r="I676" i="4"/>
  <c r="M676" i="4" s="1"/>
  <c r="C678" i="2"/>
  <c r="L681" i="2"/>
  <c r="B677" i="3"/>
  <c r="B679" i="2"/>
  <c r="K678" i="2"/>
  <c r="K675" i="4" l="1"/>
  <c r="N675" i="4" s="1"/>
  <c r="E676" i="4"/>
  <c r="J673" i="4"/>
  <c r="F673" i="4"/>
  <c r="H673" i="4"/>
  <c r="G675" i="4"/>
  <c r="L675" i="4" s="1"/>
  <c r="O679" i="2"/>
  <c r="I678" i="2"/>
  <c r="F678" i="2" s="1"/>
  <c r="N677" i="3" s="1"/>
  <c r="C677" i="4"/>
  <c r="AB676" i="3"/>
  <c r="N677" i="2"/>
  <c r="H676" i="2"/>
  <c r="E676" i="2" s="1"/>
  <c r="H675" i="3" s="1"/>
  <c r="J675" i="3"/>
  <c r="B678" i="3"/>
  <c r="B680" i="2"/>
  <c r="A678" i="4"/>
  <c r="M677" i="3"/>
  <c r="P677" i="3"/>
  <c r="S677" i="3"/>
  <c r="Y677" i="3" s="1"/>
  <c r="Z677" i="3" s="1"/>
  <c r="C677" i="3"/>
  <c r="E677" i="3"/>
  <c r="G677" i="3"/>
  <c r="P677" i="2"/>
  <c r="J676" i="2"/>
  <c r="G676" i="2" s="1"/>
  <c r="T675" i="3" s="1"/>
  <c r="V675" i="3"/>
  <c r="L682" i="2"/>
  <c r="M683" i="2"/>
  <c r="I677" i="4"/>
  <c r="M677" i="4" s="1"/>
  <c r="T678" i="2"/>
  <c r="D679" i="2"/>
  <c r="C679" i="2"/>
  <c r="K679" i="2"/>
  <c r="F674" i="3"/>
  <c r="D675" i="3"/>
  <c r="I673" i="3"/>
  <c r="U673" i="3"/>
  <c r="O673" i="3"/>
  <c r="D675" i="4"/>
  <c r="AA675" i="3"/>
  <c r="G676" i="4" l="1"/>
  <c r="L676" i="4" s="1"/>
  <c r="J674" i="4"/>
  <c r="H674" i="4"/>
  <c r="E677" i="4"/>
  <c r="F674" i="4"/>
  <c r="K676" i="4"/>
  <c r="N676" i="4" s="1"/>
  <c r="O680" i="2"/>
  <c r="I679" i="2"/>
  <c r="F679" i="2" s="1"/>
  <c r="N678" i="3" s="1"/>
  <c r="L683" i="2"/>
  <c r="C678" i="4"/>
  <c r="AB677" i="3"/>
  <c r="P678" i="2"/>
  <c r="J677" i="2"/>
  <c r="G677" i="2" s="1"/>
  <c r="T676" i="3" s="1"/>
  <c r="V676" i="3"/>
  <c r="I678" i="4"/>
  <c r="M678" i="4" s="1"/>
  <c r="B679" i="3"/>
  <c r="B681" i="2"/>
  <c r="A679" i="4"/>
  <c r="M678" i="3"/>
  <c r="C678" i="3"/>
  <c r="G678" i="3"/>
  <c r="S678" i="3"/>
  <c r="Y678" i="3" s="1"/>
  <c r="Z678" i="3" s="1"/>
  <c r="P678" i="3"/>
  <c r="E678" i="3"/>
  <c r="D676" i="3"/>
  <c r="F675" i="3"/>
  <c r="D676" i="4"/>
  <c r="AA676" i="3"/>
  <c r="N678" i="2"/>
  <c r="J676" i="3"/>
  <c r="H677" i="2"/>
  <c r="E677" i="2" s="1"/>
  <c r="H676" i="3" s="1"/>
  <c r="O674" i="3"/>
  <c r="U674" i="3"/>
  <c r="I674" i="3"/>
  <c r="K680" i="2"/>
  <c r="C680" i="2"/>
  <c r="M684" i="2"/>
  <c r="T679" i="2"/>
  <c r="D680" i="2"/>
  <c r="G677" i="4" l="1"/>
  <c r="L677" i="4" s="1"/>
  <c r="K677" i="4"/>
  <c r="N677" i="4" s="1"/>
  <c r="H675" i="4"/>
  <c r="E678" i="4"/>
  <c r="F675" i="4"/>
  <c r="J675" i="4"/>
  <c r="O681" i="2"/>
  <c r="I680" i="2"/>
  <c r="F680" i="2" s="1"/>
  <c r="N679" i="3" s="1"/>
  <c r="C679" i="4"/>
  <c r="AB678" i="3"/>
  <c r="P679" i="2"/>
  <c r="J678" i="2"/>
  <c r="G678" i="2" s="1"/>
  <c r="T677" i="3" s="1"/>
  <c r="V677" i="3"/>
  <c r="N679" i="2"/>
  <c r="H678" i="2"/>
  <c r="E678" i="2" s="1"/>
  <c r="H677" i="3" s="1"/>
  <c r="J677" i="3"/>
  <c r="C681" i="2"/>
  <c r="D677" i="3"/>
  <c r="F676" i="3"/>
  <c r="I679" i="4"/>
  <c r="M679" i="4" s="1"/>
  <c r="B680" i="3"/>
  <c r="B682" i="2"/>
  <c r="M685" i="2"/>
  <c r="O675" i="3"/>
  <c r="I675" i="3"/>
  <c r="U675" i="3"/>
  <c r="K681" i="2"/>
  <c r="A680" i="4"/>
  <c r="G679" i="3"/>
  <c r="S679" i="3"/>
  <c r="Y679" i="3" s="1"/>
  <c r="Z679" i="3" s="1"/>
  <c r="C679" i="3"/>
  <c r="P679" i="3"/>
  <c r="E679" i="3"/>
  <c r="M679" i="3"/>
  <c r="D681" i="2"/>
  <c r="T680" i="2"/>
  <c r="D677" i="4"/>
  <c r="AA677" i="3"/>
  <c r="L684" i="2"/>
  <c r="K678" i="4" l="1"/>
  <c r="N678" i="4" s="1"/>
  <c r="J676" i="4"/>
  <c r="H676" i="4"/>
  <c r="G678" i="4"/>
  <c r="L678" i="4" s="1"/>
  <c r="F676" i="4"/>
  <c r="E679" i="4"/>
  <c r="O682" i="2"/>
  <c r="I681" i="2"/>
  <c r="F681" i="2" s="1"/>
  <c r="N680" i="3" s="1"/>
  <c r="C682" i="2"/>
  <c r="F677" i="3"/>
  <c r="D678" i="3"/>
  <c r="L685" i="2"/>
  <c r="M686" i="2"/>
  <c r="D678" i="4"/>
  <c r="AA678" i="3"/>
  <c r="B681" i="3"/>
  <c r="B683" i="2"/>
  <c r="A681" i="4"/>
  <c r="P680" i="3"/>
  <c r="M680" i="3"/>
  <c r="S680" i="3"/>
  <c r="Y680" i="3" s="1"/>
  <c r="Z680" i="3" s="1"/>
  <c r="C680" i="3"/>
  <c r="E680" i="3"/>
  <c r="G680" i="3"/>
  <c r="N680" i="2"/>
  <c r="H679" i="2"/>
  <c r="E679" i="2" s="1"/>
  <c r="H678" i="3" s="1"/>
  <c r="J678" i="3"/>
  <c r="K682" i="2"/>
  <c r="P680" i="2"/>
  <c r="J679" i="2"/>
  <c r="G679" i="2" s="1"/>
  <c r="T678" i="3" s="1"/>
  <c r="V678" i="3"/>
  <c r="D682" i="2"/>
  <c r="T681" i="2"/>
  <c r="I680" i="4"/>
  <c r="M680" i="4" s="1"/>
  <c r="C680" i="4"/>
  <c r="AB679" i="3"/>
  <c r="I676" i="3"/>
  <c r="U676" i="3"/>
  <c r="O676" i="3"/>
  <c r="H677" i="4" l="1"/>
  <c r="J677" i="4"/>
  <c r="K679" i="4"/>
  <c r="N679" i="4" s="1"/>
  <c r="G679" i="4"/>
  <c r="L679" i="4" s="1"/>
  <c r="F677" i="4"/>
  <c r="E680" i="4"/>
  <c r="O683" i="2"/>
  <c r="I682" i="2"/>
  <c r="F682" i="2" s="1"/>
  <c r="N681" i="3" s="1"/>
  <c r="T682" i="2"/>
  <c r="D683" i="2"/>
  <c r="D679" i="4"/>
  <c r="AA679" i="3"/>
  <c r="M687" i="2"/>
  <c r="P681" i="2"/>
  <c r="J680" i="2"/>
  <c r="G680" i="2" s="1"/>
  <c r="T679" i="3" s="1"/>
  <c r="V679" i="3"/>
  <c r="L686" i="2"/>
  <c r="K683" i="2"/>
  <c r="F678" i="3"/>
  <c r="D679" i="3"/>
  <c r="C681" i="4"/>
  <c r="AB680" i="3"/>
  <c r="I677" i="3"/>
  <c r="U677" i="3"/>
  <c r="O677" i="3"/>
  <c r="C683" i="2"/>
  <c r="N681" i="2"/>
  <c r="H680" i="2"/>
  <c r="E680" i="2" s="1"/>
  <c r="H679" i="3" s="1"/>
  <c r="J679" i="3"/>
  <c r="I681" i="4"/>
  <c r="M681" i="4" s="1"/>
  <c r="A682" i="4"/>
  <c r="M681" i="3"/>
  <c r="G681" i="3"/>
  <c r="P681" i="3"/>
  <c r="S681" i="3"/>
  <c r="Y681" i="3" s="1"/>
  <c r="Z681" i="3" s="1"/>
  <c r="C681" i="3"/>
  <c r="E681" i="3"/>
  <c r="B682" i="3"/>
  <c r="B684" i="2"/>
  <c r="K680" i="4" l="1"/>
  <c r="N680" i="4" s="1"/>
  <c r="H678" i="4"/>
  <c r="F678" i="4"/>
  <c r="G680" i="4"/>
  <c r="L680" i="4" s="1"/>
  <c r="J678" i="4"/>
  <c r="E681" i="4"/>
  <c r="O684" i="2"/>
  <c r="I683" i="2"/>
  <c r="F683" i="2" s="1"/>
  <c r="N682" i="3" s="1"/>
  <c r="B683" i="3"/>
  <c r="B685" i="2"/>
  <c r="C682" i="4"/>
  <c r="AB681" i="3"/>
  <c r="L687" i="2"/>
  <c r="A683" i="4"/>
  <c r="C682" i="3"/>
  <c r="G682" i="3"/>
  <c r="S682" i="3"/>
  <c r="Y682" i="3" s="1"/>
  <c r="Z682" i="3" s="1"/>
  <c r="P682" i="3"/>
  <c r="E682" i="3"/>
  <c r="M682" i="3"/>
  <c r="P682" i="2"/>
  <c r="J681" i="2"/>
  <c r="G681" i="2" s="1"/>
  <c r="T680" i="3" s="1"/>
  <c r="V680" i="3"/>
  <c r="C684" i="2"/>
  <c r="I682" i="4"/>
  <c r="M682" i="4" s="1"/>
  <c r="M688" i="2"/>
  <c r="D680" i="4"/>
  <c r="AA680" i="3"/>
  <c r="D680" i="3"/>
  <c r="F679" i="3"/>
  <c r="O678" i="3"/>
  <c r="U678" i="3"/>
  <c r="I678" i="3"/>
  <c r="D684" i="2"/>
  <c r="T683" i="2"/>
  <c r="N682" i="2"/>
  <c r="J680" i="3"/>
  <c r="H681" i="2"/>
  <c r="E681" i="2" s="1"/>
  <c r="H680" i="3" s="1"/>
  <c r="K684" i="2"/>
  <c r="E682" i="4" l="1"/>
  <c r="G681" i="4"/>
  <c r="L681" i="4" s="1"/>
  <c r="K681" i="4"/>
  <c r="N681" i="4" s="1"/>
  <c r="F679" i="4"/>
  <c r="J679" i="4"/>
  <c r="H679" i="4"/>
  <c r="O685" i="2"/>
  <c r="I684" i="2"/>
  <c r="F684" i="2" s="1"/>
  <c r="N683" i="3" s="1"/>
  <c r="K685" i="2"/>
  <c r="F680" i="3"/>
  <c r="D681" i="3"/>
  <c r="D681" i="4"/>
  <c r="AA681" i="3"/>
  <c r="C685" i="2"/>
  <c r="N683" i="2"/>
  <c r="H682" i="2"/>
  <c r="E682" i="2" s="1"/>
  <c r="H681" i="3" s="1"/>
  <c r="J681" i="3"/>
  <c r="M689" i="2"/>
  <c r="P683" i="2"/>
  <c r="J682" i="2"/>
  <c r="G682" i="2" s="1"/>
  <c r="T681" i="3" s="1"/>
  <c r="V681" i="3"/>
  <c r="I683" i="4"/>
  <c r="M683" i="4" s="1"/>
  <c r="C683" i="4"/>
  <c r="AB682" i="3"/>
  <c r="L688" i="2"/>
  <c r="T684" i="2"/>
  <c r="D685" i="2"/>
  <c r="O679" i="3"/>
  <c r="I679" i="3"/>
  <c r="U679" i="3"/>
  <c r="B684" i="3"/>
  <c r="B686" i="2"/>
  <c r="A684" i="4"/>
  <c r="G683" i="3"/>
  <c r="S683" i="3"/>
  <c r="Y683" i="3" s="1"/>
  <c r="Z683" i="3" s="1"/>
  <c r="C683" i="3"/>
  <c r="P683" i="3"/>
  <c r="M683" i="3"/>
  <c r="E683" i="3"/>
  <c r="F680" i="4" l="1"/>
  <c r="G682" i="4"/>
  <c r="L682" i="4" s="1"/>
  <c r="H680" i="4"/>
  <c r="E683" i="4"/>
  <c r="K682" i="4"/>
  <c r="N682" i="4" s="1"/>
  <c r="J680" i="4"/>
  <c r="O686" i="2"/>
  <c r="I685" i="2"/>
  <c r="F685" i="2" s="1"/>
  <c r="N684" i="3" s="1"/>
  <c r="A685" i="4"/>
  <c r="P684" i="3"/>
  <c r="M684" i="3"/>
  <c r="S684" i="3"/>
  <c r="Y684" i="3" s="1"/>
  <c r="Z684" i="3" s="1"/>
  <c r="C684" i="3"/>
  <c r="E684" i="3"/>
  <c r="G684" i="3"/>
  <c r="N684" i="2"/>
  <c r="J682" i="3"/>
  <c r="H683" i="2"/>
  <c r="E683" i="2" s="1"/>
  <c r="H682" i="3" s="1"/>
  <c r="I684" i="4"/>
  <c r="M684" i="4" s="1"/>
  <c r="C686" i="2"/>
  <c r="T685" i="2"/>
  <c r="D686" i="2"/>
  <c r="D682" i="4"/>
  <c r="AA682" i="3"/>
  <c r="B685" i="3"/>
  <c r="B687" i="2"/>
  <c r="F681" i="3"/>
  <c r="D682" i="3"/>
  <c r="P684" i="2"/>
  <c r="J683" i="2"/>
  <c r="G683" i="2" s="1"/>
  <c r="T682" i="3" s="1"/>
  <c r="V682" i="3"/>
  <c r="I680" i="3"/>
  <c r="U680" i="3"/>
  <c r="O680" i="3"/>
  <c r="C684" i="4"/>
  <c r="AB683" i="3"/>
  <c r="L689" i="2"/>
  <c r="M690" i="2"/>
  <c r="K686" i="2"/>
  <c r="E684" i="4" l="1"/>
  <c r="H681" i="4"/>
  <c r="J681" i="4"/>
  <c r="F681" i="4"/>
  <c r="G683" i="4"/>
  <c r="L683" i="4" s="1"/>
  <c r="K683" i="4"/>
  <c r="N683" i="4" s="1"/>
  <c r="O687" i="2"/>
  <c r="I686" i="2"/>
  <c r="F686" i="2" s="1"/>
  <c r="N685" i="3" s="1"/>
  <c r="C687" i="2"/>
  <c r="F682" i="3"/>
  <c r="D683" i="3"/>
  <c r="B686" i="3"/>
  <c r="B688" i="2"/>
  <c r="P685" i="2"/>
  <c r="J684" i="2"/>
  <c r="G684" i="2" s="1"/>
  <c r="T683" i="3" s="1"/>
  <c r="V683" i="3"/>
  <c r="M691" i="2"/>
  <c r="A686" i="4"/>
  <c r="M685" i="3"/>
  <c r="G685" i="3"/>
  <c r="P685" i="3"/>
  <c r="C685" i="3"/>
  <c r="S685" i="3"/>
  <c r="Y685" i="3" s="1"/>
  <c r="Z685" i="3" s="1"/>
  <c r="E685" i="3"/>
  <c r="D683" i="4"/>
  <c r="AA683" i="3"/>
  <c r="I681" i="3"/>
  <c r="U681" i="3"/>
  <c r="O681" i="3"/>
  <c r="L690" i="2"/>
  <c r="D687" i="2"/>
  <c r="T686" i="2"/>
  <c r="C685" i="4"/>
  <c r="AB684" i="3"/>
  <c r="K687" i="2"/>
  <c r="N685" i="2"/>
  <c r="J683" i="3"/>
  <c r="H684" i="2"/>
  <c r="E684" i="2" s="1"/>
  <c r="H683" i="3" s="1"/>
  <c r="I685" i="4"/>
  <c r="M685" i="4" s="1"/>
  <c r="J682" i="4" l="1"/>
  <c r="G684" i="4"/>
  <c r="L684" i="4" s="1"/>
  <c r="K684" i="4"/>
  <c r="N684" i="4" s="1"/>
  <c r="F682" i="4"/>
  <c r="E685" i="4"/>
  <c r="H682" i="4"/>
  <c r="O688" i="2"/>
  <c r="I687" i="2"/>
  <c r="F687" i="2" s="1"/>
  <c r="N686" i="3" s="1"/>
  <c r="P686" i="2"/>
  <c r="J685" i="2"/>
  <c r="G685" i="2" s="1"/>
  <c r="T684" i="3" s="1"/>
  <c r="V684" i="3"/>
  <c r="M692" i="2"/>
  <c r="L691" i="2"/>
  <c r="B687" i="3"/>
  <c r="B689" i="2"/>
  <c r="A687" i="4"/>
  <c r="C686" i="3"/>
  <c r="M686" i="3"/>
  <c r="P686" i="3"/>
  <c r="S686" i="3"/>
  <c r="Y686" i="3" s="1"/>
  <c r="Z686" i="3" s="1"/>
  <c r="E686" i="3"/>
  <c r="G686" i="3"/>
  <c r="T687" i="2"/>
  <c r="D688" i="2"/>
  <c r="D684" i="3"/>
  <c r="F683" i="3"/>
  <c r="O682" i="3"/>
  <c r="U682" i="3"/>
  <c r="I682" i="3"/>
  <c r="N686" i="2"/>
  <c r="H685" i="2"/>
  <c r="E685" i="2" s="1"/>
  <c r="H684" i="3" s="1"/>
  <c r="J684" i="3"/>
  <c r="C688" i="2"/>
  <c r="K688" i="2"/>
  <c r="D684" i="4"/>
  <c r="AA684" i="3"/>
  <c r="C686" i="4"/>
  <c r="AB685" i="3"/>
  <c r="I686" i="4"/>
  <c r="M686" i="4" s="1"/>
  <c r="J683" i="4" l="1"/>
  <c r="H683" i="4"/>
  <c r="E686" i="4"/>
  <c r="F683" i="4"/>
  <c r="G685" i="4"/>
  <c r="L685" i="4" s="1"/>
  <c r="K685" i="4"/>
  <c r="N685" i="4" s="1"/>
  <c r="O689" i="2"/>
  <c r="I688" i="2"/>
  <c r="F688" i="2" s="1"/>
  <c r="N687" i="3" s="1"/>
  <c r="K689" i="2"/>
  <c r="T688" i="2"/>
  <c r="D689" i="2"/>
  <c r="C687" i="4"/>
  <c r="AB686" i="3"/>
  <c r="I687" i="4"/>
  <c r="M687" i="4" s="1"/>
  <c r="B688" i="3"/>
  <c r="B690" i="2"/>
  <c r="A688" i="4"/>
  <c r="C687" i="3"/>
  <c r="M687" i="3"/>
  <c r="P687" i="3"/>
  <c r="E687" i="3"/>
  <c r="S687" i="3"/>
  <c r="Y687" i="3" s="1"/>
  <c r="Z687" i="3" s="1"/>
  <c r="G687" i="3"/>
  <c r="L692" i="2"/>
  <c r="N687" i="2"/>
  <c r="H686" i="2"/>
  <c r="E686" i="2" s="1"/>
  <c r="H685" i="3" s="1"/>
  <c r="J685" i="3"/>
  <c r="C689" i="2"/>
  <c r="M693" i="2"/>
  <c r="D685" i="4"/>
  <c r="AA685" i="3"/>
  <c r="O683" i="3"/>
  <c r="I683" i="3"/>
  <c r="U683" i="3"/>
  <c r="F684" i="3"/>
  <c r="D685" i="3"/>
  <c r="P687" i="2"/>
  <c r="J686" i="2"/>
  <c r="G686" i="2" s="1"/>
  <c r="T685" i="3" s="1"/>
  <c r="V685" i="3"/>
  <c r="K686" i="4" l="1"/>
  <c r="N686" i="4" s="1"/>
  <c r="G686" i="4"/>
  <c r="L686" i="4" s="1"/>
  <c r="E687" i="4"/>
  <c r="J684" i="4"/>
  <c r="F684" i="4"/>
  <c r="H684" i="4"/>
  <c r="O690" i="2"/>
  <c r="I689" i="2"/>
  <c r="F689" i="2" s="1"/>
  <c r="N688" i="3" s="1"/>
  <c r="P688" i="2"/>
  <c r="J687" i="2"/>
  <c r="G687" i="2" s="1"/>
  <c r="T686" i="3" s="1"/>
  <c r="V686" i="3"/>
  <c r="F685" i="3"/>
  <c r="D686" i="3"/>
  <c r="N688" i="2"/>
  <c r="H687" i="2"/>
  <c r="E687" i="2" s="1"/>
  <c r="H686" i="3" s="1"/>
  <c r="J686" i="3"/>
  <c r="C688" i="4"/>
  <c r="AB687" i="3"/>
  <c r="I684" i="3"/>
  <c r="U684" i="3"/>
  <c r="O684" i="3"/>
  <c r="L693" i="2"/>
  <c r="I688" i="4"/>
  <c r="M688" i="4" s="1"/>
  <c r="T689" i="2"/>
  <c r="D690" i="2"/>
  <c r="M694" i="2"/>
  <c r="C690" i="2"/>
  <c r="D686" i="4"/>
  <c r="AA686" i="3"/>
  <c r="B689" i="3"/>
  <c r="B691" i="2"/>
  <c r="A689" i="4"/>
  <c r="P688" i="3"/>
  <c r="C688" i="3"/>
  <c r="E688" i="3"/>
  <c r="S688" i="3"/>
  <c r="Y688" i="3" s="1"/>
  <c r="Z688" i="3" s="1"/>
  <c r="G688" i="3"/>
  <c r="M688" i="3"/>
  <c r="K690" i="2"/>
  <c r="E688" i="4" l="1"/>
  <c r="G687" i="4"/>
  <c r="L687" i="4" s="1"/>
  <c r="K687" i="4"/>
  <c r="N687" i="4" s="1"/>
  <c r="H685" i="4"/>
  <c r="J685" i="4"/>
  <c r="F685" i="4"/>
  <c r="O691" i="2"/>
  <c r="I690" i="2"/>
  <c r="F690" i="2" s="1"/>
  <c r="N689" i="3" s="1"/>
  <c r="I689" i="4"/>
  <c r="M689" i="4" s="1"/>
  <c r="K691" i="2"/>
  <c r="C689" i="4"/>
  <c r="AB688" i="3"/>
  <c r="B690" i="3"/>
  <c r="B692" i="2"/>
  <c r="D687" i="4"/>
  <c r="AA687" i="3"/>
  <c r="N689" i="2"/>
  <c r="H688" i="2"/>
  <c r="E688" i="2" s="1"/>
  <c r="H687" i="3" s="1"/>
  <c r="J687" i="3"/>
  <c r="A690" i="4"/>
  <c r="P689" i="3"/>
  <c r="C689" i="3"/>
  <c r="S689" i="3"/>
  <c r="Y689" i="3" s="1"/>
  <c r="Z689" i="3" s="1"/>
  <c r="E689" i="3"/>
  <c r="G689" i="3"/>
  <c r="M689" i="3"/>
  <c r="C691" i="2"/>
  <c r="F686" i="3"/>
  <c r="D687" i="3"/>
  <c r="I685" i="3"/>
  <c r="U685" i="3"/>
  <c r="O685" i="3"/>
  <c r="M695" i="2"/>
  <c r="L694" i="2"/>
  <c r="D691" i="2"/>
  <c r="T690" i="2"/>
  <c r="P689" i="2"/>
  <c r="J688" i="2"/>
  <c r="G688" i="2" s="1"/>
  <c r="T687" i="3" s="1"/>
  <c r="V687" i="3"/>
  <c r="F686" i="4" l="1"/>
  <c r="K688" i="4"/>
  <c r="N688" i="4" s="1"/>
  <c r="E689" i="4"/>
  <c r="H686" i="4"/>
  <c r="J686" i="4"/>
  <c r="G688" i="4"/>
  <c r="L688" i="4" s="1"/>
  <c r="O692" i="2"/>
  <c r="I691" i="2"/>
  <c r="F691" i="2" s="1"/>
  <c r="N690" i="3" s="1"/>
  <c r="A691" i="4"/>
  <c r="C690" i="3"/>
  <c r="S690" i="3"/>
  <c r="Y690" i="3" s="1"/>
  <c r="Z690" i="3" s="1"/>
  <c r="E690" i="3"/>
  <c r="G690" i="3"/>
  <c r="M690" i="3"/>
  <c r="P690" i="3"/>
  <c r="B691" i="3"/>
  <c r="D688" i="3"/>
  <c r="F687" i="3"/>
  <c r="P690" i="2"/>
  <c r="J689" i="2"/>
  <c r="G689" i="2" s="1"/>
  <c r="T688" i="3" s="1"/>
  <c r="V688" i="3"/>
  <c r="C692" i="2"/>
  <c r="O686" i="3"/>
  <c r="U686" i="3"/>
  <c r="I686" i="3"/>
  <c r="K692" i="2"/>
  <c r="T691" i="2"/>
  <c r="D692" i="2"/>
  <c r="I690" i="4"/>
  <c r="M690" i="4" s="1"/>
  <c r="L695" i="2"/>
  <c r="C690" i="4"/>
  <c r="AB689" i="3"/>
  <c r="N690" i="2"/>
  <c r="J688" i="3"/>
  <c r="H689" i="2"/>
  <c r="E689" i="2" s="1"/>
  <c r="H688" i="3" s="1"/>
  <c r="M696" i="2"/>
  <c r="D688" i="4"/>
  <c r="AA688" i="3"/>
  <c r="F687" i="4" l="1"/>
  <c r="H687" i="4"/>
  <c r="J687" i="4"/>
  <c r="K689" i="4"/>
  <c r="N689" i="4" s="1"/>
  <c r="G689" i="4"/>
  <c r="L689" i="4" s="1"/>
  <c r="E690" i="4"/>
  <c r="O693" i="2"/>
  <c r="I692" i="2"/>
  <c r="F692" i="2" s="1"/>
  <c r="N691" i="3" s="1"/>
  <c r="C693" i="2"/>
  <c r="C691" i="4"/>
  <c r="AB690" i="3"/>
  <c r="D689" i="4"/>
  <c r="AA689" i="3"/>
  <c r="M697" i="2"/>
  <c r="O687" i="3"/>
  <c r="U687" i="3"/>
  <c r="I687" i="3"/>
  <c r="D689" i="3"/>
  <c r="F688" i="3"/>
  <c r="N691" i="2"/>
  <c r="J689" i="3"/>
  <c r="H690" i="2"/>
  <c r="E690" i="2" s="1"/>
  <c r="H689" i="3" s="1"/>
  <c r="P691" i="2"/>
  <c r="J690" i="2"/>
  <c r="G690" i="2" s="1"/>
  <c r="T689" i="3" s="1"/>
  <c r="V689" i="3"/>
  <c r="K693" i="2"/>
  <c r="B692" i="3"/>
  <c r="D693" i="2"/>
  <c r="T692" i="2"/>
  <c r="L696" i="2"/>
  <c r="A692" i="4"/>
  <c r="C691" i="3"/>
  <c r="G691" i="3"/>
  <c r="M691" i="3"/>
  <c r="P691" i="3"/>
  <c r="E691" i="3"/>
  <c r="S691" i="3"/>
  <c r="Y691" i="3" s="1"/>
  <c r="Z691" i="3" s="1"/>
  <c r="I691" i="4"/>
  <c r="M691" i="4" s="1"/>
  <c r="J688" i="4" l="1"/>
  <c r="H688" i="4"/>
  <c r="E691" i="4"/>
  <c r="K690" i="4"/>
  <c r="N690" i="4" s="1"/>
  <c r="G690" i="4"/>
  <c r="L690" i="4" s="1"/>
  <c r="F688" i="4"/>
  <c r="O694" i="2"/>
  <c r="I693" i="2"/>
  <c r="F693" i="2" s="1"/>
  <c r="N692" i="3" s="1"/>
  <c r="A693" i="4"/>
  <c r="G692" i="3"/>
  <c r="M692" i="3"/>
  <c r="P692" i="3"/>
  <c r="C692" i="3"/>
  <c r="E692" i="3"/>
  <c r="S692" i="3"/>
  <c r="Y692" i="3" s="1"/>
  <c r="Z692" i="3" s="1"/>
  <c r="K694" i="2"/>
  <c r="M698" i="2"/>
  <c r="D690" i="4"/>
  <c r="AA690" i="3"/>
  <c r="I692" i="4"/>
  <c r="M692" i="4" s="1"/>
  <c r="P692" i="2"/>
  <c r="J691" i="2"/>
  <c r="G691" i="2" s="1"/>
  <c r="T690" i="3" s="1"/>
  <c r="V690" i="3"/>
  <c r="B693" i="3"/>
  <c r="N692" i="2"/>
  <c r="H691" i="2"/>
  <c r="E691" i="2" s="1"/>
  <c r="H690" i="3" s="1"/>
  <c r="J690" i="3"/>
  <c r="L697" i="2"/>
  <c r="I688" i="3"/>
  <c r="U688" i="3"/>
  <c r="O688" i="3"/>
  <c r="C692" i="4"/>
  <c r="AB691" i="3"/>
  <c r="D694" i="2"/>
  <c r="T693" i="2"/>
  <c r="F689" i="3"/>
  <c r="D690" i="3"/>
  <c r="C694" i="2"/>
  <c r="G691" i="4" l="1"/>
  <c r="L691" i="4" s="1"/>
  <c r="K691" i="4"/>
  <c r="N691" i="4" s="1"/>
  <c r="F689" i="4"/>
  <c r="E692" i="4"/>
  <c r="H689" i="4"/>
  <c r="J689" i="4"/>
  <c r="O695" i="2"/>
  <c r="I694" i="2"/>
  <c r="F694" i="2" s="1"/>
  <c r="N693" i="3" s="1"/>
  <c r="L698" i="2"/>
  <c r="F690" i="3"/>
  <c r="D691" i="3"/>
  <c r="N693" i="2"/>
  <c r="H692" i="2"/>
  <c r="E692" i="2" s="1"/>
  <c r="H691" i="3" s="1"/>
  <c r="J691" i="3"/>
  <c r="D691" i="4"/>
  <c r="AA691" i="3"/>
  <c r="C693" i="4"/>
  <c r="AB692" i="3"/>
  <c r="C695" i="2"/>
  <c r="B694" i="3"/>
  <c r="A694" i="4"/>
  <c r="M693" i="3"/>
  <c r="C693" i="3"/>
  <c r="P693" i="3"/>
  <c r="E693" i="3"/>
  <c r="G693" i="3"/>
  <c r="S693" i="3"/>
  <c r="Y693" i="3" s="1"/>
  <c r="Z693" i="3" s="1"/>
  <c r="I689" i="3"/>
  <c r="U689" i="3"/>
  <c r="O689" i="3"/>
  <c r="T694" i="2"/>
  <c r="D695" i="2"/>
  <c r="M699" i="2"/>
  <c r="P693" i="2"/>
  <c r="J692" i="2"/>
  <c r="G692" i="2" s="1"/>
  <c r="T691" i="3" s="1"/>
  <c r="V691" i="3"/>
  <c r="K695" i="2"/>
  <c r="I693" i="4"/>
  <c r="M693" i="4" s="1"/>
  <c r="E693" i="4" l="1"/>
  <c r="F690" i="4"/>
  <c r="G692" i="4"/>
  <c r="L692" i="4" s="1"/>
  <c r="K692" i="4"/>
  <c r="N692" i="4" s="1"/>
  <c r="J690" i="4"/>
  <c r="H690" i="4"/>
  <c r="O696" i="2"/>
  <c r="I695" i="2"/>
  <c r="F695" i="2" s="1"/>
  <c r="N694" i="3" s="1"/>
  <c r="M700" i="2"/>
  <c r="D696" i="2"/>
  <c r="T695" i="2"/>
  <c r="C694" i="4"/>
  <c r="AB693" i="3"/>
  <c r="D692" i="4"/>
  <c r="AA692" i="3"/>
  <c r="I694" i="4"/>
  <c r="M694" i="4" s="1"/>
  <c r="N694" i="2"/>
  <c r="H693" i="2"/>
  <c r="E693" i="2" s="1"/>
  <c r="H692" i="3" s="1"/>
  <c r="J692" i="3"/>
  <c r="B695" i="3"/>
  <c r="F691" i="3"/>
  <c r="D692" i="3"/>
  <c r="A695" i="4"/>
  <c r="E694" i="3"/>
  <c r="G694" i="3"/>
  <c r="S694" i="3"/>
  <c r="Y694" i="3" s="1"/>
  <c r="Z694" i="3" s="1"/>
  <c r="M694" i="3"/>
  <c r="P694" i="3"/>
  <c r="C694" i="3"/>
  <c r="O690" i="3"/>
  <c r="U690" i="3"/>
  <c r="I690" i="3"/>
  <c r="C696" i="2"/>
  <c r="K696" i="2"/>
  <c r="P694" i="2"/>
  <c r="J693" i="2"/>
  <c r="G693" i="2" s="1"/>
  <c r="T692" i="3" s="1"/>
  <c r="V692" i="3"/>
  <c r="L699" i="2"/>
  <c r="P694" i="4" l="1"/>
  <c r="K693" i="4"/>
  <c r="N693" i="4" s="1"/>
  <c r="E694" i="4"/>
  <c r="F691" i="4"/>
  <c r="J691" i="4"/>
  <c r="H691" i="4"/>
  <c r="G693" i="4"/>
  <c r="L693" i="4" s="1"/>
  <c r="O697" i="2"/>
  <c r="I696" i="2"/>
  <c r="F696" i="2" s="1"/>
  <c r="N695" i="3" s="1"/>
  <c r="I695" i="4"/>
  <c r="M695" i="4" s="1"/>
  <c r="O691" i="3"/>
  <c r="U691" i="3"/>
  <c r="I691" i="3"/>
  <c r="D693" i="4"/>
  <c r="AA693" i="3"/>
  <c r="B696" i="3"/>
  <c r="A696" i="4"/>
  <c r="C695" i="3"/>
  <c r="P695" i="3"/>
  <c r="E695" i="3"/>
  <c r="G695" i="3"/>
  <c r="S695" i="3"/>
  <c r="Y695" i="3" s="1"/>
  <c r="Z695" i="3" s="1"/>
  <c r="M695" i="3"/>
  <c r="P695" i="2"/>
  <c r="J694" i="2"/>
  <c r="G694" i="2" s="1"/>
  <c r="T693" i="3" s="1"/>
  <c r="V693" i="3"/>
  <c r="K697" i="2"/>
  <c r="N695" i="2"/>
  <c r="H694" i="2"/>
  <c r="E694" i="2" s="1"/>
  <c r="H693" i="3" s="1"/>
  <c r="J693" i="3"/>
  <c r="D693" i="3"/>
  <c r="F692" i="3"/>
  <c r="C697" i="2"/>
  <c r="D697" i="2"/>
  <c r="T696" i="2"/>
  <c r="L700" i="2"/>
  <c r="C695" i="4"/>
  <c r="AB694" i="3"/>
  <c r="M701" i="2"/>
  <c r="G694" i="4" l="1"/>
  <c r="L694" i="4" s="1"/>
  <c r="E695" i="4"/>
  <c r="F692" i="4"/>
  <c r="J692" i="4"/>
  <c r="H692" i="4"/>
  <c r="K694" i="4"/>
  <c r="N694" i="4" s="1"/>
  <c r="O698" i="2"/>
  <c r="I697" i="2"/>
  <c r="F697" i="2" s="1"/>
  <c r="N696" i="3" s="1"/>
  <c r="I692" i="3"/>
  <c r="U692" i="3"/>
  <c r="O692" i="3"/>
  <c r="D694" i="4"/>
  <c r="AA694" i="3"/>
  <c r="M702" i="2"/>
  <c r="D694" i="3"/>
  <c r="F693" i="3"/>
  <c r="K698" i="2"/>
  <c r="T697" i="2"/>
  <c r="D698" i="2"/>
  <c r="A697" i="4"/>
  <c r="M696" i="3"/>
  <c r="C696" i="3"/>
  <c r="P696" i="3"/>
  <c r="E696" i="3"/>
  <c r="G696" i="3"/>
  <c r="S696" i="3"/>
  <c r="Y696" i="3" s="1"/>
  <c r="Z696" i="3" s="1"/>
  <c r="C698" i="2"/>
  <c r="P696" i="2"/>
  <c r="J695" i="2"/>
  <c r="G695" i="2" s="1"/>
  <c r="T694" i="3" s="1"/>
  <c r="V694" i="3"/>
  <c r="I696" i="4"/>
  <c r="M696" i="4" s="1"/>
  <c r="N696" i="2"/>
  <c r="H695" i="2"/>
  <c r="E695" i="2" s="1"/>
  <c r="H694" i="3" s="1"/>
  <c r="J694" i="3"/>
  <c r="L701" i="2"/>
  <c r="C696" i="4"/>
  <c r="AB695" i="3"/>
  <c r="B697" i="3"/>
  <c r="H693" i="4" l="1"/>
  <c r="J693" i="4"/>
  <c r="E696" i="4"/>
  <c r="F693" i="4"/>
  <c r="G695" i="4"/>
  <c r="L695" i="4" s="1"/>
  <c r="K695" i="4"/>
  <c r="N695" i="4" s="1"/>
  <c r="O699" i="2"/>
  <c r="I698" i="2"/>
  <c r="F698" i="2" s="1"/>
  <c r="N697" i="3" s="1"/>
  <c r="K699" i="2"/>
  <c r="I693" i="3"/>
  <c r="U693" i="3"/>
  <c r="O693" i="3"/>
  <c r="F694" i="3"/>
  <c r="D695" i="3"/>
  <c r="A698" i="4"/>
  <c r="M697" i="3"/>
  <c r="C697" i="3"/>
  <c r="P697" i="3"/>
  <c r="E697" i="3"/>
  <c r="G697" i="3"/>
  <c r="S697" i="3"/>
  <c r="Y697" i="3" s="1"/>
  <c r="Z697" i="3" s="1"/>
  <c r="L702" i="2"/>
  <c r="P697" i="2"/>
  <c r="J696" i="2"/>
  <c r="G696" i="2" s="1"/>
  <c r="T695" i="3" s="1"/>
  <c r="V695" i="3"/>
  <c r="M703" i="2"/>
  <c r="C699" i="2"/>
  <c r="D695" i="4"/>
  <c r="AA695" i="3"/>
  <c r="C697" i="4"/>
  <c r="AB696" i="3"/>
  <c r="B698" i="3"/>
  <c r="N697" i="2"/>
  <c r="J695" i="3"/>
  <c r="H696" i="2"/>
  <c r="E696" i="2" s="1"/>
  <c r="H695" i="3" s="1"/>
  <c r="I697" i="4"/>
  <c r="M697" i="4" s="1"/>
  <c r="D699" i="2"/>
  <c r="T698" i="2"/>
  <c r="H694" i="4" l="1"/>
  <c r="F694" i="4"/>
  <c r="G696" i="4"/>
  <c r="L696" i="4" s="1"/>
  <c r="J694" i="4"/>
  <c r="E697" i="4"/>
  <c r="K696" i="4"/>
  <c r="N696" i="4" s="1"/>
  <c r="O700" i="2"/>
  <c r="I699" i="2"/>
  <c r="F699" i="2" s="1"/>
  <c r="N698" i="3" s="1"/>
  <c r="P698" i="2"/>
  <c r="J697" i="2"/>
  <c r="G697" i="2" s="1"/>
  <c r="T696" i="3" s="1"/>
  <c r="V696" i="3"/>
  <c r="N698" i="2"/>
  <c r="J696" i="3"/>
  <c r="H697" i="2"/>
  <c r="E697" i="2" s="1"/>
  <c r="H696" i="3" s="1"/>
  <c r="L703" i="2"/>
  <c r="I698" i="4"/>
  <c r="M698" i="4" s="1"/>
  <c r="A699" i="4"/>
  <c r="E698" i="3"/>
  <c r="G698" i="3"/>
  <c r="S698" i="3"/>
  <c r="Y698" i="3" s="1"/>
  <c r="Z698" i="3" s="1"/>
  <c r="M698" i="3"/>
  <c r="P698" i="3"/>
  <c r="C698" i="3"/>
  <c r="D700" i="2"/>
  <c r="T699" i="2"/>
  <c r="D696" i="4"/>
  <c r="AA696" i="3"/>
  <c r="F695" i="3"/>
  <c r="D696" i="3"/>
  <c r="I694" i="3"/>
  <c r="U694" i="3"/>
  <c r="O694" i="3"/>
  <c r="B699" i="3"/>
  <c r="C700" i="2"/>
  <c r="M704" i="2"/>
  <c r="K700" i="2"/>
  <c r="C698" i="4"/>
  <c r="AB697" i="3"/>
  <c r="F695" i="4" l="1"/>
  <c r="G697" i="4"/>
  <c r="L697" i="4" s="1"/>
  <c r="E698" i="4"/>
  <c r="H695" i="4"/>
  <c r="J695" i="4"/>
  <c r="K697" i="4"/>
  <c r="N697" i="4" s="1"/>
  <c r="O701" i="2"/>
  <c r="I700" i="2"/>
  <c r="F700" i="2" s="1"/>
  <c r="N699" i="3" s="1"/>
  <c r="C699" i="4"/>
  <c r="AB698" i="3"/>
  <c r="O695" i="3"/>
  <c r="I695" i="3"/>
  <c r="U695" i="3"/>
  <c r="D697" i="4"/>
  <c r="AA697" i="3"/>
  <c r="L704" i="2"/>
  <c r="N699" i="2"/>
  <c r="H698" i="2"/>
  <c r="E698" i="2" s="1"/>
  <c r="H697" i="3" s="1"/>
  <c r="J697" i="3"/>
  <c r="K701" i="2"/>
  <c r="C701" i="2"/>
  <c r="T700" i="2"/>
  <c r="D701" i="2"/>
  <c r="I699" i="4"/>
  <c r="M699" i="4" s="1"/>
  <c r="F696" i="3"/>
  <c r="D697" i="3"/>
  <c r="B700" i="3"/>
  <c r="A700" i="4"/>
  <c r="C699" i="3"/>
  <c r="P699" i="3"/>
  <c r="E699" i="3"/>
  <c r="G699" i="3"/>
  <c r="S699" i="3"/>
  <c r="Y699" i="3" s="1"/>
  <c r="Z699" i="3" s="1"/>
  <c r="M699" i="3"/>
  <c r="P699" i="2"/>
  <c r="J698" i="2"/>
  <c r="G698" i="2" s="1"/>
  <c r="T697" i="3" s="1"/>
  <c r="V697" i="3"/>
  <c r="K698" i="4" l="1"/>
  <c r="N698" i="4" s="1"/>
  <c r="J696" i="4"/>
  <c r="F696" i="4"/>
  <c r="H696" i="4"/>
  <c r="E699" i="4"/>
  <c r="G698" i="4"/>
  <c r="L698" i="4" s="1"/>
  <c r="O702" i="2"/>
  <c r="I701" i="2"/>
  <c r="F701" i="2" s="1"/>
  <c r="N700" i="3" s="1"/>
  <c r="N700" i="2"/>
  <c r="J698" i="3"/>
  <c r="H699" i="2"/>
  <c r="E699" i="2" s="1"/>
  <c r="H698" i="3" s="1"/>
  <c r="P700" i="2"/>
  <c r="J699" i="2"/>
  <c r="G699" i="2" s="1"/>
  <c r="T698" i="3" s="1"/>
  <c r="V698" i="3"/>
  <c r="I700" i="4"/>
  <c r="M700" i="4" s="1"/>
  <c r="D702" i="2"/>
  <c r="T701" i="2"/>
  <c r="C700" i="4"/>
  <c r="AB699" i="3"/>
  <c r="B701" i="3"/>
  <c r="D698" i="4"/>
  <c r="AA698" i="3"/>
  <c r="A701" i="4"/>
  <c r="M700" i="3"/>
  <c r="C700" i="3"/>
  <c r="P700" i="3"/>
  <c r="E700" i="3"/>
  <c r="G700" i="3"/>
  <c r="S700" i="3"/>
  <c r="Y700" i="3" s="1"/>
  <c r="Z700" i="3" s="1"/>
  <c r="C702" i="2"/>
  <c r="D698" i="3"/>
  <c r="F697" i="3"/>
  <c r="O696" i="3"/>
  <c r="I696" i="3"/>
  <c r="U696" i="3"/>
  <c r="K702" i="2"/>
  <c r="K699" i="4" l="1"/>
  <c r="N699" i="4" s="1"/>
  <c r="J697" i="4"/>
  <c r="H697" i="4"/>
  <c r="F697" i="4"/>
  <c r="G699" i="4"/>
  <c r="L699" i="4" s="1"/>
  <c r="E700" i="4"/>
  <c r="O703" i="2"/>
  <c r="I702" i="2"/>
  <c r="F702" i="2" s="1"/>
  <c r="N701" i="3" s="1"/>
  <c r="C701" i="4"/>
  <c r="AB700" i="3"/>
  <c r="C703" i="2"/>
  <c r="I701" i="4"/>
  <c r="M701" i="4" s="1"/>
  <c r="D699" i="4"/>
  <c r="AA699" i="3"/>
  <c r="K703" i="2"/>
  <c r="B702" i="3"/>
  <c r="A702" i="4"/>
  <c r="M701" i="3"/>
  <c r="C701" i="3"/>
  <c r="P701" i="3"/>
  <c r="E701" i="3"/>
  <c r="G701" i="3"/>
  <c r="S701" i="3"/>
  <c r="Y701" i="3" s="1"/>
  <c r="Z701" i="3" s="1"/>
  <c r="P701" i="2"/>
  <c r="J700" i="2"/>
  <c r="G700" i="2" s="1"/>
  <c r="T699" i="3" s="1"/>
  <c r="V699" i="3"/>
  <c r="I697" i="3"/>
  <c r="U697" i="3"/>
  <c r="O697" i="3"/>
  <c r="F698" i="3"/>
  <c r="D699" i="3"/>
  <c r="D703" i="2"/>
  <c r="T702" i="2"/>
  <c r="N701" i="2"/>
  <c r="H700" i="2"/>
  <c r="E700" i="2" s="1"/>
  <c r="H699" i="3" s="1"/>
  <c r="J699" i="3"/>
  <c r="H698" i="4" l="1"/>
  <c r="K700" i="4"/>
  <c r="N700" i="4" s="1"/>
  <c r="J698" i="4"/>
  <c r="G700" i="4"/>
  <c r="L700" i="4" s="1"/>
  <c r="E701" i="4"/>
  <c r="F698" i="4"/>
  <c r="O704" i="2"/>
  <c r="I703" i="2"/>
  <c r="F703" i="2" s="1"/>
  <c r="N702" i="3" s="1"/>
  <c r="I698" i="3"/>
  <c r="U698" i="3"/>
  <c r="O698" i="3"/>
  <c r="P702" i="2"/>
  <c r="J701" i="2"/>
  <c r="G701" i="2" s="1"/>
  <c r="T700" i="3" s="1"/>
  <c r="V700" i="3"/>
  <c r="I702" i="4"/>
  <c r="M702" i="4" s="1"/>
  <c r="B703" i="3"/>
  <c r="C704" i="2"/>
  <c r="C702" i="4"/>
  <c r="AB701" i="3"/>
  <c r="A703" i="4"/>
  <c r="E702" i="3"/>
  <c r="G702" i="3"/>
  <c r="S702" i="3"/>
  <c r="Y702" i="3" s="1"/>
  <c r="Z702" i="3" s="1"/>
  <c r="M702" i="3"/>
  <c r="P702" i="3"/>
  <c r="C702" i="3"/>
  <c r="K704" i="2"/>
  <c r="N702" i="2"/>
  <c r="H701" i="2"/>
  <c r="E701" i="2" s="1"/>
  <c r="H700" i="3" s="1"/>
  <c r="J700" i="3"/>
  <c r="T703" i="2"/>
  <c r="D704" i="2"/>
  <c r="F699" i="3"/>
  <c r="D700" i="3"/>
  <c r="D700" i="4"/>
  <c r="AA700" i="3"/>
  <c r="G701" i="4" l="1"/>
  <c r="L701" i="4" s="1"/>
  <c r="K701" i="4"/>
  <c r="N701" i="4" s="1"/>
  <c r="J699" i="4"/>
  <c r="F699" i="4"/>
  <c r="H699" i="4"/>
  <c r="E702" i="4"/>
  <c r="I704" i="2"/>
  <c r="F704" i="2" s="1"/>
  <c r="N703" i="3" s="1"/>
  <c r="O705" i="2"/>
  <c r="N703" i="2"/>
  <c r="H702" i="2"/>
  <c r="E702" i="2" s="1"/>
  <c r="H701" i="3" s="1"/>
  <c r="J701" i="3"/>
  <c r="D701" i="4"/>
  <c r="AA701" i="3"/>
  <c r="I703" i="4"/>
  <c r="M703" i="4" s="1"/>
  <c r="F700" i="3"/>
  <c r="D701" i="3"/>
  <c r="O699" i="3"/>
  <c r="I699" i="3"/>
  <c r="U699" i="3"/>
  <c r="C703" i="4"/>
  <c r="AB702" i="3"/>
  <c r="P703" i="2"/>
  <c r="J702" i="2"/>
  <c r="G702" i="2" s="1"/>
  <c r="T701" i="3" s="1"/>
  <c r="V701" i="3"/>
  <c r="T704" i="2"/>
  <c r="B704" i="3"/>
  <c r="A705" i="4" s="1"/>
  <c r="A704" i="4"/>
  <c r="C703" i="3"/>
  <c r="P703" i="3"/>
  <c r="E703" i="3"/>
  <c r="G703" i="3"/>
  <c r="S703" i="3"/>
  <c r="Y703" i="3" s="1"/>
  <c r="Z703" i="3" s="1"/>
  <c r="M703" i="3"/>
  <c r="H700" i="4" l="1"/>
  <c r="G702" i="4"/>
  <c r="L702" i="4" s="1"/>
  <c r="E703" i="4"/>
  <c r="K702" i="4"/>
  <c r="N702" i="4" s="1"/>
  <c r="J700" i="4"/>
  <c r="F700" i="4"/>
  <c r="O706" i="2"/>
  <c r="I705" i="2"/>
  <c r="F705" i="2" s="1"/>
  <c r="N704" i="3" s="1"/>
  <c r="P704" i="2"/>
  <c r="P705" i="2" s="1"/>
  <c r="V704" i="3" s="1"/>
  <c r="J703" i="2"/>
  <c r="G703" i="2" s="1"/>
  <c r="T702" i="3" s="1"/>
  <c r="V702" i="3"/>
  <c r="D702" i="4"/>
  <c r="AA702" i="3"/>
  <c r="I704" i="4"/>
  <c r="M704" i="4" s="1"/>
  <c r="C704" i="4"/>
  <c r="AB703" i="3"/>
  <c r="B705" i="3"/>
  <c r="A706" i="4" s="1"/>
  <c r="D702" i="3"/>
  <c r="F701" i="3"/>
  <c r="M704" i="3"/>
  <c r="C704" i="3"/>
  <c r="P704" i="3"/>
  <c r="E704" i="3"/>
  <c r="G704" i="3"/>
  <c r="S704" i="3"/>
  <c r="Y704" i="3" s="1"/>
  <c r="Z704" i="3" s="1"/>
  <c r="O700" i="3"/>
  <c r="I700" i="3"/>
  <c r="U700" i="3"/>
  <c r="N704" i="2"/>
  <c r="N705" i="2" s="1"/>
  <c r="J704" i="3" s="1"/>
  <c r="J702" i="3"/>
  <c r="H703" i="2"/>
  <c r="E703" i="2" s="1"/>
  <c r="H702" i="3" s="1"/>
  <c r="E704" i="4" l="1"/>
  <c r="F701" i="4"/>
  <c r="H701" i="4"/>
  <c r="I705" i="4"/>
  <c r="M705" i="4" s="1"/>
  <c r="K703" i="4"/>
  <c r="N703" i="4" s="1"/>
  <c r="K705" i="4"/>
  <c r="N705" i="4" s="1"/>
  <c r="G705" i="4"/>
  <c r="L705" i="4" s="1"/>
  <c r="J701" i="4"/>
  <c r="G703" i="4"/>
  <c r="L703" i="4" s="1"/>
  <c r="AB704" i="3"/>
  <c r="C705" i="4"/>
  <c r="N706" i="2"/>
  <c r="J705" i="3" s="1"/>
  <c r="H705" i="2"/>
  <c r="E705" i="2" s="1"/>
  <c r="H704" i="3" s="1"/>
  <c r="P706" i="2"/>
  <c r="V705" i="3" s="1"/>
  <c r="J705" i="2"/>
  <c r="G705" i="2" s="1"/>
  <c r="T704" i="3" s="1"/>
  <c r="O707" i="2"/>
  <c r="I706" i="2"/>
  <c r="F706" i="2" s="1"/>
  <c r="N705" i="3" s="1"/>
  <c r="I701" i="3"/>
  <c r="U701" i="3"/>
  <c r="O701" i="3"/>
  <c r="D703" i="4"/>
  <c r="AA703" i="3"/>
  <c r="F702" i="3"/>
  <c r="D703" i="3"/>
  <c r="J703" i="3"/>
  <c r="H704" i="2"/>
  <c r="E704" i="2" s="1"/>
  <c r="H703" i="3" s="1"/>
  <c r="B706" i="3"/>
  <c r="A707" i="4" s="1"/>
  <c r="M705" i="3"/>
  <c r="C705" i="3"/>
  <c r="P705" i="3"/>
  <c r="E705" i="3"/>
  <c r="G705" i="3"/>
  <c r="S705" i="3"/>
  <c r="Y705" i="3" s="1"/>
  <c r="Z705" i="3" s="1"/>
  <c r="J704" i="2"/>
  <c r="G704" i="2" s="1"/>
  <c r="T703" i="3" s="1"/>
  <c r="V703" i="3"/>
  <c r="K706" i="4" l="1"/>
  <c r="N706" i="4" s="1"/>
  <c r="G706" i="4"/>
  <c r="L706" i="4" s="1"/>
  <c r="E705" i="4"/>
  <c r="G704" i="4"/>
  <c r="L704" i="4" s="1"/>
  <c r="K704" i="4"/>
  <c r="N704" i="4" s="1"/>
  <c r="I706" i="4"/>
  <c r="M706" i="4" s="1"/>
  <c r="H702" i="4"/>
  <c r="J702" i="4"/>
  <c r="F702" i="4"/>
  <c r="AB705" i="3"/>
  <c r="C706" i="4"/>
  <c r="O708" i="2"/>
  <c r="I707" i="2"/>
  <c r="F707" i="2" s="1"/>
  <c r="N706" i="3" s="1"/>
  <c r="P707" i="2"/>
  <c r="V706" i="3" s="1"/>
  <c r="J706" i="2"/>
  <c r="G706" i="2" s="1"/>
  <c r="T705" i="3" s="1"/>
  <c r="N707" i="2"/>
  <c r="J706" i="3" s="1"/>
  <c r="H706" i="2"/>
  <c r="E706" i="2" s="1"/>
  <c r="H705" i="3" s="1"/>
  <c r="F703" i="3"/>
  <c r="D704" i="3"/>
  <c r="I702" i="3"/>
  <c r="U702" i="3"/>
  <c r="O702" i="3"/>
  <c r="D704" i="4"/>
  <c r="AA704" i="3"/>
  <c r="E706" i="3"/>
  <c r="G706" i="3"/>
  <c r="S706" i="3"/>
  <c r="Y706" i="3" s="1"/>
  <c r="Z706" i="3" s="1"/>
  <c r="M706" i="3"/>
  <c r="P706" i="3"/>
  <c r="C706" i="3"/>
  <c r="B707" i="3"/>
  <c r="A708" i="4" s="1"/>
  <c r="H703" i="4" l="1"/>
  <c r="E706" i="4"/>
  <c r="J703" i="4"/>
  <c r="K707" i="4"/>
  <c r="N707" i="4" s="1"/>
  <c r="F703" i="4"/>
  <c r="I707" i="4"/>
  <c r="M707" i="4" s="1"/>
  <c r="G707" i="4"/>
  <c r="L707" i="4" s="1"/>
  <c r="AB706" i="3"/>
  <c r="C707" i="4"/>
  <c r="AA705" i="3"/>
  <c r="D705" i="4"/>
  <c r="N708" i="2"/>
  <c r="J707" i="3" s="1"/>
  <c r="H707" i="2"/>
  <c r="E707" i="2" s="1"/>
  <c r="H706" i="3" s="1"/>
  <c r="P708" i="2"/>
  <c r="V707" i="3" s="1"/>
  <c r="J707" i="2"/>
  <c r="G707" i="2" s="1"/>
  <c r="T706" i="3" s="1"/>
  <c r="O709" i="2"/>
  <c r="I708" i="2"/>
  <c r="F708" i="2" s="1"/>
  <c r="N707" i="3" s="1"/>
  <c r="C707" i="3"/>
  <c r="P707" i="3"/>
  <c r="E707" i="3"/>
  <c r="G707" i="3"/>
  <c r="S707" i="3"/>
  <c r="Y707" i="3" s="1"/>
  <c r="Z707" i="3" s="1"/>
  <c r="M707" i="3"/>
  <c r="B708" i="3"/>
  <c r="A709" i="4" s="1"/>
  <c r="F704" i="3"/>
  <c r="D705" i="3"/>
  <c r="O703" i="3"/>
  <c r="I703" i="3"/>
  <c r="U703" i="3"/>
  <c r="AA706" i="3" l="1"/>
  <c r="D707" i="4" s="1"/>
  <c r="F704" i="4"/>
  <c r="H704" i="4"/>
  <c r="K708" i="4"/>
  <c r="N708" i="4" s="1"/>
  <c r="G708" i="4"/>
  <c r="L708" i="4" s="1"/>
  <c r="D706" i="4"/>
  <c r="E707" i="4"/>
  <c r="I708" i="4"/>
  <c r="M708" i="4" s="1"/>
  <c r="J704" i="4"/>
  <c r="AB707" i="3"/>
  <c r="C708" i="4"/>
  <c r="O710" i="2"/>
  <c r="I709" i="2"/>
  <c r="F709" i="2" s="1"/>
  <c r="N708" i="3" s="1"/>
  <c r="P709" i="2"/>
  <c r="V708" i="3" s="1"/>
  <c r="J708" i="2"/>
  <c r="G708" i="2" s="1"/>
  <c r="T707" i="3" s="1"/>
  <c r="N709" i="2"/>
  <c r="J708" i="3" s="1"/>
  <c r="H708" i="2"/>
  <c r="E708" i="2" s="1"/>
  <c r="H707" i="3" s="1"/>
  <c r="D706" i="3"/>
  <c r="F705" i="3"/>
  <c r="B709" i="3"/>
  <c r="O704" i="3"/>
  <c r="U704" i="3"/>
  <c r="I704" i="3"/>
  <c r="M708" i="3"/>
  <c r="C708" i="3"/>
  <c r="P708" i="3"/>
  <c r="E708" i="3"/>
  <c r="G708" i="3"/>
  <c r="S708" i="3"/>
  <c r="Y708" i="3" s="1"/>
  <c r="Z708" i="3" s="1"/>
  <c r="AA707" i="3" l="1"/>
  <c r="AA708" i="3" s="1"/>
  <c r="A710" i="4"/>
  <c r="C710" i="3"/>
  <c r="K709" i="4"/>
  <c r="N709" i="4" s="1"/>
  <c r="J705" i="4"/>
  <c r="I709" i="4"/>
  <c r="M709" i="4" s="1"/>
  <c r="F705" i="4"/>
  <c r="E708" i="4"/>
  <c r="H705" i="4"/>
  <c r="D708" i="4"/>
  <c r="G709" i="4"/>
  <c r="L709" i="4" s="1"/>
  <c r="AB708" i="3"/>
  <c r="C709" i="4"/>
  <c r="N710" i="2"/>
  <c r="J709" i="3" s="1"/>
  <c r="H709" i="2"/>
  <c r="E709" i="2" s="1"/>
  <c r="H708" i="3" s="1"/>
  <c r="P710" i="2"/>
  <c r="V709" i="3" s="1"/>
  <c r="J709" i="2"/>
  <c r="G709" i="2" s="1"/>
  <c r="T708" i="3" s="1"/>
  <c r="O711" i="2"/>
  <c r="P710" i="3" s="1"/>
  <c r="I710" i="2"/>
  <c r="F710" i="2" s="1"/>
  <c r="N709" i="3" s="1"/>
  <c r="M709" i="3"/>
  <c r="C709" i="3"/>
  <c r="P709" i="3"/>
  <c r="E709" i="3"/>
  <c r="G709" i="3"/>
  <c r="S709" i="3"/>
  <c r="I705" i="3"/>
  <c r="U705" i="3"/>
  <c r="O705" i="3"/>
  <c r="F706" i="3"/>
  <c r="D707" i="3"/>
  <c r="K710" i="4" l="1"/>
  <c r="N710" i="4" s="1"/>
  <c r="J706" i="4"/>
  <c r="G710" i="4"/>
  <c r="L710" i="4" s="1"/>
  <c r="H706" i="4"/>
  <c r="D709" i="4"/>
  <c r="E709" i="4"/>
  <c r="I711" i="4"/>
  <c r="M711" i="4" s="1"/>
  <c r="F706" i="4"/>
  <c r="I710" i="4"/>
  <c r="M710" i="4" s="1"/>
  <c r="AB709" i="3"/>
  <c r="C710" i="4"/>
  <c r="Y709" i="3"/>
  <c r="Z709" i="3" s="1"/>
  <c r="AA709" i="3" s="1"/>
  <c r="Y710" i="3"/>
  <c r="Z710" i="3" s="1"/>
  <c r="O712" i="2"/>
  <c r="I711" i="2"/>
  <c r="F711" i="2" s="1"/>
  <c r="N710" i="3" s="1"/>
  <c r="O710" i="3" s="1"/>
  <c r="P711" i="2"/>
  <c r="V710" i="3" s="1"/>
  <c r="J710" i="2"/>
  <c r="G710" i="2" s="1"/>
  <c r="T709" i="3" s="1"/>
  <c r="N711" i="2"/>
  <c r="J710" i="3" s="1"/>
  <c r="H710" i="2"/>
  <c r="E710" i="2" s="1"/>
  <c r="H709" i="3" s="1"/>
  <c r="F707" i="3"/>
  <c r="D708" i="3"/>
  <c r="I706" i="3"/>
  <c r="U706" i="3"/>
  <c r="O706" i="3"/>
  <c r="O713" i="2" l="1"/>
  <c r="P712" i="3" s="1"/>
  <c r="D710" i="4"/>
  <c r="E710" i="4"/>
  <c r="G711" i="4"/>
  <c r="L711" i="4" s="1"/>
  <c r="H707" i="4"/>
  <c r="J707" i="4"/>
  <c r="F707" i="4"/>
  <c r="K711" i="4"/>
  <c r="N711" i="4" s="1"/>
  <c r="H711" i="4"/>
  <c r="I712" i="2"/>
  <c r="F712" i="2" s="1"/>
  <c r="N711" i="3" s="1"/>
  <c r="O711" i="3" s="1"/>
  <c r="P711" i="3"/>
  <c r="AA710" i="3"/>
  <c r="N712" i="2"/>
  <c r="N713" i="2" s="1"/>
  <c r="N714" i="2" s="1"/>
  <c r="H711" i="2"/>
  <c r="E711" i="2" s="1"/>
  <c r="H710" i="3" s="1"/>
  <c r="I710" i="3" s="1"/>
  <c r="P712" i="2"/>
  <c r="P713" i="2" s="1"/>
  <c r="P714" i="2" s="1"/>
  <c r="J711" i="2"/>
  <c r="G711" i="2" s="1"/>
  <c r="T710" i="3" s="1"/>
  <c r="U710" i="3" s="1"/>
  <c r="F708" i="3"/>
  <c r="D709" i="3"/>
  <c r="F709" i="3" s="1"/>
  <c r="O707" i="3"/>
  <c r="I707" i="3"/>
  <c r="U707" i="3"/>
  <c r="O714" i="2" l="1"/>
  <c r="I714" i="2" s="1"/>
  <c r="F714" i="2" s="1"/>
  <c r="N713" i="3" s="1"/>
  <c r="O713" i="3" s="1"/>
  <c r="H714" i="4" s="1"/>
  <c r="Q716" i="3"/>
  <c r="I713" i="2"/>
  <c r="F713" i="2" s="1"/>
  <c r="N712" i="3" s="1"/>
  <c r="O712" i="3" s="1"/>
  <c r="H713" i="4" s="1"/>
  <c r="J714" i="2"/>
  <c r="G714" i="2" s="1"/>
  <c r="T713" i="3" s="1"/>
  <c r="U713" i="3" s="1"/>
  <c r="J714" i="4" s="1"/>
  <c r="V713" i="3"/>
  <c r="K714" i="4" s="1"/>
  <c r="N714" i="4" s="1"/>
  <c r="J713" i="3"/>
  <c r="G714" i="4" s="1"/>
  <c r="L714" i="4" s="1"/>
  <c r="H714" i="2"/>
  <c r="E714" i="2" s="1"/>
  <c r="H713" i="3" s="1"/>
  <c r="I713" i="3" s="1"/>
  <c r="F714" i="4" s="1"/>
  <c r="P713" i="3"/>
  <c r="I714" i="4" s="1"/>
  <c r="M714" i="4" s="1"/>
  <c r="I713" i="4"/>
  <c r="M713" i="4" s="1"/>
  <c r="J713" i="2"/>
  <c r="G713" i="2" s="1"/>
  <c r="T712" i="3" s="1"/>
  <c r="U712" i="3" s="1"/>
  <c r="V712" i="3"/>
  <c r="J712" i="3"/>
  <c r="H713" i="2"/>
  <c r="E713" i="2" s="1"/>
  <c r="H712" i="3" s="1"/>
  <c r="I712" i="3" s="1"/>
  <c r="F711" i="4"/>
  <c r="I712" i="4"/>
  <c r="M712" i="4" s="1"/>
  <c r="F708" i="4"/>
  <c r="J711" i="4"/>
  <c r="H712" i="4"/>
  <c r="J708" i="4"/>
  <c r="H708" i="4"/>
  <c r="AA711" i="3"/>
  <c r="D711" i="4"/>
  <c r="H712" i="2"/>
  <c r="E712" i="2" s="1"/>
  <c r="H711" i="3" s="1"/>
  <c r="I711" i="3" s="1"/>
  <c r="J711" i="3"/>
  <c r="J712" i="2"/>
  <c r="G712" i="2" s="1"/>
  <c r="T711" i="3" s="1"/>
  <c r="U711" i="3" s="1"/>
  <c r="V711" i="3"/>
  <c r="I709" i="3"/>
  <c r="U709" i="3"/>
  <c r="O709" i="3"/>
  <c r="O708" i="3"/>
  <c r="I708" i="3"/>
  <c r="U708" i="3"/>
  <c r="J714" i="3" l="1"/>
  <c r="H714" i="3"/>
  <c r="I714" i="3" s="1"/>
  <c r="T714" i="3"/>
  <c r="U714" i="3" s="1"/>
  <c r="V714" i="3"/>
  <c r="G713" i="4"/>
  <c r="L713" i="4" s="1"/>
  <c r="K713" i="4"/>
  <c r="N713" i="4" s="1"/>
  <c r="J713" i="4"/>
  <c r="F713" i="4"/>
  <c r="J710" i="4"/>
  <c r="F710" i="4"/>
  <c r="F712" i="4"/>
  <c r="J712" i="4"/>
  <c r="G712" i="4"/>
  <c r="L712" i="4" s="1"/>
  <c r="H710" i="4"/>
  <c r="J709" i="4"/>
  <c r="H709" i="4"/>
  <c r="K712" i="4"/>
  <c r="N712" i="4" s="1"/>
  <c r="F709" i="4"/>
  <c r="AA712" i="3"/>
  <c r="D712" i="4"/>
  <c r="D713" i="4" l="1"/>
  <c r="AA713" i="3"/>
  <c r="D714" i="4" s="1"/>
  <c r="AA714" i="3" l="1"/>
  <c r="AA715" i="3" l="1"/>
  <c r="AA716" i="3" l="1"/>
  <c r="AA717" i="3" l="1"/>
  <c r="AA718" i="3" l="1"/>
  <c r="AA719" i="3" l="1"/>
  <c r="AA720" i="3" l="1"/>
  <c r="AA721" i="3" l="1"/>
  <c r="AA722" i="3" l="1"/>
  <c r="AA723" i="3" l="1"/>
  <c r="AA724" i="3" s="1"/>
  <c r="AA725" i="3" s="1"/>
  <c r="AA726" i="3" s="1"/>
  <c r="AA727" i="3" s="1"/>
  <c r="AA728" i="3" s="1"/>
  <c r="AA729" i="3" s="1"/>
  <c r="AA730" i="3" s="1"/>
  <c r="AA731" i="3" s="1"/>
  <c r="Q714" i="3" l="1"/>
  <c r="R714" i="3" s="1"/>
  <c r="N714" i="3"/>
  <c r="O714" i="3" s="1"/>
  <c r="P714" i="3"/>
  <c r="R715" i="3" l="1"/>
  <c r="AB715" i="3" s="1"/>
  <c r="AB714" i="3"/>
  <c r="R716" i="3" l="1"/>
  <c r="R717" i="3" s="1"/>
  <c r="AB716" i="3" l="1"/>
  <c r="AB717" i="3"/>
  <c r="R718" i="3"/>
  <c r="R719" i="3" l="1"/>
  <c r="AB718" i="3"/>
  <c r="R720" i="3" l="1"/>
  <c r="AB719" i="3"/>
  <c r="R721" i="3" l="1"/>
  <c r="AB720" i="3"/>
  <c r="R722" i="3" l="1"/>
  <c r="AB721" i="3"/>
  <c r="R723" i="3" l="1"/>
  <c r="AB722" i="3"/>
  <c r="R724" i="3" l="1"/>
  <c r="AB723" i="3"/>
  <c r="R725" i="3" l="1"/>
  <c r="AB724" i="3"/>
  <c r="AB725" i="3" l="1"/>
  <c r="R726" i="3"/>
  <c r="R727" i="3" l="1"/>
  <c r="AB726" i="3"/>
  <c r="R728" i="3" l="1"/>
  <c r="AB727" i="3"/>
  <c r="R729" i="3" l="1"/>
  <c r="AB728" i="3"/>
  <c r="AB729" i="3" l="1"/>
  <c r="R730" i="3"/>
  <c r="AB730" i="3" l="1"/>
  <c r="R731" i="3"/>
  <c r="AB73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<sst xmlns="http://schemas.openxmlformats.org/spreadsheetml/2006/main" count="144" uniqueCount="83">
  <si>
    <t>K.Thúc GT</t>
  </si>
  <si>
    <t>GT LỚP 1</t>
  </si>
  <si>
    <t>GT LỚP 2</t>
  </si>
  <si>
    <t>GT LỚP 3</t>
  </si>
  <si>
    <t>GT LỚP 4</t>
  </si>
  <si>
    <t>GT LỚP 5</t>
  </si>
  <si>
    <t>GT LỚP 6</t>
  </si>
  <si>
    <t>ĐẮP LỚP 1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</si>
  <si>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</si>
  <si>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</si>
  <si>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</si>
  <si>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</si>
  <si>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</si>
  <si>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</si>
  <si>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</si>
  <si>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</si>
  <si>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</si>
  <si>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</si>
  <si>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</si>
  <si>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</si>
  <si>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</si>
  <si>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</si>
  <si>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</si>
  <si>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</si>
  <si>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</si>
  <si>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</si>
  <si>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</si>
  <si>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</si>
  <si>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</si>
  <si>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</si>
  <si>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</si>
  <si>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Km115+740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</si>
  <si>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</si>
  <si>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</si>
  <si>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</si>
  <si>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</si>
  <si>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</si>
  <si>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</si>
  <si>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</si>
  <si>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</si>
  <si>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</si>
  <si>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</si>
  <si>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</si>
  <si>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</si>
  <si>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</si>
  <si>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</si>
  <si>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</si>
  <si>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</si>
  <si>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</si>
  <si>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</si>
  <si>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</si>
  <si>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</si>
  <si>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</si>
  <si>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</si>
  <si>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</si>
  <si>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</si>
  <si>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</si>
  <si>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</si>
  <si>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</si>
  <si>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</si>
  <si>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</si>
  <si>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</si>
  <si>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</si>
  <si>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</si>
  <si>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</si>
  <si>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</si>
  <si>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</si>
  <si>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</si>
  <si>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</si>
  <si>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</si>
  <si>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</si>
  <si>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</si>
  <si>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Cao độ đắp(m)</t>
  </si>
  <si>
    <t>Số ngày</t>
  </si>
  <si>
    <t>Ngày đo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</si>
  <si>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</si>
  <si>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</si>
  <si>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</si>
  <si>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</si>
  <si>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</si>
  <si>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</si>
  <si>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</si>
  <si>
    <t>Chiều Cao nền đắp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</si>
</sst>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&quot;Đắp lớp&quot;\ #"/>
    <numFmt numFmtId="165" formatCode="#,##0.0"/>
    <numFmt numFmtId="166" formatCode="dd/mm/yyyy;@"/>
    <numFmt numFmtId="167" formatCode="0.000"/>
    <numFmt numFmtId="168" formatCode="&quot;&quot;0000"/>
    <numFmt numFmtId="169" formatCode="0;[Red]0"/>
    <numFmt numFmtId="170" formatCode="0_ ;\-0\ "/>
    <numFmt numFmtId="171" formatCode="0.0"/>
    <numFmt numFmtId="172" formatCode="0_ "/>
    <numFmt numFmtId="173" formatCode="0_);[Red]\(0\)"/>
    <numFmt numFmtId="174" formatCode="[$-409]d/mmm;@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sz val="11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12" fillId="0" borderId="0"/>
    <xf numFmtId="43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>
      <alignment vertical="center"/>
    </xf>
  </cellStyleXfs>
  <cellXfs count="266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3" fontId="5" fillId="0" borderId="0" xfId="1" applyNumberFormat="1" applyFont="1" applyAlignment="1">
      <alignment horizontal="center" vertical="center" wrapText="1"/>
    </xf>
    <xf numFmtId="14" fontId="2" fillId="0" borderId="0" xfId="2" applyNumberFormat="1" applyFont="1" applyAlignment="1">
      <alignment vertical="center" shrinkToFit="1"/>
    </xf>
    <xf numFmtId="164" fontId="4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3" fontId="7" fillId="0" borderId="0" xfId="1" applyNumberFormat="1" applyFont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1" xfId="2" applyNumberFormat="1" applyFont="1" applyBorder="1" applyAlignment="1">
      <alignment vertical="center" shrinkToFit="1"/>
    </xf>
    <xf numFmtId="3" fontId="2" fillId="2" borderId="0" xfId="1" applyNumberFormat="1" applyFont="1" applyFill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14" fontId="2" fillId="2" borderId="1" xfId="2" applyNumberFormat="1" applyFont="1" applyFill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10" fillId="0" borderId="1" xfId="1" applyNumberFormat="1" applyFont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4" fontId="2" fillId="2" borderId="2" xfId="2" applyNumberFormat="1" applyFont="1" applyFill="1" applyBorder="1" applyAlignment="1">
      <alignment vertical="center" shrinkToFit="1"/>
    </xf>
    <xf numFmtId="3" fontId="2" fillId="2" borderId="2" xfId="1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3" fontId="10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10" fillId="0" borderId="0" xfId="1" applyNumberFormat="1" applyFont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3" fontId="10" fillId="2" borderId="1" xfId="1" applyNumberFormat="1" applyFont="1" applyFill="1" applyBorder="1" applyAlignment="1">
      <alignment horizontal="center"/>
    </xf>
    <xf numFmtId="3" fontId="10" fillId="0" borderId="1" xfId="1" applyNumberFormat="1" applyFont="1" applyBorder="1" applyAlignment="1">
      <alignment horizontal="center" vertical="center" wrapText="1"/>
    </xf>
    <xf numFmtId="3" fontId="10" fillId="0" borderId="1" xfId="1" applyNumberFormat="1" applyFont="1" applyBorder="1" applyAlignment="1">
      <alignment horizontal="center" vertical="center"/>
    </xf>
    <xf numFmtId="14" fontId="10" fillId="0" borderId="2" xfId="2" applyNumberFormat="1" applyFont="1" applyBorder="1" applyAlignment="1">
      <alignment vertical="center" shrinkToFit="1"/>
    </xf>
    <xf numFmtId="3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5" fillId="0" borderId="14" xfId="3" applyFont="1" applyBorder="1"/>
    <xf numFmtId="0" fontId="5" fillId="0" borderId="14" xfId="3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3" fontId="5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5" fillId="0" borderId="17" xfId="3" applyFont="1" applyBorder="1"/>
    <xf numFmtId="0" fontId="5" fillId="0" borderId="17" xfId="3" applyFont="1" applyBorder="1" applyAlignment="1">
      <alignment vertical="center"/>
    </xf>
    <xf numFmtId="0" fontId="5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165" fontId="17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65" fontId="19" fillId="0" borderId="0" xfId="3" applyNumberFormat="1" applyFont="1" applyAlignment="1">
      <alignment horizontal="center" vertical="center"/>
    </xf>
    <xf numFmtId="4" fontId="19" fillId="0" borderId="0" xfId="3" applyNumberFormat="1" applyFont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6" fontId="17" fillId="3" borderId="0" xfId="3" applyNumberFormat="1" applyFont="1" applyFill="1" applyAlignment="1">
      <alignment horizontal="center" vertical="center"/>
    </xf>
    <xf numFmtId="167" fontId="20" fillId="3" borderId="1" xfId="3" applyNumberFormat="1" applyFont="1" applyFill="1" applyBorder="1" applyAlignment="1">
      <alignment horizontal="center" vertical="center"/>
    </xf>
    <xf numFmtId="167" fontId="20" fillId="3" borderId="1" xfId="3" applyNumberFormat="1" applyFont="1" applyFill="1" applyBorder="1" applyAlignment="1">
      <alignment horizontal="center" vertical="center" wrapText="1"/>
    </xf>
    <xf numFmtId="168" fontId="20" fillId="0" borderId="9" xfId="3" applyNumberFormat="1" applyFont="1" applyBorder="1" applyAlignment="1">
      <alignment horizontal="center" vertical="center" wrapText="1"/>
    </xf>
    <xf numFmtId="168" fontId="20" fillId="0" borderId="1" xfId="3" applyNumberFormat="1" applyFont="1" applyBorder="1" applyAlignment="1">
      <alignment horizontal="center" vertical="center" wrapText="1"/>
    </xf>
    <xf numFmtId="3" fontId="20" fillId="0" borderId="3" xfId="3" applyNumberFormat="1" applyFont="1" applyBorder="1" applyAlignment="1">
      <alignment horizontal="center" vertical="center"/>
    </xf>
    <xf numFmtId="168" fontId="18" fillId="0" borderId="1" xfId="3" applyNumberFormat="1" applyFont="1" applyBorder="1" applyAlignment="1">
      <alignment horizontal="center" vertical="center"/>
    </xf>
    <xf numFmtId="168" fontId="20" fillId="0" borderId="1" xfId="3" applyNumberFormat="1" applyFont="1" applyBorder="1" applyAlignment="1">
      <alignment horizontal="center" vertical="center"/>
    </xf>
    <xf numFmtId="169" fontId="20" fillId="0" borderId="1" xfId="3" applyNumberFormat="1" applyFont="1" applyBorder="1" applyAlignment="1">
      <alignment horizontal="center" vertical="center"/>
    </xf>
    <xf numFmtId="170" fontId="20" fillId="0" borderId="3" xfId="3" applyNumberFormat="1" applyFont="1" applyBorder="1" applyAlignment="1">
      <alignment horizontal="center" vertical="center"/>
    </xf>
    <xf numFmtId="170" fontId="20" fillId="0" borderId="1" xfId="4" applyNumberFormat="1" applyFont="1" applyFill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/>
    </xf>
    <xf numFmtId="169" fontId="18" fillId="0" borderId="1" xfId="3" applyNumberFormat="1" applyFont="1" applyBorder="1" applyAlignment="1">
      <alignment horizontal="center" vertical="center"/>
    </xf>
    <xf numFmtId="1" fontId="18" fillId="0" borderId="1" xfId="3" applyNumberFormat="1" applyFont="1" applyBorder="1" applyAlignment="1">
      <alignment horizontal="center" vertical="center"/>
    </xf>
    <xf numFmtId="166" fontId="18" fillId="0" borderId="3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8" fontId="20" fillId="0" borderId="21" xfId="3" applyNumberFormat="1" applyFont="1" applyBorder="1" applyAlignment="1">
      <alignment horizontal="center" vertical="center" wrapText="1"/>
    </xf>
    <xf numFmtId="168" fontId="18" fillId="0" borderId="3" xfId="3" applyNumberFormat="1" applyFont="1" applyBorder="1" applyAlignment="1">
      <alignment horizontal="center" vertical="center" wrapText="1"/>
    </xf>
    <xf numFmtId="3" fontId="18" fillId="0" borderId="3" xfId="3" applyNumberFormat="1" applyFont="1" applyBorder="1" applyAlignment="1">
      <alignment horizontal="center" vertical="center"/>
    </xf>
    <xf numFmtId="168" fontId="18" fillId="0" borderId="3" xfId="3" applyNumberFormat="1" applyFont="1" applyBorder="1" applyAlignment="1">
      <alignment horizontal="center" vertical="center"/>
    </xf>
    <xf numFmtId="168" fontId="20" fillId="0" borderId="3" xfId="3" applyNumberFormat="1" applyFont="1" applyBorder="1" applyAlignment="1">
      <alignment horizontal="center" vertical="center"/>
    </xf>
    <xf numFmtId="168" fontId="20" fillId="0" borderId="3" xfId="3" applyNumberFormat="1" applyFont="1" applyBorder="1" applyAlignment="1">
      <alignment horizontal="center" vertical="center" wrapText="1"/>
    </xf>
    <xf numFmtId="170" fontId="20" fillId="0" borderId="3" xfId="4" applyNumberFormat="1" applyFont="1" applyFill="1" applyBorder="1" applyAlignment="1">
      <alignment horizontal="center" vertical="center"/>
    </xf>
    <xf numFmtId="169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5" fontId="18" fillId="0" borderId="1" xfId="3" applyNumberFormat="1" applyFont="1" applyBorder="1" applyAlignment="1">
      <alignment horizontal="center" vertical="center" wrapText="1"/>
    </xf>
    <xf numFmtId="4" fontId="18" fillId="0" borderId="1" xfId="3" applyNumberFormat="1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165" fontId="20" fillId="0" borderId="1" xfId="3" applyNumberFormat="1" applyFont="1" applyBorder="1" applyAlignment="1">
      <alignment horizontal="center" vertical="center" wrapText="1"/>
    </xf>
    <xf numFmtId="0" fontId="24" fillId="3" borderId="0" xfId="3" applyFont="1" applyFill="1" applyAlignment="1">
      <alignment vertical="center"/>
    </xf>
    <xf numFmtId="0" fontId="24" fillId="3" borderId="0" xfId="3" applyFont="1" applyFill="1" applyAlignment="1">
      <alignment horizontal="center"/>
    </xf>
    <xf numFmtId="0" fontId="24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18" fillId="0" borderId="0" xfId="3" applyFont="1"/>
    <xf numFmtId="0" fontId="20" fillId="0" borderId="0" xfId="3" applyFont="1"/>
    <xf numFmtId="0" fontId="20" fillId="3" borderId="0" xfId="3" applyFont="1" applyFill="1"/>
    <xf numFmtId="0" fontId="24" fillId="3" borderId="0" xfId="5" applyFont="1" applyFill="1"/>
    <xf numFmtId="166" fontId="24" fillId="3" borderId="26" xfId="5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5" fillId="0" borderId="11" xfId="3" applyFont="1" applyBorder="1"/>
    <xf numFmtId="0" fontId="5" fillId="0" borderId="11" xfId="3" applyFont="1" applyBorder="1" applyAlignment="1">
      <alignment vertical="center"/>
    </xf>
    <xf numFmtId="0" fontId="5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5" fillId="0" borderId="0" xfId="6"/>
    <xf numFmtId="0" fontId="25" fillId="8" borderId="0" xfId="6" applyFill="1"/>
    <xf numFmtId="0" fontId="25" fillId="3" borderId="0" xfId="6" applyFill="1" applyAlignment="1">
      <alignment vertical="center"/>
    </xf>
    <xf numFmtId="0" fontId="20" fillId="3" borderId="0" xfId="6" applyFont="1" applyFill="1" applyAlignment="1">
      <alignment vertical="center"/>
    </xf>
    <xf numFmtId="167" fontId="20" fillId="3" borderId="0" xfId="6" applyNumberFormat="1" applyFont="1" applyFill="1" applyAlignment="1">
      <alignment vertical="center"/>
    </xf>
    <xf numFmtId="166" fontId="20" fillId="3" borderId="0" xfId="6" applyNumberFormat="1" applyFont="1" applyFill="1" applyAlignment="1">
      <alignment vertical="center"/>
    </xf>
    <xf numFmtId="0" fontId="20" fillId="0" borderId="1" xfId="6" applyFont="1" applyBorder="1" applyAlignment="1">
      <alignment horizontal="center" vertical="center" wrapText="1"/>
    </xf>
    <xf numFmtId="1" fontId="20" fillId="0" borderId="1" xfId="6" applyNumberFormat="1" applyFont="1" applyBorder="1" applyAlignment="1">
      <alignment horizontal="center" vertical="center" wrapText="1"/>
    </xf>
    <xf numFmtId="167" fontId="20" fillId="0" borderId="1" xfId="6" applyNumberFormat="1" applyFont="1" applyBorder="1" applyAlignment="1">
      <alignment horizontal="center" vertical="center" wrapText="1"/>
    </xf>
    <xf numFmtId="2" fontId="20" fillId="0" borderId="1" xfId="6" applyNumberFormat="1" applyFont="1" applyBorder="1" applyAlignment="1">
      <alignment horizontal="center" vertical="center" wrapText="1"/>
    </xf>
    <xf numFmtId="166" fontId="18" fillId="0" borderId="1" xfId="3" applyNumberFormat="1" applyFont="1" applyBorder="1" applyAlignment="1">
      <alignment horizontal="center" vertical="center"/>
    </xf>
    <xf numFmtId="0" fontId="20" fillId="2" borderId="1" xfId="6" applyFont="1" applyFill="1" applyBorder="1" applyAlignment="1">
      <alignment horizontal="center" vertical="center" wrapText="1"/>
    </xf>
    <xf numFmtId="1" fontId="20" fillId="2" borderId="1" xfId="6" applyNumberFormat="1" applyFont="1" applyFill="1" applyBorder="1" applyAlignment="1">
      <alignment horizontal="center" vertical="center" wrapText="1"/>
    </xf>
    <xf numFmtId="167" fontId="20" fillId="2" borderId="1" xfId="6" applyNumberFormat="1" applyFont="1" applyFill="1" applyBorder="1" applyAlignment="1">
      <alignment horizontal="center" vertical="center" wrapText="1"/>
    </xf>
    <xf numFmtId="2" fontId="20" fillId="2" borderId="1" xfId="6" applyNumberFormat="1" applyFont="1" applyFill="1" applyBorder="1" applyAlignment="1">
      <alignment horizontal="center" vertical="center" wrapText="1"/>
    </xf>
    <xf numFmtId="166" fontId="18" fillId="2" borderId="1" xfId="3" applyNumberFormat="1" applyFont="1" applyFill="1" applyBorder="1" applyAlignment="1">
      <alignment horizontal="center" vertical="center"/>
    </xf>
    <xf numFmtId="171" fontId="25" fillId="0" borderId="0" xfId="6" applyNumberFormat="1"/>
    <xf numFmtId="172" fontId="25" fillId="0" borderId="0" xfId="6" applyNumberFormat="1"/>
    <xf numFmtId="173" fontId="25" fillId="0" borderId="0" xfId="6" applyNumberFormat="1"/>
    <xf numFmtId="167" fontId="25" fillId="0" borderId="0" xfId="6" applyNumberFormat="1"/>
    <xf numFmtId="174" fontId="25" fillId="0" borderId="0" xfId="6" applyNumberFormat="1"/>
    <xf numFmtId="0" fontId="22" fillId="0" borderId="26" xfId="7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5" fillId="0" borderId="0" xfId="3" applyFont="1"/>
    <xf numFmtId="0" fontId="5" fillId="0" borderId="20" xfId="3" applyFont="1" applyBorder="1"/>
    <xf numFmtId="0" fontId="5" fillId="0" borderId="20" xfId="3" applyFont="1" applyBorder="1" applyAlignment="1">
      <alignment vertical="center"/>
    </xf>
    <xf numFmtId="0" fontId="5" fillId="0" borderId="21" xfId="3" applyFont="1" applyBorder="1" applyAlignment="1">
      <alignment vertical="center"/>
    </xf>
    <xf numFmtId="0" fontId="5" fillId="0" borderId="10" xfId="3" applyFont="1" applyBorder="1"/>
    <xf numFmtId="0" fontId="5" fillId="0" borderId="13" xfId="3" applyFont="1" applyBorder="1"/>
    <xf numFmtId="0" fontId="5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2" fontId="25" fillId="0" borderId="0" xfId="6" applyNumberFormat="1"/>
    <xf numFmtId="0" fontId="0" fillId="0" borderId="1" xfId="0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5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20" fillId="0" borderId="1" xfId="3" applyFont="1" applyBorder="1" applyAlignment="1">
      <alignment horizontal="center" vertical="center" wrapText="1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5" fillId="0" borderId="11" xfId="3" applyNumberFormat="1" applyFont="1" applyBorder="1" applyAlignment="1">
      <alignment horizontal="center" vertical="center"/>
    </xf>
    <xf numFmtId="0" fontId="23" fillId="7" borderId="1" xfId="3" applyFont="1" applyFill="1" applyBorder="1" applyAlignment="1">
      <alignment horizontal="center" vertical="center"/>
    </xf>
    <xf numFmtId="0" fontId="23" fillId="6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6" fontId="5" fillId="0" borderId="11" xfId="3" applyNumberFormat="1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6" applyNumberFormat="1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167" fontId="20" fillId="0" borderId="1" xfId="6" applyNumberFormat="1" applyFont="1" applyBorder="1" applyAlignment="1">
      <alignment horizontal="center" vertical="center" textRotation="90" wrapText="1"/>
    </xf>
    <xf numFmtId="167" fontId="20" fillId="0" borderId="2" xfId="6" applyNumberFormat="1" applyFont="1" applyBorder="1" applyAlignment="1">
      <alignment horizontal="center" vertical="center" textRotation="90" wrapText="1"/>
    </xf>
    <xf numFmtId="167" fontId="20" fillId="0" borderId="3" xfId="6" applyNumberFormat="1" applyFont="1" applyBorder="1" applyAlignment="1">
      <alignment horizontal="center" vertical="center" textRotation="90" wrapText="1"/>
    </xf>
    <xf numFmtId="167" fontId="20" fillId="0" borderId="1" xfId="7" applyNumberFormat="1" applyFont="1" applyBorder="1" applyAlignment="1">
      <alignment horizontal="center" vertical="center" wrapText="1"/>
    </xf>
    <xf numFmtId="166" fontId="26" fillId="0" borderId="1" xfId="2" applyNumberFormat="1" applyFont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</cellXfs>
  <cellStyles count="8">
    <cellStyle name="Bình thường 2" xfId="1" xr:uid="{7652CC31-3D4A-4F62-BB1D-4DAC2DEFA10B}"/>
    <cellStyle name="Comma 2" xfId="4" xr:uid="{DF95CCF5-C60E-4150-852A-A44ABF12D33B}"/>
    <cellStyle name="Normal" xfId="0" builtinId="0"/>
    <cellStyle name="Normal 2" xfId="3" xr:uid="{8C6C3701-7645-41A9-8DAA-5316E82B5E06}"/>
    <cellStyle name="Normal 3" xfId="6" xr:uid="{48596F47-00DA-4337-A016-C73D3BD2956D}"/>
    <cellStyle name="Normal_Form" xfId="5" xr:uid="{CCF0F7A3-4B10-48B1-A437-1F166A3091C3}"/>
    <cellStyle name="표준_계측(양식)" xfId="2" xr:uid="{29687EA9-D260-4AC5-A571-D4CF68AB8D37}"/>
    <cellStyle name="常规_路堤稳定和沉降观测 - 沉降板" xfId="7" xr:uid="{1AA802D1-C760-41F4-9F4B-0BE23F374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5+740</a:t>
            </a:r>
            <a:endParaRPr lang="en-US" sz="1500"/>
          </a:p>
        </c:rich>
      </c:tx>
      <c:layout>
        <c:manualLayout>
          <c:xMode val="edge"/>
          <c:yMode val="edge"/>
          <c:x val="0.31453730161103666"/>
          <c:y val="2.6396163270573845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1657382888128345"/>
          <c:w val="0.83566878980891657"/>
          <c:h val="0.71977591845667266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'SL.115+740'!$L$12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'SL.115+740'!$A$14:$A$7699</c:f>
              <c:numCache>
                <c:formatCode>dd/mm/yyyy;@</c:formatCode>
                <c:ptCount val="7686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'SL.115+740'!$L$14:$L$7699</c:f>
              <c:numCache>
                <c:formatCode>General</c:formatCode>
                <c:ptCount val="76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-6.9999999999999991</c:v>
                </c:pt>
                <c:pt idx="14">
                  <c:v>-13.000000000000002</c:v>
                </c:pt>
                <c:pt idx="15">
                  <c:v>-16</c:v>
                </c:pt>
                <c:pt idx="16">
                  <c:v>-16</c:v>
                </c:pt>
                <c:pt idx="17">
                  <c:v>-24</c:v>
                </c:pt>
                <c:pt idx="18">
                  <c:v>-33</c:v>
                </c:pt>
                <c:pt idx="19">
                  <c:v>-40</c:v>
                </c:pt>
                <c:pt idx="20">
                  <c:v>-49</c:v>
                </c:pt>
                <c:pt idx="21">
                  <c:v>-57.999999999999993</c:v>
                </c:pt>
                <c:pt idx="22">
                  <c:v>-60</c:v>
                </c:pt>
                <c:pt idx="23">
                  <c:v>-64</c:v>
                </c:pt>
                <c:pt idx="24">
                  <c:v>-68</c:v>
                </c:pt>
                <c:pt idx="25">
                  <c:v>-76</c:v>
                </c:pt>
                <c:pt idx="26">
                  <c:v>-81</c:v>
                </c:pt>
                <c:pt idx="27">
                  <c:v>-84.999999999999986</c:v>
                </c:pt>
                <c:pt idx="28">
                  <c:v>-88</c:v>
                </c:pt>
                <c:pt idx="29">
                  <c:v>-91</c:v>
                </c:pt>
                <c:pt idx="30">
                  <c:v>-94</c:v>
                </c:pt>
                <c:pt idx="31">
                  <c:v>-99</c:v>
                </c:pt>
                <c:pt idx="32">
                  <c:v>-104.00000000000001</c:v>
                </c:pt>
                <c:pt idx="33">
                  <c:v>-108.00000000000001</c:v>
                </c:pt>
                <c:pt idx="34">
                  <c:v>-110.99999999999999</c:v>
                </c:pt>
                <c:pt idx="35">
                  <c:v>-115.99999999999999</c:v>
                </c:pt>
                <c:pt idx="36">
                  <c:v>-118</c:v>
                </c:pt>
                <c:pt idx="37">
                  <c:v>-120</c:v>
                </c:pt>
                <c:pt idx="38">
                  <c:v>-121</c:v>
                </c:pt>
                <c:pt idx="39">
                  <c:v>-124</c:v>
                </c:pt>
                <c:pt idx="40">
                  <c:v>-126</c:v>
                </c:pt>
                <c:pt idx="41">
                  <c:v>-129</c:v>
                </c:pt>
                <c:pt idx="42">
                  <c:v>-131</c:v>
                </c:pt>
                <c:pt idx="43">
                  <c:v>-132</c:v>
                </c:pt>
                <c:pt idx="44">
                  <c:v>-134</c:v>
                </c:pt>
                <c:pt idx="45">
                  <c:v>-136</c:v>
                </c:pt>
                <c:pt idx="46">
                  <c:v>-138</c:v>
                </c:pt>
                <c:pt idx="47">
                  <c:v>-140</c:v>
                </c:pt>
                <c:pt idx="48">
                  <c:v>-140</c:v>
                </c:pt>
                <c:pt idx="49">
                  <c:v>-140</c:v>
                </c:pt>
                <c:pt idx="50">
                  <c:v>-140</c:v>
                </c:pt>
                <c:pt idx="51">
                  <c:v>-140</c:v>
                </c:pt>
                <c:pt idx="52">
                  <c:v>-140</c:v>
                </c:pt>
                <c:pt idx="53">
                  <c:v>-140</c:v>
                </c:pt>
                <c:pt idx="54">
                  <c:v>-140</c:v>
                </c:pt>
                <c:pt idx="55">
                  <c:v>-140</c:v>
                </c:pt>
                <c:pt idx="56">
                  <c:v>-140</c:v>
                </c:pt>
                <c:pt idx="57">
                  <c:v>-140</c:v>
                </c:pt>
                <c:pt idx="58">
                  <c:v>-140</c:v>
                </c:pt>
                <c:pt idx="59">
                  <c:v>-140</c:v>
                </c:pt>
                <c:pt idx="60">
                  <c:v>-140</c:v>
                </c:pt>
                <c:pt idx="61">
                  <c:v>-140</c:v>
                </c:pt>
                <c:pt idx="62">
                  <c:v>-140</c:v>
                </c:pt>
                <c:pt idx="63">
                  <c:v>-140</c:v>
                </c:pt>
                <c:pt idx="64">
                  <c:v>-140</c:v>
                </c:pt>
                <c:pt idx="65">
                  <c:v>-140</c:v>
                </c:pt>
                <c:pt idx="66">
                  <c:v>-140</c:v>
                </c:pt>
                <c:pt idx="67">
                  <c:v>-140</c:v>
                </c:pt>
                <c:pt idx="68">
                  <c:v>-140</c:v>
                </c:pt>
                <c:pt idx="69">
                  <c:v>-140</c:v>
                </c:pt>
                <c:pt idx="70">
                  <c:v>-140</c:v>
                </c:pt>
                <c:pt idx="71">
                  <c:v>-140</c:v>
                </c:pt>
                <c:pt idx="72">
                  <c:v>-140</c:v>
                </c:pt>
                <c:pt idx="73">
                  <c:v>-140</c:v>
                </c:pt>
                <c:pt idx="74">
                  <c:v>-140</c:v>
                </c:pt>
                <c:pt idx="75">
                  <c:v>-140</c:v>
                </c:pt>
                <c:pt idx="76">
                  <c:v>-140</c:v>
                </c:pt>
                <c:pt idx="77">
                  <c:v>-140</c:v>
                </c:pt>
                <c:pt idx="78">
                  <c:v>-140</c:v>
                </c:pt>
                <c:pt idx="79">
                  <c:v>-140</c:v>
                </c:pt>
                <c:pt idx="80">
                  <c:v>-140</c:v>
                </c:pt>
                <c:pt idx="81">
                  <c:v>-140</c:v>
                </c:pt>
                <c:pt idx="82">
                  <c:v>-140</c:v>
                </c:pt>
                <c:pt idx="83">
                  <c:v>-140</c:v>
                </c:pt>
                <c:pt idx="84">
                  <c:v>-140</c:v>
                </c:pt>
                <c:pt idx="85">
                  <c:v>-140</c:v>
                </c:pt>
                <c:pt idx="86">
                  <c:v>-140</c:v>
                </c:pt>
                <c:pt idx="87">
                  <c:v>-140</c:v>
                </c:pt>
                <c:pt idx="88">
                  <c:v>-140</c:v>
                </c:pt>
                <c:pt idx="89">
                  <c:v>-140</c:v>
                </c:pt>
                <c:pt idx="90">
                  <c:v>-140</c:v>
                </c:pt>
                <c:pt idx="91">
                  <c:v>-140</c:v>
                </c:pt>
                <c:pt idx="92">
                  <c:v>-140</c:v>
                </c:pt>
                <c:pt idx="93">
                  <c:v>-140</c:v>
                </c:pt>
                <c:pt idx="94">
                  <c:v>-140</c:v>
                </c:pt>
                <c:pt idx="95">
                  <c:v>-140</c:v>
                </c:pt>
                <c:pt idx="96">
                  <c:v>-140</c:v>
                </c:pt>
                <c:pt idx="97">
                  <c:v>-140</c:v>
                </c:pt>
                <c:pt idx="98">
                  <c:v>-140</c:v>
                </c:pt>
                <c:pt idx="99">
                  <c:v>-140</c:v>
                </c:pt>
                <c:pt idx="100">
                  <c:v>-140</c:v>
                </c:pt>
                <c:pt idx="101">
                  <c:v>-140</c:v>
                </c:pt>
                <c:pt idx="102">
                  <c:v>-140</c:v>
                </c:pt>
                <c:pt idx="103">
                  <c:v>-140</c:v>
                </c:pt>
                <c:pt idx="104">
                  <c:v>-140</c:v>
                </c:pt>
                <c:pt idx="105">
                  <c:v>-140</c:v>
                </c:pt>
                <c:pt idx="106">
                  <c:v>-140</c:v>
                </c:pt>
                <c:pt idx="107">
                  <c:v>-140</c:v>
                </c:pt>
                <c:pt idx="108">
                  <c:v>-140</c:v>
                </c:pt>
                <c:pt idx="109">
                  <c:v>-140</c:v>
                </c:pt>
                <c:pt idx="110">
                  <c:v>-140</c:v>
                </c:pt>
                <c:pt idx="111">
                  <c:v>-140</c:v>
                </c:pt>
                <c:pt idx="112">
                  <c:v>-140</c:v>
                </c:pt>
                <c:pt idx="113">
                  <c:v>-140</c:v>
                </c:pt>
                <c:pt idx="114">
                  <c:v>-140</c:v>
                </c:pt>
                <c:pt idx="115">
                  <c:v>-140</c:v>
                </c:pt>
                <c:pt idx="116">
                  <c:v>-140</c:v>
                </c:pt>
                <c:pt idx="117">
                  <c:v>-140</c:v>
                </c:pt>
                <c:pt idx="118">
                  <c:v>-140</c:v>
                </c:pt>
                <c:pt idx="119">
                  <c:v>-140</c:v>
                </c:pt>
                <c:pt idx="120">
                  <c:v>-140</c:v>
                </c:pt>
                <c:pt idx="121">
                  <c:v>-140</c:v>
                </c:pt>
                <c:pt idx="122">
                  <c:v>-140</c:v>
                </c:pt>
                <c:pt idx="123">
                  <c:v>-140</c:v>
                </c:pt>
                <c:pt idx="124">
                  <c:v>-140</c:v>
                </c:pt>
                <c:pt idx="125">
                  <c:v>-140</c:v>
                </c:pt>
                <c:pt idx="126">
                  <c:v>-140</c:v>
                </c:pt>
                <c:pt idx="127">
                  <c:v>-140</c:v>
                </c:pt>
                <c:pt idx="128">
                  <c:v>-140</c:v>
                </c:pt>
                <c:pt idx="129">
                  <c:v>-140</c:v>
                </c:pt>
                <c:pt idx="130">
                  <c:v>-140</c:v>
                </c:pt>
                <c:pt idx="131">
                  <c:v>-140</c:v>
                </c:pt>
                <c:pt idx="132">
                  <c:v>-140</c:v>
                </c:pt>
                <c:pt idx="133">
                  <c:v>-140</c:v>
                </c:pt>
                <c:pt idx="134">
                  <c:v>-140</c:v>
                </c:pt>
                <c:pt idx="135">
                  <c:v>-140</c:v>
                </c:pt>
                <c:pt idx="136">
                  <c:v>-140</c:v>
                </c:pt>
                <c:pt idx="137">
                  <c:v>-140</c:v>
                </c:pt>
                <c:pt idx="138">
                  <c:v>-140</c:v>
                </c:pt>
                <c:pt idx="139">
                  <c:v>-140</c:v>
                </c:pt>
                <c:pt idx="140">
                  <c:v>-140</c:v>
                </c:pt>
                <c:pt idx="141">
                  <c:v>-140</c:v>
                </c:pt>
                <c:pt idx="142">
                  <c:v>-140</c:v>
                </c:pt>
                <c:pt idx="143">
                  <c:v>-140</c:v>
                </c:pt>
                <c:pt idx="144">
                  <c:v>-140</c:v>
                </c:pt>
                <c:pt idx="145">
                  <c:v>-140</c:v>
                </c:pt>
                <c:pt idx="146">
                  <c:v>-140</c:v>
                </c:pt>
                <c:pt idx="147">
                  <c:v>-140</c:v>
                </c:pt>
                <c:pt idx="148">
                  <c:v>-140</c:v>
                </c:pt>
                <c:pt idx="149">
                  <c:v>-140</c:v>
                </c:pt>
                <c:pt idx="150">
                  <c:v>-140</c:v>
                </c:pt>
                <c:pt idx="151">
                  <c:v>-140</c:v>
                </c:pt>
                <c:pt idx="152">
                  <c:v>-140</c:v>
                </c:pt>
                <c:pt idx="153">
                  <c:v>-140</c:v>
                </c:pt>
                <c:pt idx="154">
                  <c:v>-140</c:v>
                </c:pt>
                <c:pt idx="155">
                  <c:v>-140</c:v>
                </c:pt>
                <c:pt idx="156">
                  <c:v>-140</c:v>
                </c:pt>
                <c:pt idx="157">
                  <c:v>-140</c:v>
                </c:pt>
                <c:pt idx="158">
                  <c:v>-140</c:v>
                </c:pt>
                <c:pt idx="159">
                  <c:v>-140</c:v>
                </c:pt>
                <c:pt idx="160">
                  <c:v>-140</c:v>
                </c:pt>
                <c:pt idx="161">
                  <c:v>-140</c:v>
                </c:pt>
                <c:pt idx="162">
                  <c:v>-140</c:v>
                </c:pt>
                <c:pt idx="163">
                  <c:v>-140</c:v>
                </c:pt>
                <c:pt idx="164">
                  <c:v>-140</c:v>
                </c:pt>
                <c:pt idx="165">
                  <c:v>-140</c:v>
                </c:pt>
                <c:pt idx="166">
                  <c:v>-140</c:v>
                </c:pt>
                <c:pt idx="167">
                  <c:v>-140</c:v>
                </c:pt>
                <c:pt idx="168">
                  <c:v>-140</c:v>
                </c:pt>
                <c:pt idx="169">
                  <c:v>-140</c:v>
                </c:pt>
                <c:pt idx="170">
                  <c:v>-140</c:v>
                </c:pt>
                <c:pt idx="171">
                  <c:v>-140</c:v>
                </c:pt>
                <c:pt idx="172">
                  <c:v>-140</c:v>
                </c:pt>
                <c:pt idx="173">
                  <c:v>-140</c:v>
                </c:pt>
                <c:pt idx="174">
                  <c:v>-140</c:v>
                </c:pt>
                <c:pt idx="175">
                  <c:v>-140</c:v>
                </c:pt>
                <c:pt idx="176">
                  <c:v>-140</c:v>
                </c:pt>
                <c:pt idx="177">
                  <c:v>-140</c:v>
                </c:pt>
                <c:pt idx="178">
                  <c:v>-140</c:v>
                </c:pt>
                <c:pt idx="179">
                  <c:v>-140</c:v>
                </c:pt>
                <c:pt idx="180">
                  <c:v>-140</c:v>
                </c:pt>
                <c:pt idx="181">
                  <c:v>-140</c:v>
                </c:pt>
                <c:pt idx="182">
                  <c:v>-140</c:v>
                </c:pt>
                <c:pt idx="183">
                  <c:v>-140</c:v>
                </c:pt>
                <c:pt idx="184">
                  <c:v>-140</c:v>
                </c:pt>
                <c:pt idx="185">
                  <c:v>-140</c:v>
                </c:pt>
                <c:pt idx="186">
                  <c:v>-140</c:v>
                </c:pt>
                <c:pt idx="187">
                  <c:v>-140</c:v>
                </c:pt>
                <c:pt idx="188">
                  <c:v>-140</c:v>
                </c:pt>
                <c:pt idx="189">
                  <c:v>-140</c:v>
                </c:pt>
                <c:pt idx="190">
                  <c:v>-140</c:v>
                </c:pt>
                <c:pt idx="191">
                  <c:v>-140</c:v>
                </c:pt>
                <c:pt idx="192">
                  <c:v>-140</c:v>
                </c:pt>
                <c:pt idx="193">
                  <c:v>-140</c:v>
                </c:pt>
                <c:pt idx="194">
                  <c:v>-140</c:v>
                </c:pt>
                <c:pt idx="195">
                  <c:v>-140</c:v>
                </c:pt>
                <c:pt idx="196">
                  <c:v>-140</c:v>
                </c:pt>
                <c:pt idx="197">
                  <c:v>-140</c:v>
                </c:pt>
                <c:pt idx="198">
                  <c:v>-140</c:v>
                </c:pt>
                <c:pt idx="199">
                  <c:v>-140</c:v>
                </c:pt>
                <c:pt idx="200">
                  <c:v>-140</c:v>
                </c:pt>
                <c:pt idx="201">
                  <c:v>-140</c:v>
                </c:pt>
                <c:pt idx="202">
                  <c:v>-140</c:v>
                </c:pt>
                <c:pt idx="203">
                  <c:v>-140</c:v>
                </c:pt>
                <c:pt idx="204">
                  <c:v>-140</c:v>
                </c:pt>
                <c:pt idx="205">
                  <c:v>-140</c:v>
                </c:pt>
                <c:pt idx="206">
                  <c:v>-140</c:v>
                </c:pt>
                <c:pt idx="207">
                  <c:v>-140</c:v>
                </c:pt>
                <c:pt idx="208">
                  <c:v>-140</c:v>
                </c:pt>
                <c:pt idx="209">
                  <c:v>-140</c:v>
                </c:pt>
                <c:pt idx="210">
                  <c:v>-140</c:v>
                </c:pt>
                <c:pt idx="211">
                  <c:v>-140</c:v>
                </c:pt>
                <c:pt idx="212">
                  <c:v>-140</c:v>
                </c:pt>
                <c:pt idx="213">
                  <c:v>-140</c:v>
                </c:pt>
                <c:pt idx="214">
                  <c:v>-140</c:v>
                </c:pt>
                <c:pt idx="215">
                  <c:v>-140</c:v>
                </c:pt>
                <c:pt idx="216">
                  <c:v>-140</c:v>
                </c:pt>
                <c:pt idx="217">
                  <c:v>-140</c:v>
                </c:pt>
                <c:pt idx="218">
                  <c:v>-140</c:v>
                </c:pt>
                <c:pt idx="219">
                  <c:v>-140</c:v>
                </c:pt>
                <c:pt idx="220">
                  <c:v>-140</c:v>
                </c:pt>
                <c:pt idx="221">
                  <c:v>-140</c:v>
                </c:pt>
                <c:pt idx="222">
                  <c:v>-140</c:v>
                </c:pt>
                <c:pt idx="223">
                  <c:v>-140</c:v>
                </c:pt>
                <c:pt idx="224">
                  <c:v>-140</c:v>
                </c:pt>
                <c:pt idx="225">
                  <c:v>-140</c:v>
                </c:pt>
                <c:pt idx="226">
                  <c:v>-140</c:v>
                </c:pt>
                <c:pt idx="227">
                  <c:v>-140</c:v>
                </c:pt>
                <c:pt idx="228">
                  <c:v>-140</c:v>
                </c:pt>
                <c:pt idx="229">
                  <c:v>-140</c:v>
                </c:pt>
                <c:pt idx="230">
                  <c:v>-140</c:v>
                </c:pt>
                <c:pt idx="231">
                  <c:v>-140</c:v>
                </c:pt>
                <c:pt idx="232">
                  <c:v>-140</c:v>
                </c:pt>
                <c:pt idx="233">
                  <c:v>-140</c:v>
                </c:pt>
                <c:pt idx="234">
                  <c:v>-140</c:v>
                </c:pt>
                <c:pt idx="235">
                  <c:v>-140</c:v>
                </c:pt>
                <c:pt idx="236">
                  <c:v>-140</c:v>
                </c:pt>
                <c:pt idx="237">
                  <c:v>-140</c:v>
                </c:pt>
                <c:pt idx="238">
                  <c:v>-140</c:v>
                </c:pt>
                <c:pt idx="239">
                  <c:v>-140</c:v>
                </c:pt>
                <c:pt idx="240">
                  <c:v>-140</c:v>
                </c:pt>
                <c:pt idx="241">
                  <c:v>-140</c:v>
                </c:pt>
                <c:pt idx="242">
                  <c:v>-140</c:v>
                </c:pt>
                <c:pt idx="243">
                  <c:v>-140</c:v>
                </c:pt>
                <c:pt idx="244">
                  <c:v>-140</c:v>
                </c:pt>
                <c:pt idx="245">
                  <c:v>-140</c:v>
                </c:pt>
                <c:pt idx="246">
                  <c:v>-140</c:v>
                </c:pt>
                <c:pt idx="247">
                  <c:v>-140</c:v>
                </c:pt>
                <c:pt idx="248">
                  <c:v>-140</c:v>
                </c:pt>
                <c:pt idx="249">
                  <c:v>-140</c:v>
                </c:pt>
                <c:pt idx="250">
                  <c:v>-140</c:v>
                </c:pt>
                <c:pt idx="251">
                  <c:v>-140</c:v>
                </c:pt>
                <c:pt idx="252">
                  <c:v>-140</c:v>
                </c:pt>
                <c:pt idx="253">
                  <c:v>-140</c:v>
                </c:pt>
                <c:pt idx="254">
                  <c:v>-140</c:v>
                </c:pt>
                <c:pt idx="255">
                  <c:v>-140</c:v>
                </c:pt>
                <c:pt idx="256">
                  <c:v>-140</c:v>
                </c:pt>
                <c:pt idx="257">
                  <c:v>-140</c:v>
                </c:pt>
                <c:pt idx="258">
                  <c:v>-140</c:v>
                </c:pt>
                <c:pt idx="259">
                  <c:v>-140</c:v>
                </c:pt>
                <c:pt idx="260">
                  <c:v>-140</c:v>
                </c:pt>
                <c:pt idx="261">
                  <c:v>-140</c:v>
                </c:pt>
                <c:pt idx="262">
                  <c:v>-140</c:v>
                </c:pt>
                <c:pt idx="263">
                  <c:v>-140</c:v>
                </c:pt>
                <c:pt idx="264">
                  <c:v>-140</c:v>
                </c:pt>
                <c:pt idx="265">
                  <c:v>-140</c:v>
                </c:pt>
                <c:pt idx="266">
                  <c:v>-140</c:v>
                </c:pt>
                <c:pt idx="267">
                  <c:v>-140</c:v>
                </c:pt>
                <c:pt idx="268">
                  <c:v>-140</c:v>
                </c:pt>
                <c:pt idx="269">
                  <c:v>-140</c:v>
                </c:pt>
                <c:pt idx="270">
                  <c:v>-140</c:v>
                </c:pt>
                <c:pt idx="271">
                  <c:v>-140</c:v>
                </c:pt>
                <c:pt idx="272">
                  <c:v>-140</c:v>
                </c:pt>
                <c:pt idx="273">
                  <c:v>-140</c:v>
                </c:pt>
                <c:pt idx="274">
                  <c:v>-140</c:v>
                </c:pt>
                <c:pt idx="275">
                  <c:v>-140</c:v>
                </c:pt>
                <c:pt idx="276">
                  <c:v>-140</c:v>
                </c:pt>
                <c:pt idx="277">
                  <c:v>-140</c:v>
                </c:pt>
                <c:pt idx="278">
                  <c:v>-140</c:v>
                </c:pt>
                <c:pt idx="279">
                  <c:v>-140</c:v>
                </c:pt>
                <c:pt idx="280">
                  <c:v>-140</c:v>
                </c:pt>
                <c:pt idx="281">
                  <c:v>-140</c:v>
                </c:pt>
                <c:pt idx="282">
                  <c:v>-140</c:v>
                </c:pt>
                <c:pt idx="283">
                  <c:v>-140</c:v>
                </c:pt>
                <c:pt idx="284">
                  <c:v>-140</c:v>
                </c:pt>
                <c:pt idx="285">
                  <c:v>-140</c:v>
                </c:pt>
                <c:pt idx="286">
                  <c:v>-140</c:v>
                </c:pt>
                <c:pt idx="287">
                  <c:v>-140</c:v>
                </c:pt>
                <c:pt idx="288">
                  <c:v>-140</c:v>
                </c:pt>
                <c:pt idx="289">
                  <c:v>-140</c:v>
                </c:pt>
                <c:pt idx="290">
                  <c:v>-140</c:v>
                </c:pt>
                <c:pt idx="291">
                  <c:v>-140</c:v>
                </c:pt>
                <c:pt idx="292">
                  <c:v>-140</c:v>
                </c:pt>
                <c:pt idx="293">
                  <c:v>-149</c:v>
                </c:pt>
                <c:pt idx="294">
                  <c:v>-155</c:v>
                </c:pt>
                <c:pt idx="295">
                  <c:v>-160</c:v>
                </c:pt>
                <c:pt idx="296">
                  <c:v>-165</c:v>
                </c:pt>
                <c:pt idx="297">
                  <c:v>-174.00000000000003</c:v>
                </c:pt>
                <c:pt idx="298">
                  <c:v>-180.00000000000003</c:v>
                </c:pt>
                <c:pt idx="299">
                  <c:v>-185</c:v>
                </c:pt>
                <c:pt idx="300">
                  <c:v>-190</c:v>
                </c:pt>
                <c:pt idx="301">
                  <c:v>-195</c:v>
                </c:pt>
                <c:pt idx="302">
                  <c:v>-204.00000000000003</c:v>
                </c:pt>
                <c:pt idx="303">
                  <c:v>-207.00000000000003</c:v>
                </c:pt>
                <c:pt idx="304">
                  <c:v>-209.00000000000003</c:v>
                </c:pt>
                <c:pt idx="305">
                  <c:v>-213</c:v>
                </c:pt>
                <c:pt idx="306">
                  <c:v>-221</c:v>
                </c:pt>
                <c:pt idx="307">
                  <c:v>-226</c:v>
                </c:pt>
                <c:pt idx="308">
                  <c:v>-231</c:v>
                </c:pt>
                <c:pt idx="309">
                  <c:v>-235.00000000000003</c:v>
                </c:pt>
                <c:pt idx="310">
                  <c:v>-238.00000000000003</c:v>
                </c:pt>
                <c:pt idx="311">
                  <c:v>-240.00000000000003</c:v>
                </c:pt>
                <c:pt idx="312">
                  <c:v>-247</c:v>
                </c:pt>
                <c:pt idx="313">
                  <c:v>-249</c:v>
                </c:pt>
                <c:pt idx="314">
                  <c:v>-250</c:v>
                </c:pt>
                <c:pt idx="315">
                  <c:v>-251</c:v>
                </c:pt>
                <c:pt idx="316">
                  <c:v>-251</c:v>
                </c:pt>
                <c:pt idx="317">
                  <c:v>-253</c:v>
                </c:pt>
                <c:pt idx="318">
                  <c:v>-254</c:v>
                </c:pt>
                <c:pt idx="319">
                  <c:v>-254</c:v>
                </c:pt>
                <c:pt idx="320">
                  <c:v>-255</c:v>
                </c:pt>
                <c:pt idx="321">
                  <c:v>-255</c:v>
                </c:pt>
                <c:pt idx="322">
                  <c:v>-255</c:v>
                </c:pt>
                <c:pt idx="323">
                  <c:v>-255</c:v>
                </c:pt>
                <c:pt idx="324">
                  <c:v>-255</c:v>
                </c:pt>
                <c:pt idx="325">
                  <c:v>-255</c:v>
                </c:pt>
                <c:pt idx="326">
                  <c:v>-255</c:v>
                </c:pt>
                <c:pt idx="327">
                  <c:v>-255</c:v>
                </c:pt>
                <c:pt idx="328">
                  <c:v>-255</c:v>
                </c:pt>
                <c:pt idx="329">
                  <c:v>-255</c:v>
                </c:pt>
                <c:pt idx="330">
                  <c:v>-255</c:v>
                </c:pt>
                <c:pt idx="331">
                  <c:v>-255</c:v>
                </c:pt>
                <c:pt idx="332">
                  <c:v>-255</c:v>
                </c:pt>
                <c:pt idx="333">
                  <c:v>-255</c:v>
                </c:pt>
                <c:pt idx="334">
                  <c:v>-255</c:v>
                </c:pt>
                <c:pt idx="335">
                  <c:v>-255</c:v>
                </c:pt>
                <c:pt idx="336">
                  <c:v>-255</c:v>
                </c:pt>
                <c:pt idx="337">
                  <c:v>-255</c:v>
                </c:pt>
                <c:pt idx="338">
                  <c:v>-255</c:v>
                </c:pt>
                <c:pt idx="339">
                  <c:v>-255</c:v>
                </c:pt>
                <c:pt idx="340">
                  <c:v>-255</c:v>
                </c:pt>
                <c:pt idx="341">
                  <c:v>-255</c:v>
                </c:pt>
                <c:pt idx="342">
                  <c:v>-255</c:v>
                </c:pt>
                <c:pt idx="343">
                  <c:v>-255</c:v>
                </c:pt>
                <c:pt idx="344">
                  <c:v>-255</c:v>
                </c:pt>
                <c:pt idx="345">
                  <c:v>-255</c:v>
                </c:pt>
                <c:pt idx="346">
                  <c:v>-255</c:v>
                </c:pt>
                <c:pt idx="347">
                  <c:v>-255</c:v>
                </c:pt>
                <c:pt idx="348">
                  <c:v>-255</c:v>
                </c:pt>
                <c:pt idx="349">
                  <c:v>-255</c:v>
                </c:pt>
                <c:pt idx="350">
                  <c:v>-255</c:v>
                </c:pt>
                <c:pt idx="351">
                  <c:v>-255</c:v>
                </c:pt>
                <c:pt idx="352">
                  <c:v>-255</c:v>
                </c:pt>
                <c:pt idx="353">
                  <c:v>-255</c:v>
                </c:pt>
                <c:pt idx="354">
                  <c:v>-255</c:v>
                </c:pt>
                <c:pt idx="355">
                  <c:v>-255</c:v>
                </c:pt>
                <c:pt idx="356">
                  <c:v>-255</c:v>
                </c:pt>
                <c:pt idx="357">
                  <c:v>-255</c:v>
                </c:pt>
                <c:pt idx="358">
                  <c:v>-255</c:v>
                </c:pt>
                <c:pt idx="359">
                  <c:v>-255</c:v>
                </c:pt>
                <c:pt idx="360">
                  <c:v>-255</c:v>
                </c:pt>
                <c:pt idx="361">
                  <c:v>-255</c:v>
                </c:pt>
                <c:pt idx="362">
                  <c:v>-255</c:v>
                </c:pt>
                <c:pt idx="363">
                  <c:v>-255</c:v>
                </c:pt>
                <c:pt idx="364">
                  <c:v>-255</c:v>
                </c:pt>
                <c:pt idx="365">
                  <c:v>-255</c:v>
                </c:pt>
                <c:pt idx="366">
                  <c:v>-255</c:v>
                </c:pt>
                <c:pt idx="367">
                  <c:v>-255</c:v>
                </c:pt>
                <c:pt idx="368">
                  <c:v>-255</c:v>
                </c:pt>
                <c:pt idx="369">
                  <c:v>-255</c:v>
                </c:pt>
                <c:pt idx="370">
                  <c:v>-255</c:v>
                </c:pt>
                <c:pt idx="371">
                  <c:v>-255</c:v>
                </c:pt>
                <c:pt idx="372">
                  <c:v>-255</c:v>
                </c:pt>
                <c:pt idx="373">
                  <c:v>-255</c:v>
                </c:pt>
                <c:pt idx="374">
                  <c:v>-255</c:v>
                </c:pt>
                <c:pt idx="375">
                  <c:v>-255</c:v>
                </c:pt>
                <c:pt idx="376">
                  <c:v>-255</c:v>
                </c:pt>
                <c:pt idx="377">
                  <c:v>-255</c:v>
                </c:pt>
                <c:pt idx="378">
                  <c:v>-255</c:v>
                </c:pt>
                <c:pt idx="379">
                  <c:v>-255</c:v>
                </c:pt>
                <c:pt idx="380">
                  <c:v>-255</c:v>
                </c:pt>
                <c:pt idx="381">
                  <c:v>-255</c:v>
                </c:pt>
                <c:pt idx="382">
                  <c:v>-255</c:v>
                </c:pt>
                <c:pt idx="383">
                  <c:v>-255</c:v>
                </c:pt>
                <c:pt idx="384">
                  <c:v>-255</c:v>
                </c:pt>
                <c:pt idx="385">
                  <c:v>-255</c:v>
                </c:pt>
                <c:pt idx="386">
                  <c:v>-255</c:v>
                </c:pt>
                <c:pt idx="387">
                  <c:v>-255</c:v>
                </c:pt>
                <c:pt idx="388">
                  <c:v>-255</c:v>
                </c:pt>
                <c:pt idx="389">
                  <c:v>-255</c:v>
                </c:pt>
                <c:pt idx="390">
                  <c:v>-255</c:v>
                </c:pt>
                <c:pt idx="391">
                  <c:v>-255</c:v>
                </c:pt>
                <c:pt idx="392">
                  <c:v>-255</c:v>
                </c:pt>
                <c:pt idx="393">
                  <c:v>-255</c:v>
                </c:pt>
                <c:pt idx="394">
                  <c:v>-255</c:v>
                </c:pt>
                <c:pt idx="395">
                  <c:v>-255</c:v>
                </c:pt>
                <c:pt idx="396">
                  <c:v>-255</c:v>
                </c:pt>
                <c:pt idx="397">
                  <c:v>-255</c:v>
                </c:pt>
                <c:pt idx="398">
                  <c:v>-255</c:v>
                </c:pt>
                <c:pt idx="399">
                  <c:v>-255</c:v>
                </c:pt>
                <c:pt idx="400">
                  <c:v>-255</c:v>
                </c:pt>
                <c:pt idx="401">
                  <c:v>-255</c:v>
                </c:pt>
                <c:pt idx="402">
                  <c:v>-255</c:v>
                </c:pt>
                <c:pt idx="403">
                  <c:v>-255</c:v>
                </c:pt>
                <c:pt idx="404">
                  <c:v>-255</c:v>
                </c:pt>
                <c:pt idx="405">
                  <c:v>-255</c:v>
                </c:pt>
                <c:pt idx="406">
                  <c:v>-255</c:v>
                </c:pt>
                <c:pt idx="407">
                  <c:v>-255</c:v>
                </c:pt>
                <c:pt idx="408">
                  <c:v>-255</c:v>
                </c:pt>
                <c:pt idx="409">
                  <c:v>-255</c:v>
                </c:pt>
                <c:pt idx="410">
                  <c:v>-255</c:v>
                </c:pt>
                <c:pt idx="411">
                  <c:v>-255</c:v>
                </c:pt>
                <c:pt idx="412">
                  <c:v>-255</c:v>
                </c:pt>
                <c:pt idx="413">
                  <c:v>-255</c:v>
                </c:pt>
                <c:pt idx="414">
                  <c:v>-255</c:v>
                </c:pt>
                <c:pt idx="415">
                  <c:v>-255</c:v>
                </c:pt>
                <c:pt idx="416">
                  <c:v>-255</c:v>
                </c:pt>
                <c:pt idx="417">
                  <c:v>-255</c:v>
                </c:pt>
                <c:pt idx="418">
                  <c:v>-255</c:v>
                </c:pt>
                <c:pt idx="419">
                  <c:v>-255</c:v>
                </c:pt>
                <c:pt idx="420">
                  <c:v>-255</c:v>
                </c:pt>
                <c:pt idx="421">
                  <c:v>-255</c:v>
                </c:pt>
                <c:pt idx="422">
                  <c:v>-255</c:v>
                </c:pt>
                <c:pt idx="423">
                  <c:v>-265</c:v>
                </c:pt>
                <c:pt idx="424">
                  <c:v>-273</c:v>
                </c:pt>
                <c:pt idx="425">
                  <c:v>-278.99999999999994</c:v>
                </c:pt>
                <c:pt idx="426">
                  <c:v>-285</c:v>
                </c:pt>
                <c:pt idx="427">
                  <c:v>-295</c:v>
                </c:pt>
                <c:pt idx="428">
                  <c:v>-305</c:v>
                </c:pt>
                <c:pt idx="429">
                  <c:v>-309</c:v>
                </c:pt>
                <c:pt idx="430">
                  <c:v>-314</c:v>
                </c:pt>
                <c:pt idx="431">
                  <c:v>-320</c:v>
                </c:pt>
                <c:pt idx="432">
                  <c:v>-329.99999999999994</c:v>
                </c:pt>
                <c:pt idx="433">
                  <c:v>-339.99999999999994</c:v>
                </c:pt>
                <c:pt idx="434">
                  <c:v>-344</c:v>
                </c:pt>
                <c:pt idx="435">
                  <c:v>-348</c:v>
                </c:pt>
                <c:pt idx="436">
                  <c:v>-354</c:v>
                </c:pt>
                <c:pt idx="437">
                  <c:v>-364</c:v>
                </c:pt>
                <c:pt idx="438">
                  <c:v>-371</c:v>
                </c:pt>
                <c:pt idx="439">
                  <c:v>-379</c:v>
                </c:pt>
                <c:pt idx="440">
                  <c:v>-387.99999999999994</c:v>
                </c:pt>
                <c:pt idx="441">
                  <c:v>-397.99999999999994</c:v>
                </c:pt>
                <c:pt idx="442">
                  <c:v>-407</c:v>
                </c:pt>
                <c:pt idx="443">
                  <c:v>-415</c:v>
                </c:pt>
                <c:pt idx="444">
                  <c:v>-424</c:v>
                </c:pt>
                <c:pt idx="445">
                  <c:v>-432</c:v>
                </c:pt>
                <c:pt idx="446">
                  <c:v>-441</c:v>
                </c:pt>
                <c:pt idx="447">
                  <c:v>-449.99999999999994</c:v>
                </c:pt>
                <c:pt idx="448">
                  <c:v>-457.99999999999994</c:v>
                </c:pt>
                <c:pt idx="449">
                  <c:v>-464.99999999999994</c:v>
                </c:pt>
                <c:pt idx="450">
                  <c:v>-474</c:v>
                </c:pt>
                <c:pt idx="451">
                  <c:v>-482</c:v>
                </c:pt>
                <c:pt idx="452">
                  <c:v>-491</c:v>
                </c:pt>
                <c:pt idx="453">
                  <c:v>-499</c:v>
                </c:pt>
                <c:pt idx="454">
                  <c:v>-506</c:v>
                </c:pt>
                <c:pt idx="455">
                  <c:v>-513</c:v>
                </c:pt>
                <c:pt idx="456">
                  <c:v>-519</c:v>
                </c:pt>
                <c:pt idx="457">
                  <c:v>-525</c:v>
                </c:pt>
                <c:pt idx="458">
                  <c:v>-533</c:v>
                </c:pt>
                <c:pt idx="459">
                  <c:v>-540</c:v>
                </c:pt>
                <c:pt idx="460">
                  <c:v>-549</c:v>
                </c:pt>
                <c:pt idx="461">
                  <c:v>-557</c:v>
                </c:pt>
                <c:pt idx="462">
                  <c:v>-566.00000000000011</c:v>
                </c:pt>
                <c:pt idx="463">
                  <c:v>-574.00000000000011</c:v>
                </c:pt>
                <c:pt idx="464">
                  <c:v>-581.00000000000011</c:v>
                </c:pt>
                <c:pt idx="465">
                  <c:v>-590.00000000000011</c:v>
                </c:pt>
                <c:pt idx="466">
                  <c:v>-598.00000000000011</c:v>
                </c:pt>
                <c:pt idx="467">
                  <c:v>-607</c:v>
                </c:pt>
                <c:pt idx="468">
                  <c:v>-615</c:v>
                </c:pt>
                <c:pt idx="469">
                  <c:v>-622</c:v>
                </c:pt>
                <c:pt idx="470">
                  <c:v>-626</c:v>
                </c:pt>
                <c:pt idx="471">
                  <c:v>-629</c:v>
                </c:pt>
                <c:pt idx="472">
                  <c:v>-631</c:v>
                </c:pt>
                <c:pt idx="473">
                  <c:v>-633</c:v>
                </c:pt>
                <c:pt idx="474">
                  <c:v>-634</c:v>
                </c:pt>
                <c:pt idx="475">
                  <c:v>-637</c:v>
                </c:pt>
                <c:pt idx="476">
                  <c:v>-639</c:v>
                </c:pt>
                <c:pt idx="477">
                  <c:v>-642</c:v>
                </c:pt>
                <c:pt idx="478">
                  <c:v>-644</c:v>
                </c:pt>
                <c:pt idx="479">
                  <c:v>-645</c:v>
                </c:pt>
                <c:pt idx="480">
                  <c:v>-647</c:v>
                </c:pt>
                <c:pt idx="481">
                  <c:v>-649</c:v>
                </c:pt>
                <c:pt idx="482">
                  <c:v>-651</c:v>
                </c:pt>
                <c:pt idx="483">
                  <c:v>-653</c:v>
                </c:pt>
                <c:pt idx="484">
                  <c:v>-653</c:v>
                </c:pt>
                <c:pt idx="485">
                  <c:v>-655</c:v>
                </c:pt>
                <c:pt idx="486">
                  <c:v>-655</c:v>
                </c:pt>
                <c:pt idx="487">
                  <c:v>-657</c:v>
                </c:pt>
                <c:pt idx="488">
                  <c:v>-657</c:v>
                </c:pt>
                <c:pt idx="489">
                  <c:v>-658</c:v>
                </c:pt>
                <c:pt idx="490">
                  <c:v>-658</c:v>
                </c:pt>
                <c:pt idx="491">
                  <c:v>-658</c:v>
                </c:pt>
                <c:pt idx="492">
                  <c:v>-658</c:v>
                </c:pt>
                <c:pt idx="493">
                  <c:v>-660</c:v>
                </c:pt>
                <c:pt idx="494">
                  <c:v>-660</c:v>
                </c:pt>
                <c:pt idx="495">
                  <c:v>-660</c:v>
                </c:pt>
                <c:pt idx="496">
                  <c:v>-660</c:v>
                </c:pt>
                <c:pt idx="497">
                  <c:v>-660</c:v>
                </c:pt>
                <c:pt idx="498">
                  <c:v>-661</c:v>
                </c:pt>
                <c:pt idx="499">
                  <c:v>-661</c:v>
                </c:pt>
                <c:pt idx="500">
                  <c:v>-663</c:v>
                </c:pt>
                <c:pt idx="501">
                  <c:v>-663</c:v>
                </c:pt>
                <c:pt idx="502">
                  <c:v>-663</c:v>
                </c:pt>
                <c:pt idx="503">
                  <c:v>-665</c:v>
                </c:pt>
                <c:pt idx="504">
                  <c:v>-665</c:v>
                </c:pt>
                <c:pt idx="505">
                  <c:v>-665</c:v>
                </c:pt>
                <c:pt idx="506">
                  <c:v>-666</c:v>
                </c:pt>
                <c:pt idx="507">
                  <c:v>-666</c:v>
                </c:pt>
                <c:pt idx="508">
                  <c:v>-674</c:v>
                </c:pt>
                <c:pt idx="509">
                  <c:v>-681</c:v>
                </c:pt>
                <c:pt idx="510">
                  <c:v>-685</c:v>
                </c:pt>
                <c:pt idx="511">
                  <c:v>-688</c:v>
                </c:pt>
                <c:pt idx="512">
                  <c:v>-688</c:v>
                </c:pt>
                <c:pt idx="513">
                  <c:v>-696.00000000000011</c:v>
                </c:pt>
                <c:pt idx="514">
                  <c:v>-703.00000000000011</c:v>
                </c:pt>
                <c:pt idx="515">
                  <c:v>-707.00000000000011</c:v>
                </c:pt>
                <c:pt idx="516">
                  <c:v>-710.00000000000011</c:v>
                </c:pt>
                <c:pt idx="517">
                  <c:v>-710.00000000000011</c:v>
                </c:pt>
                <c:pt idx="518">
                  <c:v>-710.00000000000011</c:v>
                </c:pt>
                <c:pt idx="519">
                  <c:v>-710.00000000000011</c:v>
                </c:pt>
                <c:pt idx="520">
                  <c:v>-710.00000000000011</c:v>
                </c:pt>
                <c:pt idx="521">
                  <c:v>-710.00000000000011</c:v>
                </c:pt>
                <c:pt idx="522">
                  <c:v>-710.00000000000011</c:v>
                </c:pt>
                <c:pt idx="523">
                  <c:v>-712.00000000000011</c:v>
                </c:pt>
                <c:pt idx="524">
                  <c:v>-712.00000000000011</c:v>
                </c:pt>
                <c:pt idx="525">
                  <c:v>-712.00000000000011</c:v>
                </c:pt>
                <c:pt idx="526">
                  <c:v>-714.00000000000011</c:v>
                </c:pt>
                <c:pt idx="527">
                  <c:v>-714.00000000000011</c:v>
                </c:pt>
                <c:pt idx="528">
                  <c:v>-714.00000000000011</c:v>
                </c:pt>
                <c:pt idx="529">
                  <c:v>-715.00000000000011</c:v>
                </c:pt>
                <c:pt idx="530">
                  <c:v>-715.00000000000011</c:v>
                </c:pt>
                <c:pt idx="531">
                  <c:v>-715.00000000000011</c:v>
                </c:pt>
                <c:pt idx="532">
                  <c:v>-722.00000000000011</c:v>
                </c:pt>
                <c:pt idx="533">
                  <c:v>-726.00000000000011</c:v>
                </c:pt>
                <c:pt idx="534">
                  <c:v>-729</c:v>
                </c:pt>
                <c:pt idx="535">
                  <c:v>-729</c:v>
                </c:pt>
                <c:pt idx="536">
                  <c:v>-729</c:v>
                </c:pt>
                <c:pt idx="537">
                  <c:v>-731</c:v>
                </c:pt>
                <c:pt idx="538">
                  <c:v>-731</c:v>
                </c:pt>
                <c:pt idx="539">
                  <c:v>-731</c:v>
                </c:pt>
                <c:pt idx="540">
                  <c:v>-732</c:v>
                </c:pt>
                <c:pt idx="541">
                  <c:v>-732</c:v>
                </c:pt>
                <c:pt idx="542">
                  <c:v>-733</c:v>
                </c:pt>
                <c:pt idx="543">
                  <c:v>-733</c:v>
                </c:pt>
                <c:pt idx="544">
                  <c:v>-733</c:v>
                </c:pt>
                <c:pt idx="545">
                  <c:v>-733</c:v>
                </c:pt>
                <c:pt idx="546">
                  <c:v>-733</c:v>
                </c:pt>
                <c:pt idx="547">
                  <c:v>-733</c:v>
                </c:pt>
                <c:pt idx="548">
                  <c:v>-734</c:v>
                </c:pt>
                <c:pt idx="549">
                  <c:v>-737</c:v>
                </c:pt>
                <c:pt idx="550">
                  <c:v>-737</c:v>
                </c:pt>
                <c:pt idx="551">
                  <c:v>-737</c:v>
                </c:pt>
                <c:pt idx="552">
                  <c:v>-738</c:v>
                </c:pt>
                <c:pt idx="553">
                  <c:v>-738</c:v>
                </c:pt>
                <c:pt idx="554">
                  <c:v>-738</c:v>
                </c:pt>
                <c:pt idx="555">
                  <c:v>-738</c:v>
                </c:pt>
                <c:pt idx="556">
                  <c:v>-738</c:v>
                </c:pt>
                <c:pt idx="557">
                  <c:v>-738</c:v>
                </c:pt>
                <c:pt idx="558">
                  <c:v>-738</c:v>
                </c:pt>
                <c:pt idx="559">
                  <c:v>-738</c:v>
                </c:pt>
                <c:pt idx="560">
                  <c:v>-742</c:v>
                </c:pt>
                <c:pt idx="561">
                  <c:v>-743</c:v>
                </c:pt>
                <c:pt idx="562">
                  <c:v>-743</c:v>
                </c:pt>
                <c:pt idx="563">
                  <c:v>-743</c:v>
                </c:pt>
                <c:pt idx="564">
                  <c:v>-744</c:v>
                </c:pt>
                <c:pt idx="565">
                  <c:v>-744</c:v>
                </c:pt>
                <c:pt idx="566">
                  <c:v>-748</c:v>
                </c:pt>
                <c:pt idx="567">
                  <c:v>-749</c:v>
                </c:pt>
                <c:pt idx="568">
                  <c:v>-749</c:v>
                </c:pt>
                <c:pt idx="569">
                  <c:v>-753</c:v>
                </c:pt>
                <c:pt idx="570">
                  <c:v>-754</c:v>
                </c:pt>
                <c:pt idx="571">
                  <c:v>-754</c:v>
                </c:pt>
                <c:pt idx="572">
                  <c:v>-754</c:v>
                </c:pt>
                <c:pt idx="573">
                  <c:v>-754</c:v>
                </c:pt>
                <c:pt idx="574">
                  <c:v>-754</c:v>
                </c:pt>
                <c:pt idx="575">
                  <c:v>-754</c:v>
                </c:pt>
                <c:pt idx="576">
                  <c:v>-754</c:v>
                </c:pt>
                <c:pt idx="577">
                  <c:v>-756</c:v>
                </c:pt>
                <c:pt idx="578">
                  <c:v>-756</c:v>
                </c:pt>
                <c:pt idx="579">
                  <c:v>-756</c:v>
                </c:pt>
                <c:pt idx="580">
                  <c:v>-759</c:v>
                </c:pt>
                <c:pt idx="581">
                  <c:v>-759</c:v>
                </c:pt>
                <c:pt idx="582">
                  <c:v>-759</c:v>
                </c:pt>
                <c:pt idx="583">
                  <c:v>-760</c:v>
                </c:pt>
                <c:pt idx="584">
                  <c:v>-760</c:v>
                </c:pt>
                <c:pt idx="585">
                  <c:v>-764</c:v>
                </c:pt>
                <c:pt idx="586">
                  <c:v>-765</c:v>
                </c:pt>
                <c:pt idx="587">
                  <c:v>-765</c:v>
                </c:pt>
                <c:pt idx="588">
                  <c:v>-765</c:v>
                </c:pt>
                <c:pt idx="589">
                  <c:v>-767</c:v>
                </c:pt>
                <c:pt idx="590">
                  <c:v>-767</c:v>
                </c:pt>
                <c:pt idx="591">
                  <c:v>-767</c:v>
                </c:pt>
                <c:pt idx="592">
                  <c:v>-769</c:v>
                </c:pt>
                <c:pt idx="593">
                  <c:v>-769</c:v>
                </c:pt>
                <c:pt idx="594">
                  <c:v>-769</c:v>
                </c:pt>
                <c:pt idx="595">
                  <c:v>-769</c:v>
                </c:pt>
                <c:pt idx="596">
                  <c:v>-769</c:v>
                </c:pt>
                <c:pt idx="597">
                  <c:v>-769</c:v>
                </c:pt>
                <c:pt idx="598">
                  <c:v>-769</c:v>
                </c:pt>
                <c:pt idx="599">
                  <c:v>-770</c:v>
                </c:pt>
                <c:pt idx="600">
                  <c:v>-770</c:v>
                </c:pt>
                <c:pt idx="601">
                  <c:v>-770</c:v>
                </c:pt>
                <c:pt idx="602">
                  <c:v>-772</c:v>
                </c:pt>
                <c:pt idx="603">
                  <c:v>-772</c:v>
                </c:pt>
                <c:pt idx="604">
                  <c:v>-772</c:v>
                </c:pt>
                <c:pt idx="605">
                  <c:v>-772</c:v>
                </c:pt>
                <c:pt idx="606">
                  <c:v>-774</c:v>
                </c:pt>
                <c:pt idx="607">
                  <c:v>-774</c:v>
                </c:pt>
                <c:pt idx="608">
                  <c:v>-774</c:v>
                </c:pt>
                <c:pt idx="609">
                  <c:v>-774</c:v>
                </c:pt>
                <c:pt idx="610">
                  <c:v>-774</c:v>
                </c:pt>
                <c:pt idx="611">
                  <c:v>-775</c:v>
                </c:pt>
                <c:pt idx="612">
                  <c:v>-775</c:v>
                </c:pt>
                <c:pt idx="613">
                  <c:v>-775</c:v>
                </c:pt>
                <c:pt idx="614">
                  <c:v>-775</c:v>
                </c:pt>
                <c:pt idx="615">
                  <c:v>-777</c:v>
                </c:pt>
                <c:pt idx="616">
                  <c:v>-777</c:v>
                </c:pt>
                <c:pt idx="617">
                  <c:v>-779</c:v>
                </c:pt>
                <c:pt idx="618">
                  <c:v>-779</c:v>
                </c:pt>
                <c:pt idx="619">
                  <c:v>-779</c:v>
                </c:pt>
                <c:pt idx="620">
                  <c:v>-779</c:v>
                </c:pt>
                <c:pt idx="621">
                  <c:v>-781</c:v>
                </c:pt>
                <c:pt idx="622">
                  <c:v>-781</c:v>
                </c:pt>
                <c:pt idx="623">
                  <c:v>-781</c:v>
                </c:pt>
                <c:pt idx="624">
                  <c:v>-781</c:v>
                </c:pt>
                <c:pt idx="625">
                  <c:v>-782</c:v>
                </c:pt>
                <c:pt idx="626">
                  <c:v>-782</c:v>
                </c:pt>
                <c:pt idx="627">
                  <c:v>-783</c:v>
                </c:pt>
                <c:pt idx="628">
                  <c:v>-783</c:v>
                </c:pt>
                <c:pt idx="629">
                  <c:v>-783</c:v>
                </c:pt>
                <c:pt idx="630">
                  <c:v>-783</c:v>
                </c:pt>
                <c:pt idx="631">
                  <c:v>-784</c:v>
                </c:pt>
                <c:pt idx="632">
                  <c:v>-784</c:v>
                </c:pt>
                <c:pt idx="633">
                  <c:v>-784</c:v>
                </c:pt>
                <c:pt idx="634">
                  <c:v>-786</c:v>
                </c:pt>
                <c:pt idx="635">
                  <c:v>-789</c:v>
                </c:pt>
                <c:pt idx="636">
                  <c:v>-791</c:v>
                </c:pt>
                <c:pt idx="637">
                  <c:v>-793</c:v>
                </c:pt>
                <c:pt idx="638">
                  <c:v>-795</c:v>
                </c:pt>
                <c:pt idx="639">
                  <c:v>-797</c:v>
                </c:pt>
                <c:pt idx="640">
                  <c:v>-799</c:v>
                </c:pt>
                <c:pt idx="641">
                  <c:v>-801</c:v>
                </c:pt>
                <c:pt idx="642">
                  <c:v>-804</c:v>
                </c:pt>
                <c:pt idx="643">
                  <c:v>-814</c:v>
                </c:pt>
                <c:pt idx="644">
                  <c:v>-824.00000000000011</c:v>
                </c:pt>
                <c:pt idx="645">
                  <c:v>-834.00000000000011</c:v>
                </c:pt>
                <c:pt idx="646">
                  <c:v>-844.00000000000011</c:v>
                </c:pt>
                <c:pt idx="647">
                  <c:v>-854</c:v>
                </c:pt>
                <c:pt idx="648">
                  <c:v>-864</c:v>
                </c:pt>
                <c:pt idx="649">
                  <c:v>-874</c:v>
                </c:pt>
                <c:pt idx="650">
                  <c:v>-884</c:v>
                </c:pt>
                <c:pt idx="651">
                  <c:v>-894</c:v>
                </c:pt>
                <c:pt idx="652">
                  <c:v>-904</c:v>
                </c:pt>
                <c:pt idx="653">
                  <c:v>-914</c:v>
                </c:pt>
                <c:pt idx="654">
                  <c:v>-924</c:v>
                </c:pt>
                <c:pt idx="655">
                  <c:v>-934</c:v>
                </c:pt>
                <c:pt idx="656">
                  <c:v>-944.00000000000011</c:v>
                </c:pt>
                <c:pt idx="657">
                  <c:v>-954.00000000000011</c:v>
                </c:pt>
                <c:pt idx="658">
                  <c:v>-964.00000000000011</c:v>
                </c:pt>
                <c:pt idx="659">
                  <c:v>-974.00000000000011</c:v>
                </c:pt>
                <c:pt idx="660">
                  <c:v>-984</c:v>
                </c:pt>
                <c:pt idx="661">
                  <c:v>-994</c:v>
                </c:pt>
                <c:pt idx="662">
                  <c:v>-1004</c:v>
                </c:pt>
                <c:pt idx="663">
                  <c:v>-1014</c:v>
                </c:pt>
                <c:pt idx="664">
                  <c:v>-1024</c:v>
                </c:pt>
                <c:pt idx="665">
                  <c:v>-1034</c:v>
                </c:pt>
                <c:pt idx="666">
                  <c:v>-1044</c:v>
                </c:pt>
                <c:pt idx="667">
                  <c:v>-1054</c:v>
                </c:pt>
                <c:pt idx="668">
                  <c:v>-1064</c:v>
                </c:pt>
                <c:pt idx="669">
                  <c:v>-1074</c:v>
                </c:pt>
                <c:pt idx="670">
                  <c:v>-1084</c:v>
                </c:pt>
                <c:pt idx="671">
                  <c:v>-1094</c:v>
                </c:pt>
                <c:pt idx="672">
                  <c:v>-1104</c:v>
                </c:pt>
                <c:pt idx="673">
                  <c:v>-1114</c:v>
                </c:pt>
                <c:pt idx="674">
                  <c:v>-1124</c:v>
                </c:pt>
                <c:pt idx="675">
                  <c:v>-1134.0000000000002</c:v>
                </c:pt>
                <c:pt idx="676">
                  <c:v>-1144.0000000000002</c:v>
                </c:pt>
                <c:pt idx="677">
                  <c:v>-1154.0000000000002</c:v>
                </c:pt>
                <c:pt idx="678">
                  <c:v>-1164.0000000000002</c:v>
                </c:pt>
                <c:pt idx="679">
                  <c:v>-1174</c:v>
                </c:pt>
                <c:pt idx="680">
                  <c:v>-1184</c:v>
                </c:pt>
                <c:pt idx="681">
                  <c:v>-1208</c:v>
                </c:pt>
                <c:pt idx="682">
                  <c:v>-1243</c:v>
                </c:pt>
                <c:pt idx="683">
                  <c:v>-1265.0000000000002</c:v>
                </c:pt>
                <c:pt idx="684">
                  <c:v>-1298</c:v>
                </c:pt>
                <c:pt idx="685">
                  <c:v>-1320</c:v>
                </c:pt>
                <c:pt idx="686">
                  <c:v>-1351</c:v>
                </c:pt>
                <c:pt idx="687">
                  <c:v>-1367</c:v>
                </c:pt>
                <c:pt idx="688">
                  <c:v>-1389</c:v>
                </c:pt>
                <c:pt idx="689">
                  <c:v>-1414.0000000000002</c:v>
                </c:pt>
                <c:pt idx="690">
                  <c:v>-1438</c:v>
                </c:pt>
                <c:pt idx="691">
                  <c:v>-1460</c:v>
                </c:pt>
                <c:pt idx="692">
                  <c:v>-1480</c:v>
                </c:pt>
                <c:pt idx="693">
                  <c:v>-1496</c:v>
                </c:pt>
                <c:pt idx="694">
                  <c:v>-1511.0000000000002</c:v>
                </c:pt>
                <c:pt idx="695">
                  <c:v>-1523.0000000000002</c:v>
                </c:pt>
                <c:pt idx="696">
                  <c:v>-1536</c:v>
                </c:pt>
                <c:pt idx="697">
                  <c:v>-1547</c:v>
                </c:pt>
                <c:pt idx="698">
                  <c:v>-1557</c:v>
                </c:pt>
                <c:pt idx="699">
                  <c:v>-1565</c:v>
                </c:pt>
                <c:pt idx="700">
                  <c:v>-1573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7-499C-8580-F28CB88B9836}"/>
            </c:ext>
          </c:extLst>
        </c:ser>
        <c:ser>
          <c:idx val="2"/>
          <c:order val="2"/>
          <c:tx>
            <c:strRef>
              <c:f>'SL.115+740'!$M$12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'SL.115+740'!$A$14:$A$7699</c:f>
              <c:numCache>
                <c:formatCode>dd/mm/yyyy;@</c:formatCode>
                <c:ptCount val="7686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'SL.115+740'!$M$14:$M$7699</c:f>
              <c:numCache>
                <c:formatCode>0</c:formatCode>
                <c:ptCount val="768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-7.0000000000000009</c:v>
                </c:pt>
                <c:pt idx="14">
                  <c:v>-11.000000000000002</c:v>
                </c:pt>
                <c:pt idx="15">
                  <c:v>-13</c:v>
                </c:pt>
                <c:pt idx="16">
                  <c:v>-14</c:v>
                </c:pt>
                <c:pt idx="17">
                  <c:v>-19.999999999999996</c:v>
                </c:pt>
                <c:pt idx="18">
                  <c:v>-26.999999999999996</c:v>
                </c:pt>
                <c:pt idx="19">
                  <c:v>-36</c:v>
                </c:pt>
                <c:pt idx="20">
                  <c:v>-44</c:v>
                </c:pt>
                <c:pt idx="21">
                  <c:v>-52</c:v>
                </c:pt>
                <c:pt idx="22">
                  <c:v>-57</c:v>
                </c:pt>
                <c:pt idx="23">
                  <c:v>-61.999999999999993</c:v>
                </c:pt>
                <c:pt idx="24">
                  <c:v>-67</c:v>
                </c:pt>
                <c:pt idx="25">
                  <c:v>-75.000000000000014</c:v>
                </c:pt>
                <c:pt idx="26">
                  <c:v>-77</c:v>
                </c:pt>
                <c:pt idx="27">
                  <c:v>-81</c:v>
                </c:pt>
                <c:pt idx="28">
                  <c:v>-83</c:v>
                </c:pt>
                <c:pt idx="29">
                  <c:v>-84</c:v>
                </c:pt>
                <c:pt idx="30">
                  <c:v>-87.000000000000014</c:v>
                </c:pt>
                <c:pt idx="31">
                  <c:v>-89.000000000000014</c:v>
                </c:pt>
                <c:pt idx="32">
                  <c:v>-92</c:v>
                </c:pt>
                <c:pt idx="33">
                  <c:v>-94</c:v>
                </c:pt>
                <c:pt idx="34">
                  <c:v>-95</c:v>
                </c:pt>
                <c:pt idx="35">
                  <c:v>-97</c:v>
                </c:pt>
                <c:pt idx="36">
                  <c:v>-99</c:v>
                </c:pt>
                <c:pt idx="37">
                  <c:v>-101</c:v>
                </c:pt>
                <c:pt idx="38">
                  <c:v>-103.00000000000001</c:v>
                </c:pt>
                <c:pt idx="39">
                  <c:v>-103.00000000000001</c:v>
                </c:pt>
                <c:pt idx="40">
                  <c:v>-103.00000000000001</c:v>
                </c:pt>
                <c:pt idx="41">
                  <c:v>-103.00000000000001</c:v>
                </c:pt>
                <c:pt idx="42">
                  <c:v>-103.00000000000001</c:v>
                </c:pt>
                <c:pt idx="43">
                  <c:v>-103.00000000000001</c:v>
                </c:pt>
                <c:pt idx="44">
                  <c:v>-103.00000000000001</c:v>
                </c:pt>
                <c:pt idx="45">
                  <c:v>-103.00000000000001</c:v>
                </c:pt>
                <c:pt idx="46">
                  <c:v>-103.00000000000001</c:v>
                </c:pt>
                <c:pt idx="47">
                  <c:v>-103.00000000000001</c:v>
                </c:pt>
                <c:pt idx="48">
                  <c:v>-103.00000000000001</c:v>
                </c:pt>
                <c:pt idx="49">
                  <c:v>-103.00000000000001</c:v>
                </c:pt>
                <c:pt idx="50">
                  <c:v>-103.00000000000001</c:v>
                </c:pt>
                <c:pt idx="51">
                  <c:v>-103.00000000000001</c:v>
                </c:pt>
                <c:pt idx="52">
                  <c:v>-103.00000000000001</c:v>
                </c:pt>
                <c:pt idx="53">
                  <c:v>-103.00000000000001</c:v>
                </c:pt>
                <c:pt idx="54">
                  <c:v>-103.00000000000001</c:v>
                </c:pt>
                <c:pt idx="55">
                  <c:v>-103.00000000000001</c:v>
                </c:pt>
                <c:pt idx="56">
                  <c:v>-103.00000000000001</c:v>
                </c:pt>
                <c:pt idx="57">
                  <c:v>-103.00000000000001</c:v>
                </c:pt>
                <c:pt idx="58">
                  <c:v>-103.00000000000001</c:v>
                </c:pt>
                <c:pt idx="59">
                  <c:v>-103.00000000000001</c:v>
                </c:pt>
                <c:pt idx="60">
                  <c:v>-103.00000000000001</c:v>
                </c:pt>
                <c:pt idx="61">
                  <c:v>-103.00000000000001</c:v>
                </c:pt>
                <c:pt idx="62">
                  <c:v>-103.00000000000001</c:v>
                </c:pt>
                <c:pt idx="63">
                  <c:v>-103.00000000000001</c:v>
                </c:pt>
                <c:pt idx="64">
                  <c:v>-103.00000000000001</c:v>
                </c:pt>
                <c:pt idx="65">
                  <c:v>-103.00000000000001</c:v>
                </c:pt>
                <c:pt idx="66">
                  <c:v>-103.00000000000001</c:v>
                </c:pt>
                <c:pt idx="67">
                  <c:v>-103.00000000000001</c:v>
                </c:pt>
                <c:pt idx="68">
                  <c:v>-103.00000000000001</c:v>
                </c:pt>
                <c:pt idx="69">
                  <c:v>-103.00000000000001</c:v>
                </c:pt>
                <c:pt idx="70">
                  <c:v>-103.00000000000001</c:v>
                </c:pt>
                <c:pt idx="71">
                  <c:v>-103.00000000000001</c:v>
                </c:pt>
                <c:pt idx="72">
                  <c:v>-103.00000000000001</c:v>
                </c:pt>
                <c:pt idx="73">
                  <c:v>-103.00000000000001</c:v>
                </c:pt>
                <c:pt idx="74">
                  <c:v>-103.00000000000001</c:v>
                </c:pt>
                <c:pt idx="75">
                  <c:v>-103.00000000000001</c:v>
                </c:pt>
                <c:pt idx="76">
                  <c:v>-103.00000000000001</c:v>
                </c:pt>
                <c:pt idx="77">
                  <c:v>-103.00000000000001</c:v>
                </c:pt>
                <c:pt idx="78">
                  <c:v>-103.00000000000001</c:v>
                </c:pt>
                <c:pt idx="79">
                  <c:v>-103.00000000000001</c:v>
                </c:pt>
                <c:pt idx="80">
                  <c:v>-103.00000000000001</c:v>
                </c:pt>
                <c:pt idx="81">
                  <c:v>-103.00000000000001</c:v>
                </c:pt>
                <c:pt idx="82">
                  <c:v>-103.00000000000001</c:v>
                </c:pt>
                <c:pt idx="83">
                  <c:v>-103.00000000000001</c:v>
                </c:pt>
                <c:pt idx="84">
                  <c:v>-103.00000000000001</c:v>
                </c:pt>
                <c:pt idx="85">
                  <c:v>-103.00000000000001</c:v>
                </c:pt>
                <c:pt idx="86">
                  <c:v>-103.00000000000001</c:v>
                </c:pt>
                <c:pt idx="87">
                  <c:v>-103.00000000000001</c:v>
                </c:pt>
                <c:pt idx="88">
                  <c:v>-103.00000000000001</c:v>
                </c:pt>
                <c:pt idx="89">
                  <c:v>-103.00000000000001</c:v>
                </c:pt>
                <c:pt idx="90">
                  <c:v>-103.00000000000001</c:v>
                </c:pt>
                <c:pt idx="91">
                  <c:v>-103.00000000000001</c:v>
                </c:pt>
                <c:pt idx="92">
                  <c:v>-103.00000000000001</c:v>
                </c:pt>
                <c:pt idx="93">
                  <c:v>-103.00000000000001</c:v>
                </c:pt>
                <c:pt idx="94">
                  <c:v>-103.00000000000001</c:v>
                </c:pt>
                <c:pt idx="95">
                  <c:v>-103.00000000000001</c:v>
                </c:pt>
                <c:pt idx="96">
                  <c:v>-103.00000000000001</c:v>
                </c:pt>
                <c:pt idx="97">
                  <c:v>-103.00000000000001</c:v>
                </c:pt>
                <c:pt idx="98">
                  <c:v>-103.00000000000001</c:v>
                </c:pt>
                <c:pt idx="99">
                  <c:v>-103.00000000000001</c:v>
                </c:pt>
                <c:pt idx="100">
                  <c:v>-103.00000000000001</c:v>
                </c:pt>
                <c:pt idx="101">
                  <c:v>-103.00000000000001</c:v>
                </c:pt>
                <c:pt idx="102">
                  <c:v>-103.00000000000001</c:v>
                </c:pt>
                <c:pt idx="103">
                  <c:v>-103.00000000000001</c:v>
                </c:pt>
                <c:pt idx="104">
                  <c:v>-103.00000000000001</c:v>
                </c:pt>
                <c:pt idx="105">
                  <c:v>-103.00000000000001</c:v>
                </c:pt>
                <c:pt idx="106">
                  <c:v>-103.00000000000001</c:v>
                </c:pt>
                <c:pt idx="107">
                  <c:v>-103.00000000000001</c:v>
                </c:pt>
                <c:pt idx="108">
                  <c:v>-103.00000000000001</c:v>
                </c:pt>
                <c:pt idx="109">
                  <c:v>-103.00000000000001</c:v>
                </c:pt>
                <c:pt idx="110">
                  <c:v>-103.00000000000001</c:v>
                </c:pt>
                <c:pt idx="111">
                  <c:v>-103.00000000000001</c:v>
                </c:pt>
                <c:pt idx="112">
                  <c:v>-103.00000000000001</c:v>
                </c:pt>
                <c:pt idx="113">
                  <c:v>-103.00000000000001</c:v>
                </c:pt>
                <c:pt idx="114">
                  <c:v>-103.00000000000001</c:v>
                </c:pt>
                <c:pt idx="115">
                  <c:v>-103.00000000000001</c:v>
                </c:pt>
                <c:pt idx="116">
                  <c:v>-103.00000000000001</c:v>
                </c:pt>
                <c:pt idx="117">
                  <c:v>-103.00000000000001</c:v>
                </c:pt>
                <c:pt idx="118">
                  <c:v>-103.00000000000001</c:v>
                </c:pt>
                <c:pt idx="119">
                  <c:v>-103.00000000000001</c:v>
                </c:pt>
                <c:pt idx="120">
                  <c:v>-103.00000000000001</c:v>
                </c:pt>
                <c:pt idx="121">
                  <c:v>-103.00000000000001</c:v>
                </c:pt>
                <c:pt idx="122">
                  <c:v>-103.00000000000001</c:v>
                </c:pt>
                <c:pt idx="123">
                  <c:v>-103.00000000000001</c:v>
                </c:pt>
                <c:pt idx="124">
                  <c:v>-103.00000000000001</c:v>
                </c:pt>
                <c:pt idx="125">
                  <c:v>-103.00000000000001</c:v>
                </c:pt>
                <c:pt idx="126">
                  <c:v>-103.00000000000001</c:v>
                </c:pt>
                <c:pt idx="127">
                  <c:v>-103.00000000000001</c:v>
                </c:pt>
                <c:pt idx="128">
                  <c:v>-103.00000000000001</c:v>
                </c:pt>
                <c:pt idx="129">
                  <c:v>-103.00000000000001</c:v>
                </c:pt>
                <c:pt idx="130">
                  <c:v>-103.00000000000001</c:v>
                </c:pt>
                <c:pt idx="131">
                  <c:v>-103.00000000000001</c:v>
                </c:pt>
                <c:pt idx="132">
                  <c:v>-103.00000000000001</c:v>
                </c:pt>
                <c:pt idx="133">
                  <c:v>-103.00000000000001</c:v>
                </c:pt>
                <c:pt idx="134">
                  <c:v>-103.00000000000001</c:v>
                </c:pt>
                <c:pt idx="135">
                  <c:v>-103.00000000000001</c:v>
                </c:pt>
                <c:pt idx="136">
                  <c:v>-103.00000000000001</c:v>
                </c:pt>
                <c:pt idx="137">
                  <c:v>-103.00000000000001</c:v>
                </c:pt>
                <c:pt idx="138">
                  <c:v>-103.00000000000001</c:v>
                </c:pt>
                <c:pt idx="139">
                  <c:v>-103.00000000000001</c:v>
                </c:pt>
                <c:pt idx="140">
                  <c:v>-103.00000000000001</c:v>
                </c:pt>
                <c:pt idx="141">
                  <c:v>-103.00000000000001</c:v>
                </c:pt>
                <c:pt idx="142">
                  <c:v>-103.00000000000001</c:v>
                </c:pt>
                <c:pt idx="143">
                  <c:v>-103.00000000000001</c:v>
                </c:pt>
                <c:pt idx="144">
                  <c:v>-103.00000000000001</c:v>
                </c:pt>
                <c:pt idx="145">
                  <c:v>-103.00000000000001</c:v>
                </c:pt>
                <c:pt idx="146">
                  <c:v>-103.00000000000001</c:v>
                </c:pt>
                <c:pt idx="147">
                  <c:v>-103.00000000000001</c:v>
                </c:pt>
                <c:pt idx="148">
                  <c:v>-103.00000000000001</c:v>
                </c:pt>
                <c:pt idx="149">
                  <c:v>-103.00000000000001</c:v>
                </c:pt>
                <c:pt idx="150">
                  <c:v>-103.00000000000001</c:v>
                </c:pt>
                <c:pt idx="151">
                  <c:v>-103.00000000000001</c:v>
                </c:pt>
                <c:pt idx="152">
                  <c:v>-103.00000000000001</c:v>
                </c:pt>
                <c:pt idx="153">
                  <c:v>-103.00000000000001</c:v>
                </c:pt>
                <c:pt idx="154">
                  <c:v>-103.00000000000001</c:v>
                </c:pt>
                <c:pt idx="155">
                  <c:v>-103.00000000000001</c:v>
                </c:pt>
                <c:pt idx="156">
                  <c:v>-103.00000000000001</c:v>
                </c:pt>
                <c:pt idx="157">
                  <c:v>-103.00000000000001</c:v>
                </c:pt>
                <c:pt idx="158">
                  <c:v>-103.00000000000001</c:v>
                </c:pt>
                <c:pt idx="159">
                  <c:v>-103.00000000000001</c:v>
                </c:pt>
                <c:pt idx="160">
                  <c:v>-103.00000000000001</c:v>
                </c:pt>
                <c:pt idx="161">
                  <c:v>-103.00000000000001</c:v>
                </c:pt>
                <c:pt idx="162">
                  <c:v>-103.00000000000001</c:v>
                </c:pt>
                <c:pt idx="163">
                  <c:v>-103.00000000000001</c:v>
                </c:pt>
                <c:pt idx="164">
                  <c:v>-103.00000000000001</c:v>
                </c:pt>
                <c:pt idx="165">
                  <c:v>-103.00000000000001</c:v>
                </c:pt>
                <c:pt idx="166">
                  <c:v>-103.00000000000001</c:v>
                </c:pt>
                <c:pt idx="167">
                  <c:v>-103.00000000000001</c:v>
                </c:pt>
                <c:pt idx="168">
                  <c:v>-103.00000000000001</c:v>
                </c:pt>
                <c:pt idx="169">
                  <c:v>-103.00000000000001</c:v>
                </c:pt>
                <c:pt idx="170">
                  <c:v>-103.00000000000001</c:v>
                </c:pt>
                <c:pt idx="171">
                  <c:v>-103.00000000000001</c:v>
                </c:pt>
                <c:pt idx="172">
                  <c:v>-103.00000000000001</c:v>
                </c:pt>
                <c:pt idx="173">
                  <c:v>-103.00000000000001</c:v>
                </c:pt>
                <c:pt idx="174">
                  <c:v>-103.00000000000001</c:v>
                </c:pt>
                <c:pt idx="175">
                  <c:v>-103.00000000000001</c:v>
                </c:pt>
                <c:pt idx="176">
                  <c:v>-103.00000000000001</c:v>
                </c:pt>
                <c:pt idx="177">
                  <c:v>-103.00000000000001</c:v>
                </c:pt>
                <c:pt idx="178">
                  <c:v>-103.00000000000001</c:v>
                </c:pt>
                <c:pt idx="179">
                  <c:v>-103.00000000000001</c:v>
                </c:pt>
                <c:pt idx="180">
                  <c:v>-103.00000000000001</c:v>
                </c:pt>
                <c:pt idx="181">
                  <c:v>-103.00000000000001</c:v>
                </c:pt>
                <c:pt idx="182">
                  <c:v>-103.00000000000001</c:v>
                </c:pt>
                <c:pt idx="183">
                  <c:v>-103.00000000000001</c:v>
                </c:pt>
                <c:pt idx="184">
                  <c:v>-103.00000000000001</c:v>
                </c:pt>
                <c:pt idx="185">
                  <c:v>-103.00000000000001</c:v>
                </c:pt>
                <c:pt idx="186">
                  <c:v>-103.00000000000001</c:v>
                </c:pt>
                <c:pt idx="187">
                  <c:v>-103.00000000000001</c:v>
                </c:pt>
                <c:pt idx="188">
                  <c:v>-103.00000000000001</c:v>
                </c:pt>
                <c:pt idx="189">
                  <c:v>-103.00000000000001</c:v>
                </c:pt>
                <c:pt idx="190">
                  <c:v>-103.00000000000001</c:v>
                </c:pt>
                <c:pt idx="191">
                  <c:v>-103.00000000000001</c:v>
                </c:pt>
                <c:pt idx="192">
                  <c:v>-103.00000000000001</c:v>
                </c:pt>
                <c:pt idx="193">
                  <c:v>-103.00000000000001</c:v>
                </c:pt>
                <c:pt idx="194">
                  <c:v>-103.00000000000001</c:v>
                </c:pt>
                <c:pt idx="195">
                  <c:v>-103.00000000000001</c:v>
                </c:pt>
                <c:pt idx="196">
                  <c:v>-103.00000000000001</c:v>
                </c:pt>
                <c:pt idx="197">
                  <c:v>-103.00000000000001</c:v>
                </c:pt>
                <c:pt idx="198">
                  <c:v>-103.00000000000001</c:v>
                </c:pt>
                <c:pt idx="199">
                  <c:v>-103.00000000000001</c:v>
                </c:pt>
                <c:pt idx="200">
                  <c:v>-103.00000000000001</c:v>
                </c:pt>
                <c:pt idx="201">
                  <c:v>-103.00000000000001</c:v>
                </c:pt>
                <c:pt idx="202">
                  <c:v>-103.00000000000001</c:v>
                </c:pt>
                <c:pt idx="203">
                  <c:v>-103.00000000000001</c:v>
                </c:pt>
                <c:pt idx="204">
                  <c:v>-103.00000000000001</c:v>
                </c:pt>
                <c:pt idx="205">
                  <c:v>-103.00000000000001</c:v>
                </c:pt>
                <c:pt idx="206">
                  <c:v>-103.00000000000001</c:v>
                </c:pt>
                <c:pt idx="207">
                  <c:v>-103.00000000000001</c:v>
                </c:pt>
                <c:pt idx="208">
                  <c:v>-103.00000000000001</c:v>
                </c:pt>
                <c:pt idx="209">
                  <c:v>-103.00000000000001</c:v>
                </c:pt>
                <c:pt idx="210">
                  <c:v>-103.00000000000001</c:v>
                </c:pt>
                <c:pt idx="211">
                  <c:v>-103.00000000000001</c:v>
                </c:pt>
                <c:pt idx="212">
                  <c:v>-103.00000000000001</c:v>
                </c:pt>
                <c:pt idx="213">
                  <c:v>-103.00000000000001</c:v>
                </c:pt>
                <c:pt idx="214">
                  <c:v>-103.00000000000001</c:v>
                </c:pt>
                <c:pt idx="215">
                  <c:v>-103.00000000000001</c:v>
                </c:pt>
                <c:pt idx="216">
                  <c:v>-103.00000000000001</c:v>
                </c:pt>
                <c:pt idx="217">
                  <c:v>-103.00000000000001</c:v>
                </c:pt>
                <c:pt idx="218">
                  <c:v>-103.00000000000001</c:v>
                </c:pt>
                <c:pt idx="219">
                  <c:v>-103.00000000000001</c:v>
                </c:pt>
                <c:pt idx="220">
                  <c:v>-103.00000000000001</c:v>
                </c:pt>
                <c:pt idx="221">
                  <c:v>-103.00000000000001</c:v>
                </c:pt>
                <c:pt idx="222">
                  <c:v>-103.00000000000001</c:v>
                </c:pt>
                <c:pt idx="223">
                  <c:v>-103.00000000000001</c:v>
                </c:pt>
                <c:pt idx="224">
                  <c:v>-103.00000000000001</c:v>
                </c:pt>
                <c:pt idx="225">
                  <c:v>-103.00000000000001</c:v>
                </c:pt>
                <c:pt idx="226">
                  <c:v>-103.00000000000001</c:v>
                </c:pt>
                <c:pt idx="227">
                  <c:v>-103.00000000000001</c:v>
                </c:pt>
                <c:pt idx="228">
                  <c:v>-103.00000000000001</c:v>
                </c:pt>
                <c:pt idx="229">
                  <c:v>-103.00000000000001</c:v>
                </c:pt>
                <c:pt idx="230">
                  <c:v>-103.00000000000001</c:v>
                </c:pt>
                <c:pt idx="231">
                  <c:v>-103.00000000000001</c:v>
                </c:pt>
                <c:pt idx="232">
                  <c:v>-103.00000000000001</c:v>
                </c:pt>
                <c:pt idx="233">
                  <c:v>-103.00000000000001</c:v>
                </c:pt>
                <c:pt idx="234">
                  <c:v>-103.00000000000001</c:v>
                </c:pt>
                <c:pt idx="235">
                  <c:v>-103.00000000000001</c:v>
                </c:pt>
                <c:pt idx="236">
                  <c:v>-103.00000000000001</c:v>
                </c:pt>
                <c:pt idx="237">
                  <c:v>-103.00000000000001</c:v>
                </c:pt>
                <c:pt idx="238">
                  <c:v>-103.00000000000001</c:v>
                </c:pt>
                <c:pt idx="239">
                  <c:v>-103.00000000000001</c:v>
                </c:pt>
                <c:pt idx="240">
                  <c:v>-103.00000000000001</c:v>
                </c:pt>
                <c:pt idx="241">
                  <c:v>-103.00000000000001</c:v>
                </c:pt>
                <c:pt idx="242">
                  <c:v>-103.00000000000001</c:v>
                </c:pt>
                <c:pt idx="243">
                  <c:v>-103.00000000000001</c:v>
                </c:pt>
                <c:pt idx="244">
                  <c:v>-103.00000000000001</c:v>
                </c:pt>
                <c:pt idx="245">
                  <c:v>-103.00000000000001</c:v>
                </c:pt>
                <c:pt idx="246">
                  <c:v>-103.00000000000001</c:v>
                </c:pt>
                <c:pt idx="247">
                  <c:v>-103.00000000000001</c:v>
                </c:pt>
                <c:pt idx="248">
                  <c:v>-103.00000000000001</c:v>
                </c:pt>
                <c:pt idx="249">
                  <c:v>-103.00000000000001</c:v>
                </c:pt>
                <c:pt idx="250">
                  <c:v>-103.00000000000001</c:v>
                </c:pt>
                <c:pt idx="251">
                  <c:v>-103.00000000000001</c:v>
                </c:pt>
                <c:pt idx="252">
                  <c:v>-103.00000000000001</c:v>
                </c:pt>
                <c:pt idx="253">
                  <c:v>-103.00000000000001</c:v>
                </c:pt>
                <c:pt idx="254">
                  <c:v>-103.00000000000001</c:v>
                </c:pt>
                <c:pt idx="255">
                  <c:v>-103.00000000000001</c:v>
                </c:pt>
                <c:pt idx="256">
                  <c:v>-103.00000000000001</c:v>
                </c:pt>
                <c:pt idx="257">
                  <c:v>-103.00000000000001</c:v>
                </c:pt>
                <c:pt idx="258">
                  <c:v>-103.00000000000001</c:v>
                </c:pt>
                <c:pt idx="259">
                  <c:v>-103.00000000000001</c:v>
                </c:pt>
                <c:pt idx="260">
                  <c:v>-103.00000000000001</c:v>
                </c:pt>
                <c:pt idx="261">
                  <c:v>-103.00000000000001</c:v>
                </c:pt>
                <c:pt idx="262">
                  <c:v>-103.00000000000001</c:v>
                </c:pt>
                <c:pt idx="263">
                  <c:v>-103.00000000000001</c:v>
                </c:pt>
                <c:pt idx="264">
                  <c:v>-103.00000000000001</c:v>
                </c:pt>
                <c:pt idx="265">
                  <c:v>-103.00000000000001</c:v>
                </c:pt>
                <c:pt idx="266">
                  <c:v>-103.00000000000001</c:v>
                </c:pt>
                <c:pt idx="267">
                  <c:v>-103.00000000000001</c:v>
                </c:pt>
                <c:pt idx="268">
                  <c:v>-103.00000000000001</c:v>
                </c:pt>
                <c:pt idx="269">
                  <c:v>-103.00000000000001</c:v>
                </c:pt>
                <c:pt idx="270">
                  <c:v>-103.00000000000001</c:v>
                </c:pt>
                <c:pt idx="271">
                  <c:v>-103.00000000000001</c:v>
                </c:pt>
                <c:pt idx="272">
                  <c:v>-103.00000000000001</c:v>
                </c:pt>
                <c:pt idx="273">
                  <c:v>-103.00000000000001</c:v>
                </c:pt>
                <c:pt idx="274">
                  <c:v>-103.00000000000001</c:v>
                </c:pt>
                <c:pt idx="275">
                  <c:v>-103.00000000000001</c:v>
                </c:pt>
                <c:pt idx="276">
                  <c:v>-103.00000000000001</c:v>
                </c:pt>
                <c:pt idx="277">
                  <c:v>-103.00000000000001</c:v>
                </c:pt>
                <c:pt idx="278">
                  <c:v>-103.00000000000001</c:v>
                </c:pt>
                <c:pt idx="279">
                  <c:v>-103.00000000000001</c:v>
                </c:pt>
                <c:pt idx="280">
                  <c:v>-103.00000000000001</c:v>
                </c:pt>
                <c:pt idx="281">
                  <c:v>-103.00000000000001</c:v>
                </c:pt>
                <c:pt idx="282">
                  <c:v>-103.00000000000001</c:v>
                </c:pt>
                <c:pt idx="283">
                  <c:v>-103.00000000000001</c:v>
                </c:pt>
                <c:pt idx="284">
                  <c:v>-103.00000000000001</c:v>
                </c:pt>
                <c:pt idx="285">
                  <c:v>-103.00000000000001</c:v>
                </c:pt>
                <c:pt idx="286">
                  <c:v>-103.00000000000001</c:v>
                </c:pt>
                <c:pt idx="287">
                  <c:v>-103.00000000000001</c:v>
                </c:pt>
                <c:pt idx="288">
                  <c:v>-103.00000000000001</c:v>
                </c:pt>
                <c:pt idx="289">
                  <c:v>-103.00000000000001</c:v>
                </c:pt>
                <c:pt idx="290">
                  <c:v>-103.00000000000001</c:v>
                </c:pt>
                <c:pt idx="291">
                  <c:v>-103.00000000000001</c:v>
                </c:pt>
                <c:pt idx="292">
                  <c:v>-103.00000000000001</c:v>
                </c:pt>
                <c:pt idx="293">
                  <c:v>-112</c:v>
                </c:pt>
                <c:pt idx="294">
                  <c:v>-118.00000000000001</c:v>
                </c:pt>
                <c:pt idx="295">
                  <c:v>-123.00000000000001</c:v>
                </c:pt>
                <c:pt idx="296">
                  <c:v>-129</c:v>
                </c:pt>
                <c:pt idx="297">
                  <c:v>-137.99999999999997</c:v>
                </c:pt>
                <c:pt idx="298">
                  <c:v>-144</c:v>
                </c:pt>
                <c:pt idx="299">
                  <c:v>-149</c:v>
                </c:pt>
                <c:pt idx="300">
                  <c:v>-155</c:v>
                </c:pt>
                <c:pt idx="301">
                  <c:v>-161</c:v>
                </c:pt>
                <c:pt idx="302">
                  <c:v>-169.99999999999997</c:v>
                </c:pt>
                <c:pt idx="303">
                  <c:v>-174</c:v>
                </c:pt>
                <c:pt idx="304">
                  <c:v>-179</c:v>
                </c:pt>
                <c:pt idx="305">
                  <c:v>-184</c:v>
                </c:pt>
                <c:pt idx="306">
                  <c:v>-193</c:v>
                </c:pt>
                <c:pt idx="307">
                  <c:v>-197.99999999999997</c:v>
                </c:pt>
                <c:pt idx="308">
                  <c:v>-201.99999999999997</c:v>
                </c:pt>
                <c:pt idx="309">
                  <c:v>-206</c:v>
                </c:pt>
                <c:pt idx="310">
                  <c:v>-209</c:v>
                </c:pt>
                <c:pt idx="311">
                  <c:v>-214</c:v>
                </c:pt>
                <c:pt idx="312">
                  <c:v>-222</c:v>
                </c:pt>
                <c:pt idx="313">
                  <c:v>-225.99999999999997</c:v>
                </c:pt>
                <c:pt idx="314">
                  <c:v>-227.99999999999997</c:v>
                </c:pt>
                <c:pt idx="315">
                  <c:v>-228.99999999999997</c:v>
                </c:pt>
                <c:pt idx="316">
                  <c:v>-230.99999999999997</c:v>
                </c:pt>
                <c:pt idx="317">
                  <c:v>-232.99999999999997</c:v>
                </c:pt>
                <c:pt idx="318">
                  <c:v>-232.99999999999997</c:v>
                </c:pt>
                <c:pt idx="319">
                  <c:v>-234</c:v>
                </c:pt>
                <c:pt idx="320">
                  <c:v>-235</c:v>
                </c:pt>
                <c:pt idx="321">
                  <c:v>-235</c:v>
                </c:pt>
                <c:pt idx="322">
                  <c:v>-236</c:v>
                </c:pt>
                <c:pt idx="323">
                  <c:v>-237</c:v>
                </c:pt>
                <c:pt idx="324">
                  <c:v>-237</c:v>
                </c:pt>
                <c:pt idx="325">
                  <c:v>-237</c:v>
                </c:pt>
                <c:pt idx="326">
                  <c:v>-237</c:v>
                </c:pt>
                <c:pt idx="327">
                  <c:v>-237</c:v>
                </c:pt>
                <c:pt idx="328">
                  <c:v>-237</c:v>
                </c:pt>
                <c:pt idx="329">
                  <c:v>-237</c:v>
                </c:pt>
                <c:pt idx="330">
                  <c:v>-237</c:v>
                </c:pt>
                <c:pt idx="331">
                  <c:v>-237</c:v>
                </c:pt>
                <c:pt idx="332">
                  <c:v>-237</c:v>
                </c:pt>
                <c:pt idx="333">
                  <c:v>-237</c:v>
                </c:pt>
                <c:pt idx="334">
                  <c:v>-237</c:v>
                </c:pt>
                <c:pt idx="335">
                  <c:v>-237</c:v>
                </c:pt>
                <c:pt idx="336">
                  <c:v>-237</c:v>
                </c:pt>
                <c:pt idx="337">
                  <c:v>-237</c:v>
                </c:pt>
                <c:pt idx="338">
                  <c:v>-237</c:v>
                </c:pt>
                <c:pt idx="339">
                  <c:v>-237</c:v>
                </c:pt>
                <c:pt idx="340">
                  <c:v>-237</c:v>
                </c:pt>
                <c:pt idx="341">
                  <c:v>-237</c:v>
                </c:pt>
                <c:pt idx="342">
                  <c:v>-237</c:v>
                </c:pt>
                <c:pt idx="343">
                  <c:v>-237</c:v>
                </c:pt>
                <c:pt idx="344">
                  <c:v>-237</c:v>
                </c:pt>
                <c:pt idx="345">
                  <c:v>-237</c:v>
                </c:pt>
                <c:pt idx="346">
                  <c:v>-237</c:v>
                </c:pt>
                <c:pt idx="347">
                  <c:v>-237</c:v>
                </c:pt>
                <c:pt idx="348">
                  <c:v>-237</c:v>
                </c:pt>
                <c:pt idx="349">
                  <c:v>-237</c:v>
                </c:pt>
                <c:pt idx="350">
                  <c:v>-237</c:v>
                </c:pt>
                <c:pt idx="351">
                  <c:v>-237</c:v>
                </c:pt>
                <c:pt idx="352">
                  <c:v>-237</c:v>
                </c:pt>
                <c:pt idx="353">
                  <c:v>-237</c:v>
                </c:pt>
                <c:pt idx="354">
                  <c:v>-237</c:v>
                </c:pt>
                <c:pt idx="355">
                  <c:v>-237</c:v>
                </c:pt>
                <c:pt idx="356">
                  <c:v>-237</c:v>
                </c:pt>
                <c:pt idx="357">
                  <c:v>-237</c:v>
                </c:pt>
                <c:pt idx="358">
                  <c:v>-237</c:v>
                </c:pt>
                <c:pt idx="359">
                  <c:v>-237</c:v>
                </c:pt>
                <c:pt idx="360">
                  <c:v>-237</c:v>
                </c:pt>
                <c:pt idx="361">
                  <c:v>-237</c:v>
                </c:pt>
                <c:pt idx="362">
                  <c:v>-237</c:v>
                </c:pt>
                <c:pt idx="363">
                  <c:v>-237</c:v>
                </c:pt>
                <c:pt idx="364">
                  <c:v>-237</c:v>
                </c:pt>
                <c:pt idx="365">
                  <c:v>-237</c:v>
                </c:pt>
                <c:pt idx="366">
                  <c:v>-237</c:v>
                </c:pt>
                <c:pt idx="367">
                  <c:v>-237</c:v>
                </c:pt>
                <c:pt idx="368">
                  <c:v>-237</c:v>
                </c:pt>
                <c:pt idx="369">
                  <c:v>-237</c:v>
                </c:pt>
                <c:pt idx="370">
                  <c:v>-237</c:v>
                </c:pt>
                <c:pt idx="371">
                  <c:v>-237</c:v>
                </c:pt>
                <c:pt idx="372">
                  <c:v>-237</c:v>
                </c:pt>
                <c:pt idx="373">
                  <c:v>-237</c:v>
                </c:pt>
                <c:pt idx="374">
                  <c:v>-237</c:v>
                </c:pt>
                <c:pt idx="375">
                  <c:v>-237</c:v>
                </c:pt>
                <c:pt idx="376">
                  <c:v>-237</c:v>
                </c:pt>
                <c:pt idx="377">
                  <c:v>-237</c:v>
                </c:pt>
                <c:pt idx="378">
                  <c:v>-237</c:v>
                </c:pt>
                <c:pt idx="379">
                  <c:v>-237</c:v>
                </c:pt>
                <c:pt idx="380">
                  <c:v>-237</c:v>
                </c:pt>
                <c:pt idx="381">
                  <c:v>-237</c:v>
                </c:pt>
                <c:pt idx="382">
                  <c:v>-237</c:v>
                </c:pt>
                <c:pt idx="383">
                  <c:v>-237</c:v>
                </c:pt>
                <c:pt idx="384">
                  <c:v>-237</c:v>
                </c:pt>
                <c:pt idx="385">
                  <c:v>-237</c:v>
                </c:pt>
                <c:pt idx="386">
                  <c:v>-237</c:v>
                </c:pt>
                <c:pt idx="387">
                  <c:v>-237</c:v>
                </c:pt>
                <c:pt idx="388">
                  <c:v>-237</c:v>
                </c:pt>
                <c:pt idx="389">
                  <c:v>-237</c:v>
                </c:pt>
                <c:pt idx="390">
                  <c:v>-237</c:v>
                </c:pt>
                <c:pt idx="391">
                  <c:v>-237</c:v>
                </c:pt>
                <c:pt idx="392">
                  <c:v>-237</c:v>
                </c:pt>
                <c:pt idx="393">
                  <c:v>-237</c:v>
                </c:pt>
                <c:pt idx="394">
                  <c:v>-237</c:v>
                </c:pt>
                <c:pt idx="395">
                  <c:v>-237</c:v>
                </c:pt>
                <c:pt idx="396">
                  <c:v>-237</c:v>
                </c:pt>
                <c:pt idx="397">
                  <c:v>-237</c:v>
                </c:pt>
                <c:pt idx="398">
                  <c:v>-237</c:v>
                </c:pt>
                <c:pt idx="399">
                  <c:v>-237</c:v>
                </c:pt>
                <c:pt idx="400">
                  <c:v>-237</c:v>
                </c:pt>
                <c:pt idx="401">
                  <c:v>-237</c:v>
                </c:pt>
                <c:pt idx="402">
                  <c:v>-237</c:v>
                </c:pt>
                <c:pt idx="403">
                  <c:v>-237</c:v>
                </c:pt>
                <c:pt idx="404">
                  <c:v>-237</c:v>
                </c:pt>
                <c:pt idx="405">
                  <c:v>-237</c:v>
                </c:pt>
                <c:pt idx="406">
                  <c:v>-237</c:v>
                </c:pt>
                <c:pt idx="407">
                  <c:v>-237</c:v>
                </c:pt>
                <c:pt idx="408">
                  <c:v>-237</c:v>
                </c:pt>
                <c:pt idx="409">
                  <c:v>-237</c:v>
                </c:pt>
                <c:pt idx="410">
                  <c:v>-237</c:v>
                </c:pt>
                <c:pt idx="411">
                  <c:v>-237</c:v>
                </c:pt>
                <c:pt idx="412">
                  <c:v>-237</c:v>
                </c:pt>
                <c:pt idx="413">
                  <c:v>-237</c:v>
                </c:pt>
                <c:pt idx="414">
                  <c:v>-237</c:v>
                </c:pt>
                <c:pt idx="415">
                  <c:v>-237</c:v>
                </c:pt>
                <c:pt idx="416">
                  <c:v>-237</c:v>
                </c:pt>
                <c:pt idx="417">
                  <c:v>-237</c:v>
                </c:pt>
                <c:pt idx="418">
                  <c:v>-237</c:v>
                </c:pt>
                <c:pt idx="419">
                  <c:v>-237</c:v>
                </c:pt>
                <c:pt idx="420">
                  <c:v>-237</c:v>
                </c:pt>
                <c:pt idx="421">
                  <c:v>-237</c:v>
                </c:pt>
                <c:pt idx="422">
                  <c:v>-237</c:v>
                </c:pt>
                <c:pt idx="423">
                  <c:v>-247</c:v>
                </c:pt>
                <c:pt idx="424">
                  <c:v>-257</c:v>
                </c:pt>
                <c:pt idx="425">
                  <c:v>-263</c:v>
                </c:pt>
                <c:pt idx="426">
                  <c:v>-271</c:v>
                </c:pt>
                <c:pt idx="427">
                  <c:v>-281</c:v>
                </c:pt>
                <c:pt idx="428">
                  <c:v>-290</c:v>
                </c:pt>
                <c:pt idx="429">
                  <c:v>-299</c:v>
                </c:pt>
                <c:pt idx="430">
                  <c:v>-308</c:v>
                </c:pt>
                <c:pt idx="431">
                  <c:v>-316</c:v>
                </c:pt>
                <c:pt idx="432">
                  <c:v>-326</c:v>
                </c:pt>
                <c:pt idx="433">
                  <c:v>-334.99999999999994</c:v>
                </c:pt>
                <c:pt idx="434">
                  <c:v>-343</c:v>
                </c:pt>
                <c:pt idx="435">
                  <c:v>-352</c:v>
                </c:pt>
                <c:pt idx="436">
                  <c:v>-360</c:v>
                </c:pt>
                <c:pt idx="437">
                  <c:v>-370</c:v>
                </c:pt>
                <c:pt idx="438">
                  <c:v>-378</c:v>
                </c:pt>
                <c:pt idx="439">
                  <c:v>-387</c:v>
                </c:pt>
                <c:pt idx="440">
                  <c:v>-395</c:v>
                </c:pt>
                <c:pt idx="441">
                  <c:v>-403.99999999999994</c:v>
                </c:pt>
                <c:pt idx="442">
                  <c:v>-412</c:v>
                </c:pt>
                <c:pt idx="443">
                  <c:v>-421</c:v>
                </c:pt>
                <c:pt idx="444">
                  <c:v>-429</c:v>
                </c:pt>
                <c:pt idx="445">
                  <c:v>-436</c:v>
                </c:pt>
                <c:pt idx="446">
                  <c:v>-445</c:v>
                </c:pt>
                <c:pt idx="447">
                  <c:v>-453</c:v>
                </c:pt>
                <c:pt idx="448">
                  <c:v>-459.99999999999994</c:v>
                </c:pt>
                <c:pt idx="449">
                  <c:v>-469</c:v>
                </c:pt>
                <c:pt idx="450">
                  <c:v>-477</c:v>
                </c:pt>
                <c:pt idx="451">
                  <c:v>-486</c:v>
                </c:pt>
                <c:pt idx="452">
                  <c:v>-494</c:v>
                </c:pt>
                <c:pt idx="453">
                  <c:v>-502</c:v>
                </c:pt>
                <c:pt idx="454">
                  <c:v>-511</c:v>
                </c:pt>
                <c:pt idx="455">
                  <c:v>-519</c:v>
                </c:pt>
                <c:pt idx="456">
                  <c:v>-526</c:v>
                </c:pt>
                <c:pt idx="457">
                  <c:v>-533</c:v>
                </c:pt>
                <c:pt idx="458">
                  <c:v>-542</c:v>
                </c:pt>
                <c:pt idx="459">
                  <c:v>-551</c:v>
                </c:pt>
                <c:pt idx="460">
                  <c:v>-559.99999999999989</c:v>
                </c:pt>
                <c:pt idx="461">
                  <c:v>-568</c:v>
                </c:pt>
                <c:pt idx="462">
                  <c:v>-575</c:v>
                </c:pt>
                <c:pt idx="463">
                  <c:v>-583</c:v>
                </c:pt>
                <c:pt idx="464">
                  <c:v>-592</c:v>
                </c:pt>
                <c:pt idx="465">
                  <c:v>-600</c:v>
                </c:pt>
                <c:pt idx="466">
                  <c:v>-607</c:v>
                </c:pt>
                <c:pt idx="467">
                  <c:v>-616</c:v>
                </c:pt>
                <c:pt idx="468">
                  <c:v>-624</c:v>
                </c:pt>
                <c:pt idx="469">
                  <c:v>-633</c:v>
                </c:pt>
                <c:pt idx="470">
                  <c:v>-641</c:v>
                </c:pt>
                <c:pt idx="471">
                  <c:v>-648</c:v>
                </c:pt>
                <c:pt idx="472">
                  <c:v>-652</c:v>
                </c:pt>
                <c:pt idx="473">
                  <c:v>-655</c:v>
                </c:pt>
                <c:pt idx="474">
                  <c:v>-657</c:v>
                </c:pt>
                <c:pt idx="475">
                  <c:v>-659</c:v>
                </c:pt>
                <c:pt idx="476">
                  <c:v>-661</c:v>
                </c:pt>
                <c:pt idx="477">
                  <c:v>-669</c:v>
                </c:pt>
                <c:pt idx="478">
                  <c:v>-677.99999999999989</c:v>
                </c:pt>
                <c:pt idx="479">
                  <c:v>-686</c:v>
                </c:pt>
                <c:pt idx="480">
                  <c:v>-693</c:v>
                </c:pt>
                <c:pt idx="481">
                  <c:v>-702</c:v>
                </c:pt>
                <c:pt idx="482">
                  <c:v>-710</c:v>
                </c:pt>
                <c:pt idx="483">
                  <c:v>-719</c:v>
                </c:pt>
                <c:pt idx="484">
                  <c:v>-727</c:v>
                </c:pt>
                <c:pt idx="485">
                  <c:v>-734</c:v>
                </c:pt>
                <c:pt idx="486">
                  <c:v>-738</c:v>
                </c:pt>
                <c:pt idx="487">
                  <c:v>-741</c:v>
                </c:pt>
                <c:pt idx="488">
                  <c:v>-743</c:v>
                </c:pt>
                <c:pt idx="489">
                  <c:v>-745</c:v>
                </c:pt>
                <c:pt idx="490">
                  <c:v>-748</c:v>
                </c:pt>
                <c:pt idx="491">
                  <c:v>-750</c:v>
                </c:pt>
                <c:pt idx="492">
                  <c:v>-753</c:v>
                </c:pt>
                <c:pt idx="493">
                  <c:v>-755</c:v>
                </c:pt>
                <c:pt idx="494">
                  <c:v>-756</c:v>
                </c:pt>
                <c:pt idx="495">
                  <c:v>-758</c:v>
                </c:pt>
                <c:pt idx="496">
                  <c:v>-765</c:v>
                </c:pt>
                <c:pt idx="497">
                  <c:v>-767</c:v>
                </c:pt>
                <c:pt idx="498">
                  <c:v>-773</c:v>
                </c:pt>
                <c:pt idx="499">
                  <c:v>-779</c:v>
                </c:pt>
                <c:pt idx="500">
                  <c:v>-787</c:v>
                </c:pt>
                <c:pt idx="501">
                  <c:v>-794</c:v>
                </c:pt>
                <c:pt idx="502">
                  <c:v>-802.99999999999989</c:v>
                </c:pt>
                <c:pt idx="503">
                  <c:v>-811</c:v>
                </c:pt>
                <c:pt idx="504">
                  <c:v>-820</c:v>
                </c:pt>
                <c:pt idx="505">
                  <c:v>-829</c:v>
                </c:pt>
                <c:pt idx="506">
                  <c:v>-837</c:v>
                </c:pt>
                <c:pt idx="507">
                  <c:v>-846</c:v>
                </c:pt>
                <c:pt idx="508">
                  <c:v>-851</c:v>
                </c:pt>
                <c:pt idx="509">
                  <c:v>-858</c:v>
                </c:pt>
                <c:pt idx="510">
                  <c:v>-865</c:v>
                </c:pt>
                <c:pt idx="511">
                  <c:v>-871</c:v>
                </c:pt>
                <c:pt idx="512">
                  <c:v>-873</c:v>
                </c:pt>
                <c:pt idx="513">
                  <c:v>-877</c:v>
                </c:pt>
                <c:pt idx="514">
                  <c:v>-879</c:v>
                </c:pt>
                <c:pt idx="515">
                  <c:v>-881</c:v>
                </c:pt>
                <c:pt idx="516">
                  <c:v>-887</c:v>
                </c:pt>
                <c:pt idx="517">
                  <c:v>-890</c:v>
                </c:pt>
                <c:pt idx="518">
                  <c:v>-892</c:v>
                </c:pt>
                <c:pt idx="519">
                  <c:v>-895</c:v>
                </c:pt>
                <c:pt idx="520">
                  <c:v>-895</c:v>
                </c:pt>
                <c:pt idx="521">
                  <c:v>-897</c:v>
                </c:pt>
                <c:pt idx="522">
                  <c:v>-897</c:v>
                </c:pt>
                <c:pt idx="523">
                  <c:v>-897</c:v>
                </c:pt>
                <c:pt idx="524">
                  <c:v>-899</c:v>
                </c:pt>
                <c:pt idx="525">
                  <c:v>-899</c:v>
                </c:pt>
                <c:pt idx="526">
                  <c:v>-899</c:v>
                </c:pt>
                <c:pt idx="527">
                  <c:v>-900</c:v>
                </c:pt>
                <c:pt idx="528">
                  <c:v>-900</c:v>
                </c:pt>
                <c:pt idx="529">
                  <c:v>-900</c:v>
                </c:pt>
                <c:pt idx="530">
                  <c:v>-902</c:v>
                </c:pt>
                <c:pt idx="531">
                  <c:v>-902</c:v>
                </c:pt>
                <c:pt idx="532">
                  <c:v>-903</c:v>
                </c:pt>
                <c:pt idx="533">
                  <c:v>-903</c:v>
                </c:pt>
                <c:pt idx="534">
                  <c:v>-907</c:v>
                </c:pt>
                <c:pt idx="535">
                  <c:v>-908</c:v>
                </c:pt>
                <c:pt idx="536">
                  <c:v>-908</c:v>
                </c:pt>
                <c:pt idx="537">
                  <c:v>-908</c:v>
                </c:pt>
                <c:pt idx="538">
                  <c:v>-910</c:v>
                </c:pt>
                <c:pt idx="539">
                  <c:v>-911</c:v>
                </c:pt>
                <c:pt idx="540">
                  <c:v>-911</c:v>
                </c:pt>
                <c:pt idx="541">
                  <c:v>-911</c:v>
                </c:pt>
                <c:pt idx="542">
                  <c:v>-914</c:v>
                </c:pt>
                <c:pt idx="543">
                  <c:v>-916</c:v>
                </c:pt>
                <c:pt idx="544">
                  <c:v>-918</c:v>
                </c:pt>
                <c:pt idx="545">
                  <c:v>-918</c:v>
                </c:pt>
                <c:pt idx="546">
                  <c:v>-920</c:v>
                </c:pt>
                <c:pt idx="547">
                  <c:v>-920</c:v>
                </c:pt>
                <c:pt idx="548">
                  <c:v>-922</c:v>
                </c:pt>
                <c:pt idx="549">
                  <c:v>-922</c:v>
                </c:pt>
                <c:pt idx="550">
                  <c:v>-926</c:v>
                </c:pt>
                <c:pt idx="551">
                  <c:v>-926</c:v>
                </c:pt>
                <c:pt idx="552">
                  <c:v>-927</c:v>
                </c:pt>
                <c:pt idx="553">
                  <c:v>-927</c:v>
                </c:pt>
                <c:pt idx="554">
                  <c:v>-927</c:v>
                </c:pt>
                <c:pt idx="555">
                  <c:v>-927</c:v>
                </c:pt>
                <c:pt idx="556">
                  <c:v>-928.99999999999989</c:v>
                </c:pt>
                <c:pt idx="557">
                  <c:v>-928.99999999999989</c:v>
                </c:pt>
                <c:pt idx="558">
                  <c:v>-929.99999999999989</c:v>
                </c:pt>
                <c:pt idx="559">
                  <c:v>-929.99999999999989</c:v>
                </c:pt>
                <c:pt idx="560">
                  <c:v>-929.99999999999989</c:v>
                </c:pt>
                <c:pt idx="561">
                  <c:v>-931.99999999999989</c:v>
                </c:pt>
                <c:pt idx="562">
                  <c:v>-931.99999999999989</c:v>
                </c:pt>
                <c:pt idx="563">
                  <c:v>-931.99999999999989</c:v>
                </c:pt>
                <c:pt idx="564">
                  <c:v>-933.99999999999989</c:v>
                </c:pt>
                <c:pt idx="565">
                  <c:v>-933.99999999999989</c:v>
                </c:pt>
                <c:pt idx="566">
                  <c:v>-934.99999999999989</c:v>
                </c:pt>
                <c:pt idx="567">
                  <c:v>-934.99999999999989</c:v>
                </c:pt>
                <c:pt idx="568">
                  <c:v>-934.99999999999989</c:v>
                </c:pt>
                <c:pt idx="569">
                  <c:v>-939</c:v>
                </c:pt>
                <c:pt idx="570">
                  <c:v>-939</c:v>
                </c:pt>
                <c:pt idx="571">
                  <c:v>-939</c:v>
                </c:pt>
                <c:pt idx="572">
                  <c:v>-939</c:v>
                </c:pt>
                <c:pt idx="573">
                  <c:v>-941</c:v>
                </c:pt>
                <c:pt idx="574">
                  <c:v>-941</c:v>
                </c:pt>
                <c:pt idx="575">
                  <c:v>-941</c:v>
                </c:pt>
                <c:pt idx="576">
                  <c:v>-942</c:v>
                </c:pt>
                <c:pt idx="577">
                  <c:v>-942</c:v>
                </c:pt>
                <c:pt idx="578">
                  <c:v>-942</c:v>
                </c:pt>
                <c:pt idx="579">
                  <c:v>-944</c:v>
                </c:pt>
                <c:pt idx="580">
                  <c:v>-944</c:v>
                </c:pt>
                <c:pt idx="581">
                  <c:v>-948</c:v>
                </c:pt>
                <c:pt idx="582">
                  <c:v>-948</c:v>
                </c:pt>
                <c:pt idx="583">
                  <c:v>-948</c:v>
                </c:pt>
                <c:pt idx="584">
                  <c:v>-950</c:v>
                </c:pt>
                <c:pt idx="585">
                  <c:v>-950</c:v>
                </c:pt>
                <c:pt idx="586">
                  <c:v>-950</c:v>
                </c:pt>
                <c:pt idx="587">
                  <c:v>-951</c:v>
                </c:pt>
                <c:pt idx="588">
                  <c:v>-951</c:v>
                </c:pt>
                <c:pt idx="589">
                  <c:v>-951</c:v>
                </c:pt>
                <c:pt idx="590">
                  <c:v>-951</c:v>
                </c:pt>
                <c:pt idx="591">
                  <c:v>-951</c:v>
                </c:pt>
                <c:pt idx="592">
                  <c:v>-952</c:v>
                </c:pt>
                <c:pt idx="593">
                  <c:v>-952</c:v>
                </c:pt>
                <c:pt idx="594">
                  <c:v>-952</c:v>
                </c:pt>
                <c:pt idx="595">
                  <c:v>-952</c:v>
                </c:pt>
                <c:pt idx="596">
                  <c:v>-952</c:v>
                </c:pt>
                <c:pt idx="597">
                  <c:v>-954</c:v>
                </c:pt>
                <c:pt idx="598">
                  <c:v>-954</c:v>
                </c:pt>
                <c:pt idx="599">
                  <c:v>-954</c:v>
                </c:pt>
                <c:pt idx="600">
                  <c:v>-954</c:v>
                </c:pt>
                <c:pt idx="601">
                  <c:v>-957</c:v>
                </c:pt>
                <c:pt idx="602">
                  <c:v>-957</c:v>
                </c:pt>
                <c:pt idx="603">
                  <c:v>-959</c:v>
                </c:pt>
                <c:pt idx="604">
                  <c:v>-959</c:v>
                </c:pt>
                <c:pt idx="605">
                  <c:v>-959</c:v>
                </c:pt>
                <c:pt idx="606">
                  <c:v>-959</c:v>
                </c:pt>
                <c:pt idx="607">
                  <c:v>-960</c:v>
                </c:pt>
                <c:pt idx="608">
                  <c:v>-960</c:v>
                </c:pt>
                <c:pt idx="609">
                  <c:v>-960</c:v>
                </c:pt>
                <c:pt idx="610">
                  <c:v>-964</c:v>
                </c:pt>
                <c:pt idx="611">
                  <c:v>-964</c:v>
                </c:pt>
                <c:pt idx="612">
                  <c:v>-969</c:v>
                </c:pt>
                <c:pt idx="613">
                  <c:v>-969</c:v>
                </c:pt>
                <c:pt idx="614">
                  <c:v>-970</c:v>
                </c:pt>
                <c:pt idx="615">
                  <c:v>-973</c:v>
                </c:pt>
                <c:pt idx="616">
                  <c:v>-973</c:v>
                </c:pt>
                <c:pt idx="617">
                  <c:v>-974</c:v>
                </c:pt>
                <c:pt idx="618">
                  <c:v>-974</c:v>
                </c:pt>
                <c:pt idx="619">
                  <c:v>-974</c:v>
                </c:pt>
                <c:pt idx="620">
                  <c:v>-976</c:v>
                </c:pt>
                <c:pt idx="621">
                  <c:v>-976</c:v>
                </c:pt>
                <c:pt idx="622">
                  <c:v>-978</c:v>
                </c:pt>
                <c:pt idx="623">
                  <c:v>-978</c:v>
                </c:pt>
                <c:pt idx="624">
                  <c:v>-980</c:v>
                </c:pt>
                <c:pt idx="625">
                  <c:v>-980</c:v>
                </c:pt>
                <c:pt idx="626">
                  <c:v>-980</c:v>
                </c:pt>
                <c:pt idx="627">
                  <c:v>-980</c:v>
                </c:pt>
                <c:pt idx="628">
                  <c:v>-980</c:v>
                </c:pt>
                <c:pt idx="629">
                  <c:v>-981</c:v>
                </c:pt>
                <c:pt idx="630">
                  <c:v>-981</c:v>
                </c:pt>
                <c:pt idx="631">
                  <c:v>-982</c:v>
                </c:pt>
                <c:pt idx="632">
                  <c:v>-982</c:v>
                </c:pt>
                <c:pt idx="633">
                  <c:v>-982</c:v>
                </c:pt>
                <c:pt idx="634">
                  <c:v>-982</c:v>
                </c:pt>
                <c:pt idx="635">
                  <c:v>-982</c:v>
                </c:pt>
                <c:pt idx="636">
                  <c:v>-982</c:v>
                </c:pt>
                <c:pt idx="637">
                  <c:v>-982</c:v>
                </c:pt>
                <c:pt idx="638">
                  <c:v>-982</c:v>
                </c:pt>
                <c:pt idx="639">
                  <c:v>-983</c:v>
                </c:pt>
                <c:pt idx="640">
                  <c:v>-983</c:v>
                </c:pt>
                <c:pt idx="641">
                  <c:v>-983</c:v>
                </c:pt>
                <c:pt idx="642">
                  <c:v>-983</c:v>
                </c:pt>
                <c:pt idx="643">
                  <c:v>-992.99999999999989</c:v>
                </c:pt>
                <c:pt idx="644">
                  <c:v>-1002.9999999999999</c:v>
                </c:pt>
                <c:pt idx="645">
                  <c:v>-1012.9999999999999</c:v>
                </c:pt>
                <c:pt idx="646">
                  <c:v>-1022.9999999999999</c:v>
                </c:pt>
                <c:pt idx="647">
                  <c:v>-1033</c:v>
                </c:pt>
                <c:pt idx="648">
                  <c:v>-1043</c:v>
                </c:pt>
                <c:pt idx="649">
                  <c:v>-1053</c:v>
                </c:pt>
                <c:pt idx="650">
                  <c:v>-1063</c:v>
                </c:pt>
                <c:pt idx="651">
                  <c:v>-1073</c:v>
                </c:pt>
                <c:pt idx="652">
                  <c:v>-1083</c:v>
                </c:pt>
                <c:pt idx="653">
                  <c:v>-1091</c:v>
                </c:pt>
                <c:pt idx="654">
                  <c:v>-1101</c:v>
                </c:pt>
                <c:pt idx="655">
                  <c:v>-1111</c:v>
                </c:pt>
                <c:pt idx="656">
                  <c:v>-1121</c:v>
                </c:pt>
                <c:pt idx="657">
                  <c:v>-1130</c:v>
                </c:pt>
                <c:pt idx="658">
                  <c:v>-1140</c:v>
                </c:pt>
                <c:pt idx="659">
                  <c:v>-1150</c:v>
                </c:pt>
                <c:pt idx="660">
                  <c:v>-1160</c:v>
                </c:pt>
                <c:pt idx="661">
                  <c:v>-1170</c:v>
                </c:pt>
                <c:pt idx="662">
                  <c:v>-1180</c:v>
                </c:pt>
                <c:pt idx="663">
                  <c:v>-1188</c:v>
                </c:pt>
                <c:pt idx="664">
                  <c:v>-1198</c:v>
                </c:pt>
                <c:pt idx="665">
                  <c:v>-1208</c:v>
                </c:pt>
                <c:pt idx="666">
                  <c:v>-1218</c:v>
                </c:pt>
                <c:pt idx="667">
                  <c:v>-1228</c:v>
                </c:pt>
                <c:pt idx="668">
                  <c:v>-1238</c:v>
                </c:pt>
                <c:pt idx="669">
                  <c:v>-1248</c:v>
                </c:pt>
                <c:pt idx="670">
                  <c:v>-1258</c:v>
                </c:pt>
                <c:pt idx="671">
                  <c:v>-1268</c:v>
                </c:pt>
                <c:pt idx="672">
                  <c:v>-1278</c:v>
                </c:pt>
                <c:pt idx="673">
                  <c:v>-1288</c:v>
                </c:pt>
                <c:pt idx="674">
                  <c:v>-1298</c:v>
                </c:pt>
                <c:pt idx="675">
                  <c:v>-1308</c:v>
                </c:pt>
                <c:pt idx="676">
                  <c:v>-1318</c:v>
                </c:pt>
                <c:pt idx="677">
                  <c:v>-1328</c:v>
                </c:pt>
                <c:pt idx="678">
                  <c:v>-1338</c:v>
                </c:pt>
                <c:pt idx="679">
                  <c:v>-1348</c:v>
                </c:pt>
                <c:pt idx="680">
                  <c:v>-1358</c:v>
                </c:pt>
                <c:pt idx="681">
                  <c:v>-1384</c:v>
                </c:pt>
                <c:pt idx="682">
                  <c:v>-1414</c:v>
                </c:pt>
                <c:pt idx="683">
                  <c:v>-1434</c:v>
                </c:pt>
                <c:pt idx="684">
                  <c:v>-1454</c:v>
                </c:pt>
                <c:pt idx="685">
                  <c:v>-1481</c:v>
                </c:pt>
                <c:pt idx="686">
                  <c:v>-1511</c:v>
                </c:pt>
                <c:pt idx="687">
                  <c:v>-1536</c:v>
                </c:pt>
                <c:pt idx="688">
                  <c:v>-1569</c:v>
                </c:pt>
                <c:pt idx="689">
                  <c:v>-1604</c:v>
                </c:pt>
                <c:pt idx="690">
                  <c:v>-1634</c:v>
                </c:pt>
                <c:pt idx="691">
                  <c:v>-1658</c:v>
                </c:pt>
                <c:pt idx="692">
                  <c:v>-1680</c:v>
                </c:pt>
                <c:pt idx="693">
                  <c:v>-1695</c:v>
                </c:pt>
                <c:pt idx="694">
                  <c:v>-1707</c:v>
                </c:pt>
                <c:pt idx="695">
                  <c:v>-1721</c:v>
                </c:pt>
                <c:pt idx="696">
                  <c:v>-1731</c:v>
                </c:pt>
                <c:pt idx="697">
                  <c:v>-1749</c:v>
                </c:pt>
                <c:pt idx="698">
                  <c:v>-1759</c:v>
                </c:pt>
                <c:pt idx="699">
                  <c:v>-1768</c:v>
                </c:pt>
                <c:pt idx="700">
                  <c:v>-1774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7-499C-8580-F28CB88B9836}"/>
            </c:ext>
          </c:extLst>
        </c:ser>
        <c:ser>
          <c:idx val="3"/>
          <c:order val="3"/>
          <c:tx>
            <c:strRef>
              <c:f>'SL.115+740'!$N$12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'SL.115+740'!$A$14:$A$7698</c:f>
              <c:numCache>
                <c:formatCode>dd/mm/yyyy;@</c:formatCode>
                <c:ptCount val="7685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'SL.115+740'!$N$14:$N$7698</c:f>
              <c:numCache>
                <c:formatCode>General</c:formatCode>
                <c:ptCount val="76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-9.0000000000000018</c:v>
                </c:pt>
                <c:pt idx="14">
                  <c:v>-15</c:v>
                </c:pt>
                <c:pt idx="15">
                  <c:v>-18.999999999999996</c:v>
                </c:pt>
                <c:pt idx="16">
                  <c:v>-18.999999999999996</c:v>
                </c:pt>
                <c:pt idx="17">
                  <c:v>-26.000000000000004</c:v>
                </c:pt>
                <c:pt idx="18">
                  <c:v>-31.999999999999993</c:v>
                </c:pt>
                <c:pt idx="19">
                  <c:v>-39</c:v>
                </c:pt>
                <c:pt idx="20">
                  <c:v>-46.999999999999993</c:v>
                </c:pt>
                <c:pt idx="21">
                  <c:v>-56</c:v>
                </c:pt>
                <c:pt idx="22">
                  <c:v>-58</c:v>
                </c:pt>
                <c:pt idx="23">
                  <c:v>-60.000000000000007</c:v>
                </c:pt>
                <c:pt idx="24">
                  <c:v>-65</c:v>
                </c:pt>
                <c:pt idx="25">
                  <c:v>-73.000000000000014</c:v>
                </c:pt>
                <c:pt idx="26">
                  <c:v>-75.000000000000014</c:v>
                </c:pt>
                <c:pt idx="27">
                  <c:v>-77.000000000000014</c:v>
                </c:pt>
                <c:pt idx="28">
                  <c:v>-78.999999999999986</c:v>
                </c:pt>
                <c:pt idx="29">
                  <c:v>-80.999999999999986</c:v>
                </c:pt>
                <c:pt idx="30">
                  <c:v>-83.999999999999986</c:v>
                </c:pt>
                <c:pt idx="31">
                  <c:v>-88</c:v>
                </c:pt>
                <c:pt idx="32">
                  <c:v>-92</c:v>
                </c:pt>
                <c:pt idx="33">
                  <c:v>-95</c:v>
                </c:pt>
                <c:pt idx="34">
                  <c:v>-98</c:v>
                </c:pt>
                <c:pt idx="35">
                  <c:v>-100</c:v>
                </c:pt>
                <c:pt idx="36">
                  <c:v>-103.99999999999999</c:v>
                </c:pt>
                <c:pt idx="37">
                  <c:v>-105.99999999999999</c:v>
                </c:pt>
                <c:pt idx="38">
                  <c:v>-106.99999999999999</c:v>
                </c:pt>
                <c:pt idx="39">
                  <c:v>-109.99999999999999</c:v>
                </c:pt>
                <c:pt idx="40">
                  <c:v>-111.99999999999999</c:v>
                </c:pt>
                <c:pt idx="41">
                  <c:v>-114.99999999999999</c:v>
                </c:pt>
                <c:pt idx="42">
                  <c:v>-117</c:v>
                </c:pt>
                <c:pt idx="43">
                  <c:v>-118</c:v>
                </c:pt>
                <c:pt idx="44">
                  <c:v>-120</c:v>
                </c:pt>
                <c:pt idx="45">
                  <c:v>-122</c:v>
                </c:pt>
                <c:pt idx="46">
                  <c:v>-124</c:v>
                </c:pt>
                <c:pt idx="47">
                  <c:v>-126</c:v>
                </c:pt>
                <c:pt idx="48">
                  <c:v>-126</c:v>
                </c:pt>
                <c:pt idx="49">
                  <c:v>-126</c:v>
                </c:pt>
                <c:pt idx="50">
                  <c:v>-126</c:v>
                </c:pt>
                <c:pt idx="51">
                  <c:v>-126</c:v>
                </c:pt>
                <c:pt idx="52">
                  <c:v>-126</c:v>
                </c:pt>
                <c:pt idx="53">
                  <c:v>-126</c:v>
                </c:pt>
                <c:pt idx="54">
                  <c:v>-126</c:v>
                </c:pt>
                <c:pt idx="55">
                  <c:v>-126</c:v>
                </c:pt>
                <c:pt idx="56">
                  <c:v>-126</c:v>
                </c:pt>
                <c:pt idx="57">
                  <c:v>-126</c:v>
                </c:pt>
                <c:pt idx="58">
                  <c:v>-126</c:v>
                </c:pt>
                <c:pt idx="59">
                  <c:v>-126</c:v>
                </c:pt>
                <c:pt idx="60">
                  <c:v>-126</c:v>
                </c:pt>
                <c:pt idx="61">
                  <c:v>-126</c:v>
                </c:pt>
                <c:pt idx="62">
                  <c:v>-126</c:v>
                </c:pt>
                <c:pt idx="63">
                  <c:v>-126</c:v>
                </c:pt>
                <c:pt idx="64">
                  <c:v>-126</c:v>
                </c:pt>
                <c:pt idx="65">
                  <c:v>-126</c:v>
                </c:pt>
                <c:pt idx="66">
                  <c:v>-126</c:v>
                </c:pt>
                <c:pt idx="67">
                  <c:v>-126</c:v>
                </c:pt>
                <c:pt idx="68">
                  <c:v>-126</c:v>
                </c:pt>
                <c:pt idx="69">
                  <c:v>-126</c:v>
                </c:pt>
                <c:pt idx="70">
                  <c:v>-126</c:v>
                </c:pt>
                <c:pt idx="71">
                  <c:v>-126</c:v>
                </c:pt>
                <c:pt idx="72">
                  <c:v>-126</c:v>
                </c:pt>
                <c:pt idx="73">
                  <c:v>-126</c:v>
                </c:pt>
                <c:pt idx="74">
                  <c:v>-126</c:v>
                </c:pt>
                <c:pt idx="75">
                  <c:v>-126</c:v>
                </c:pt>
                <c:pt idx="76">
                  <c:v>-126</c:v>
                </c:pt>
                <c:pt idx="77">
                  <c:v>-126</c:v>
                </c:pt>
                <c:pt idx="78">
                  <c:v>-126</c:v>
                </c:pt>
                <c:pt idx="79">
                  <c:v>-126</c:v>
                </c:pt>
                <c:pt idx="80">
                  <c:v>-126</c:v>
                </c:pt>
                <c:pt idx="81">
                  <c:v>-126</c:v>
                </c:pt>
                <c:pt idx="82">
                  <c:v>-126</c:v>
                </c:pt>
                <c:pt idx="83">
                  <c:v>-126</c:v>
                </c:pt>
                <c:pt idx="84">
                  <c:v>-126</c:v>
                </c:pt>
                <c:pt idx="85">
                  <c:v>-126</c:v>
                </c:pt>
                <c:pt idx="86">
                  <c:v>-126</c:v>
                </c:pt>
                <c:pt idx="87">
                  <c:v>-126</c:v>
                </c:pt>
                <c:pt idx="88">
                  <c:v>-126</c:v>
                </c:pt>
                <c:pt idx="89">
                  <c:v>-126</c:v>
                </c:pt>
                <c:pt idx="90">
                  <c:v>-126</c:v>
                </c:pt>
                <c:pt idx="91">
                  <c:v>-126</c:v>
                </c:pt>
                <c:pt idx="92">
                  <c:v>-126</c:v>
                </c:pt>
                <c:pt idx="93">
                  <c:v>-126</c:v>
                </c:pt>
                <c:pt idx="94">
                  <c:v>-126</c:v>
                </c:pt>
                <c:pt idx="95">
                  <c:v>-126</c:v>
                </c:pt>
                <c:pt idx="96">
                  <c:v>-126</c:v>
                </c:pt>
                <c:pt idx="97">
                  <c:v>-126</c:v>
                </c:pt>
                <c:pt idx="98">
                  <c:v>-126</c:v>
                </c:pt>
                <c:pt idx="99">
                  <c:v>-126</c:v>
                </c:pt>
                <c:pt idx="100">
                  <c:v>-126</c:v>
                </c:pt>
                <c:pt idx="101">
                  <c:v>-126</c:v>
                </c:pt>
                <c:pt idx="102">
                  <c:v>-126</c:v>
                </c:pt>
                <c:pt idx="103">
                  <c:v>-126</c:v>
                </c:pt>
                <c:pt idx="104">
                  <c:v>-126</c:v>
                </c:pt>
                <c:pt idx="105">
                  <c:v>-126</c:v>
                </c:pt>
                <c:pt idx="106">
                  <c:v>-126</c:v>
                </c:pt>
                <c:pt idx="107">
                  <c:v>-126</c:v>
                </c:pt>
                <c:pt idx="108">
                  <c:v>-126</c:v>
                </c:pt>
                <c:pt idx="109">
                  <c:v>-126</c:v>
                </c:pt>
                <c:pt idx="110">
                  <c:v>-126</c:v>
                </c:pt>
                <c:pt idx="111">
                  <c:v>-126</c:v>
                </c:pt>
                <c:pt idx="112">
                  <c:v>-126</c:v>
                </c:pt>
                <c:pt idx="113">
                  <c:v>-126</c:v>
                </c:pt>
                <c:pt idx="114">
                  <c:v>-126</c:v>
                </c:pt>
                <c:pt idx="115">
                  <c:v>-126</c:v>
                </c:pt>
                <c:pt idx="116">
                  <c:v>-126</c:v>
                </c:pt>
                <c:pt idx="117">
                  <c:v>-126</c:v>
                </c:pt>
                <c:pt idx="118">
                  <c:v>-126</c:v>
                </c:pt>
                <c:pt idx="119">
                  <c:v>-126</c:v>
                </c:pt>
                <c:pt idx="120">
                  <c:v>-126</c:v>
                </c:pt>
                <c:pt idx="121">
                  <c:v>-126</c:v>
                </c:pt>
                <c:pt idx="122">
                  <c:v>-126</c:v>
                </c:pt>
                <c:pt idx="123">
                  <c:v>-126</c:v>
                </c:pt>
                <c:pt idx="124">
                  <c:v>-126</c:v>
                </c:pt>
                <c:pt idx="125">
                  <c:v>-126</c:v>
                </c:pt>
                <c:pt idx="126">
                  <c:v>-126</c:v>
                </c:pt>
                <c:pt idx="127">
                  <c:v>-126</c:v>
                </c:pt>
                <c:pt idx="128">
                  <c:v>-126</c:v>
                </c:pt>
                <c:pt idx="129">
                  <c:v>-126</c:v>
                </c:pt>
                <c:pt idx="130">
                  <c:v>-126</c:v>
                </c:pt>
                <c:pt idx="131">
                  <c:v>-126</c:v>
                </c:pt>
                <c:pt idx="132">
                  <c:v>-126</c:v>
                </c:pt>
                <c:pt idx="133">
                  <c:v>-126</c:v>
                </c:pt>
                <c:pt idx="134">
                  <c:v>-126</c:v>
                </c:pt>
                <c:pt idx="135">
                  <c:v>-126</c:v>
                </c:pt>
                <c:pt idx="136">
                  <c:v>-126</c:v>
                </c:pt>
                <c:pt idx="137">
                  <c:v>-126</c:v>
                </c:pt>
                <c:pt idx="138">
                  <c:v>-126</c:v>
                </c:pt>
                <c:pt idx="139">
                  <c:v>-126</c:v>
                </c:pt>
                <c:pt idx="140">
                  <c:v>-126</c:v>
                </c:pt>
                <c:pt idx="141">
                  <c:v>-126</c:v>
                </c:pt>
                <c:pt idx="142">
                  <c:v>-126</c:v>
                </c:pt>
                <c:pt idx="143">
                  <c:v>-126</c:v>
                </c:pt>
                <c:pt idx="144">
                  <c:v>-126</c:v>
                </c:pt>
                <c:pt idx="145">
                  <c:v>-126</c:v>
                </c:pt>
                <c:pt idx="146">
                  <c:v>-126</c:v>
                </c:pt>
                <c:pt idx="147">
                  <c:v>-126</c:v>
                </c:pt>
                <c:pt idx="148">
                  <c:v>-126</c:v>
                </c:pt>
                <c:pt idx="149">
                  <c:v>-126</c:v>
                </c:pt>
                <c:pt idx="150">
                  <c:v>-126</c:v>
                </c:pt>
                <c:pt idx="151">
                  <c:v>-126</c:v>
                </c:pt>
                <c:pt idx="152">
                  <c:v>-126</c:v>
                </c:pt>
                <c:pt idx="153">
                  <c:v>-126</c:v>
                </c:pt>
                <c:pt idx="154">
                  <c:v>-126</c:v>
                </c:pt>
                <c:pt idx="155">
                  <c:v>-126</c:v>
                </c:pt>
                <c:pt idx="156">
                  <c:v>-126</c:v>
                </c:pt>
                <c:pt idx="157">
                  <c:v>-126</c:v>
                </c:pt>
                <c:pt idx="158">
                  <c:v>-126</c:v>
                </c:pt>
                <c:pt idx="159">
                  <c:v>-126</c:v>
                </c:pt>
                <c:pt idx="160">
                  <c:v>-126</c:v>
                </c:pt>
                <c:pt idx="161">
                  <c:v>-126</c:v>
                </c:pt>
                <c:pt idx="162">
                  <c:v>-126</c:v>
                </c:pt>
                <c:pt idx="163">
                  <c:v>-126</c:v>
                </c:pt>
                <c:pt idx="164">
                  <c:v>-126</c:v>
                </c:pt>
                <c:pt idx="165">
                  <c:v>-126</c:v>
                </c:pt>
                <c:pt idx="166">
                  <c:v>-126</c:v>
                </c:pt>
                <c:pt idx="167">
                  <c:v>-126</c:v>
                </c:pt>
                <c:pt idx="168">
                  <c:v>-126</c:v>
                </c:pt>
                <c:pt idx="169">
                  <c:v>-126</c:v>
                </c:pt>
                <c:pt idx="170">
                  <c:v>-126</c:v>
                </c:pt>
                <c:pt idx="171">
                  <c:v>-126</c:v>
                </c:pt>
                <c:pt idx="172">
                  <c:v>-126</c:v>
                </c:pt>
                <c:pt idx="173">
                  <c:v>-126</c:v>
                </c:pt>
                <c:pt idx="174">
                  <c:v>-126</c:v>
                </c:pt>
                <c:pt idx="175">
                  <c:v>-126</c:v>
                </c:pt>
                <c:pt idx="176">
                  <c:v>-126</c:v>
                </c:pt>
                <c:pt idx="177">
                  <c:v>-126</c:v>
                </c:pt>
                <c:pt idx="178">
                  <c:v>-126</c:v>
                </c:pt>
                <c:pt idx="179">
                  <c:v>-126</c:v>
                </c:pt>
                <c:pt idx="180">
                  <c:v>-126</c:v>
                </c:pt>
                <c:pt idx="181">
                  <c:v>-126</c:v>
                </c:pt>
                <c:pt idx="182">
                  <c:v>-126</c:v>
                </c:pt>
                <c:pt idx="183">
                  <c:v>-126</c:v>
                </c:pt>
                <c:pt idx="184">
                  <c:v>-126</c:v>
                </c:pt>
                <c:pt idx="185">
                  <c:v>-126</c:v>
                </c:pt>
                <c:pt idx="186">
                  <c:v>-126</c:v>
                </c:pt>
                <c:pt idx="187">
                  <c:v>-126</c:v>
                </c:pt>
                <c:pt idx="188">
                  <c:v>-126</c:v>
                </c:pt>
                <c:pt idx="189">
                  <c:v>-126</c:v>
                </c:pt>
                <c:pt idx="190">
                  <c:v>-126</c:v>
                </c:pt>
                <c:pt idx="191">
                  <c:v>-126</c:v>
                </c:pt>
                <c:pt idx="192">
                  <c:v>-126</c:v>
                </c:pt>
                <c:pt idx="193">
                  <c:v>-126</c:v>
                </c:pt>
                <c:pt idx="194">
                  <c:v>-126</c:v>
                </c:pt>
                <c:pt idx="195">
                  <c:v>-126</c:v>
                </c:pt>
                <c:pt idx="196">
                  <c:v>-126</c:v>
                </c:pt>
                <c:pt idx="197">
                  <c:v>-126</c:v>
                </c:pt>
                <c:pt idx="198">
                  <c:v>-126</c:v>
                </c:pt>
                <c:pt idx="199">
                  <c:v>-126</c:v>
                </c:pt>
                <c:pt idx="200">
                  <c:v>-126</c:v>
                </c:pt>
                <c:pt idx="201">
                  <c:v>-126</c:v>
                </c:pt>
                <c:pt idx="202">
                  <c:v>-126</c:v>
                </c:pt>
                <c:pt idx="203">
                  <c:v>-126</c:v>
                </c:pt>
                <c:pt idx="204">
                  <c:v>-126</c:v>
                </c:pt>
                <c:pt idx="205">
                  <c:v>-126</c:v>
                </c:pt>
                <c:pt idx="206">
                  <c:v>-126</c:v>
                </c:pt>
                <c:pt idx="207">
                  <c:v>-126</c:v>
                </c:pt>
                <c:pt idx="208">
                  <c:v>-126</c:v>
                </c:pt>
                <c:pt idx="209">
                  <c:v>-126</c:v>
                </c:pt>
                <c:pt idx="210">
                  <c:v>-126</c:v>
                </c:pt>
                <c:pt idx="211">
                  <c:v>-126</c:v>
                </c:pt>
                <c:pt idx="212">
                  <c:v>-126</c:v>
                </c:pt>
                <c:pt idx="213">
                  <c:v>-126</c:v>
                </c:pt>
                <c:pt idx="214">
                  <c:v>-126</c:v>
                </c:pt>
                <c:pt idx="215">
                  <c:v>-126</c:v>
                </c:pt>
                <c:pt idx="216">
                  <c:v>-126</c:v>
                </c:pt>
                <c:pt idx="217">
                  <c:v>-126</c:v>
                </c:pt>
                <c:pt idx="218">
                  <c:v>-126</c:v>
                </c:pt>
                <c:pt idx="219">
                  <c:v>-126</c:v>
                </c:pt>
                <c:pt idx="220">
                  <c:v>-126</c:v>
                </c:pt>
                <c:pt idx="221">
                  <c:v>-126</c:v>
                </c:pt>
                <c:pt idx="222">
                  <c:v>-126</c:v>
                </c:pt>
                <c:pt idx="223">
                  <c:v>-126</c:v>
                </c:pt>
                <c:pt idx="224">
                  <c:v>-126</c:v>
                </c:pt>
                <c:pt idx="225">
                  <c:v>-126</c:v>
                </c:pt>
                <c:pt idx="226">
                  <c:v>-126</c:v>
                </c:pt>
                <c:pt idx="227">
                  <c:v>-126</c:v>
                </c:pt>
                <c:pt idx="228">
                  <c:v>-126</c:v>
                </c:pt>
                <c:pt idx="229">
                  <c:v>-126</c:v>
                </c:pt>
                <c:pt idx="230">
                  <c:v>-126</c:v>
                </c:pt>
                <c:pt idx="231">
                  <c:v>-126</c:v>
                </c:pt>
                <c:pt idx="232">
                  <c:v>-126</c:v>
                </c:pt>
                <c:pt idx="233">
                  <c:v>-126</c:v>
                </c:pt>
                <c:pt idx="234">
                  <c:v>-126</c:v>
                </c:pt>
                <c:pt idx="235">
                  <c:v>-126</c:v>
                </c:pt>
                <c:pt idx="236">
                  <c:v>-126</c:v>
                </c:pt>
                <c:pt idx="237">
                  <c:v>-126</c:v>
                </c:pt>
                <c:pt idx="238">
                  <c:v>-126</c:v>
                </c:pt>
                <c:pt idx="239">
                  <c:v>-126</c:v>
                </c:pt>
                <c:pt idx="240">
                  <c:v>-126</c:v>
                </c:pt>
                <c:pt idx="241">
                  <c:v>-126</c:v>
                </c:pt>
                <c:pt idx="242">
                  <c:v>-126</c:v>
                </c:pt>
                <c:pt idx="243">
                  <c:v>-126</c:v>
                </c:pt>
                <c:pt idx="244">
                  <c:v>-126</c:v>
                </c:pt>
                <c:pt idx="245">
                  <c:v>-126</c:v>
                </c:pt>
                <c:pt idx="246">
                  <c:v>-126</c:v>
                </c:pt>
                <c:pt idx="247">
                  <c:v>-126</c:v>
                </c:pt>
                <c:pt idx="248">
                  <c:v>-126</c:v>
                </c:pt>
                <c:pt idx="249">
                  <c:v>-126</c:v>
                </c:pt>
                <c:pt idx="250">
                  <c:v>-126</c:v>
                </c:pt>
                <c:pt idx="251">
                  <c:v>-126</c:v>
                </c:pt>
                <c:pt idx="252">
                  <c:v>-126</c:v>
                </c:pt>
                <c:pt idx="253">
                  <c:v>-126</c:v>
                </c:pt>
                <c:pt idx="254">
                  <c:v>-126</c:v>
                </c:pt>
                <c:pt idx="255">
                  <c:v>-126</c:v>
                </c:pt>
                <c:pt idx="256">
                  <c:v>-126</c:v>
                </c:pt>
                <c:pt idx="257">
                  <c:v>-126</c:v>
                </c:pt>
                <c:pt idx="258">
                  <c:v>-126</c:v>
                </c:pt>
                <c:pt idx="259">
                  <c:v>-126</c:v>
                </c:pt>
                <c:pt idx="260">
                  <c:v>-126</c:v>
                </c:pt>
                <c:pt idx="261">
                  <c:v>-126</c:v>
                </c:pt>
                <c:pt idx="262">
                  <c:v>-126</c:v>
                </c:pt>
                <c:pt idx="263">
                  <c:v>-126</c:v>
                </c:pt>
                <c:pt idx="264">
                  <c:v>-126</c:v>
                </c:pt>
                <c:pt idx="265">
                  <c:v>-126</c:v>
                </c:pt>
                <c:pt idx="266">
                  <c:v>-126</c:v>
                </c:pt>
                <c:pt idx="267">
                  <c:v>-126</c:v>
                </c:pt>
                <c:pt idx="268">
                  <c:v>-126</c:v>
                </c:pt>
                <c:pt idx="269">
                  <c:v>-126</c:v>
                </c:pt>
                <c:pt idx="270">
                  <c:v>-126</c:v>
                </c:pt>
                <c:pt idx="271">
                  <c:v>-126</c:v>
                </c:pt>
                <c:pt idx="272">
                  <c:v>-126</c:v>
                </c:pt>
                <c:pt idx="273">
                  <c:v>-126</c:v>
                </c:pt>
                <c:pt idx="274">
                  <c:v>-126</c:v>
                </c:pt>
                <c:pt idx="275">
                  <c:v>-126</c:v>
                </c:pt>
                <c:pt idx="276">
                  <c:v>-126</c:v>
                </c:pt>
                <c:pt idx="277">
                  <c:v>-126</c:v>
                </c:pt>
                <c:pt idx="278">
                  <c:v>-126</c:v>
                </c:pt>
                <c:pt idx="279">
                  <c:v>-126</c:v>
                </c:pt>
                <c:pt idx="280">
                  <c:v>-126</c:v>
                </c:pt>
                <c:pt idx="281">
                  <c:v>-126</c:v>
                </c:pt>
                <c:pt idx="282">
                  <c:v>-126</c:v>
                </c:pt>
                <c:pt idx="283">
                  <c:v>-126</c:v>
                </c:pt>
                <c:pt idx="284">
                  <c:v>-126</c:v>
                </c:pt>
                <c:pt idx="285">
                  <c:v>-126</c:v>
                </c:pt>
                <c:pt idx="286">
                  <c:v>-126</c:v>
                </c:pt>
                <c:pt idx="287">
                  <c:v>-126</c:v>
                </c:pt>
                <c:pt idx="288">
                  <c:v>-126</c:v>
                </c:pt>
                <c:pt idx="289">
                  <c:v>-126</c:v>
                </c:pt>
                <c:pt idx="290">
                  <c:v>-126</c:v>
                </c:pt>
                <c:pt idx="291">
                  <c:v>-126</c:v>
                </c:pt>
                <c:pt idx="292">
                  <c:v>-126</c:v>
                </c:pt>
                <c:pt idx="293">
                  <c:v>-133.99999999999997</c:v>
                </c:pt>
                <c:pt idx="294">
                  <c:v>-136.99999999999997</c:v>
                </c:pt>
                <c:pt idx="295">
                  <c:v>-141</c:v>
                </c:pt>
                <c:pt idx="296">
                  <c:v>-145</c:v>
                </c:pt>
                <c:pt idx="297">
                  <c:v>-153</c:v>
                </c:pt>
                <c:pt idx="298">
                  <c:v>-156</c:v>
                </c:pt>
                <c:pt idx="299">
                  <c:v>-160</c:v>
                </c:pt>
                <c:pt idx="300">
                  <c:v>-163.99999999999997</c:v>
                </c:pt>
                <c:pt idx="301">
                  <c:v>-167.99999999999997</c:v>
                </c:pt>
                <c:pt idx="302">
                  <c:v>-177</c:v>
                </c:pt>
                <c:pt idx="303">
                  <c:v>-181</c:v>
                </c:pt>
                <c:pt idx="304">
                  <c:v>-183</c:v>
                </c:pt>
                <c:pt idx="305">
                  <c:v>-188</c:v>
                </c:pt>
                <c:pt idx="306">
                  <c:v>-195.99999999999997</c:v>
                </c:pt>
                <c:pt idx="307">
                  <c:v>-199.99999999999997</c:v>
                </c:pt>
                <c:pt idx="308">
                  <c:v>-203</c:v>
                </c:pt>
                <c:pt idx="309">
                  <c:v>-204</c:v>
                </c:pt>
                <c:pt idx="310">
                  <c:v>-205</c:v>
                </c:pt>
                <c:pt idx="311">
                  <c:v>-206</c:v>
                </c:pt>
                <c:pt idx="312">
                  <c:v>-212</c:v>
                </c:pt>
                <c:pt idx="313">
                  <c:v>-214</c:v>
                </c:pt>
                <c:pt idx="314">
                  <c:v>-216</c:v>
                </c:pt>
                <c:pt idx="315">
                  <c:v>-218</c:v>
                </c:pt>
                <c:pt idx="316">
                  <c:v>-220</c:v>
                </c:pt>
                <c:pt idx="317">
                  <c:v>-220</c:v>
                </c:pt>
                <c:pt idx="318">
                  <c:v>-222</c:v>
                </c:pt>
                <c:pt idx="319">
                  <c:v>-222</c:v>
                </c:pt>
                <c:pt idx="320">
                  <c:v>-223</c:v>
                </c:pt>
                <c:pt idx="321">
                  <c:v>-223</c:v>
                </c:pt>
                <c:pt idx="322">
                  <c:v>-223</c:v>
                </c:pt>
                <c:pt idx="323">
                  <c:v>-224</c:v>
                </c:pt>
                <c:pt idx="324">
                  <c:v>-224</c:v>
                </c:pt>
                <c:pt idx="325">
                  <c:v>-224</c:v>
                </c:pt>
                <c:pt idx="326">
                  <c:v>-224</c:v>
                </c:pt>
                <c:pt idx="327">
                  <c:v>-224</c:v>
                </c:pt>
                <c:pt idx="328">
                  <c:v>-224</c:v>
                </c:pt>
                <c:pt idx="329">
                  <c:v>-224</c:v>
                </c:pt>
                <c:pt idx="330">
                  <c:v>-224</c:v>
                </c:pt>
                <c:pt idx="331">
                  <c:v>-224</c:v>
                </c:pt>
                <c:pt idx="332">
                  <c:v>-224</c:v>
                </c:pt>
                <c:pt idx="333">
                  <c:v>-224</c:v>
                </c:pt>
                <c:pt idx="334">
                  <c:v>-224</c:v>
                </c:pt>
                <c:pt idx="335">
                  <c:v>-224</c:v>
                </c:pt>
                <c:pt idx="336">
                  <c:v>-224</c:v>
                </c:pt>
                <c:pt idx="337">
                  <c:v>-224</c:v>
                </c:pt>
                <c:pt idx="338">
                  <c:v>-224</c:v>
                </c:pt>
                <c:pt idx="339">
                  <c:v>-224</c:v>
                </c:pt>
                <c:pt idx="340">
                  <c:v>-224</c:v>
                </c:pt>
                <c:pt idx="341">
                  <c:v>-224</c:v>
                </c:pt>
                <c:pt idx="342">
                  <c:v>-224</c:v>
                </c:pt>
                <c:pt idx="343">
                  <c:v>-224</c:v>
                </c:pt>
                <c:pt idx="344">
                  <c:v>-224</c:v>
                </c:pt>
                <c:pt idx="345">
                  <c:v>-224</c:v>
                </c:pt>
                <c:pt idx="346">
                  <c:v>-224</c:v>
                </c:pt>
                <c:pt idx="347">
                  <c:v>-224</c:v>
                </c:pt>
                <c:pt idx="348">
                  <c:v>-224</c:v>
                </c:pt>
                <c:pt idx="349">
                  <c:v>-224</c:v>
                </c:pt>
                <c:pt idx="350">
                  <c:v>-224</c:v>
                </c:pt>
                <c:pt idx="351">
                  <c:v>-224</c:v>
                </c:pt>
                <c:pt idx="352">
                  <c:v>-224</c:v>
                </c:pt>
                <c:pt idx="353">
                  <c:v>-224</c:v>
                </c:pt>
                <c:pt idx="354">
                  <c:v>-224</c:v>
                </c:pt>
                <c:pt idx="355">
                  <c:v>-224</c:v>
                </c:pt>
                <c:pt idx="356">
                  <c:v>-224</c:v>
                </c:pt>
                <c:pt idx="357">
                  <c:v>-224</c:v>
                </c:pt>
                <c:pt idx="358">
                  <c:v>-224</c:v>
                </c:pt>
                <c:pt idx="359">
                  <c:v>-224</c:v>
                </c:pt>
                <c:pt idx="360">
                  <c:v>-224</c:v>
                </c:pt>
                <c:pt idx="361">
                  <c:v>-224</c:v>
                </c:pt>
                <c:pt idx="362">
                  <c:v>-224</c:v>
                </c:pt>
                <c:pt idx="363">
                  <c:v>-224</c:v>
                </c:pt>
                <c:pt idx="364">
                  <c:v>-224</c:v>
                </c:pt>
                <c:pt idx="365">
                  <c:v>-224</c:v>
                </c:pt>
                <c:pt idx="366">
                  <c:v>-224</c:v>
                </c:pt>
                <c:pt idx="367">
                  <c:v>-224</c:v>
                </c:pt>
                <c:pt idx="368">
                  <c:v>-224</c:v>
                </c:pt>
                <c:pt idx="369">
                  <c:v>-224</c:v>
                </c:pt>
                <c:pt idx="370">
                  <c:v>-224</c:v>
                </c:pt>
                <c:pt idx="371">
                  <c:v>-224</c:v>
                </c:pt>
                <c:pt idx="372">
                  <c:v>-224</c:v>
                </c:pt>
                <c:pt idx="373">
                  <c:v>-224</c:v>
                </c:pt>
                <c:pt idx="374">
                  <c:v>-224</c:v>
                </c:pt>
                <c:pt idx="375">
                  <c:v>-224</c:v>
                </c:pt>
                <c:pt idx="376">
                  <c:v>-224</c:v>
                </c:pt>
                <c:pt idx="377">
                  <c:v>-224</c:v>
                </c:pt>
                <c:pt idx="378">
                  <c:v>-224</c:v>
                </c:pt>
                <c:pt idx="379">
                  <c:v>-224</c:v>
                </c:pt>
                <c:pt idx="380">
                  <c:v>-224</c:v>
                </c:pt>
                <c:pt idx="381">
                  <c:v>-224</c:v>
                </c:pt>
                <c:pt idx="382">
                  <c:v>-224</c:v>
                </c:pt>
                <c:pt idx="383">
                  <c:v>-224</c:v>
                </c:pt>
                <c:pt idx="384">
                  <c:v>-224</c:v>
                </c:pt>
                <c:pt idx="385">
                  <c:v>-224</c:v>
                </c:pt>
                <c:pt idx="386">
                  <c:v>-224</c:v>
                </c:pt>
                <c:pt idx="387">
                  <c:v>-224</c:v>
                </c:pt>
                <c:pt idx="388">
                  <c:v>-224</c:v>
                </c:pt>
                <c:pt idx="389">
                  <c:v>-224</c:v>
                </c:pt>
                <c:pt idx="390">
                  <c:v>-224</c:v>
                </c:pt>
                <c:pt idx="391">
                  <c:v>-224</c:v>
                </c:pt>
                <c:pt idx="392">
                  <c:v>-224</c:v>
                </c:pt>
                <c:pt idx="393">
                  <c:v>-224</c:v>
                </c:pt>
                <c:pt idx="394">
                  <c:v>-224</c:v>
                </c:pt>
                <c:pt idx="395">
                  <c:v>-224</c:v>
                </c:pt>
                <c:pt idx="396">
                  <c:v>-224</c:v>
                </c:pt>
                <c:pt idx="397">
                  <c:v>-224</c:v>
                </c:pt>
                <c:pt idx="398">
                  <c:v>-224</c:v>
                </c:pt>
                <c:pt idx="399">
                  <c:v>-224</c:v>
                </c:pt>
                <c:pt idx="400">
                  <c:v>-224</c:v>
                </c:pt>
                <c:pt idx="401">
                  <c:v>-224</c:v>
                </c:pt>
                <c:pt idx="402">
                  <c:v>-224</c:v>
                </c:pt>
                <c:pt idx="403">
                  <c:v>-224</c:v>
                </c:pt>
                <c:pt idx="404">
                  <c:v>-224</c:v>
                </c:pt>
                <c:pt idx="405">
                  <c:v>-224</c:v>
                </c:pt>
                <c:pt idx="406">
                  <c:v>-224</c:v>
                </c:pt>
                <c:pt idx="407">
                  <c:v>-224</c:v>
                </c:pt>
                <c:pt idx="408">
                  <c:v>-224</c:v>
                </c:pt>
                <c:pt idx="409">
                  <c:v>-224</c:v>
                </c:pt>
                <c:pt idx="410">
                  <c:v>-224</c:v>
                </c:pt>
                <c:pt idx="411">
                  <c:v>-224</c:v>
                </c:pt>
                <c:pt idx="412">
                  <c:v>-224</c:v>
                </c:pt>
                <c:pt idx="413">
                  <c:v>-224</c:v>
                </c:pt>
                <c:pt idx="414">
                  <c:v>-224</c:v>
                </c:pt>
                <c:pt idx="415">
                  <c:v>-224</c:v>
                </c:pt>
                <c:pt idx="416">
                  <c:v>-224</c:v>
                </c:pt>
                <c:pt idx="417">
                  <c:v>-224</c:v>
                </c:pt>
                <c:pt idx="418">
                  <c:v>-224</c:v>
                </c:pt>
                <c:pt idx="419">
                  <c:v>-224</c:v>
                </c:pt>
                <c:pt idx="420">
                  <c:v>-224</c:v>
                </c:pt>
                <c:pt idx="421">
                  <c:v>-224</c:v>
                </c:pt>
                <c:pt idx="422">
                  <c:v>-224</c:v>
                </c:pt>
                <c:pt idx="423">
                  <c:v>-234</c:v>
                </c:pt>
                <c:pt idx="424">
                  <c:v>-243.99999999999997</c:v>
                </c:pt>
                <c:pt idx="425">
                  <c:v>-254</c:v>
                </c:pt>
                <c:pt idx="426">
                  <c:v>-261</c:v>
                </c:pt>
                <c:pt idx="427">
                  <c:v>-271</c:v>
                </c:pt>
                <c:pt idx="428">
                  <c:v>-281</c:v>
                </c:pt>
                <c:pt idx="429">
                  <c:v>-288.00000000000006</c:v>
                </c:pt>
                <c:pt idx="430">
                  <c:v>-295.00000000000006</c:v>
                </c:pt>
                <c:pt idx="431">
                  <c:v>-302.00000000000006</c:v>
                </c:pt>
                <c:pt idx="432">
                  <c:v>-312</c:v>
                </c:pt>
                <c:pt idx="433">
                  <c:v>-322</c:v>
                </c:pt>
                <c:pt idx="434">
                  <c:v>-329</c:v>
                </c:pt>
                <c:pt idx="435">
                  <c:v>-336</c:v>
                </c:pt>
                <c:pt idx="436">
                  <c:v>-343</c:v>
                </c:pt>
                <c:pt idx="437">
                  <c:v>-353.00000000000006</c:v>
                </c:pt>
                <c:pt idx="438">
                  <c:v>-361.00000000000006</c:v>
                </c:pt>
                <c:pt idx="439">
                  <c:v>-369</c:v>
                </c:pt>
                <c:pt idx="440">
                  <c:v>-378</c:v>
                </c:pt>
                <c:pt idx="441">
                  <c:v>-388</c:v>
                </c:pt>
                <c:pt idx="442">
                  <c:v>-397</c:v>
                </c:pt>
                <c:pt idx="443">
                  <c:v>-405</c:v>
                </c:pt>
                <c:pt idx="444">
                  <c:v>-414.00000000000006</c:v>
                </c:pt>
                <c:pt idx="445">
                  <c:v>-422.00000000000006</c:v>
                </c:pt>
                <c:pt idx="446">
                  <c:v>-431</c:v>
                </c:pt>
                <c:pt idx="447">
                  <c:v>-439</c:v>
                </c:pt>
                <c:pt idx="448">
                  <c:v>-446</c:v>
                </c:pt>
                <c:pt idx="449">
                  <c:v>-455</c:v>
                </c:pt>
                <c:pt idx="450">
                  <c:v>-461</c:v>
                </c:pt>
                <c:pt idx="451">
                  <c:v>-470.00000000000006</c:v>
                </c:pt>
                <c:pt idx="452">
                  <c:v>-476.00000000000006</c:v>
                </c:pt>
                <c:pt idx="453">
                  <c:v>-483.00000000000006</c:v>
                </c:pt>
                <c:pt idx="454">
                  <c:v>-492.00000000000006</c:v>
                </c:pt>
                <c:pt idx="455">
                  <c:v>-497.00000000000006</c:v>
                </c:pt>
                <c:pt idx="456">
                  <c:v>-504</c:v>
                </c:pt>
                <c:pt idx="457">
                  <c:v>-513</c:v>
                </c:pt>
                <c:pt idx="458">
                  <c:v>-519</c:v>
                </c:pt>
                <c:pt idx="459">
                  <c:v>-525.99999999999989</c:v>
                </c:pt>
                <c:pt idx="460">
                  <c:v>-532.99999999999989</c:v>
                </c:pt>
                <c:pt idx="461">
                  <c:v>-538.99999999999989</c:v>
                </c:pt>
                <c:pt idx="462">
                  <c:v>-544.99999999999989</c:v>
                </c:pt>
                <c:pt idx="463">
                  <c:v>-552.99999999999989</c:v>
                </c:pt>
                <c:pt idx="464">
                  <c:v>-559.99999999999989</c:v>
                </c:pt>
                <c:pt idx="465">
                  <c:v>-569</c:v>
                </c:pt>
                <c:pt idx="466">
                  <c:v>-571</c:v>
                </c:pt>
                <c:pt idx="467">
                  <c:v>-580</c:v>
                </c:pt>
                <c:pt idx="468">
                  <c:v>-588</c:v>
                </c:pt>
                <c:pt idx="469">
                  <c:v>-595</c:v>
                </c:pt>
                <c:pt idx="470">
                  <c:v>-602</c:v>
                </c:pt>
                <c:pt idx="471">
                  <c:v>-608</c:v>
                </c:pt>
                <c:pt idx="472">
                  <c:v>-614</c:v>
                </c:pt>
                <c:pt idx="473">
                  <c:v>-622</c:v>
                </c:pt>
                <c:pt idx="474">
                  <c:v>-629</c:v>
                </c:pt>
                <c:pt idx="475">
                  <c:v>-638</c:v>
                </c:pt>
                <c:pt idx="476">
                  <c:v>-638</c:v>
                </c:pt>
                <c:pt idx="477">
                  <c:v>-638</c:v>
                </c:pt>
                <c:pt idx="478">
                  <c:v>-638</c:v>
                </c:pt>
                <c:pt idx="479">
                  <c:v>-640</c:v>
                </c:pt>
                <c:pt idx="480">
                  <c:v>-640</c:v>
                </c:pt>
                <c:pt idx="481">
                  <c:v>-640</c:v>
                </c:pt>
                <c:pt idx="482">
                  <c:v>-640</c:v>
                </c:pt>
                <c:pt idx="483">
                  <c:v>-640</c:v>
                </c:pt>
                <c:pt idx="484">
                  <c:v>-640</c:v>
                </c:pt>
                <c:pt idx="485">
                  <c:v>-640</c:v>
                </c:pt>
                <c:pt idx="486">
                  <c:v>-641</c:v>
                </c:pt>
                <c:pt idx="487">
                  <c:v>-641</c:v>
                </c:pt>
                <c:pt idx="488">
                  <c:v>-641</c:v>
                </c:pt>
                <c:pt idx="489">
                  <c:v>-641</c:v>
                </c:pt>
                <c:pt idx="490">
                  <c:v>-641</c:v>
                </c:pt>
                <c:pt idx="491">
                  <c:v>-641</c:v>
                </c:pt>
                <c:pt idx="492">
                  <c:v>-641</c:v>
                </c:pt>
                <c:pt idx="493">
                  <c:v>-641</c:v>
                </c:pt>
                <c:pt idx="494">
                  <c:v>-642</c:v>
                </c:pt>
                <c:pt idx="495">
                  <c:v>-642</c:v>
                </c:pt>
                <c:pt idx="496">
                  <c:v>-642</c:v>
                </c:pt>
                <c:pt idx="497">
                  <c:v>-642</c:v>
                </c:pt>
                <c:pt idx="498">
                  <c:v>-644</c:v>
                </c:pt>
                <c:pt idx="499">
                  <c:v>-644</c:v>
                </c:pt>
                <c:pt idx="500">
                  <c:v>-644</c:v>
                </c:pt>
                <c:pt idx="501">
                  <c:v>-644</c:v>
                </c:pt>
                <c:pt idx="502">
                  <c:v>-644</c:v>
                </c:pt>
                <c:pt idx="503">
                  <c:v>-645</c:v>
                </c:pt>
                <c:pt idx="504">
                  <c:v>-645</c:v>
                </c:pt>
                <c:pt idx="505">
                  <c:v>-645</c:v>
                </c:pt>
                <c:pt idx="506">
                  <c:v>-645</c:v>
                </c:pt>
                <c:pt idx="507">
                  <c:v>-646</c:v>
                </c:pt>
                <c:pt idx="508">
                  <c:v>-646</c:v>
                </c:pt>
                <c:pt idx="509">
                  <c:v>-646</c:v>
                </c:pt>
                <c:pt idx="510">
                  <c:v>-646</c:v>
                </c:pt>
                <c:pt idx="511">
                  <c:v>-646</c:v>
                </c:pt>
                <c:pt idx="512">
                  <c:v>-646</c:v>
                </c:pt>
                <c:pt idx="513">
                  <c:v>-646</c:v>
                </c:pt>
                <c:pt idx="514">
                  <c:v>-646</c:v>
                </c:pt>
                <c:pt idx="515">
                  <c:v>-646</c:v>
                </c:pt>
                <c:pt idx="516">
                  <c:v>-646</c:v>
                </c:pt>
                <c:pt idx="517">
                  <c:v>-646</c:v>
                </c:pt>
                <c:pt idx="518">
                  <c:v>-647.99999999999989</c:v>
                </c:pt>
                <c:pt idx="519">
                  <c:v>-647.99999999999989</c:v>
                </c:pt>
                <c:pt idx="520">
                  <c:v>-649.99999999999989</c:v>
                </c:pt>
                <c:pt idx="521">
                  <c:v>-649.99999999999989</c:v>
                </c:pt>
                <c:pt idx="522">
                  <c:v>-649.99999999999989</c:v>
                </c:pt>
                <c:pt idx="523">
                  <c:v>-649.99999999999989</c:v>
                </c:pt>
                <c:pt idx="524">
                  <c:v>-649.99999999999989</c:v>
                </c:pt>
                <c:pt idx="525">
                  <c:v>-651.99999999999989</c:v>
                </c:pt>
                <c:pt idx="526">
                  <c:v>-651.99999999999989</c:v>
                </c:pt>
                <c:pt idx="527">
                  <c:v>-651.99999999999989</c:v>
                </c:pt>
                <c:pt idx="528">
                  <c:v>-651.99999999999989</c:v>
                </c:pt>
                <c:pt idx="529">
                  <c:v>-651.99999999999989</c:v>
                </c:pt>
                <c:pt idx="530">
                  <c:v>-651.99999999999989</c:v>
                </c:pt>
                <c:pt idx="531">
                  <c:v>-651.99999999999989</c:v>
                </c:pt>
                <c:pt idx="532">
                  <c:v>-651.99999999999989</c:v>
                </c:pt>
                <c:pt idx="533">
                  <c:v>-651.99999999999989</c:v>
                </c:pt>
                <c:pt idx="534">
                  <c:v>-651.99999999999989</c:v>
                </c:pt>
                <c:pt idx="535">
                  <c:v>-652.99999999999989</c:v>
                </c:pt>
                <c:pt idx="536">
                  <c:v>-652.99999999999989</c:v>
                </c:pt>
                <c:pt idx="537">
                  <c:v>-652.99999999999989</c:v>
                </c:pt>
                <c:pt idx="538">
                  <c:v>-652.99999999999989</c:v>
                </c:pt>
                <c:pt idx="539">
                  <c:v>-652.99999999999989</c:v>
                </c:pt>
                <c:pt idx="540">
                  <c:v>-652.99999999999989</c:v>
                </c:pt>
                <c:pt idx="541">
                  <c:v>-652.99999999999989</c:v>
                </c:pt>
                <c:pt idx="542">
                  <c:v>-652.99999999999989</c:v>
                </c:pt>
                <c:pt idx="543">
                  <c:v>-652.99999999999989</c:v>
                </c:pt>
                <c:pt idx="544">
                  <c:v>-652.99999999999989</c:v>
                </c:pt>
                <c:pt idx="545">
                  <c:v>-652.99999999999989</c:v>
                </c:pt>
                <c:pt idx="546">
                  <c:v>-652.99999999999989</c:v>
                </c:pt>
                <c:pt idx="547">
                  <c:v>-652.99999999999989</c:v>
                </c:pt>
                <c:pt idx="548">
                  <c:v>-652.99999999999989</c:v>
                </c:pt>
                <c:pt idx="549">
                  <c:v>-652.99999999999989</c:v>
                </c:pt>
                <c:pt idx="550">
                  <c:v>-652.99999999999989</c:v>
                </c:pt>
                <c:pt idx="551">
                  <c:v>-652.99999999999989</c:v>
                </c:pt>
                <c:pt idx="552">
                  <c:v>-652.99999999999989</c:v>
                </c:pt>
                <c:pt idx="553">
                  <c:v>-652.99999999999989</c:v>
                </c:pt>
                <c:pt idx="554">
                  <c:v>-652.99999999999989</c:v>
                </c:pt>
                <c:pt idx="555">
                  <c:v>-652.99999999999989</c:v>
                </c:pt>
                <c:pt idx="556">
                  <c:v>-652.99999999999989</c:v>
                </c:pt>
                <c:pt idx="557">
                  <c:v>-652.99999999999989</c:v>
                </c:pt>
                <c:pt idx="558">
                  <c:v>-652.99999999999989</c:v>
                </c:pt>
                <c:pt idx="559">
                  <c:v>-652.99999999999989</c:v>
                </c:pt>
                <c:pt idx="560">
                  <c:v>-652.99999999999989</c:v>
                </c:pt>
                <c:pt idx="561">
                  <c:v>-652.99999999999989</c:v>
                </c:pt>
                <c:pt idx="562">
                  <c:v>-654.99999999999989</c:v>
                </c:pt>
                <c:pt idx="563">
                  <c:v>-654.99999999999989</c:v>
                </c:pt>
                <c:pt idx="564">
                  <c:v>-654.99999999999989</c:v>
                </c:pt>
                <c:pt idx="565">
                  <c:v>-654.99999999999989</c:v>
                </c:pt>
                <c:pt idx="566">
                  <c:v>-654.99999999999989</c:v>
                </c:pt>
                <c:pt idx="567">
                  <c:v>-654.99999999999989</c:v>
                </c:pt>
                <c:pt idx="568">
                  <c:v>-655.99999999999989</c:v>
                </c:pt>
                <c:pt idx="569">
                  <c:v>-655.99999999999989</c:v>
                </c:pt>
                <c:pt idx="570">
                  <c:v>-655.99999999999989</c:v>
                </c:pt>
                <c:pt idx="571">
                  <c:v>-655.99999999999989</c:v>
                </c:pt>
                <c:pt idx="572">
                  <c:v>-655.99999999999989</c:v>
                </c:pt>
                <c:pt idx="573">
                  <c:v>-655.99999999999989</c:v>
                </c:pt>
                <c:pt idx="574">
                  <c:v>-655.99999999999989</c:v>
                </c:pt>
                <c:pt idx="575">
                  <c:v>-655.99999999999989</c:v>
                </c:pt>
                <c:pt idx="576">
                  <c:v>-655.99999999999989</c:v>
                </c:pt>
                <c:pt idx="577">
                  <c:v>-655.99999999999989</c:v>
                </c:pt>
                <c:pt idx="578">
                  <c:v>-656.99999999999989</c:v>
                </c:pt>
                <c:pt idx="579">
                  <c:v>-656.99999999999989</c:v>
                </c:pt>
                <c:pt idx="580">
                  <c:v>-656.99999999999989</c:v>
                </c:pt>
                <c:pt idx="581">
                  <c:v>-656.99999999999989</c:v>
                </c:pt>
                <c:pt idx="582">
                  <c:v>-656.99999999999989</c:v>
                </c:pt>
                <c:pt idx="583">
                  <c:v>-656.99999999999989</c:v>
                </c:pt>
                <c:pt idx="584">
                  <c:v>-658.99999999999989</c:v>
                </c:pt>
                <c:pt idx="585">
                  <c:v>-658.99999999999989</c:v>
                </c:pt>
                <c:pt idx="586">
                  <c:v>-658.99999999999989</c:v>
                </c:pt>
                <c:pt idx="587">
                  <c:v>-658.99999999999989</c:v>
                </c:pt>
                <c:pt idx="588">
                  <c:v>-658.99999999999989</c:v>
                </c:pt>
                <c:pt idx="589">
                  <c:v>-660.99999999999989</c:v>
                </c:pt>
                <c:pt idx="590">
                  <c:v>-660.99999999999989</c:v>
                </c:pt>
                <c:pt idx="591">
                  <c:v>-660.99999999999989</c:v>
                </c:pt>
                <c:pt idx="592">
                  <c:v>-660.99999999999989</c:v>
                </c:pt>
                <c:pt idx="593">
                  <c:v>-662.99999999999989</c:v>
                </c:pt>
                <c:pt idx="594">
                  <c:v>-662.99999999999989</c:v>
                </c:pt>
                <c:pt idx="595">
                  <c:v>-662.99999999999989</c:v>
                </c:pt>
                <c:pt idx="596">
                  <c:v>-662.99999999999989</c:v>
                </c:pt>
                <c:pt idx="597">
                  <c:v>-662.99999999999989</c:v>
                </c:pt>
                <c:pt idx="598">
                  <c:v>-663.99999999999989</c:v>
                </c:pt>
                <c:pt idx="599">
                  <c:v>-663.99999999999989</c:v>
                </c:pt>
                <c:pt idx="600">
                  <c:v>-665.99999999999989</c:v>
                </c:pt>
                <c:pt idx="601">
                  <c:v>-665.99999999999989</c:v>
                </c:pt>
                <c:pt idx="602">
                  <c:v>-665.99999999999989</c:v>
                </c:pt>
                <c:pt idx="603">
                  <c:v>-665.99999999999989</c:v>
                </c:pt>
                <c:pt idx="604">
                  <c:v>-665.99999999999989</c:v>
                </c:pt>
                <c:pt idx="605">
                  <c:v>-665.99999999999989</c:v>
                </c:pt>
                <c:pt idx="606">
                  <c:v>-665.99999999999989</c:v>
                </c:pt>
                <c:pt idx="607">
                  <c:v>-667.99999999999989</c:v>
                </c:pt>
                <c:pt idx="608">
                  <c:v>-667.99999999999989</c:v>
                </c:pt>
                <c:pt idx="609">
                  <c:v>-667.99999999999989</c:v>
                </c:pt>
                <c:pt idx="610">
                  <c:v>-667.99999999999989</c:v>
                </c:pt>
                <c:pt idx="611">
                  <c:v>-667.99999999999989</c:v>
                </c:pt>
                <c:pt idx="612">
                  <c:v>-667.99999999999989</c:v>
                </c:pt>
                <c:pt idx="613">
                  <c:v>-667.99999999999989</c:v>
                </c:pt>
                <c:pt idx="614">
                  <c:v>-668.99999999999989</c:v>
                </c:pt>
                <c:pt idx="615">
                  <c:v>-668.99999999999989</c:v>
                </c:pt>
                <c:pt idx="616">
                  <c:v>-668.99999999999989</c:v>
                </c:pt>
                <c:pt idx="617">
                  <c:v>-668.99999999999989</c:v>
                </c:pt>
                <c:pt idx="618">
                  <c:v>-670.99999999999989</c:v>
                </c:pt>
                <c:pt idx="619">
                  <c:v>-670.99999999999989</c:v>
                </c:pt>
                <c:pt idx="620">
                  <c:v>-670.99999999999989</c:v>
                </c:pt>
                <c:pt idx="621">
                  <c:v>-670.99999999999989</c:v>
                </c:pt>
                <c:pt idx="622">
                  <c:v>-671.99999999999989</c:v>
                </c:pt>
                <c:pt idx="623">
                  <c:v>-671.99999999999989</c:v>
                </c:pt>
                <c:pt idx="624">
                  <c:v>-671.99999999999989</c:v>
                </c:pt>
                <c:pt idx="625">
                  <c:v>-671.99999999999989</c:v>
                </c:pt>
                <c:pt idx="626">
                  <c:v>-671.99999999999989</c:v>
                </c:pt>
                <c:pt idx="627">
                  <c:v>-671.99999999999989</c:v>
                </c:pt>
                <c:pt idx="628">
                  <c:v>-671.99999999999989</c:v>
                </c:pt>
                <c:pt idx="629">
                  <c:v>-672.99999999999989</c:v>
                </c:pt>
                <c:pt idx="630">
                  <c:v>-672.99999999999989</c:v>
                </c:pt>
                <c:pt idx="631">
                  <c:v>-672.99999999999989</c:v>
                </c:pt>
                <c:pt idx="632">
                  <c:v>-672.99999999999989</c:v>
                </c:pt>
                <c:pt idx="633">
                  <c:v>-672.99999999999989</c:v>
                </c:pt>
                <c:pt idx="634">
                  <c:v>-672.99999999999989</c:v>
                </c:pt>
                <c:pt idx="635">
                  <c:v>-672.99999999999989</c:v>
                </c:pt>
                <c:pt idx="636">
                  <c:v>-674.99999999999989</c:v>
                </c:pt>
                <c:pt idx="637">
                  <c:v>-674.99999999999989</c:v>
                </c:pt>
                <c:pt idx="638">
                  <c:v>-674.99999999999989</c:v>
                </c:pt>
                <c:pt idx="639">
                  <c:v>-674.99999999999989</c:v>
                </c:pt>
                <c:pt idx="640">
                  <c:v>-674.99999999999989</c:v>
                </c:pt>
                <c:pt idx="641">
                  <c:v>-674.99999999999989</c:v>
                </c:pt>
                <c:pt idx="642">
                  <c:v>-674.99999999999989</c:v>
                </c:pt>
                <c:pt idx="643">
                  <c:v>-679.99999999999989</c:v>
                </c:pt>
                <c:pt idx="644">
                  <c:v>-686</c:v>
                </c:pt>
                <c:pt idx="645">
                  <c:v>-693</c:v>
                </c:pt>
                <c:pt idx="646">
                  <c:v>-702</c:v>
                </c:pt>
                <c:pt idx="647">
                  <c:v>-708</c:v>
                </c:pt>
                <c:pt idx="648">
                  <c:v>-716</c:v>
                </c:pt>
                <c:pt idx="649">
                  <c:v>-722</c:v>
                </c:pt>
                <c:pt idx="650">
                  <c:v>-731</c:v>
                </c:pt>
                <c:pt idx="651">
                  <c:v>-740</c:v>
                </c:pt>
                <c:pt idx="652">
                  <c:v>-749</c:v>
                </c:pt>
                <c:pt idx="653">
                  <c:v>-754</c:v>
                </c:pt>
                <c:pt idx="654">
                  <c:v>-762</c:v>
                </c:pt>
                <c:pt idx="655">
                  <c:v>-769</c:v>
                </c:pt>
                <c:pt idx="656">
                  <c:v>-774.99999999999989</c:v>
                </c:pt>
                <c:pt idx="657">
                  <c:v>-782.99999999999989</c:v>
                </c:pt>
                <c:pt idx="658">
                  <c:v>-790.99999999999989</c:v>
                </c:pt>
                <c:pt idx="659">
                  <c:v>-800.99999999999989</c:v>
                </c:pt>
                <c:pt idx="660">
                  <c:v>-809.99999999999989</c:v>
                </c:pt>
                <c:pt idx="661">
                  <c:v>-820</c:v>
                </c:pt>
                <c:pt idx="662">
                  <c:v>-826</c:v>
                </c:pt>
                <c:pt idx="663">
                  <c:v>-835</c:v>
                </c:pt>
                <c:pt idx="664">
                  <c:v>-845</c:v>
                </c:pt>
                <c:pt idx="665">
                  <c:v>-854</c:v>
                </c:pt>
                <c:pt idx="666">
                  <c:v>-864</c:v>
                </c:pt>
                <c:pt idx="667">
                  <c:v>-871</c:v>
                </c:pt>
                <c:pt idx="668">
                  <c:v>-881</c:v>
                </c:pt>
                <c:pt idx="669">
                  <c:v>-887</c:v>
                </c:pt>
                <c:pt idx="670">
                  <c:v>-897</c:v>
                </c:pt>
                <c:pt idx="671">
                  <c:v>-904.99999999999989</c:v>
                </c:pt>
                <c:pt idx="672">
                  <c:v>-914.99999999999989</c:v>
                </c:pt>
                <c:pt idx="673">
                  <c:v>-924.99999999999989</c:v>
                </c:pt>
                <c:pt idx="674">
                  <c:v>-933.99999999999989</c:v>
                </c:pt>
                <c:pt idx="675">
                  <c:v>-944</c:v>
                </c:pt>
                <c:pt idx="676">
                  <c:v>-950</c:v>
                </c:pt>
                <c:pt idx="677">
                  <c:v>-958</c:v>
                </c:pt>
                <c:pt idx="678">
                  <c:v>-964.99999999999989</c:v>
                </c:pt>
                <c:pt idx="679">
                  <c:v>-974.99999999999989</c:v>
                </c:pt>
                <c:pt idx="680">
                  <c:v>-984</c:v>
                </c:pt>
                <c:pt idx="681">
                  <c:v>-1010</c:v>
                </c:pt>
                <c:pt idx="682">
                  <c:v>-1044</c:v>
                </c:pt>
                <c:pt idx="683">
                  <c:v>-1069</c:v>
                </c:pt>
                <c:pt idx="684">
                  <c:v>-1101</c:v>
                </c:pt>
                <c:pt idx="685">
                  <c:v>-1113.9999999999998</c:v>
                </c:pt>
                <c:pt idx="686">
                  <c:v>-1132</c:v>
                </c:pt>
                <c:pt idx="687">
                  <c:v>-1150</c:v>
                </c:pt>
                <c:pt idx="688">
                  <c:v>-1168</c:v>
                </c:pt>
                <c:pt idx="689">
                  <c:v>-1190</c:v>
                </c:pt>
                <c:pt idx="690">
                  <c:v>-1210</c:v>
                </c:pt>
                <c:pt idx="691">
                  <c:v>-1228</c:v>
                </c:pt>
                <c:pt idx="692">
                  <c:v>-1242</c:v>
                </c:pt>
                <c:pt idx="693">
                  <c:v>-1256</c:v>
                </c:pt>
                <c:pt idx="694">
                  <c:v>-1269</c:v>
                </c:pt>
                <c:pt idx="695">
                  <c:v>-1282</c:v>
                </c:pt>
                <c:pt idx="696">
                  <c:v>-1294</c:v>
                </c:pt>
                <c:pt idx="697">
                  <c:v>-1304</c:v>
                </c:pt>
                <c:pt idx="698">
                  <c:v>-1311</c:v>
                </c:pt>
                <c:pt idx="699">
                  <c:v>-1318</c:v>
                </c:pt>
                <c:pt idx="700">
                  <c:v>-1323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D7-499C-8580-F28CB88B9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'SL.115+740'!$C$12:$C$13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'SL.115+740'!$A$14:$A$6709</c:f>
              <c:numCache>
                <c:formatCode>dd/mm/yyyy;@</c:formatCode>
                <c:ptCount val="6696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'SL.115+740'!$C$14:$C$6709</c:f>
              <c:numCache>
                <c:formatCode>0.000</c:formatCode>
                <c:ptCount val="6696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9.2999999999999999E-2</c:v>
                </c:pt>
                <c:pt idx="14">
                  <c:v>8.8999999999999996E-2</c:v>
                </c:pt>
                <c:pt idx="15">
                  <c:v>8.6999999999999994E-2</c:v>
                </c:pt>
                <c:pt idx="16">
                  <c:v>8.5999999999999993E-2</c:v>
                </c:pt>
                <c:pt idx="17">
                  <c:v>0.38</c:v>
                </c:pt>
                <c:pt idx="18">
                  <c:v>0.373</c:v>
                </c:pt>
                <c:pt idx="19">
                  <c:v>0.36399999999999999</c:v>
                </c:pt>
                <c:pt idx="20">
                  <c:v>0.35599999999999998</c:v>
                </c:pt>
                <c:pt idx="21">
                  <c:v>0.64800000000000002</c:v>
                </c:pt>
                <c:pt idx="22">
                  <c:v>0.64300000000000002</c:v>
                </c:pt>
                <c:pt idx="23">
                  <c:v>0.63800000000000001</c:v>
                </c:pt>
                <c:pt idx="24">
                  <c:v>0.63300000000000001</c:v>
                </c:pt>
                <c:pt idx="25">
                  <c:v>0.92500000000000004</c:v>
                </c:pt>
                <c:pt idx="26">
                  <c:v>0.92300000000000004</c:v>
                </c:pt>
                <c:pt idx="27">
                  <c:v>0.91900000000000004</c:v>
                </c:pt>
                <c:pt idx="28">
                  <c:v>0.91700000000000004</c:v>
                </c:pt>
                <c:pt idx="29">
                  <c:v>0.91600000000000004</c:v>
                </c:pt>
                <c:pt idx="30">
                  <c:v>0.91300000000000003</c:v>
                </c:pt>
                <c:pt idx="31">
                  <c:v>0.91100000000000003</c:v>
                </c:pt>
                <c:pt idx="32">
                  <c:v>0.90800000000000003</c:v>
                </c:pt>
                <c:pt idx="33">
                  <c:v>0.90600000000000003</c:v>
                </c:pt>
                <c:pt idx="34">
                  <c:v>0.90500000000000003</c:v>
                </c:pt>
                <c:pt idx="35">
                  <c:v>0.90300000000000002</c:v>
                </c:pt>
                <c:pt idx="36">
                  <c:v>0.90100000000000002</c:v>
                </c:pt>
                <c:pt idx="37">
                  <c:v>0.89900000000000002</c:v>
                </c:pt>
                <c:pt idx="38">
                  <c:v>0.89700000000000002</c:v>
                </c:pt>
                <c:pt idx="39">
                  <c:v>0.89700000000000002</c:v>
                </c:pt>
                <c:pt idx="40">
                  <c:v>0.89700000000000002</c:v>
                </c:pt>
                <c:pt idx="41">
                  <c:v>0.89700000000000002</c:v>
                </c:pt>
                <c:pt idx="42">
                  <c:v>0.89700000000000002</c:v>
                </c:pt>
                <c:pt idx="43">
                  <c:v>0.89700000000000002</c:v>
                </c:pt>
                <c:pt idx="44">
                  <c:v>0.89700000000000002</c:v>
                </c:pt>
                <c:pt idx="45">
                  <c:v>0.89700000000000002</c:v>
                </c:pt>
                <c:pt idx="46">
                  <c:v>0.89700000000000002</c:v>
                </c:pt>
                <c:pt idx="47">
                  <c:v>0.89700000000000002</c:v>
                </c:pt>
                <c:pt idx="48">
                  <c:v>0.89700000000000002</c:v>
                </c:pt>
                <c:pt idx="49">
                  <c:v>0.89700000000000002</c:v>
                </c:pt>
                <c:pt idx="50">
                  <c:v>0.89700000000000002</c:v>
                </c:pt>
                <c:pt idx="51">
                  <c:v>0.89700000000000002</c:v>
                </c:pt>
                <c:pt idx="52">
                  <c:v>0.89700000000000002</c:v>
                </c:pt>
                <c:pt idx="53">
                  <c:v>0.89700000000000002</c:v>
                </c:pt>
                <c:pt idx="54">
                  <c:v>0.89700000000000002</c:v>
                </c:pt>
                <c:pt idx="55">
                  <c:v>0.89700000000000002</c:v>
                </c:pt>
                <c:pt idx="56">
                  <c:v>0.89700000000000002</c:v>
                </c:pt>
                <c:pt idx="57">
                  <c:v>0.89700000000000002</c:v>
                </c:pt>
                <c:pt idx="58">
                  <c:v>0.89700000000000002</c:v>
                </c:pt>
                <c:pt idx="59">
                  <c:v>0.89700000000000002</c:v>
                </c:pt>
                <c:pt idx="60">
                  <c:v>0.89700000000000002</c:v>
                </c:pt>
                <c:pt idx="61">
                  <c:v>0.89700000000000002</c:v>
                </c:pt>
                <c:pt idx="62">
                  <c:v>0.89700000000000002</c:v>
                </c:pt>
                <c:pt idx="63">
                  <c:v>0.89700000000000002</c:v>
                </c:pt>
                <c:pt idx="64">
                  <c:v>0.89700000000000002</c:v>
                </c:pt>
                <c:pt idx="65">
                  <c:v>0.89700000000000002</c:v>
                </c:pt>
                <c:pt idx="66">
                  <c:v>0.89700000000000002</c:v>
                </c:pt>
                <c:pt idx="67">
                  <c:v>0.89700000000000002</c:v>
                </c:pt>
                <c:pt idx="68">
                  <c:v>0.89700000000000002</c:v>
                </c:pt>
                <c:pt idx="69">
                  <c:v>0.89700000000000002</c:v>
                </c:pt>
                <c:pt idx="70">
                  <c:v>0.89700000000000002</c:v>
                </c:pt>
                <c:pt idx="71">
                  <c:v>0.89700000000000002</c:v>
                </c:pt>
                <c:pt idx="72">
                  <c:v>0.89700000000000002</c:v>
                </c:pt>
                <c:pt idx="73">
                  <c:v>0.89700000000000002</c:v>
                </c:pt>
                <c:pt idx="74">
                  <c:v>0.89700000000000002</c:v>
                </c:pt>
                <c:pt idx="75">
                  <c:v>0.89700000000000002</c:v>
                </c:pt>
                <c:pt idx="76">
                  <c:v>0.89700000000000002</c:v>
                </c:pt>
                <c:pt idx="77">
                  <c:v>0.89700000000000002</c:v>
                </c:pt>
                <c:pt idx="78">
                  <c:v>0.89700000000000002</c:v>
                </c:pt>
                <c:pt idx="79">
                  <c:v>0.89700000000000002</c:v>
                </c:pt>
                <c:pt idx="80">
                  <c:v>0.89700000000000002</c:v>
                </c:pt>
                <c:pt idx="81">
                  <c:v>0.89700000000000002</c:v>
                </c:pt>
                <c:pt idx="82">
                  <c:v>0.89700000000000002</c:v>
                </c:pt>
                <c:pt idx="83">
                  <c:v>0.89700000000000002</c:v>
                </c:pt>
                <c:pt idx="84">
                  <c:v>0.89700000000000002</c:v>
                </c:pt>
                <c:pt idx="85">
                  <c:v>0.89700000000000002</c:v>
                </c:pt>
                <c:pt idx="86">
                  <c:v>0.89700000000000002</c:v>
                </c:pt>
                <c:pt idx="87">
                  <c:v>0.89700000000000002</c:v>
                </c:pt>
                <c:pt idx="88">
                  <c:v>0.89700000000000002</c:v>
                </c:pt>
                <c:pt idx="89">
                  <c:v>0.89700000000000002</c:v>
                </c:pt>
                <c:pt idx="90">
                  <c:v>0.89700000000000002</c:v>
                </c:pt>
                <c:pt idx="91">
                  <c:v>0.89700000000000002</c:v>
                </c:pt>
                <c:pt idx="92">
                  <c:v>0.89700000000000002</c:v>
                </c:pt>
                <c:pt idx="93">
                  <c:v>0.89700000000000002</c:v>
                </c:pt>
                <c:pt idx="94">
                  <c:v>0.89700000000000002</c:v>
                </c:pt>
                <c:pt idx="95">
                  <c:v>0.89700000000000002</c:v>
                </c:pt>
                <c:pt idx="96">
                  <c:v>0.89700000000000002</c:v>
                </c:pt>
                <c:pt idx="97">
                  <c:v>0.89700000000000002</c:v>
                </c:pt>
                <c:pt idx="98">
                  <c:v>0.89700000000000002</c:v>
                </c:pt>
                <c:pt idx="99">
                  <c:v>0.89700000000000002</c:v>
                </c:pt>
                <c:pt idx="100">
                  <c:v>0.89700000000000002</c:v>
                </c:pt>
                <c:pt idx="101">
                  <c:v>0.89700000000000002</c:v>
                </c:pt>
                <c:pt idx="102">
                  <c:v>0.89700000000000002</c:v>
                </c:pt>
                <c:pt idx="103">
                  <c:v>0.89700000000000002</c:v>
                </c:pt>
                <c:pt idx="104">
                  <c:v>0.89700000000000002</c:v>
                </c:pt>
                <c:pt idx="105">
                  <c:v>0.89700000000000002</c:v>
                </c:pt>
                <c:pt idx="106">
                  <c:v>0.89700000000000002</c:v>
                </c:pt>
                <c:pt idx="107">
                  <c:v>0.89700000000000002</c:v>
                </c:pt>
                <c:pt idx="108">
                  <c:v>0.89700000000000002</c:v>
                </c:pt>
                <c:pt idx="109">
                  <c:v>0.89700000000000002</c:v>
                </c:pt>
                <c:pt idx="110">
                  <c:v>0.89700000000000002</c:v>
                </c:pt>
                <c:pt idx="111">
                  <c:v>0.89700000000000002</c:v>
                </c:pt>
                <c:pt idx="112">
                  <c:v>0.89700000000000002</c:v>
                </c:pt>
                <c:pt idx="113">
                  <c:v>0.89700000000000002</c:v>
                </c:pt>
                <c:pt idx="114">
                  <c:v>0.89700000000000002</c:v>
                </c:pt>
                <c:pt idx="115">
                  <c:v>0.89700000000000002</c:v>
                </c:pt>
                <c:pt idx="116">
                  <c:v>0.89700000000000002</c:v>
                </c:pt>
                <c:pt idx="117">
                  <c:v>0.89700000000000002</c:v>
                </c:pt>
                <c:pt idx="118">
                  <c:v>0.89700000000000002</c:v>
                </c:pt>
                <c:pt idx="119">
                  <c:v>0.89700000000000002</c:v>
                </c:pt>
                <c:pt idx="120">
                  <c:v>0.89700000000000002</c:v>
                </c:pt>
                <c:pt idx="121">
                  <c:v>0.89700000000000002</c:v>
                </c:pt>
                <c:pt idx="122">
                  <c:v>0.89700000000000002</c:v>
                </c:pt>
                <c:pt idx="123">
                  <c:v>0.89700000000000002</c:v>
                </c:pt>
                <c:pt idx="124">
                  <c:v>0.89700000000000002</c:v>
                </c:pt>
                <c:pt idx="125">
                  <c:v>0.89700000000000002</c:v>
                </c:pt>
                <c:pt idx="126">
                  <c:v>0.89700000000000002</c:v>
                </c:pt>
                <c:pt idx="127">
                  <c:v>0.89700000000000002</c:v>
                </c:pt>
                <c:pt idx="128">
                  <c:v>0.89700000000000002</c:v>
                </c:pt>
                <c:pt idx="129">
                  <c:v>0.89700000000000002</c:v>
                </c:pt>
                <c:pt idx="130">
                  <c:v>0.89700000000000002</c:v>
                </c:pt>
                <c:pt idx="131">
                  <c:v>0.89700000000000002</c:v>
                </c:pt>
                <c:pt idx="132">
                  <c:v>0.89700000000000002</c:v>
                </c:pt>
                <c:pt idx="133">
                  <c:v>0.89700000000000002</c:v>
                </c:pt>
                <c:pt idx="134">
                  <c:v>0.89700000000000002</c:v>
                </c:pt>
                <c:pt idx="135">
                  <c:v>0.89700000000000002</c:v>
                </c:pt>
                <c:pt idx="136">
                  <c:v>0.89700000000000002</c:v>
                </c:pt>
                <c:pt idx="137">
                  <c:v>0.89700000000000002</c:v>
                </c:pt>
                <c:pt idx="138">
                  <c:v>0.89700000000000002</c:v>
                </c:pt>
                <c:pt idx="139">
                  <c:v>0.89700000000000002</c:v>
                </c:pt>
                <c:pt idx="140">
                  <c:v>0.89700000000000002</c:v>
                </c:pt>
                <c:pt idx="141">
                  <c:v>0.89700000000000002</c:v>
                </c:pt>
                <c:pt idx="142">
                  <c:v>0.89700000000000002</c:v>
                </c:pt>
                <c:pt idx="143">
                  <c:v>0.89700000000000002</c:v>
                </c:pt>
                <c:pt idx="144">
                  <c:v>0.89700000000000002</c:v>
                </c:pt>
                <c:pt idx="145">
                  <c:v>0.89700000000000002</c:v>
                </c:pt>
                <c:pt idx="146">
                  <c:v>0.89700000000000002</c:v>
                </c:pt>
                <c:pt idx="147">
                  <c:v>0.89700000000000002</c:v>
                </c:pt>
                <c:pt idx="148">
                  <c:v>0.89700000000000002</c:v>
                </c:pt>
                <c:pt idx="149">
                  <c:v>0.89700000000000002</c:v>
                </c:pt>
                <c:pt idx="150">
                  <c:v>0.89700000000000002</c:v>
                </c:pt>
                <c:pt idx="151">
                  <c:v>0.89700000000000002</c:v>
                </c:pt>
                <c:pt idx="152">
                  <c:v>0.89700000000000002</c:v>
                </c:pt>
                <c:pt idx="153">
                  <c:v>0.89700000000000002</c:v>
                </c:pt>
                <c:pt idx="154">
                  <c:v>0.89700000000000002</c:v>
                </c:pt>
                <c:pt idx="155">
                  <c:v>0.89700000000000002</c:v>
                </c:pt>
                <c:pt idx="156">
                  <c:v>0.89700000000000002</c:v>
                </c:pt>
                <c:pt idx="157">
                  <c:v>0.89700000000000002</c:v>
                </c:pt>
                <c:pt idx="158">
                  <c:v>0.89700000000000002</c:v>
                </c:pt>
                <c:pt idx="159">
                  <c:v>0.89700000000000002</c:v>
                </c:pt>
                <c:pt idx="160">
                  <c:v>0.89700000000000002</c:v>
                </c:pt>
                <c:pt idx="161">
                  <c:v>0.89700000000000002</c:v>
                </c:pt>
                <c:pt idx="162">
                  <c:v>0.89700000000000002</c:v>
                </c:pt>
                <c:pt idx="163">
                  <c:v>0.89700000000000002</c:v>
                </c:pt>
                <c:pt idx="164">
                  <c:v>0.89700000000000002</c:v>
                </c:pt>
                <c:pt idx="165">
                  <c:v>0.89700000000000002</c:v>
                </c:pt>
                <c:pt idx="166">
                  <c:v>0.89700000000000002</c:v>
                </c:pt>
                <c:pt idx="167">
                  <c:v>0.89700000000000002</c:v>
                </c:pt>
                <c:pt idx="168">
                  <c:v>0.89700000000000002</c:v>
                </c:pt>
                <c:pt idx="169">
                  <c:v>0.89700000000000002</c:v>
                </c:pt>
                <c:pt idx="170">
                  <c:v>0.89700000000000002</c:v>
                </c:pt>
                <c:pt idx="171">
                  <c:v>0.89700000000000002</c:v>
                </c:pt>
                <c:pt idx="172">
                  <c:v>0.89700000000000002</c:v>
                </c:pt>
                <c:pt idx="173">
                  <c:v>0.89700000000000002</c:v>
                </c:pt>
                <c:pt idx="174">
                  <c:v>0.89700000000000002</c:v>
                </c:pt>
                <c:pt idx="175">
                  <c:v>0.89700000000000002</c:v>
                </c:pt>
                <c:pt idx="176">
                  <c:v>0.89700000000000002</c:v>
                </c:pt>
                <c:pt idx="177">
                  <c:v>0.89700000000000002</c:v>
                </c:pt>
                <c:pt idx="178">
                  <c:v>0.89700000000000002</c:v>
                </c:pt>
                <c:pt idx="179">
                  <c:v>0.89700000000000002</c:v>
                </c:pt>
                <c:pt idx="180">
                  <c:v>0.89700000000000002</c:v>
                </c:pt>
                <c:pt idx="181">
                  <c:v>0.89700000000000002</c:v>
                </c:pt>
                <c:pt idx="182">
                  <c:v>0.89700000000000002</c:v>
                </c:pt>
                <c:pt idx="183">
                  <c:v>0.89700000000000002</c:v>
                </c:pt>
                <c:pt idx="184">
                  <c:v>0.89700000000000002</c:v>
                </c:pt>
                <c:pt idx="185">
                  <c:v>0.89700000000000002</c:v>
                </c:pt>
                <c:pt idx="186">
                  <c:v>0.89700000000000002</c:v>
                </c:pt>
                <c:pt idx="187">
                  <c:v>0.89700000000000002</c:v>
                </c:pt>
                <c:pt idx="188">
                  <c:v>0.89700000000000002</c:v>
                </c:pt>
                <c:pt idx="189">
                  <c:v>0.89700000000000002</c:v>
                </c:pt>
                <c:pt idx="190">
                  <c:v>0.89700000000000002</c:v>
                </c:pt>
                <c:pt idx="191">
                  <c:v>0.89700000000000002</c:v>
                </c:pt>
                <c:pt idx="192">
                  <c:v>0.89700000000000002</c:v>
                </c:pt>
                <c:pt idx="193">
                  <c:v>0.89700000000000002</c:v>
                </c:pt>
                <c:pt idx="194">
                  <c:v>0.89700000000000002</c:v>
                </c:pt>
                <c:pt idx="195">
                  <c:v>0.89700000000000002</c:v>
                </c:pt>
                <c:pt idx="196">
                  <c:v>0.89700000000000002</c:v>
                </c:pt>
                <c:pt idx="197">
                  <c:v>0.89700000000000002</c:v>
                </c:pt>
                <c:pt idx="198">
                  <c:v>0.89700000000000002</c:v>
                </c:pt>
                <c:pt idx="199">
                  <c:v>0.89700000000000002</c:v>
                </c:pt>
                <c:pt idx="200">
                  <c:v>0.89700000000000002</c:v>
                </c:pt>
                <c:pt idx="201">
                  <c:v>0.89700000000000002</c:v>
                </c:pt>
                <c:pt idx="202">
                  <c:v>0.89700000000000002</c:v>
                </c:pt>
                <c:pt idx="203">
                  <c:v>0.89700000000000002</c:v>
                </c:pt>
                <c:pt idx="204">
                  <c:v>0.89700000000000002</c:v>
                </c:pt>
                <c:pt idx="205">
                  <c:v>0.89700000000000002</c:v>
                </c:pt>
                <c:pt idx="206">
                  <c:v>0.89700000000000002</c:v>
                </c:pt>
                <c:pt idx="207">
                  <c:v>0.89700000000000002</c:v>
                </c:pt>
                <c:pt idx="208">
                  <c:v>0.89700000000000002</c:v>
                </c:pt>
                <c:pt idx="209">
                  <c:v>0.89700000000000002</c:v>
                </c:pt>
                <c:pt idx="210">
                  <c:v>0.89700000000000002</c:v>
                </c:pt>
                <c:pt idx="211">
                  <c:v>0.89700000000000002</c:v>
                </c:pt>
                <c:pt idx="212">
                  <c:v>0.89700000000000002</c:v>
                </c:pt>
                <c:pt idx="213">
                  <c:v>0.89700000000000002</c:v>
                </c:pt>
                <c:pt idx="214">
                  <c:v>0.89700000000000002</c:v>
                </c:pt>
                <c:pt idx="215">
                  <c:v>0.89700000000000002</c:v>
                </c:pt>
                <c:pt idx="216">
                  <c:v>0.89700000000000002</c:v>
                </c:pt>
                <c:pt idx="217">
                  <c:v>0.89700000000000002</c:v>
                </c:pt>
                <c:pt idx="218">
                  <c:v>0.89700000000000002</c:v>
                </c:pt>
                <c:pt idx="219">
                  <c:v>0.89700000000000002</c:v>
                </c:pt>
                <c:pt idx="220">
                  <c:v>0.89700000000000002</c:v>
                </c:pt>
                <c:pt idx="221">
                  <c:v>0.89700000000000002</c:v>
                </c:pt>
                <c:pt idx="222">
                  <c:v>0.89700000000000002</c:v>
                </c:pt>
                <c:pt idx="223">
                  <c:v>0.89700000000000002</c:v>
                </c:pt>
                <c:pt idx="224">
                  <c:v>0.89700000000000002</c:v>
                </c:pt>
                <c:pt idx="225">
                  <c:v>0.89700000000000002</c:v>
                </c:pt>
                <c:pt idx="226">
                  <c:v>0.89700000000000002</c:v>
                </c:pt>
                <c:pt idx="227">
                  <c:v>0.89700000000000002</c:v>
                </c:pt>
                <c:pt idx="228">
                  <c:v>0.89700000000000002</c:v>
                </c:pt>
                <c:pt idx="229">
                  <c:v>0.89700000000000002</c:v>
                </c:pt>
                <c:pt idx="230">
                  <c:v>0.89700000000000002</c:v>
                </c:pt>
                <c:pt idx="231">
                  <c:v>0.89700000000000002</c:v>
                </c:pt>
                <c:pt idx="232">
                  <c:v>0.89700000000000002</c:v>
                </c:pt>
                <c:pt idx="233">
                  <c:v>0.89700000000000002</c:v>
                </c:pt>
                <c:pt idx="234">
                  <c:v>0.89700000000000002</c:v>
                </c:pt>
                <c:pt idx="235">
                  <c:v>0.89700000000000002</c:v>
                </c:pt>
                <c:pt idx="236">
                  <c:v>0.89700000000000002</c:v>
                </c:pt>
                <c:pt idx="237">
                  <c:v>0.89700000000000002</c:v>
                </c:pt>
                <c:pt idx="238">
                  <c:v>0.89700000000000002</c:v>
                </c:pt>
                <c:pt idx="239">
                  <c:v>0.89700000000000002</c:v>
                </c:pt>
                <c:pt idx="240">
                  <c:v>0.89700000000000002</c:v>
                </c:pt>
                <c:pt idx="241">
                  <c:v>0.89700000000000002</c:v>
                </c:pt>
                <c:pt idx="242">
                  <c:v>0.89700000000000002</c:v>
                </c:pt>
                <c:pt idx="243">
                  <c:v>0.89700000000000002</c:v>
                </c:pt>
                <c:pt idx="244">
                  <c:v>0.89700000000000002</c:v>
                </c:pt>
                <c:pt idx="245">
                  <c:v>0.89700000000000002</c:v>
                </c:pt>
                <c:pt idx="246">
                  <c:v>0.89700000000000002</c:v>
                </c:pt>
                <c:pt idx="247">
                  <c:v>0.89700000000000002</c:v>
                </c:pt>
                <c:pt idx="248">
                  <c:v>0.89700000000000002</c:v>
                </c:pt>
                <c:pt idx="249">
                  <c:v>0.89700000000000002</c:v>
                </c:pt>
                <c:pt idx="250">
                  <c:v>0.89700000000000002</c:v>
                </c:pt>
                <c:pt idx="251">
                  <c:v>0.89700000000000002</c:v>
                </c:pt>
                <c:pt idx="252">
                  <c:v>0.89700000000000002</c:v>
                </c:pt>
                <c:pt idx="253">
                  <c:v>0.89700000000000002</c:v>
                </c:pt>
                <c:pt idx="254">
                  <c:v>0.89700000000000002</c:v>
                </c:pt>
                <c:pt idx="255">
                  <c:v>0.89700000000000002</c:v>
                </c:pt>
                <c:pt idx="256">
                  <c:v>0.89700000000000002</c:v>
                </c:pt>
                <c:pt idx="257">
                  <c:v>0.89700000000000002</c:v>
                </c:pt>
                <c:pt idx="258">
                  <c:v>0.89700000000000002</c:v>
                </c:pt>
                <c:pt idx="259">
                  <c:v>0.89700000000000002</c:v>
                </c:pt>
                <c:pt idx="260">
                  <c:v>0.89700000000000002</c:v>
                </c:pt>
                <c:pt idx="261">
                  <c:v>0.89700000000000002</c:v>
                </c:pt>
                <c:pt idx="262">
                  <c:v>0.89700000000000002</c:v>
                </c:pt>
                <c:pt idx="263">
                  <c:v>0.89700000000000002</c:v>
                </c:pt>
                <c:pt idx="264">
                  <c:v>0.89700000000000002</c:v>
                </c:pt>
                <c:pt idx="265">
                  <c:v>0.89700000000000002</c:v>
                </c:pt>
                <c:pt idx="266">
                  <c:v>0.89700000000000002</c:v>
                </c:pt>
                <c:pt idx="267">
                  <c:v>0.89700000000000002</c:v>
                </c:pt>
                <c:pt idx="268">
                  <c:v>0.89700000000000002</c:v>
                </c:pt>
                <c:pt idx="269">
                  <c:v>0.89700000000000002</c:v>
                </c:pt>
                <c:pt idx="270">
                  <c:v>0.89700000000000002</c:v>
                </c:pt>
                <c:pt idx="271">
                  <c:v>0.89700000000000002</c:v>
                </c:pt>
                <c:pt idx="272">
                  <c:v>0.89700000000000002</c:v>
                </c:pt>
                <c:pt idx="273">
                  <c:v>0.89700000000000002</c:v>
                </c:pt>
                <c:pt idx="274">
                  <c:v>0.89700000000000002</c:v>
                </c:pt>
                <c:pt idx="275">
                  <c:v>0.89700000000000002</c:v>
                </c:pt>
                <c:pt idx="276">
                  <c:v>0.89700000000000002</c:v>
                </c:pt>
                <c:pt idx="277">
                  <c:v>0.89700000000000002</c:v>
                </c:pt>
                <c:pt idx="278">
                  <c:v>0.89700000000000002</c:v>
                </c:pt>
                <c:pt idx="279">
                  <c:v>0.89700000000000002</c:v>
                </c:pt>
                <c:pt idx="280">
                  <c:v>0.89700000000000002</c:v>
                </c:pt>
                <c:pt idx="281">
                  <c:v>0.89700000000000002</c:v>
                </c:pt>
                <c:pt idx="282">
                  <c:v>0.89700000000000002</c:v>
                </c:pt>
                <c:pt idx="283">
                  <c:v>0.89700000000000002</c:v>
                </c:pt>
                <c:pt idx="284">
                  <c:v>0.89700000000000002</c:v>
                </c:pt>
                <c:pt idx="285">
                  <c:v>0.89700000000000002</c:v>
                </c:pt>
                <c:pt idx="286">
                  <c:v>0.89700000000000002</c:v>
                </c:pt>
                <c:pt idx="287">
                  <c:v>0.89700000000000002</c:v>
                </c:pt>
                <c:pt idx="288">
                  <c:v>0.89700000000000002</c:v>
                </c:pt>
                <c:pt idx="289">
                  <c:v>0.89700000000000002</c:v>
                </c:pt>
                <c:pt idx="290">
                  <c:v>0.89700000000000002</c:v>
                </c:pt>
                <c:pt idx="291">
                  <c:v>0.89700000000000002</c:v>
                </c:pt>
                <c:pt idx="292">
                  <c:v>0.89700000000000002</c:v>
                </c:pt>
                <c:pt idx="293">
                  <c:v>1.1879999999999999</c:v>
                </c:pt>
                <c:pt idx="294">
                  <c:v>1.1819999999999999</c:v>
                </c:pt>
                <c:pt idx="295">
                  <c:v>1.177</c:v>
                </c:pt>
                <c:pt idx="296">
                  <c:v>1.171</c:v>
                </c:pt>
                <c:pt idx="297">
                  <c:v>1.462</c:v>
                </c:pt>
                <c:pt idx="298">
                  <c:v>1.456</c:v>
                </c:pt>
                <c:pt idx="299">
                  <c:v>1.4510000000000001</c:v>
                </c:pt>
                <c:pt idx="300">
                  <c:v>1.4450000000000001</c:v>
                </c:pt>
                <c:pt idx="301">
                  <c:v>1.4390000000000001</c:v>
                </c:pt>
                <c:pt idx="302">
                  <c:v>1.73</c:v>
                </c:pt>
                <c:pt idx="303">
                  <c:v>1.726</c:v>
                </c:pt>
                <c:pt idx="304">
                  <c:v>1.7210000000000001</c:v>
                </c:pt>
                <c:pt idx="305">
                  <c:v>1.716</c:v>
                </c:pt>
                <c:pt idx="306">
                  <c:v>2.0070000000000001</c:v>
                </c:pt>
                <c:pt idx="307">
                  <c:v>2.0019999999999998</c:v>
                </c:pt>
                <c:pt idx="308">
                  <c:v>1.998</c:v>
                </c:pt>
                <c:pt idx="309">
                  <c:v>1.994</c:v>
                </c:pt>
                <c:pt idx="310">
                  <c:v>1.9910000000000001</c:v>
                </c:pt>
                <c:pt idx="311">
                  <c:v>1.986</c:v>
                </c:pt>
                <c:pt idx="312">
                  <c:v>2.278</c:v>
                </c:pt>
                <c:pt idx="313">
                  <c:v>2.274</c:v>
                </c:pt>
                <c:pt idx="314">
                  <c:v>2.2719999999999998</c:v>
                </c:pt>
                <c:pt idx="315">
                  <c:v>2.2709999999999999</c:v>
                </c:pt>
                <c:pt idx="316">
                  <c:v>2.2690000000000001</c:v>
                </c:pt>
                <c:pt idx="317">
                  <c:v>2.2669999999999999</c:v>
                </c:pt>
                <c:pt idx="318">
                  <c:v>2.2669999999999999</c:v>
                </c:pt>
                <c:pt idx="319">
                  <c:v>2.266</c:v>
                </c:pt>
                <c:pt idx="320">
                  <c:v>2.2650000000000001</c:v>
                </c:pt>
                <c:pt idx="321">
                  <c:v>2.2650000000000001</c:v>
                </c:pt>
                <c:pt idx="322">
                  <c:v>2.2639999999999998</c:v>
                </c:pt>
                <c:pt idx="323">
                  <c:v>2.2629999999999999</c:v>
                </c:pt>
                <c:pt idx="324">
                  <c:v>2.2629999999999999</c:v>
                </c:pt>
                <c:pt idx="325">
                  <c:v>2.2629999999999999</c:v>
                </c:pt>
                <c:pt idx="326">
                  <c:v>2.2629999999999999</c:v>
                </c:pt>
                <c:pt idx="327">
                  <c:v>2.2629999999999999</c:v>
                </c:pt>
                <c:pt idx="328">
                  <c:v>2.2629999999999999</c:v>
                </c:pt>
                <c:pt idx="329">
                  <c:v>2.2629999999999999</c:v>
                </c:pt>
                <c:pt idx="330">
                  <c:v>2.2629999999999999</c:v>
                </c:pt>
                <c:pt idx="331">
                  <c:v>2.2629999999999999</c:v>
                </c:pt>
                <c:pt idx="332">
                  <c:v>2.2629999999999999</c:v>
                </c:pt>
                <c:pt idx="333">
                  <c:v>2.2629999999999999</c:v>
                </c:pt>
                <c:pt idx="334">
                  <c:v>2.2629999999999999</c:v>
                </c:pt>
                <c:pt idx="335">
                  <c:v>2.2629999999999999</c:v>
                </c:pt>
                <c:pt idx="336">
                  <c:v>2.2629999999999999</c:v>
                </c:pt>
                <c:pt idx="337">
                  <c:v>2.2629999999999999</c:v>
                </c:pt>
                <c:pt idx="338">
                  <c:v>2.2629999999999999</c:v>
                </c:pt>
                <c:pt idx="339">
                  <c:v>2.2629999999999999</c:v>
                </c:pt>
                <c:pt idx="340">
                  <c:v>2.2629999999999999</c:v>
                </c:pt>
                <c:pt idx="341">
                  <c:v>2.2629999999999999</c:v>
                </c:pt>
                <c:pt idx="342">
                  <c:v>2.2629999999999999</c:v>
                </c:pt>
                <c:pt idx="343">
                  <c:v>2.2629999999999999</c:v>
                </c:pt>
                <c:pt idx="344">
                  <c:v>2.2629999999999999</c:v>
                </c:pt>
                <c:pt idx="345">
                  <c:v>2.2629999999999999</c:v>
                </c:pt>
                <c:pt idx="346">
                  <c:v>2.2629999999999999</c:v>
                </c:pt>
                <c:pt idx="347">
                  <c:v>2.2629999999999999</c:v>
                </c:pt>
                <c:pt idx="348">
                  <c:v>2.2629999999999999</c:v>
                </c:pt>
                <c:pt idx="349">
                  <c:v>2.2629999999999999</c:v>
                </c:pt>
                <c:pt idx="350">
                  <c:v>2.2629999999999999</c:v>
                </c:pt>
                <c:pt idx="351">
                  <c:v>2.2629999999999999</c:v>
                </c:pt>
                <c:pt idx="352">
                  <c:v>2.2629999999999999</c:v>
                </c:pt>
                <c:pt idx="353">
                  <c:v>2.2629999999999999</c:v>
                </c:pt>
                <c:pt idx="354">
                  <c:v>2.2629999999999999</c:v>
                </c:pt>
                <c:pt idx="355">
                  <c:v>2.2629999999999999</c:v>
                </c:pt>
                <c:pt idx="356">
                  <c:v>2.2629999999999999</c:v>
                </c:pt>
                <c:pt idx="357">
                  <c:v>2.2629999999999999</c:v>
                </c:pt>
                <c:pt idx="358">
                  <c:v>2.2629999999999999</c:v>
                </c:pt>
                <c:pt idx="359">
                  <c:v>2.2629999999999999</c:v>
                </c:pt>
                <c:pt idx="360">
                  <c:v>2.2629999999999999</c:v>
                </c:pt>
                <c:pt idx="361">
                  <c:v>2.2629999999999999</c:v>
                </c:pt>
                <c:pt idx="362">
                  <c:v>2.2629999999999999</c:v>
                </c:pt>
                <c:pt idx="363">
                  <c:v>2.2629999999999999</c:v>
                </c:pt>
                <c:pt idx="364">
                  <c:v>2.2629999999999999</c:v>
                </c:pt>
                <c:pt idx="365">
                  <c:v>2.2629999999999999</c:v>
                </c:pt>
                <c:pt idx="366">
                  <c:v>2.2629999999999999</c:v>
                </c:pt>
                <c:pt idx="367">
                  <c:v>2.2629999999999999</c:v>
                </c:pt>
                <c:pt idx="368">
                  <c:v>2.2629999999999999</c:v>
                </c:pt>
                <c:pt idx="369">
                  <c:v>2.2629999999999999</c:v>
                </c:pt>
                <c:pt idx="370">
                  <c:v>2.2629999999999999</c:v>
                </c:pt>
                <c:pt idx="371">
                  <c:v>2.2629999999999999</c:v>
                </c:pt>
                <c:pt idx="372">
                  <c:v>2.2629999999999999</c:v>
                </c:pt>
                <c:pt idx="373">
                  <c:v>2.2629999999999999</c:v>
                </c:pt>
                <c:pt idx="374">
                  <c:v>2.2629999999999999</c:v>
                </c:pt>
                <c:pt idx="375">
                  <c:v>2.2629999999999999</c:v>
                </c:pt>
                <c:pt idx="376">
                  <c:v>2.2629999999999999</c:v>
                </c:pt>
                <c:pt idx="377">
                  <c:v>2.2629999999999999</c:v>
                </c:pt>
                <c:pt idx="378">
                  <c:v>2.2629999999999999</c:v>
                </c:pt>
                <c:pt idx="379">
                  <c:v>2.2629999999999999</c:v>
                </c:pt>
                <c:pt idx="380">
                  <c:v>2.2629999999999999</c:v>
                </c:pt>
                <c:pt idx="381">
                  <c:v>2.2629999999999999</c:v>
                </c:pt>
                <c:pt idx="382">
                  <c:v>2.2629999999999999</c:v>
                </c:pt>
                <c:pt idx="383">
                  <c:v>2.2629999999999999</c:v>
                </c:pt>
                <c:pt idx="384">
                  <c:v>2.2629999999999999</c:v>
                </c:pt>
                <c:pt idx="385">
                  <c:v>2.2629999999999999</c:v>
                </c:pt>
                <c:pt idx="386">
                  <c:v>2.2629999999999999</c:v>
                </c:pt>
                <c:pt idx="387">
                  <c:v>2.2629999999999999</c:v>
                </c:pt>
                <c:pt idx="388">
                  <c:v>2.2629999999999999</c:v>
                </c:pt>
                <c:pt idx="389">
                  <c:v>2.2629999999999999</c:v>
                </c:pt>
                <c:pt idx="390">
                  <c:v>2.2629999999999999</c:v>
                </c:pt>
                <c:pt idx="391">
                  <c:v>2.2629999999999999</c:v>
                </c:pt>
                <c:pt idx="392">
                  <c:v>2.2629999999999999</c:v>
                </c:pt>
                <c:pt idx="393">
                  <c:v>2.2629999999999999</c:v>
                </c:pt>
                <c:pt idx="394">
                  <c:v>2.2629999999999999</c:v>
                </c:pt>
                <c:pt idx="395">
                  <c:v>2.2629999999999999</c:v>
                </c:pt>
                <c:pt idx="396">
                  <c:v>2.2629999999999999</c:v>
                </c:pt>
                <c:pt idx="397">
                  <c:v>2.2629999999999999</c:v>
                </c:pt>
                <c:pt idx="398">
                  <c:v>2.2629999999999999</c:v>
                </c:pt>
                <c:pt idx="399">
                  <c:v>2.2629999999999999</c:v>
                </c:pt>
                <c:pt idx="400">
                  <c:v>2.2629999999999999</c:v>
                </c:pt>
                <c:pt idx="401">
                  <c:v>2.2629999999999999</c:v>
                </c:pt>
                <c:pt idx="402">
                  <c:v>2.2629999999999999</c:v>
                </c:pt>
                <c:pt idx="403">
                  <c:v>2.2629999999999999</c:v>
                </c:pt>
                <c:pt idx="404">
                  <c:v>2.2629999999999999</c:v>
                </c:pt>
                <c:pt idx="405">
                  <c:v>2.2629999999999999</c:v>
                </c:pt>
                <c:pt idx="406">
                  <c:v>2.2629999999999999</c:v>
                </c:pt>
                <c:pt idx="407">
                  <c:v>2.2629999999999999</c:v>
                </c:pt>
                <c:pt idx="408">
                  <c:v>2.2629999999999999</c:v>
                </c:pt>
                <c:pt idx="409">
                  <c:v>2.2629999999999999</c:v>
                </c:pt>
                <c:pt idx="410">
                  <c:v>2.2629999999999999</c:v>
                </c:pt>
                <c:pt idx="411">
                  <c:v>2.2629999999999999</c:v>
                </c:pt>
                <c:pt idx="412">
                  <c:v>2.2629999999999999</c:v>
                </c:pt>
                <c:pt idx="413">
                  <c:v>2.2629999999999999</c:v>
                </c:pt>
                <c:pt idx="414">
                  <c:v>2.2629999999999999</c:v>
                </c:pt>
                <c:pt idx="415">
                  <c:v>2.2629999999999999</c:v>
                </c:pt>
                <c:pt idx="416">
                  <c:v>2.2629999999999999</c:v>
                </c:pt>
                <c:pt idx="417">
                  <c:v>2.2629999999999999</c:v>
                </c:pt>
                <c:pt idx="418">
                  <c:v>2.2629999999999999</c:v>
                </c:pt>
                <c:pt idx="419">
                  <c:v>2.2629999999999999</c:v>
                </c:pt>
                <c:pt idx="420">
                  <c:v>2.2629999999999999</c:v>
                </c:pt>
                <c:pt idx="421">
                  <c:v>2.2629999999999999</c:v>
                </c:pt>
                <c:pt idx="422">
                  <c:v>2.2629999999999999</c:v>
                </c:pt>
                <c:pt idx="423">
                  <c:v>2.4529999999999998</c:v>
                </c:pt>
                <c:pt idx="424">
                  <c:v>2.4430000000000001</c:v>
                </c:pt>
                <c:pt idx="425">
                  <c:v>2.4369999999999998</c:v>
                </c:pt>
                <c:pt idx="426">
                  <c:v>2.4289999999999998</c:v>
                </c:pt>
                <c:pt idx="427">
                  <c:v>2.7189999999999999</c:v>
                </c:pt>
                <c:pt idx="428">
                  <c:v>2.71</c:v>
                </c:pt>
                <c:pt idx="429">
                  <c:v>2.7010000000000001</c:v>
                </c:pt>
                <c:pt idx="430">
                  <c:v>2.6920000000000002</c:v>
                </c:pt>
                <c:pt idx="431">
                  <c:v>2.6840000000000002</c:v>
                </c:pt>
                <c:pt idx="432">
                  <c:v>2.9740000000000002</c:v>
                </c:pt>
                <c:pt idx="433">
                  <c:v>2.9649999999999999</c:v>
                </c:pt>
                <c:pt idx="434">
                  <c:v>2.9569999999999999</c:v>
                </c:pt>
                <c:pt idx="435">
                  <c:v>2.948</c:v>
                </c:pt>
                <c:pt idx="436">
                  <c:v>2.94</c:v>
                </c:pt>
                <c:pt idx="437">
                  <c:v>3.23</c:v>
                </c:pt>
                <c:pt idx="438">
                  <c:v>3.222</c:v>
                </c:pt>
                <c:pt idx="439">
                  <c:v>3.2130000000000001</c:v>
                </c:pt>
                <c:pt idx="440">
                  <c:v>3.2050000000000001</c:v>
                </c:pt>
                <c:pt idx="441">
                  <c:v>3.496</c:v>
                </c:pt>
                <c:pt idx="442">
                  <c:v>3.488</c:v>
                </c:pt>
                <c:pt idx="443">
                  <c:v>3.4790000000000001</c:v>
                </c:pt>
                <c:pt idx="444">
                  <c:v>3.4710000000000001</c:v>
                </c:pt>
                <c:pt idx="445">
                  <c:v>3.464</c:v>
                </c:pt>
                <c:pt idx="446">
                  <c:v>3.7549999999999999</c:v>
                </c:pt>
                <c:pt idx="447">
                  <c:v>3.7469999999999999</c:v>
                </c:pt>
                <c:pt idx="448">
                  <c:v>3.74</c:v>
                </c:pt>
                <c:pt idx="449">
                  <c:v>3.7309999999999999</c:v>
                </c:pt>
                <c:pt idx="450">
                  <c:v>3.7229999999999999</c:v>
                </c:pt>
                <c:pt idx="451">
                  <c:v>3.714</c:v>
                </c:pt>
                <c:pt idx="452">
                  <c:v>3.706</c:v>
                </c:pt>
                <c:pt idx="453">
                  <c:v>3.698</c:v>
                </c:pt>
                <c:pt idx="454">
                  <c:v>3.6890000000000001</c:v>
                </c:pt>
                <c:pt idx="455">
                  <c:v>3.681</c:v>
                </c:pt>
                <c:pt idx="456">
                  <c:v>3.6739999999999999</c:v>
                </c:pt>
                <c:pt idx="457">
                  <c:v>3.6669999999999998</c:v>
                </c:pt>
                <c:pt idx="458">
                  <c:v>3.6579999999999999</c:v>
                </c:pt>
                <c:pt idx="459">
                  <c:v>3.649</c:v>
                </c:pt>
                <c:pt idx="460">
                  <c:v>3.64</c:v>
                </c:pt>
                <c:pt idx="461">
                  <c:v>3.6320000000000001</c:v>
                </c:pt>
                <c:pt idx="462">
                  <c:v>3.625</c:v>
                </c:pt>
                <c:pt idx="463">
                  <c:v>3.617</c:v>
                </c:pt>
                <c:pt idx="464">
                  <c:v>3.6080000000000001</c:v>
                </c:pt>
                <c:pt idx="465">
                  <c:v>3.6</c:v>
                </c:pt>
                <c:pt idx="466">
                  <c:v>3.593</c:v>
                </c:pt>
                <c:pt idx="467">
                  <c:v>3.5840000000000001</c:v>
                </c:pt>
                <c:pt idx="468">
                  <c:v>3.5760000000000001</c:v>
                </c:pt>
                <c:pt idx="469">
                  <c:v>3.5670000000000002</c:v>
                </c:pt>
                <c:pt idx="470">
                  <c:v>3.5590000000000002</c:v>
                </c:pt>
                <c:pt idx="471">
                  <c:v>3.552</c:v>
                </c:pt>
                <c:pt idx="472">
                  <c:v>3.548</c:v>
                </c:pt>
                <c:pt idx="473">
                  <c:v>3.5449999999999999</c:v>
                </c:pt>
                <c:pt idx="474">
                  <c:v>3.5430000000000001</c:v>
                </c:pt>
                <c:pt idx="475">
                  <c:v>3.5409999999999999</c:v>
                </c:pt>
                <c:pt idx="476">
                  <c:v>3.5390000000000001</c:v>
                </c:pt>
                <c:pt idx="477">
                  <c:v>3.5310000000000001</c:v>
                </c:pt>
                <c:pt idx="478">
                  <c:v>3.5219999999999998</c:v>
                </c:pt>
                <c:pt idx="479">
                  <c:v>3.5139999999999998</c:v>
                </c:pt>
                <c:pt idx="480">
                  <c:v>3.5070000000000001</c:v>
                </c:pt>
                <c:pt idx="481">
                  <c:v>3.4980000000000002</c:v>
                </c:pt>
                <c:pt idx="482">
                  <c:v>3.49</c:v>
                </c:pt>
                <c:pt idx="483">
                  <c:v>3.4809999999999999</c:v>
                </c:pt>
                <c:pt idx="484">
                  <c:v>3.4729999999999999</c:v>
                </c:pt>
                <c:pt idx="485">
                  <c:v>3.4660000000000002</c:v>
                </c:pt>
                <c:pt idx="486">
                  <c:v>3.4620000000000002</c:v>
                </c:pt>
                <c:pt idx="487">
                  <c:v>3.4590000000000001</c:v>
                </c:pt>
                <c:pt idx="488">
                  <c:v>3.4569999999999999</c:v>
                </c:pt>
                <c:pt idx="489">
                  <c:v>3.4550000000000001</c:v>
                </c:pt>
                <c:pt idx="490">
                  <c:v>3.452</c:v>
                </c:pt>
                <c:pt idx="491">
                  <c:v>3.45</c:v>
                </c:pt>
                <c:pt idx="492">
                  <c:v>3.4470000000000001</c:v>
                </c:pt>
                <c:pt idx="493">
                  <c:v>3.4449999999999998</c:v>
                </c:pt>
                <c:pt idx="494">
                  <c:v>3.444</c:v>
                </c:pt>
                <c:pt idx="495">
                  <c:v>3.4420000000000002</c:v>
                </c:pt>
                <c:pt idx="496">
                  <c:v>3.4350000000000001</c:v>
                </c:pt>
                <c:pt idx="497">
                  <c:v>3.4329999999999998</c:v>
                </c:pt>
                <c:pt idx="498">
                  <c:v>3.427</c:v>
                </c:pt>
                <c:pt idx="499">
                  <c:v>3.4209999999999998</c:v>
                </c:pt>
                <c:pt idx="500">
                  <c:v>3.4129999999999998</c:v>
                </c:pt>
                <c:pt idx="501">
                  <c:v>3.4060000000000001</c:v>
                </c:pt>
                <c:pt idx="502">
                  <c:v>3.3969999999999998</c:v>
                </c:pt>
                <c:pt idx="503">
                  <c:v>3.3889999999999998</c:v>
                </c:pt>
                <c:pt idx="504">
                  <c:v>3.38</c:v>
                </c:pt>
                <c:pt idx="505">
                  <c:v>3.371</c:v>
                </c:pt>
                <c:pt idx="506">
                  <c:v>3.363</c:v>
                </c:pt>
                <c:pt idx="507">
                  <c:v>3.3540000000000001</c:v>
                </c:pt>
                <c:pt idx="508">
                  <c:v>3.3490000000000002</c:v>
                </c:pt>
                <c:pt idx="509">
                  <c:v>3.3420000000000001</c:v>
                </c:pt>
                <c:pt idx="510">
                  <c:v>3.335</c:v>
                </c:pt>
                <c:pt idx="511">
                  <c:v>3.3290000000000002</c:v>
                </c:pt>
                <c:pt idx="512">
                  <c:v>3.327</c:v>
                </c:pt>
                <c:pt idx="513">
                  <c:v>3.323</c:v>
                </c:pt>
                <c:pt idx="514">
                  <c:v>3.3210000000000002</c:v>
                </c:pt>
                <c:pt idx="515">
                  <c:v>3.319</c:v>
                </c:pt>
                <c:pt idx="516">
                  <c:v>3.3130000000000002</c:v>
                </c:pt>
                <c:pt idx="517">
                  <c:v>3.31</c:v>
                </c:pt>
                <c:pt idx="518">
                  <c:v>3.3079999999999998</c:v>
                </c:pt>
                <c:pt idx="519">
                  <c:v>3.3050000000000002</c:v>
                </c:pt>
                <c:pt idx="520">
                  <c:v>3.3050000000000002</c:v>
                </c:pt>
                <c:pt idx="521">
                  <c:v>3.3029999999999999</c:v>
                </c:pt>
                <c:pt idx="522">
                  <c:v>3.3029999999999999</c:v>
                </c:pt>
                <c:pt idx="523">
                  <c:v>3.3029999999999999</c:v>
                </c:pt>
                <c:pt idx="524">
                  <c:v>3.3010000000000002</c:v>
                </c:pt>
                <c:pt idx="525">
                  <c:v>3.3010000000000002</c:v>
                </c:pt>
                <c:pt idx="526">
                  <c:v>3.3010000000000002</c:v>
                </c:pt>
                <c:pt idx="527">
                  <c:v>3.3</c:v>
                </c:pt>
                <c:pt idx="528">
                  <c:v>3.3</c:v>
                </c:pt>
                <c:pt idx="529">
                  <c:v>3.3</c:v>
                </c:pt>
                <c:pt idx="530">
                  <c:v>3.298</c:v>
                </c:pt>
                <c:pt idx="531">
                  <c:v>3.298</c:v>
                </c:pt>
                <c:pt idx="532">
                  <c:v>3.2970000000000002</c:v>
                </c:pt>
                <c:pt idx="533">
                  <c:v>3.2970000000000002</c:v>
                </c:pt>
                <c:pt idx="534">
                  <c:v>3.2930000000000001</c:v>
                </c:pt>
                <c:pt idx="535">
                  <c:v>3.2919999999999998</c:v>
                </c:pt>
                <c:pt idx="536">
                  <c:v>3.2919999999999998</c:v>
                </c:pt>
                <c:pt idx="537">
                  <c:v>3.2919999999999998</c:v>
                </c:pt>
                <c:pt idx="538">
                  <c:v>3.29</c:v>
                </c:pt>
                <c:pt idx="539">
                  <c:v>3.2890000000000001</c:v>
                </c:pt>
                <c:pt idx="540">
                  <c:v>3.2890000000000001</c:v>
                </c:pt>
                <c:pt idx="541">
                  <c:v>3.2890000000000001</c:v>
                </c:pt>
                <c:pt idx="542">
                  <c:v>3.286</c:v>
                </c:pt>
                <c:pt idx="543">
                  <c:v>3.2839999999999998</c:v>
                </c:pt>
                <c:pt idx="544">
                  <c:v>3.282</c:v>
                </c:pt>
                <c:pt idx="545">
                  <c:v>3.282</c:v>
                </c:pt>
                <c:pt idx="546">
                  <c:v>3.28</c:v>
                </c:pt>
                <c:pt idx="547">
                  <c:v>3.28</c:v>
                </c:pt>
                <c:pt idx="548">
                  <c:v>3.278</c:v>
                </c:pt>
                <c:pt idx="549">
                  <c:v>3.278</c:v>
                </c:pt>
                <c:pt idx="550">
                  <c:v>3.274</c:v>
                </c:pt>
                <c:pt idx="551">
                  <c:v>3.274</c:v>
                </c:pt>
                <c:pt idx="552">
                  <c:v>3.2730000000000001</c:v>
                </c:pt>
                <c:pt idx="553">
                  <c:v>3.2730000000000001</c:v>
                </c:pt>
                <c:pt idx="554">
                  <c:v>3.2730000000000001</c:v>
                </c:pt>
                <c:pt idx="555">
                  <c:v>3.2730000000000001</c:v>
                </c:pt>
                <c:pt idx="556">
                  <c:v>3.2709999999999999</c:v>
                </c:pt>
                <c:pt idx="557">
                  <c:v>3.2709999999999999</c:v>
                </c:pt>
                <c:pt idx="558">
                  <c:v>3.27</c:v>
                </c:pt>
                <c:pt idx="559">
                  <c:v>3.27</c:v>
                </c:pt>
                <c:pt idx="560">
                  <c:v>3.27</c:v>
                </c:pt>
                <c:pt idx="561">
                  <c:v>3.2679999999999998</c:v>
                </c:pt>
                <c:pt idx="562">
                  <c:v>3.2679999999999998</c:v>
                </c:pt>
                <c:pt idx="563">
                  <c:v>3.2679999999999998</c:v>
                </c:pt>
                <c:pt idx="564">
                  <c:v>3.266</c:v>
                </c:pt>
                <c:pt idx="565">
                  <c:v>3.266</c:v>
                </c:pt>
                <c:pt idx="566">
                  <c:v>3.2650000000000001</c:v>
                </c:pt>
                <c:pt idx="567">
                  <c:v>3.2650000000000001</c:v>
                </c:pt>
                <c:pt idx="568">
                  <c:v>3.2650000000000001</c:v>
                </c:pt>
                <c:pt idx="569">
                  <c:v>3.2610000000000001</c:v>
                </c:pt>
                <c:pt idx="570">
                  <c:v>3.2610000000000001</c:v>
                </c:pt>
                <c:pt idx="571">
                  <c:v>3.2610000000000001</c:v>
                </c:pt>
                <c:pt idx="572">
                  <c:v>3.2610000000000001</c:v>
                </c:pt>
                <c:pt idx="573">
                  <c:v>3.2589999999999999</c:v>
                </c:pt>
                <c:pt idx="574">
                  <c:v>3.2589999999999999</c:v>
                </c:pt>
                <c:pt idx="575">
                  <c:v>3.2589999999999999</c:v>
                </c:pt>
                <c:pt idx="576">
                  <c:v>3.258</c:v>
                </c:pt>
                <c:pt idx="577">
                  <c:v>3.258</c:v>
                </c:pt>
                <c:pt idx="578">
                  <c:v>3.258</c:v>
                </c:pt>
                <c:pt idx="579">
                  <c:v>3.2559999999999998</c:v>
                </c:pt>
                <c:pt idx="580">
                  <c:v>3.2559999999999998</c:v>
                </c:pt>
                <c:pt idx="581">
                  <c:v>3.2519999999999998</c:v>
                </c:pt>
                <c:pt idx="582">
                  <c:v>3.2519999999999998</c:v>
                </c:pt>
                <c:pt idx="583">
                  <c:v>3.2519999999999998</c:v>
                </c:pt>
                <c:pt idx="584">
                  <c:v>3.25</c:v>
                </c:pt>
                <c:pt idx="585">
                  <c:v>3.25</c:v>
                </c:pt>
                <c:pt idx="586">
                  <c:v>3.25</c:v>
                </c:pt>
                <c:pt idx="587">
                  <c:v>3.2490000000000001</c:v>
                </c:pt>
                <c:pt idx="588">
                  <c:v>3.2490000000000001</c:v>
                </c:pt>
                <c:pt idx="589">
                  <c:v>3.2490000000000001</c:v>
                </c:pt>
                <c:pt idx="590">
                  <c:v>3.2490000000000001</c:v>
                </c:pt>
                <c:pt idx="591">
                  <c:v>3.2490000000000001</c:v>
                </c:pt>
                <c:pt idx="592">
                  <c:v>3.2480000000000002</c:v>
                </c:pt>
                <c:pt idx="593">
                  <c:v>3.2480000000000002</c:v>
                </c:pt>
                <c:pt idx="594">
                  <c:v>3.2480000000000002</c:v>
                </c:pt>
                <c:pt idx="595">
                  <c:v>3.2480000000000002</c:v>
                </c:pt>
                <c:pt idx="596">
                  <c:v>3.2480000000000002</c:v>
                </c:pt>
                <c:pt idx="597">
                  <c:v>3.246</c:v>
                </c:pt>
                <c:pt idx="598">
                  <c:v>3.246</c:v>
                </c:pt>
                <c:pt idx="599">
                  <c:v>3.246</c:v>
                </c:pt>
                <c:pt idx="600">
                  <c:v>3.246</c:v>
                </c:pt>
                <c:pt idx="601">
                  <c:v>3.2429999999999999</c:v>
                </c:pt>
                <c:pt idx="602">
                  <c:v>3.2429999999999999</c:v>
                </c:pt>
                <c:pt idx="603">
                  <c:v>3.2410000000000001</c:v>
                </c:pt>
                <c:pt idx="604">
                  <c:v>3.2410000000000001</c:v>
                </c:pt>
                <c:pt idx="605">
                  <c:v>3.2410000000000001</c:v>
                </c:pt>
                <c:pt idx="606">
                  <c:v>3.2410000000000001</c:v>
                </c:pt>
                <c:pt idx="607">
                  <c:v>3.24</c:v>
                </c:pt>
                <c:pt idx="608">
                  <c:v>3.24</c:v>
                </c:pt>
                <c:pt idx="609">
                  <c:v>3.24</c:v>
                </c:pt>
                <c:pt idx="610">
                  <c:v>3.2360000000000002</c:v>
                </c:pt>
                <c:pt idx="611">
                  <c:v>3.2360000000000002</c:v>
                </c:pt>
                <c:pt idx="612">
                  <c:v>3.2309999999999999</c:v>
                </c:pt>
                <c:pt idx="613">
                  <c:v>3.2309999999999999</c:v>
                </c:pt>
                <c:pt idx="614">
                  <c:v>3.23</c:v>
                </c:pt>
                <c:pt idx="615">
                  <c:v>3.2269999999999999</c:v>
                </c:pt>
                <c:pt idx="616">
                  <c:v>3.2269999999999999</c:v>
                </c:pt>
                <c:pt idx="617">
                  <c:v>3.226</c:v>
                </c:pt>
                <c:pt idx="618">
                  <c:v>3.226</c:v>
                </c:pt>
                <c:pt idx="619">
                  <c:v>3.226</c:v>
                </c:pt>
                <c:pt idx="620">
                  <c:v>3.2240000000000002</c:v>
                </c:pt>
                <c:pt idx="621">
                  <c:v>3.2240000000000002</c:v>
                </c:pt>
                <c:pt idx="622">
                  <c:v>3.222</c:v>
                </c:pt>
                <c:pt idx="623">
                  <c:v>3.222</c:v>
                </c:pt>
                <c:pt idx="624">
                  <c:v>3.22</c:v>
                </c:pt>
                <c:pt idx="625">
                  <c:v>3.22</c:v>
                </c:pt>
                <c:pt idx="626">
                  <c:v>3.22</c:v>
                </c:pt>
                <c:pt idx="627">
                  <c:v>3.22</c:v>
                </c:pt>
                <c:pt idx="628">
                  <c:v>3.22</c:v>
                </c:pt>
                <c:pt idx="629">
                  <c:v>3.2189999999999999</c:v>
                </c:pt>
                <c:pt idx="630">
                  <c:v>3.2189999999999999</c:v>
                </c:pt>
                <c:pt idx="631">
                  <c:v>3.218</c:v>
                </c:pt>
                <c:pt idx="632">
                  <c:v>3.218</c:v>
                </c:pt>
                <c:pt idx="633">
                  <c:v>3.218</c:v>
                </c:pt>
                <c:pt idx="634">
                  <c:v>3.218</c:v>
                </c:pt>
                <c:pt idx="635">
                  <c:v>3.218</c:v>
                </c:pt>
                <c:pt idx="636">
                  <c:v>3.218</c:v>
                </c:pt>
                <c:pt idx="637">
                  <c:v>3.218</c:v>
                </c:pt>
                <c:pt idx="638">
                  <c:v>3.218</c:v>
                </c:pt>
                <c:pt idx="639">
                  <c:v>3.2170000000000001</c:v>
                </c:pt>
                <c:pt idx="640">
                  <c:v>3.2170000000000001</c:v>
                </c:pt>
                <c:pt idx="641">
                  <c:v>3.2170000000000001</c:v>
                </c:pt>
                <c:pt idx="642">
                  <c:v>3.2170000000000001</c:v>
                </c:pt>
                <c:pt idx="643">
                  <c:v>3.5470000000000002</c:v>
                </c:pt>
                <c:pt idx="644">
                  <c:v>3.5369999999999999</c:v>
                </c:pt>
                <c:pt idx="645">
                  <c:v>3.5270000000000001</c:v>
                </c:pt>
                <c:pt idx="646">
                  <c:v>3.5169999999999999</c:v>
                </c:pt>
                <c:pt idx="647">
                  <c:v>3.5070000000000001</c:v>
                </c:pt>
                <c:pt idx="648">
                  <c:v>3.7970000000000002</c:v>
                </c:pt>
                <c:pt idx="649">
                  <c:v>3.7869999999999999</c:v>
                </c:pt>
                <c:pt idx="650">
                  <c:v>3.7770000000000001</c:v>
                </c:pt>
                <c:pt idx="651">
                  <c:v>3.7669999999999999</c:v>
                </c:pt>
                <c:pt idx="652">
                  <c:v>3.7570000000000001</c:v>
                </c:pt>
                <c:pt idx="653">
                  <c:v>4.0890000000000004</c:v>
                </c:pt>
                <c:pt idx="654">
                  <c:v>4.0789999999999997</c:v>
                </c:pt>
                <c:pt idx="655">
                  <c:v>4.069</c:v>
                </c:pt>
                <c:pt idx="656">
                  <c:v>4.0590000000000002</c:v>
                </c:pt>
                <c:pt idx="657">
                  <c:v>4.05</c:v>
                </c:pt>
                <c:pt idx="658">
                  <c:v>4.34</c:v>
                </c:pt>
                <c:pt idx="659">
                  <c:v>4.33</c:v>
                </c:pt>
                <c:pt idx="660">
                  <c:v>4.32</c:v>
                </c:pt>
                <c:pt idx="661">
                  <c:v>4.3099999999999996</c:v>
                </c:pt>
                <c:pt idx="662">
                  <c:v>4.3</c:v>
                </c:pt>
                <c:pt idx="663">
                  <c:v>4.5919999999999996</c:v>
                </c:pt>
                <c:pt idx="664">
                  <c:v>4.5819999999999999</c:v>
                </c:pt>
                <c:pt idx="665">
                  <c:v>4.5720000000000001</c:v>
                </c:pt>
                <c:pt idx="666">
                  <c:v>4.5620000000000003</c:v>
                </c:pt>
                <c:pt idx="667">
                  <c:v>4.5519999999999996</c:v>
                </c:pt>
                <c:pt idx="668">
                  <c:v>4.8419999999999996</c:v>
                </c:pt>
                <c:pt idx="669">
                  <c:v>4.8319999999999999</c:v>
                </c:pt>
                <c:pt idx="670">
                  <c:v>4.8220000000000001</c:v>
                </c:pt>
                <c:pt idx="671">
                  <c:v>4.8120000000000003</c:v>
                </c:pt>
                <c:pt idx="672">
                  <c:v>4.8019999999999996</c:v>
                </c:pt>
                <c:pt idx="673">
                  <c:v>5.0919999999999996</c:v>
                </c:pt>
                <c:pt idx="674">
                  <c:v>5.0819999999999999</c:v>
                </c:pt>
                <c:pt idx="675">
                  <c:v>5.0720000000000001</c:v>
                </c:pt>
                <c:pt idx="676">
                  <c:v>5.0620000000000003</c:v>
                </c:pt>
                <c:pt idx="677">
                  <c:v>5.0519999999999996</c:v>
                </c:pt>
                <c:pt idx="678">
                  <c:v>5.0419999999999998</c:v>
                </c:pt>
                <c:pt idx="679">
                  <c:v>5.032</c:v>
                </c:pt>
                <c:pt idx="680">
                  <c:v>5.3220000000000001</c:v>
                </c:pt>
                <c:pt idx="681">
                  <c:v>5.2960000000000003</c:v>
                </c:pt>
                <c:pt idx="682">
                  <c:v>5.266</c:v>
                </c:pt>
                <c:pt idx="683">
                  <c:v>5.2460000000000004</c:v>
                </c:pt>
                <c:pt idx="684">
                  <c:v>5.226</c:v>
                </c:pt>
                <c:pt idx="685">
                  <c:v>5.1989999999999998</c:v>
                </c:pt>
                <c:pt idx="686">
                  <c:v>5.1689999999999996</c:v>
                </c:pt>
                <c:pt idx="687">
                  <c:v>5.1440000000000001</c:v>
                </c:pt>
                <c:pt idx="688">
                  <c:v>5.1109999999999998</c:v>
                </c:pt>
                <c:pt idx="689">
                  <c:v>5.0759999999999996</c:v>
                </c:pt>
                <c:pt idx="690">
                  <c:v>5.0460000000000003</c:v>
                </c:pt>
                <c:pt idx="691">
                  <c:v>5.0220000000000002</c:v>
                </c:pt>
                <c:pt idx="692">
                  <c:v>5</c:v>
                </c:pt>
                <c:pt idx="693">
                  <c:v>4.9850000000000003</c:v>
                </c:pt>
                <c:pt idx="694">
                  <c:v>4.9729999999999999</c:v>
                </c:pt>
                <c:pt idx="695">
                  <c:v>4.9589999999999996</c:v>
                </c:pt>
                <c:pt idx="696">
                  <c:v>4.9489999999999998</c:v>
                </c:pt>
                <c:pt idx="697">
                  <c:v>4.931</c:v>
                </c:pt>
                <c:pt idx="698">
                  <c:v>4.9210000000000003</c:v>
                </c:pt>
                <c:pt idx="699">
                  <c:v>4.9119999999999999</c:v>
                </c:pt>
                <c:pt idx="700">
                  <c:v>4.9059999999999997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D7-499C-8580-F28CB88B9836}"/>
            </c:ext>
          </c:extLst>
        </c:ser>
        <c:ser>
          <c:idx val="4"/>
          <c:order val="4"/>
          <c:tx>
            <c:strRef>
              <c:f>'SL.115+740'!$D$12:$D$13</c:f>
              <c:strCache>
                <c:ptCount val="2"/>
                <c:pt idx="0">
                  <c:v>Chiều dày nền đắp 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'SL.115+740'!$A$14:$A$6698</c:f>
              <c:numCache>
                <c:formatCode>dd/mm/yyyy;@</c:formatCode>
                <c:ptCount val="6685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'SL.115+740'!$D$14:$D$6698</c:f>
              <c:numCache>
                <c:formatCode>0.000</c:formatCode>
                <c:ptCount val="66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0.13100000000000001</c:v>
                </c:pt>
                <c:pt idx="14">
                  <c:v>0.13100000000000001</c:v>
                </c:pt>
                <c:pt idx="15">
                  <c:v>0.13100000000000001</c:v>
                </c:pt>
                <c:pt idx="16">
                  <c:v>0.13100000000000001</c:v>
                </c:pt>
                <c:pt idx="17">
                  <c:v>0.42399999999999999</c:v>
                </c:pt>
                <c:pt idx="18">
                  <c:v>0.42399999999999999</c:v>
                </c:pt>
                <c:pt idx="19">
                  <c:v>0.42399999999999999</c:v>
                </c:pt>
                <c:pt idx="20">
                  <c:v>0.42399999999999999</c:v>
                </c:pt>
                <c:pt idx="21">
                  <c:v>0.71499999999999997</c:v>
                </c:pt>
                <c:pt idx="22">
                  <c:v>0.71499999999999997</c:v>
                </c:pt>
                <c:pt idx="23">
                  <c:v>0.71499999999999997</c:v>
                </c:pt>
                <c:pt idx="24">
                  <c:v>0.71499999999999997</c:v>
                </c:pt>
                <c:pt idx="25">
                  <c:v>1.0069999999999999</c:v>
                </c:pt>
                <c:pt idx="26">
                  <c:v>1.0069999999999999</c:v>
                </c:pt>
                <c:pt idx="27">
                  <c:v>1.0069999999999999</c:v>
                </c:pt>
                <c:pt idx="28">
                  <c:v>1.0069999999999999</c:v>
                </c:pt>
                <c:pt idx="29">
                  <c:v>1.0069999999999999</c:v>
                </c:pt>
                <c:pt idx="30">
                  <c:v>1.0069999999999999</c:v>
                </c:pt>
                <c:pt idx="31">
                  <c:v>1.0069999999999999</c:v>
                </c:pt>
                <c:pt idx="32">
                  <c:v>1.0069999999999999</c:v>
                </c:pt>
                <c:pt idx="33">
                  <c:v>1.0069999999999999</c:v>
                </c:pt>
                <c:pt idx="34">
                  <c:v>1.0069999999999999</c:v>
                </c:pt>
                <c:pt idx="35">
                  <c:v>1.0069999999999999</c:v>
                </c:pt>
                <c:pt idx="36">
                  <c:v>1.0069999999999999</c:v>
                </c:pt>
                <c:pt idx="37">
                  <c:v>1.0069999999999999</c:v>
                </c:pt>
                <c:pt idx="38">
                  <c:v>1.0069999999999999</c:v>
                </c:pt>
                <c:pt idx="39">
                  <c:v>1.0069999999999999</c:v>
                </c:pt>
                <c:pt idx="40">
                  <c:v>1.0069999999999999</c:v>
                </c:pt>
                <c:pt idx="41">
                  <c:v>1.0069999999999999</c:v>
                </c:pt>
                <c:pt idx="42">
                  <c:v>1.0069999999999999</c:v>
                </c:pt>
                <c:pt idx="43">
                  <c:v>1.0069999999999999</c:v>
                </c:pt>
                <c:pt idx="44">
                  <c:v>1.0069999999999999</c:v>
                </c:pt>
                <c:pt idx="45">
                  <c:v>1.0069999999999999</c:v>
                </c:pt>
                <c:pt idx="46">
                  <c:v>1.0069999999999999</c:v>
                </c:pt>
                <c:pt idx="47">
                  <c:v>1.0069999999999999</c:v>
                </c:pt>
                <c:pt idx="48">
                  <c:v>1.0069999999999999</c:v>
                </c:pt>
                <c:pt idx="49">
                  <c:v>1.0069999999999999</c:v>
                </c:pt>
                <c:pt idx="50">
                  <c:v>1.0069999999999999</c:v>
                </c:pt>
                <c:pt idx="51">
                  <c:v>1.0069999999999999</c:v>
                </c:pt>
                <c:pt idx="52">
                  <c:v>1.0069999999999999</c:v>
                </c:pt>
                <c:pt idx="53">
                  <c:v>1.0069999999999999</c:v>
                </c:pt>
                <c:pt idx="54">
                  <c:v>1.0069999999999999</c:v>
                </c:pt>
                <c:pt idx="55">
                  <c:v>1.0069999999999999</c:v>
                </c:pt>
                <c:pt idx="56">
                  <c:v>1.0069999999999999</c:v>
                </c:pt>
                <c:pt idx="57">
                  <c:v>1.0069999999999999</c:v>
                </c:pt>
                <c:pt idx="58">
                  <c:v>1.0069999999999999</c:v>
                </c:pt>
                <c:pt idx="59">
                  <c:v>1.0069999999999999</c:v>
                </c:pt>
                <c:pt idx="60">
                  <c:v>1.0069999999999999</c:v>
                </c:pt>
                <c:pt idx="61">
                  <c:v>1.0069999999999999</c:v>
                </c:pt>
                <c:pt idx="62">
                  <c:v>1.0069999999999999</c:v>
                </c:pt>
                <c:pt idx="63">
                  <c:v>1.0069999999999999</c:v>
                </c:pt>
                <c:pt idx="64">
                  <c:v>1.0069999999999999</c:v>
                </c:pt>
                <c:pt idx="65">
                  <c:v>1.0069999999999999</c:v>
                </c:pt>
                <c:pt idx="66">
                  <c:v>1.0069999999999999</c:v>
                </c:pt>
                <c:pt idx="67">
                  <c:v>1.0069999999999999</c:v>
                </c:pt>
                <c:pt idx="68">
                  <c:v>1.0069999999999999</c:v>
                </c:pt>
                <c:pt idx="69">
                  <c:v>1.0069999999999999</c:v>
                </c:pt>
                <c:pt idx="70">
                  <c:v>1.0069999999999999</c:v>
                </c:pt>
                <c:pt idx="71">
                  <c:v>1.0069999999999999</c:v>
                </c:pt>
                <c:pt idx="72">
                  <c:v>1.0069999999999999</c:v>
                </c:pt>
                <c:pt idx="73">
                  <c:v>1.0069999999999999</c:v>
                </c:pt>
                <c:pt idx="74">
                  <c:v>1.0069999999999999</c:v>
                </c:pt>
                <c:pt idx="75">
                  <c:v>1.0069999999999999</c:v>
                </c:pt>
                <c:pt idx="76">
                  <c:v>1.0069999999999999</c:v>
                </c:pt>
                <c:pt idx="77">
                  <c:v>1.0069999999999999</c:v>
                </c:pt>
                <c:pt idx="78">
                  <c:v>1.0069999999999999</c:v>
                </c:pt>
                <c:pt idx="79">
                  <c:v>1.0069999999999999</c:v>
                </c:pt>
                <c:pt idx="80">
                  <c:v>1.0069999999999999</c:v>
                </c:pt>
                <c:pt idx="81">
                  <c:v>1.0069999999999999</c:v>
                </c:pt>
                <c:pt idx="82">
                  <c:v>1.0069999999999999</c:v>
                </c:pt>
                <c:pt idx="83">
                  <c:v>1.0069999999999999</c:v>
                </c:pt>
                <c:pt idx="84">
                  <c:v>1.0069999999999999</c:v>
                </c:pt>
                <c:pt idx="85">
                  <c:v>1.0069999999999999</c:v>
                </c:pt>
                <c:pt idx="86">
                  <c:v>1.0069999999999999</c:v>
                </c:pt>
                <c:pt idx="87">
                  <c:v>1.0069999999999999</c:v>
                </c:pt>
                <c:pt idx="88">
                  <c:v>1.0069999999999999</c:v>
                </c:pt>
                <c:pt idx="89">
                  <c:v>1.0069999999999999</c:v>
                </c:pt>
                <c:pt idx="90">
                  <c:v>1.0069999999999999</c:v>
                </c:pt>
                <c:pt idx="91">
                  <c:v>1.0069999999999999</c:v>
                </c:pt>
                <c:pt idx="92">
                  <c:v>1.0069999999999999</c:v>
                </c:pt>
                <c:pt idx="93">
                  <c:v>1.0069999999999999</c:v>
                </c:pt>
                <c:pt idx="94">
                  <c:v>1.0069999999999999</c:v>
                </c:pt>
                <c:pt idx="95">
                  <c:v>1.0069999999999999</c:v>
                </c:pt>
                <c:pt idx="96">
                  <c:v>1.0069999999999999</c:v>
                </c:pt>
                <c:pt idx="97">
                  <c:v>1.0069999999999999</c:v>
                </c:pt>
                <c:pt idx="98">
                  <c:v>1.0069999999999999</c:v>
                </c:pt>
                <c:pt idx="99">
                  <c:v>1.0069999999999999</c:v>
                </c:pt>
                <c:pt idx="100">
                  <c:v>1.0069999999999999</c:v>
                </c:pt>
                <c:pt idx="101">
                  <c:v>1.0069999999999999</c:v>
                </c:pt>
                <c:pt idx="102">
                  <c:v>1.0069999999999999</c:v>
                </c:pt>
                <c:pt idx="103">
                  <c:v>1.0069999999999999</c:v>
                </c:pt>
                <c:pt idx="104">
                  <c:v>1.0069999999999999</c:v>
                </c:pt>
                <c:pt idx="105">
                  <c:v>1.0069999999999999</c:v>
                </c:pt>
                <c:pt idx="106">
                  <c:v>1.0069999999999999</c:v>
                </c:pt>
                <c:pt idx="107">
                  <c:v>1.0069999999999999</c:v>
                </c:pt>
                <c:pt idx="108">
                  <c:v>1.0069999999999999</c:v>
                </c:pt>
                <c:pt idx="109">
                  <c:v>1.0069999999999999</c:v>
                </c:pt>
                <c:pt idx="110">
                  <c:v>1.0069999999999999</c:v>
                </c:pt>
                <c:pt idx="111">
                  <c:v>1.0069999999999999</c:v>
                </c:pt>
                <c:pt idx="112">
                  <c:v>1.0069999999999999</c:v>
                </c:pt>
                <c:pt idx="113">
                  <c:v>1.0069999999999999</c:v>
                </c:pt>
                <c:pt idx="114">
                  <c:v>1.0069999999999999</c:v>
                </c:pt>
                <c:pt idx="115">
                  <c:v>1.0069999999999999</c:v>
                </c:pt>
                <c:pt idx="116">
                  <c:v>1.0069999999999999</c:v>
                </c:pt>
                <c:pt idx="117">
                  <c:v>1.0069999999999999</c:v>
                </c:pt>
                <c:pt idx="118">
                  <c:v>1.0069999999999999</c:v>
                </c:pt>
                <c:pt idx="119">
                  <c:v>1.0069999999999999</c:v>
                </c:pt>
                <c:pt idx="120">
                  <c:v>1.0069999999999999</c:v>
                </c:pt>
                <c:pt idx="121">
                  <c:v>1.0069999999999999</c:v>
                </c:pt>
                <c:pt idx="122">
                  <c:v>1.0069999999999999</c:v>
                </c:pt>
                <c:pt idx="123">
                  <c:v>1.0069999999999999</c:v>
                </c:pt>
                <c:pt idx="124">
                  <c:v>1.0069999999999999</c:v>
                </c:pt>
                <c:pt idx="125">
                  <c:v>1.0069999999999999</c:v>
                </c:pt>
                <c:pt idx="126">
                  <c:v>1.0069999999999999</c:v>
                </c:pt>
                <c:pt idx="127">
                  <c:v>1.0069999999999999</c:v>
                </c:pt>
                <c:pt idx="128">
                  <c:v>1.0069999999999999</c:v>
                </c:pt>
                <c:pt idx="129">
                  <c:v>1.0069999999999999</c:v>
                </c:pt>
                <c:pt idx="130">
                  <c:v>1.0069999999999999</c:v>
                </c:pt>
                <c:pt idx="131">
                  <c:v>1.0069999999999999</c:v>
                </c:pt>
                <c:pt idx="132">
                  <c:v>1.0069999999999999</c:v>
                </c:pt>
                <c:pt idx="133">
                  <c:v>1.0069999999999999</c:v>
                </c:pt>
                <c:pt idx="134">
                  <c:v>1.0069999999999999</c:v>
                </c:pt>
                <c:pt idx="135">
                  <c:v>1.0069999999999999</c:v>
                </c:pt>
                <c:pt idx="136">
                  <c:v>1.0069999999999999</c:v>
                </c:pt>
                <c:pt idx="137">
                  <c:v>1.0069999999999999</c:v>
                </c:pt>
                <c:pt idx="138">
                  <c:v>1.0069999999999999</c:v>
                </c:pt>
                <c:pt idx="139">
                  <c:v>1.0069999999999999</c:v>
                </c:pt>
                <c:pt idx="140">
                  <c:v>1.0069999999999999</c:v>
                </c:pt>
                <c:pt idx="141">
                  <c:v>1.0069999999999999</c:v>
                </c:pt>
                <c:pt idx="142">
                  <c:v>1.0069999999999999</c:v>
                </c:pt>
                <c:pt idx="143">
                  <c:v>1.0069999999999999</c:v>
                </c:pt>
                <c:pt idx="144">
                  <c:v>1.0069999999999999</c:v>
                </c:pt>
                <c:pt idx="145">
                  <c:v>1.0069999999999999</c:v>
                </c:pt>
                <c:pt idx="146">
                  <c:v>1.0069999999999999</c:v>
                </c:pt>
                <c:pt idx="147">
                  <c:v>1.0069999999999999</c:v>
                </c:pt>
                <c:pt idx="148">
                  <c:v>1.0069999999999999</c:v>
                </c:pt>
                <c:pt idx="149">
                  <c:v>1.0069999999999999</c:v>
                </c:pt>
                <c:pt idx="150">
                  <c:v>1.0069999999999999</c:v>
                </c:pt>
                <c:pt idx="151">
                  <c:v>1.0069999999999999</c:v>
                </c:pt>
                <c:pt idx="152">
                  <c:v>1.0069999999999999</c:v>
                </c:pt>
                <c:pt idx="153">
                  <c:v>1.0069999999999999</c:v>
                </c:pt>
                <c:pt idx="154">
                  <c:v>1.0069999999999999</c:v>
                </c:pt>
                <c:pt idx="155">
                  <c:v>1.0069999999999999</c:v>
                </c:pt>
                <c:pt idx="156">
                  <c:v>1.0069999999999999</c:v>
                </c:pt>
                <c:pt idx="157">
                  <c:v>1.0069999999999999</c:v>
                </c:pt>
                <c:pt idx="158">
                  <c:v>1.0069999999999999</c:v>
                </c:pt>
                <c:pt idx="159">
                  <c:v>1.0069999999999999</c:v>
                </c:pt>
                <c:pt idx="160">
                  <c:v>1.0069999999999999</c:v>
                </c:pt>
                <c:pt idx="161">
                  <c:v>1.0069999999999999</c:v>
                </c:pt>
                <c:pt idx="162">
                  <c:v>1.0069999999999999</c:v>
                </c:pt>
                <c:pt idx="163">
                  <c:v>1.0069999999999999</c:v>
                </c:pt>
                <c:pt idx="164">
                  <c:v>1.0069999999999999</c:v>
                </c:pt>
                <c:pt idx="165">
                  <c:v>1.0069999999999999</c:v>
                </c:pt>
                <c:pt idx="166">
                  <c:v>1.0069999999999999</c:v>
                </c:pt>
                <c:pt idx="167">
                  <c:v>1.0069999999999999</c:v>
                </c:pt>
                <c:pt idx="168">
                  <c:v>1.0069999999999999</c:v>
                </c:pt>
                <c:pt idx="169">
                  <c:v>1.0069999999999999</c:v>
                </c:pt>
                <c:pt idx="170">
                  <c:v>1.0069999999999999</c:v>
                </c:pt>
                <c:pt idx="171">
                  <c:v>1.0069999999999999</c:v>
                </c:pt>
                <c:pt idx="172">
                  <c:v>1.0069999999999999</c:v>
                </c:pt>
                <c:pt idx="173">
                  <c:v>1.0069999999999999</c:v>
                </c:pt>
                <c:pt idx="174">
                  <c:v>1.0069999999999999</c:v>
                </c:pt>
                <c:pt idx="175">
                  <c:v>1.0069999999999999</c:v>
                </c:pt>
                <c:pt idx="176">
                  <c:v>1.0069999999999999</c:v>
                </c:pt>
                <c:pt idx="177">
                  <c:v>1.0069999999999999</c:v>
                </c:pt>
                <c:pt idx="178">
                  <c:v>1.0069999999999999</c:v>
                </c:pt>
                <c:pt idx="179">
                  <c:v>1.0069999999999999</c:v>
                </c:pt>
                <c:pt idx="180">
                  <c:v>1.0069999999999999</c:v>
                </c:pt>
                <c:pt idx="181">
                  <c:v>1.0069999999999999</c:v>
                </c:pt>
                <c:pt idx="182">
                  <c:v>1.0069999999999999</c:v>
                </c:pt>
                <c:pt idx="183">
                  <c:v>1.0069999999999999</c:v>
                </c:pt>
                <c:pt idx="184">
                  <c:v>1.0069999999999999</c:v>
                </c:pt>
                <c:pt idx="185">
                  <c:v>1.0069999999999999</c:v>
                </c:pt>
                <c:pt idx="186">
                  <c:v>1.0069999999999999</c:v>
                </c:pt>
                <c:pt idx="187">
                  <c:v>1.0069999999999999</c:v>
                </c:pt>
                <c:pt idx="188">
                  <c:v>1.0069999999999999</c:v>
                </c:pt>
                <c:pt idx="189">
                  <c:v>1.0069999999999999</c:v>
                </c:pt>
                <c:pt idx="190">
                  <c:v>1.0069999999999999</c:v>
                </c:pt>
                <c:pt idx="191">
                  <c:v>1.0069999999999999</c:v>
                </c:pt>
                <c:pt idx="192">
                  <c:v>1.0069999999999999</c:v>
                </c:pt>
                <c:pt idx="193">
                  <c:v>1.0069999999999999</c:v>
                </c:pt>
                <c:pt idx="194">
                  <c:v>1.0069999999999999</c:v>
                </c:pt>
                <c:pt idx="195">
                  <c:v>1.0069999999999999</c:v>
                </c:pt>
                <c:pt idx="196">
                  <c:v>1.0069999999999999</c:v>
                </c:pt>
                <c:pt idx="197">
                  <c:v>1.0069999999999999</c:v>
                </c:pt>
                <c:pt idx="198">
                  <c:v>1.0069999999999999</c:v>
                </c:pt>
                <c:pt idx="199">
                  <c:v>1.0069999999999999</c:v>
                </c:pt>
                <c:pt idx="200">
                  <c:v>1.0069999999999999</c:v>
                </c:pt>
                <c:pt idx="201">
                  <c:v>1.0069999999999999</c:v>
                </c:pt>
                <c:pt idx="202">
                  <c:v>1.0069999999999999</c:v>
                </c:pt>
                <c:pt idx="203">
                  <c:v>1.0069999999999999</c:v>
                </c:pt>
                <c:pt idx="204">
                  <c:v>1.0069999999999999</c:v>
                </c:pt>
                <c:pt idx="205">
                  <c:v>1.0069999999999999</c:v>
                </c:pt>
                <c:pt idx="206">
                  <c:v>1.0069999999999999</c:v>
                </c:pt>
                <c:pt idx="207">
                  <c:v>1.0069999999999999</c:v>
                </c:pt>
                <c:pt idx="208">
                  <c:v>1.0069999999999999</c:v>
                </c:pt>
                <c:pt idx="209">
                  <c:v>1.0069999999999999</c:v>
                </c:pt>
                <c:pt idx="210">
                  <c:v>1.0069999999999999</c:v>
                </c:pt>
                <c:pt idx="211">
                  <c:v>1.0069999999999999</c:v>
                </c:pt>
                <c:pt idx="212">
                  <c:v>1.0069999999999999</c:v>
                </c:pt>
                <c:pt idx="213">
                  <c:v>1.0069999999999999</c:v>
                </c:pt>
                <c:pt idx="214">
                  <c:v>1.0069999999999999</c:v>
                </c:pt>
                <c:pt idx="215">
                  <c:v>1.0069999999999999</c:v>
                </c:pt>
                <c:pt idx="216">
                  <c:v>1.0069999999999999</c:v>
                </c:pt>
                <c:pt idx="217">
                  <c:v>1.0069999999999999</c:v>
                </c:pt>
                <c:pt idx="218">
                  <c:v>1.0069999999999999</c:v>
                </c:pt>
                <c:pt idx="219">
                  <c:v>1.0069999999999999</c:v>
                </c:pt>
                <c:pt idx="220">
                  <c:v>1.0069999999999999</c:v>
                </c:pt>
                <c:pt idx="221">
                  <c:v>1.0069999999999999</c:v>
                </c:pt>
                <c:pt idx="222">
                  <c:v>1.0069999999999999</c:v>
                </c:pt>
                <c:pt idx="223">
                  <c:v>1.0069999999999999</c:v>
                </c:pt>
                <c:pt idx="224">
                  <c:v>1.0069999999999999</c:v>
                </c:pt>
                <c:pt idx="225">
                  <c:v>1.0069999999999999</c:v>
                </c:pt>
                <c:pt idx="226">
                  <c:v>1.0069999999999999</c:v>
                </c:pt>
                <c:pt idx="227">
                  <c:v>1.0069999999999999</c:v>
                </c:pt>
                <c:pt idx="228">
                  <c:v>1.0069999999999999</c:v>
                </c:pt>
                <c:pt idx="229">
                  <c:v>1.0069999999999999</c:v>
                </c:pt>
                <c:pt idx="230">
                  <c:v>1.0069999999999999</c:v>
                </c:pt>
                <c:pt idx="231">
                  <c:v>1.0069999999999999</c:v>
                </c:pt>
                <c:pt idx="232">
                  <c:v>1.0069999999999999</c:v>
                </c:pt>
                <c:pt idx="233">
                  <c:v>1.0069999999999999</c:v>
                </c:pt>
                <c:pt idx="234">
                  <c:v>1.0069999999999999</c:v>
                </c:pt>
                <c:pt idx="235">
                  <c:v>1.0069999999999999</c:v>
                </c:pt>
                <c:pt idx="236">
                  <c:v>1.0069999999999999</c:v>
                </c:pt>
                <c:pt idx="237">
                  <c:v>1.0069999999999999</c:v>
                </c:pt>
                <c:pt idx="238">
                  <c:v>1.0069999999999999</c:v>
                </c:pt>
                <c:pt idx="239">
                  <c:v>1.0069999999999999</c:v>
                </c:pt>
                <c:pt idx="240">
                  <c:v>1.0069999999999999</c:v>
                </c:pt>
                <c:pt idx="241">
                  <c:v>1.0069999999999999</c:v>
                </c:pt>
                <c:pt idx="242">
                  <c:v>1.0069999999999999</c:v>
                </c:pt>
                <c:pt idx="243">
                  <c:v>1.0069999999999999</c:v>
                </c:pt>
                <c:pt idx="244">
                  <c:v>1.0069999999999999</c:v>
                </c:pt>
                <c:pt idx="245">
                  <c:v>1.0069999999999999</c:v>
                </c:pt>
                <c:pt idx="246">
                  <c:v>1.0069999999999999</c:v>
                </c:pt>
                <c:pt idx="247">
                  <c:v>1.0069999999999999</c:v>
                </c:pt>
                <c:pt idx="248">
                  <c:v>1.0069999999999999</c:v>
                </c:pt>
                <c:pt idx="249">
                  <c:v>1.0069999999999999</c:v>
                </c:pt>
                <c:pt idx="250">
                  <c:v>1.0069999999999999</c:v>
                </c:pt>
                <c:pt idx="251">
                  <c:v>1.0069999999999999</c:v>
                </c:pt>
                <c:pt idx="252">
                  <c:v>1.0069999999999999</c:v>
                </c:pt>
                <c:pt idx="253">
                  <c:v>1.0069999999999999</c:v>
                </c:pt>
                <c:pt idx="254">
                  <c:v>1.0069999999999999</c:v>
                </c:pt>
                <c:pt idx="255">
                  <c:v>1.0069999999999999</c:v>
                </c:pt>
                <c:pt idx="256">
                  <c:v>1.0069999999999999</c:v>
                </c:pt>
                <c:pt idx="257">
                  <c:v>1.0069999999999999</c:v>
                </c:pt>
                <c:pt idx="258">
                  <c:v>1.0069999999999999</c:v>
                </c:pt>
                <c:pt idx="259">
                  <c:v>1.0069999999999999</c:v>
                </c:pt>
                <c:pt idx="260">
                  <c:v>1.0069999999999999</c:v>
                </c:pt>
                <c:pt idx="261">
                  <c:v>1.0069999999999999</c:v>
                </c:pt>
                <c:pt idx="262">
                  <c:v>1.0069999999999999</c:v>
                </c:pt>
                <c:pt idx="263">
                  <c:v>1.0069999999999999</c:v>
                </c:pt>
                <c:pt idx="264">
                  <c:v>1.0069999999999999</c:v>
                </c:pt>
                <c:pt idx="265">
                  <c:v>1.0069999999999999</c:v>
                </c:pt>
                <c:pt idx="266">
                  <c:v>1.0069999999999999</c:v>
                </c:pt>
                <c:pt idx="267">
                  <c:v>1.0069999999999999</c:v>
                </c:pt>
                <c:pt idx="268">
                  <c:v>1.0069999999999999</c:v>
                </c:pt>
                <c:pt idx="269">
                  <c:v>1.0069999999999999</c:v>
                </c:pt>
                <c:pt idx="270">
                  <c:v>1.0069999999999999</c:v>
                </c:pt>
                <c:pt idx="271">
                  <c:v>1.0069999999999999</c:v>
                </c:pt>
                <c:pt idx="272">
                  <c:v>1.0069999999999999</c:v>
                </c:pt>
                <c:pt idx="273">
                  <c:v>1.0069999999999999</c:v>
                </c:pt>
                <c:pt idx="274">
                  <c:v>1.0069999999999999</c:v>
                </c:pt>
                <c:pt idx="275">
                  <c:v>1.0069999999999999</c:v>
                </c:pt>
                <c:pt idx="276">
                  <c:v>1.0069999999999999</c:v>
                </c:pt>
                <c:pt idx="277">
                  <c:v>1.0069999999999999</c:v>
                </c:pt>
                <c:pt idx="278">
                  <c:v>1.0069999999999999</c:v>
                </c:pt>
                <c:pt idx="279">
                  <c:v>1.0069999999999999</c:v>
                </c:pt>
                <c:pt idx="280">
                  <c:v>1.0069999999999999</c:v>
                </c:pt>
                <c:pt idx="281">
                  <c:v>1.0069999999999999</c:v>
                </c:pt>
                <c:pt idx="282">
                  <c:v>1.0069999999999999</c:v>
                </c:pt>
                <c:pt idx="283">
                  <c:v>1.0069999999999999</c:v>
                </c:pt>
                <c:pt idx="284">
                  <c:v>1.0069999999999999</c:v>
                </c:pt>
                <c:pt idx="285">
                  <c:v>1.0069999999999999</c:v>
                </c:pt>
                <c:pt idx="286">
                  <c:v>1.0069999999999999</c:v>
                </c:pt>
                <c:pt idx="287">
                  <c:v>1.0069999999999999</c:v>
                </c:pt>
                <c:pt idx="288">
                  <c:v>1.0069999999999999</c:v>
                </c:pt>
                <c:pt idx="289">
                  <c:v>1.0069999999999999</c:v>
                </c:pt>
                <c:pt idx="290">
                  <c:v>1.0069999999999999</c:v>
                </c:pt>
                <c:pt idx="291">
                  <c:v>1.0069999999999999</c:v>
                </c:pt>
                <c:pt idx="292">
                  <c:v>1.0069999999999999</c:v>
                </c:pt>
                <c:pt idx="293">
                  <c:v>1.2989999999999999</c:v>
                </c:pt>
                <c:pt idx="294">
                  <c:v>1.2989999999999999</c:v>
                </c:pt>
                <c:pt idx="295">
                  <c:v>1.2989999999999999</c:v>
                </c:pt>
                <c:pt idx="296">
                  <c:v>1.2989999999999999</c:v>
                </c:pt>
                <c:pt idx="297">
                  <c:v>1.591</c:v>
                </c:pt>
                <c:pt idx="298">
                  <c:v>1.591</c:v>
                </c:pt>
                <c:pt idx="299">
                  <c:v>1.591</c:v>
                </c:pt>
                <c:pt idx="300">
                  <c:v>1.591</c:v>
                </c:pt>
                <c:pt idx="301">
                  <c:v>1.591</c:v>
                </c:pt>
                <c:pt idx="302">
                  <c:v>1.8819999999999999</c:v>
                </c:pt>
                <c:pt idx="303">
                  <c:v>1.8819999999999999</c:v>
                </c:pt>
                <c:pt idx="304">
                  <c:v>1.8819999999999999</c:v>
                </c:pt>
                <c:pt idx="305">
                  <c:v>1.8819999999999999</c:v>
                </c:pt>
                <c:pt idx="306">
                  <c:v>2.1739999999999999</c:v>
                </c:pt>
                <c:pt idx="307">
                  <c:v>2.1739999999999999</c:v>
                </c:pt>
                <c:pt idx="308">
                  <c:v>2.1739999999999999</c:v>
                </c:pt>
                <c:pt idx="309">
                  <c:v>2.1739999999999999</c:v>
                </c:pt>
                <c:pt idx="310">
                  <c:v>2.1739999999999999</c:v>
                </c:pt>
                <c:pt idx="311">
                  <c:v>2.1739999999999999</c:v>
                </c:pt>
                <c:pt idx="312">
                  <c:v>2.468</c:v>
                </c:pt>
                <c:pt idx="313">
                  <c:v>2.468</c:v>
                </c:pt>
                <c:pt idx="314">
                  <c:v>2.468</c:v>
                </c:pt>
                <c:pt idx="315">
                  <c:v>2.468</c:v>
                </c:pt>
                <c:pt idx="316">
                  <c:v>2.468</c:v>
                </c:pt>
                <c:pt idx="317">
                  <c:v>2.468</c:v>
                </c:pt>
                <c:pt idx="318">
                  <c:v>2.468</c:v>
                </c:pt>
                <c:pt idx="319">
                  <c:v>2.468</c:v>
                </c:pt>
                <c:pt idx="320">
                  <c:v>2.468</c:v>
                </c:pt>
                <c:pt idx="321">
                  <c:v>2.468</c:v>
                </c:pt>
                <c:pt idx="322">
                  <c:v>2.468</c:v>
                </c:pt>
                <c:pt idx="323">
                  <c:v>2.468</c:v>
                </c:pt>
                <c:pt idx="324">
                  <c:v>2.468</c:v>
                </c:pt>
                <c:pt idx="325">
                  <c:v>2.468</c:v>
                </c:pt>
                <c:pt idx="326">
                  <c:v>2.468</c:v>
                </c:pt>
                <c:pt idx="327">
                  <c:v>2.468</c:v>
                </c:pt>
                <c:pt idx="328">
                  <c:v>2.468</c:v>
                </c:pt>
                <c:pt idx="329">
                  <c:v>2.468</c:v>
                </c:pt>
                <c:pt idx="330">
                  <c:v>2.468</c:v>
                </c:pt>
                <c:pt idx="331">
                  <c:v>2.468</c:v>
                </c:pt>
                <c:pt idx="332">
                  <c:v>2.468</c:v>
                </c:pt>
                <c:pt idx="333">
                  <c:v>2.468</c:v>
                </c:pt>
                <c:pt idx="334">
                  <c:v>2.468</c:v>
                </c:pt>
                <c:pt idx="335">
                  <c:v>2.468</c:v>
                </c:pt>
                <c:pt idx="336">
                  <c:v>2.468</c:v>
                </c:pt>
                <c:pt idx="337">
                  <c:v>2.468</c:v>
                </c:pt>
                <c:pt idx="338">
                  <c:v>2.468</c:v>
                </c:pt>
                <c:pt idx="339">
                  <c:v>2.468</c:v>
                </c:pt>
                <c:pt idx="340">
                  <c:v>2.468</c:v>
                </c:pt>
                <c:pt idx="341">
                  <c:v>2.468</c:v>
                </c:pt>
                <c:pt idx="342">
                  <c:v>2.468</c:v>
                </c:pt>
                <c:pt idx="343">
                  <c:v>2.468</c:v>
                </c:pt>
                <c:pt idx="344">
                  <c:v>2.468</c:v>
                </c:pt>
                <c:pt idx="345">
                  <c:v>2.468</c:v>
                </c:pt>
                <c:pt idx="346">
                  <c:v>2.468</c:v>
                </c:pt>
                <c:pt idx="347">
                  <c:v>2.468</c:v>
                </c:pt>
                <c:pt idx="348">
                  <c:v>2.468</c:v>
                </c:pt>
                <c:pt idx="349">
                  <c:v>2.468</c:v>
                </c:pt>
                <c:pt idx="350">
                  <c:v>2.468</c:v>
                </c:pt>
                <c:pt idx="351">
                  <c:v>2.468</c:v>
                </c:pt>
                <c:pt idx="352">
                  <c:v>2.468</c:v>
                </c:pt>
                <c:pt idx="353">
                  <c:v>2.468</c:v>
                </c:pt>
                <c:pt idx="354">
                  <c:v>2.468</c:v>
                </c:pt>
                <c:pt idx="355">
                  <c:v>2.468</c:v>
                </c:pt>
                <c:pt idx="356">
                  <c:v>2.468</c:v>
                </c:pt>
                <c:pt idx="357">
                  <c:v>2.468</c:v>
                </c:pt>
                <c:pt idx="358">
                  <c:v>2.468</c:v>
                </c:pt>
                <c:pt idx="359">
                  <c:v>2.468</c:v>
                </c:pt>
                <c:pt idx="360">
                  <c:v>2.468</c:v>
                </c:pt>
                <c:pt idx="361">
                  <c:v>2.468</c:v>
                </c:pt>
                <c:pt idx="362">
                  <c:v>2.468</c:v>
                </c:pt>
                <c:pt idx="363">
                  <c:v>2.468</c:v>
                </c:pt>
                <c:pt idx="364">
                  <c:v>2.468</c:v>
                </c:pt>
                <c:pt idx="365">
                  <c:v>2.468</c:v>
                </c:pt>
                <c:pt idx="366">
                  <c:v>2.468</c:v>
                </c:pt>
                <c:pt idx="367">
                  <c:v>2.468</c:v>
                </c:pt>
                <c:pt idx="368">
                  <c:v>2.468</c:v>
                </c:pt>
                <c:pt idx="369">
                  <c:v>2.468</c:v>
                </c:pt>
                <c:pt idx="370">
                  <c:v>2.468</c:v>
                </c:pt>
                <c:pt idx="371">
                  <c:v>2.468</c:v>
                </c:pt>
                <c:pt idx="372">
                  <c:v>2.468</c:v>
                </c:pt>
                <c:pt idx="373">
                  <c:v>2.468</c:v>
                </c:pt>
                <c:pt idx="374">
                  <c:v>2.468</c:v>
                </c:pt>
                <c:pt idx="375">
                  <c:v>2.468</c:v>
                </c:pt>
                <c:pt idx="376">
                  <c:v>2.468</c:v>
                </c:pt>
                <c:pt idx="377">
                  <c:v>2.468</c:v>
                </c:pt>
                <c:pt idx="378">
                  <c:v>2.468</c:v>
                </c:pt>
                <c:pt idx="379">
                  <c:v>2.468</c:v>
                </c:pt>
                <c:pt idx="380">
                  <c:v>2.468</c:v>
                </c:pt>
                <c:pt idx="381">
                  <c:v>2.468</c:v>
                </c:pt>
                <c:pt idx="382">
                  <c:v>2.468</c:v>
                </c:pt>
                <c:pt idx="383">
                  <c:v>2.468</c:v>
                </c:pt>
                <c:pt idx="384">
                  <c:v>2.468</c:v>
                </c:pt>
                <c:pt idx="385">
                  <c:v>2.468</c:v>
                </c:pt>
                <c:pt idx="386">
                  <c:v>2.468</c:v>
                </c:pt>
                <c:pt idx="387">
                  <c:v>2.468</c:v>
                </c:pt>
                <c:pt idx="388">
                  <c:v>2.468</c:v>
                </c:pt>
                <c:pt idx="389">
                  <c:v>2.468</c:v>
                </c:pt>
                <c:pt idx="390">
                  <c:v>2.468</c:v>
                </c:pt>
                <c:pt idx="391">
                  <c:v>2.468</c:v>
                </c:pt>
                <c:pt idx="392">
                  <c:v>2.468</c:v>
                </c:pt>
                <c:pt idx="393">
                  <c:v>2.468</c:v>
                </c:pt>
                <c:pt idx="394">
                  <c:v>2.468</c:v>
                </c:pt>
                <c:pt idx="395">
                  <c:v>2.468</c:v>
                </c:pt>
                <c:pt idx="396">
                  <c:v>2.468</c:v>
                </c:pt>
                <c:pt idx="397">
                  <c:v>2.468</c:v>
                </c:pt>
                <c:pt idx="398">
                  <c:v>2.468</c:v>
                </c:pt>
                <c:pt idx="399">
                  <c:v>2.468</c:v>
                </c:pt>
                <c:pt idx="400">
                  <c:v>2.468</c:v>
                </c:pt>
                <c:pt idx="401">
                  <c:v>2.468</c:v>
                </c:pt>
                <c:pt idx="402">
                  <c:v>2.468</c:v>
                </c:pt>
                <c:pt idx="403">
                  <c:v>2.468</c:v>
                </c:pt>
                <c:pt idx="404">
                  <c:v>2.468</c:v>
                </c:pt>
                <c:pt idx="405">
                  <c:v>2.468</c:v>
                </c:pt>
                <c:pt idx="406">
                  <c:v>2.468</c:v>
                </c:pt>
                <c:pt idx="407">
                  <c:v>2.468</c:v>
                </c:pt>
                <c:pt idx="408">
                  <c:v>2.468</c:v>
                </c:pt>
                <c:pt idx="409">
                  <c:v>2.468</c:v>
                </c:pt>
                <c:pt idx="410">
                  <c:v>2.468</c:v>
                </c:pt>
                <c:pt idx="411">
                  <c:v>2.468</c:v>
                </c:pt>
                <c:pt idx="412">
                  <c:v>2.468</c:v>
                </c:pt>
                <c:pt idx="413">
                  <c:v>2.468</c:v>
                </c:pt>
                <c:pt idx="414">
                  <c:v>2.468</c:v>
                </c:pt>
                <c:pt idx="415">
                  <c:v>2.468</c:v>
                </c:pt>
                <c:pt idx="416">
                  <c:v>2.468</c:v>
                </c:pt>
                <c:pt idx="417">
                  <c:v>2.468</c:v>
                </c:pt>
                <c:pt idx="418">
                  <c:v>2.468</c:v>
                </c:pt>
                <c:pt idx="419">
                  <c:v>2.468</c:v>
                </c:pt>
                <c:pt idx="420">
                  <c:v>2.468</c:v>
                </c:pt>
                <c:pt idx="421">
                  <c:v>2.468</c:v>
                </c:pt>
                <c:pt idx="422">
                  <c:v>2.468</c:v>
                </c:pt>
                <c:pt idx="423">
                  <c:v>2.6579999999999999</c:v>
                </c:pt>
                <c:pt idx="424">
                  <c:v>2.6579999999999999</c:v>
                </c:pt>
                <c:pt idx="425">
                  <c:v>2.6579999999999999</c:v>
                </c:pt>
                <c:pt idx="426">
                  <c:v>2.6579999999999999</c:v>
                </c:pt>
                <c:pt idx="427">
                  <c:v>2.948</c:v>
                </c:pt>
                <c:pt idx="428">
                  <c:v>2.948</c:v>
                </c:pt>
                <c:pt idx="429">
                  <c:v>2.948</c:v>
                </c:pt>
                <c:pt idx="430">
                  <c:v>2.948</c:v>
                </c:pt>
                <c:pt idx="431">
                  <c:v>2.948</c:v>
                </c:pt>
                <c:pt idx="432">
                  <c:v>3.238</c:v>
                </c:pt>
                <c:pt idx="433">
                  <c:v>3.238</c:v>
                </c:pt>
                <c:pt idx="434">
                  <c:v>3.238</c:v>
                </c:pt>
                <c:pt idx="435">
                  <c:v>3.238</c:v>
                </c:pt>
                <c:pt idx="436">
                  <c:v>3.238</c:v>
                </c:pt>
                <c:pt idx="437">
                  <c:v>3.528</c:v>
                </c:pt>
                <c:pt idx="438">
                  <c:v>3.528</c:v>
                </c:pt>
                <c:pt idx="439">
                  <c:v>3.528</c:v>
                </c:pt>
                <c:pt idx="440">
                  <c:v>3.528</c:v>
                </c:pt>
                <c:pt idx="441">
                  <c:v>3.8180000000000001</c:v>
                </c:pt>
                <c:pt idx="442">
                  <c:v>3.8180000000000001</c:v>
                </c:pt>
                <c:pt idx="443">
                  <c:v>3.8180000000000001</c:v>
                </c:pt>
                <c:pt idx="444">
                  <c:v>3.8180000000000001</c:v>
                </c:pt>
                <c:pt idx="445">
                  <c:v>3.8180000000000001</c:v>
                </c:pt>
                <c:pt idx="446">
                  <c:v>4.109</c:v>
                </c:pt>
                <c:pt idx="447">
                  <c:v>4.109</c:v>
                </c:pt>
                <c:pt idx="448">
                  <c:v>4.109</c:v>
                </c:pt>
                <c:pt idx="449">
                  <c:v>4.109</c:v>
                </c:pt>
                <c:pt idx="450">
                  <c:v>4.109</c:v>
                </c:pt>
                <c:pt idx="451">
                  <c:v>4.109</c:v>
                </c:pt>
                <c:pt idx="452">
                  <c:v>4.109</c:v>
                </c:pt>
                <c:pt idx="453">
                  <c:v>4.109</c:v>
                </c:pt>
                <c:pt idx="454">
                  <c:v>4.109</c:v>
                </c:pt>
                <c:pt idx="455">
                  <c:v>4.109</c:v>
                </c:pt>
                <c:pt idx="456">
                  <c:v>4.109</c:v>
                </c:pt>
                <c:pt idx="457">
                  <c:v>4.109</c:v>
                </c:pt>
                <c:pt idx="458">
                  <c:v>4.109</c:v>
                </c:pt>
                <c:pt idx="459">
                  <c:v>4.109</c:v>
                </c:pt>
                <c:pt idx="460">
                  <c:v>4.109</c:v>
                </c:pt>
                <c:pt idx="461">
                  <c:v>4.109</c:v>
                </c:pt>
                <c:pt idx="462">
                  <c:v>4.109</c:v>
                </c:pt>
                <c:pt idx="463">
                  <c:v>4.109</c:v>
                </c:pt>
                <c:pt idx="464">
                  <c:v>4.109</c:v>
                </c:pt>
                <c:pt idx="465">
                  <c:v>4.109</c:v>
                </c:pt>
                <c:pt idx="466">
                  <c:v>4.109</c:v>
                </c:pt>
                <c:pt idx="467">
                  <c:v>4.109</c:v>
                </c:pt>
                <c:pt idx="468">
                  <c:v>4.109</c:v>
                </c:pt>
                <c:pt idx="469">
                  <c:v>4.109</c:v>
                </c:pt>
                <c:pt idx="470">
                  <c:v>4.109</c:v>
                </c:pt>
                <c:pt idx="471">
                  <c:v>4.109</c:v>
                </c:pt>
                <c:pt idx="472">
                  <c:v>4.109</c:v>
                </c:pt>
                <c:pt idx="473">
                  <c:v>4.109</c:v>
                </c:pt>
                <c:pt idx="474">
                  <c:v>4.109</c:v>
                </c:pt>
                <c:pt idx="475">
                  <c:v>4.109</c:v>
                </c:pt>
                <c:pt idx="476">
                  <c:v>4.109</c:v>
                </c:pt>
                <c:pt idx="477">
                  <c:v>4.109</c:v>
                </c:pt>
                <c:pt idx="478">
                  <c:v>4.109</c:v>
                </c:pt>
                <c:pt idx="479">
                  <c:v>4.109</c:v>
                </c:pt>
                <c:pt idx="480">
                  <c:v>4.109</c:v>
                </c:pt>
                <c:pt idx="481">
                  <c:v>4.109</c:v>
                </c:pt>
                <c:pt idx="482">
                  <c:v>4.109</c:v>
                </c:pt>
                <c:pt idx="483">
                  <c:v>4.109</c:v>
                </c:pt>
                <c:pt idx="484">
                  <c:v>4.109</c:v>
                </c:pt>
                <c:pt idx="485">
                  <c:v>4.109</c:v>
                </c:pt>
                <c:pt idx="486">
                  <c:v>4.109</c:v>
                </c:pt>
                <c:pt idx="487">
                  <c:v>4.109</c:v>
                </c:pt>
                <c:pt idx="488">
                  <c:v>4.109</c:v>
                </c:pt>
                <c:pt idx="489">
                  <c:v>4.109</c:v>
                </c:pt>
                <c:pt idx="490">
                  <c:v>4.109</c:v>
                </c:pt>
                <c:pt idx="491">
                  <c:v>4.109</c:v>
                </c:pt>
                <c:pt idx="492">
                  <c:v>4.109</c:v>
                </c:pt>
                <c:pt idx="493">
                  <c:v>4.109</c:v>
                </c:pt>
                <c:pt idx="494">
                  <c:v>4.109</c:v>
                </c:pt>
                <c:pt idx="495">
                  <c:v>4.109</c:v>
                </c:pt>
                <c:pt idx="496">
                  <c:v>4.109</c:v>
                </c:pt>
                <c:pt idx="497">
                  <c:v>4.109</c:v>
                </c:pt>
                <c:pt idx="498">
                  <c:v>4.109</c:v>
                </c:pt>
                <c:pt idx="499">
                  <c:v>4.109</c:v>
                </c:pt>
                <c:pt idx="500">
                  <c:v>4.109</c:v>
                </c:pt>
                <c:pt idx="501">
                  <c:v>4.109</c:v>
                </c:pt>
                <c:pt idx="502">
                  <c:v>4.109</c:v>
                </c:pt>
                <c:pt idx="503">
                  <c:v>4.109</c:v>
                </c:pt>
                <c:pt idx="504">
                  <c:v>4.109</c:v>
                </c:pt>
                <c:pt idx="505">
                  <c:v>4.109</c:v>
                </c:pt>
                <c:pt idx="506">
                  <c:v>4.109</c:v>
                </c:pt>
                <c:pt idx="507">
                  <c:v>4.109</c:v>
                </c:pt>
                <c:pt idx="508">
                  <c:v>4.109</c:v>
                </c:pt>
                <c:pt idx="509">
                  <c:v>4.109</c:v>
                </c:pt>
                <c:pt idx="510">
                  <c:v>4.109</c:v>
                </c:pt>
                <c:pt idx="511">
                  <c:v>4.109</c:v>
                </c:pt>
                <c:pt idx="512">
                  <c:v>4.109</c:v>
                </c:pt>
                <c:pt idx="513">
                  <c:v>4.109</c:v>
                </c:pt>
                <c:pt idx="514">
                  <c:v>4.109</c:v>
                </c:pt>
                <c:pt idx="515">
                  <c:v>4.109</c:v>
                </c:pt>
                <c:pt idx="516">
                  <c:v>4.109</c:v>
                </c:pt>
                <c:pt idx="517">
                  <c:v>4.109</c:v>
                </c:pt>
                <c:pt idx="518">
                  <c:v>4.109</c:v>
                </c:pt>
                <c:pt idx="519">
                  <c:v>4.109</c:v>
                </c:pt>
                <c:pt idx="520">
                  <c:v>4.109</c:v>
                </c:pt>
                <c:pt idx="521">
                  <c:v>4.109</c:v>
                </c:pt>
                <c:pt idx="522">
                  <c:v>4.109</c:v>
                </c:pt>
                <c:pt idx="523">
                  <c:v>4.109</c:v>
                </c:pt>
                <c:pt idx="524">
                  <c:v>4.109</c:v>
                </c:pt>
                <c:pt idx="525">
                  <c:v>4.109</c:v>
                </c:pt>
                <c:pt idx="526">
                  <c:v>4.109</c:v>
                </c:pt>
                <c:pt idx="527">
                  <c:v>4.109</c:v>
                </c:pt>
                <c:pt idx="528">
                  <c:v>4.109</c:v>
                </c:pt>
                <c:pt idx="529">
                  <c:v>4.109</c:v>
                </c:pt>
                <c:pt idx="530">
                  <c:v>4.109</c:v>
                </c:pt>
                <c:pt idx="531">
                  <c:v>4.109</c:v>
                </c:pt>
                <c:pt idx="532">
                  <c:v>4.109</c:v>
                </c:pt>
                <c:pt idx="533">
                  <c:v>4.109</c:v>
                </c:pt>
                <c:pt idx="534">
                  <c:v>4.109</c:v>
                </c:pt>
                <c:pt idx="535">
                  <c:v>4.109</c:v>
                </c:pt>
                <c:pt idx="536">
                  <c:v>4.109</c:v>
                </c:pt>
                <c:pt idx="537">
                  <c:v>4.109</c:v>
                </c:pt>
                <c:pt idx="538">
                  <c:v>4.109</c:v>
                </c:pt>
                <c:pt idx="539">
                  <c:v>4.109</c:v>
                </c:pt>
                <c:pt idx="540">
                  <c:v>4.109</c:v>
                </c:pt>
                <c:pt idx="541">
                  <c:v>4.109</c:v>
                </c:pt>
                <c:pt idx="542">
                  <c:v>4.109</c:v>
                </c:pt>
                <c:pt idx="543">
                  <c:v>4.109</c:v>
                </c:pt>
                <c:pt idx="544">
                  <c:v>4.109</c:v>
                </c:pt>
                <c:pt idx="545">
                  <c:v>4.109</c:v>
                </c:pt>
                <c:pt idx="546">
                  <c:v>4.109</c:v>
                </c:pt>
                <c:pt idx="547">
                  <c:v>4.109</c:v>
                </c:pt>
                <c:pt idx="548">
                  <c:v>4.109</c:v>
                </c:pt>
                <c:pt idx="549">
                  <c:v>4.109</c:v>
                </c:pt>
                <c:pt idx="550">
                  <c:v>4.109</c:v>
                </c:pt>
                <c:pt idx="551">
                  <c:v>4.109</c:v>
                </c:pt>
                <c:pt idx="552">
                  <c:v>4.109</c:v>
                </c:pt>
                <c:pt idx="553">
                  <c:v>4.109</c:v>
                </c:pt>
                <c:pt idx="554">
                  <c:v>4.109</c:v>
                </c:pt>
                <c:pt idx="555">
                  <c:v>4.109</c:v>
                </c:pt>
                <c:pt idx="556">
                  <c:v>4.109</c:v>
                </c:pt>
                <c:pt idx="557">
                  <c:v>4.109</c:v>
                </c:pt>
                <c:pt idx="558">
                  <c:v>4.109</c:v>
                </c:pt>
                <c:pt idx="559">
                  <c:v>4.109</c:v>
                </c:pt>
                <c:pt idx="560">
                  <c:v>4.109</c:v>
                </c:pt>
                <c:pt idx="561">
                  <c:v>4.109</c:v>
                </c:pt>
                <c:pt idx="562">
                  <c:v>4.109</c:v>
                </c:pt>
                <c:pt idx="563">
                  <c:v>4.109</c:v>
                </c:pt>
                <c:pt idx="564">
                  <c:v>4.109</c:v>
                </c:pt>
                <c:pt idx="565">
                  <c:v>4.109</c:v>
                </c:pt>
                <c:pt idx="566">
                  <c:v>4.109</c:v>
                </c:pt>
                <c:pt idx="567">
                  <c:v>4.109</c:v>
                </c:pt>
                <c:pt idx="568">
                  <c:v>4.109</c:v>
                </c:pt>
                <c:pt idx="569">
                  <c:v>4.109</c:v>
                </c:pt>
                <c:pt idx="570">
                  <c:v>4.109</c:v>
                </c:pt>
                <c:pt idx="571">
                  <c:v>4.109</c:v>
                </c:pt>
                <c:pt idx="572">
                  <c:v>4.109</c:v>
                </c:pt>
                <c:pt idx="573">
                  <c:v>4.109</c:v>
                </c:pt>
                <c:pt idx="574">
                  <c:v>4.109</c:v>
                </c:pt>
                <c:pt idx="575">
                  <c:v>4.109</c:v>
                </c:pt>
                <c:pt idx="576">
                  <c:v>4.109</c:v>
                </c:pt>
                <c:pt idx="577">
                  <c:v>4.109</c:v>
                </c:pt>
                <c:pt idx="578">
                  <c:v>4.109</c:v>
                </c:pt>
                <c:pt idx="579">
                  <c:v>4.109</c:v>
                </c:pt>
                <c:pt idx="580">
                  <c:v>4.109</c:v>
                </c:pt>
                <c:pt idx="581">
                  <c:v>4.109</c:v>
                </c:pt>
                <c:pt idx="582">
                  <c:v>4.109</c:v>
                </c:pt>
                <c:pt idx="583">
                  <c:v>4.109</c:v>
                </c:pt>
                <c:pt idx="584">
                  <c:v>4.109</c:v>
                </c:pt>
                <c:pt idx="585">
                  <c:v>4.109</c:v>
                </c:pt>
                <c:pt idx="586">
                  <c:v>4.109</c:v>
                </c:pt>
                <c:pt idx="587">
                  <c:v>4.109</c:v>
                </c:pt>
                <c:pt idx="588">
                  <c:v>4.109</c:v>
                </c:pt>
                <c:pt idx="589">
                  <c:v>4.109</c:v>
                </c:pt>
                <c:pt idx="590">
                  <c:v>4.109</c:v>
                </c:pt>
                <c:pt idx="591">
                  <c:v>4.109</c:v>
                </c:pt>
                <c:pt idx="592">
                  <c:v>4.109</c:v>
                </c:pt>
                <c:pt idx="593">
                  <c:v>4.109</c:v>
                </c:pt>
                <c:pt idx="594">
                  <c:v>4.109</c:v>
                </c:pt>
                <c:pt idx="595">
                  <c:v>4.109</c:v>
                </c:pt>
                <c:pt idx="596">
                  <c:v>4.109</c:v>
                </c:pt>
                <c:pt idx="597">
                  <c:v>4.109</c:v>
                </c:pt>
                <c:pt idx="598">
                  <c:v>4.109</c:v>
                </c:pt>
                <c:pt idx="599">
                  <c:v>4.109</c:v>
                </c:pt>
                <c:pt idx="600">
                  <c:v>4.109</c:v>
                </c:pt>
                <c:pt idx="601">
                  <c:v>4.109</c:v>
                </c:pt>
                <c:pt idx="602">
                  <c:v>4.109</c:v>
                </c:pt>
                <c:pt idx="603">
                  <c:v>4.109</c:v>
                </c:pt>
                <c:pt idx="604">
                  <c:v>4.109</c:v>
                </c:pt>
                <c:pt idx="605">
                  <c:v>4.109</c:v>
                </c:pt>
                <c:pt idx="606">
                  <c:v>4.109</c:v>
                </c:pt>
                <c:pt idx="607">
                  <c:v>4.109</c:v>
                </c:pt>
                <c:pt idx="608">
                  <c:v>4.109</c:v>
                </c:pt>
                <c:pt idx="609">
                  <c:v>4.109</c:v>
                </c:pt>
                <c:pt idx="610">
                  <c:v>4.109</c:v>
                </c:pt>
                <c:pt idx="611">
                  <c:v>4.109</c:v>
                </c:pt>
                <c:pt idx="612">
                  <c:v>4.109</c:v>
                </c:pt>
                <c:pt idx="613">
                  <c:v>4.109</c:v>
                </c:pt>
                <c:pt idx="614">
                  <c:v>4.109</c:v>
                </c:pt>
                <c:pt idx="615">
                  <c:v>4.109</c:v>
                </c:pt>
                <c:pt idx="616">
                  <c:v>4.109</c:v>
                </c:pt>
                <c:pt idx="617">
                  <c:v>4.109</c:v>
                </c:pt>
                <c:pt idx="618">
                  <c:v>4.109</c:v>
                </c:pt>
                <c:pt idx="619">
                  <c:v>4.109</c:v>
                </c:pt>
                <c:pt idx="620">
                  <c:v>4.109</c:v>
                </c:pt>
                <c:pt idx="621">
                  <c:v>4.109</c:v>
                </c:pt>
                <c:pt idx="622">
                  <c:v>4.109</c:v>
                </c:pt>
                <c:pt idx="623">
                  <c:v>4.109</c:v>
                </c:pt>
                <c:pt idx="624">
                  <c:v>4.109</c:v>
                </c:pt>
                <c:pt idx="625">
                  <c:v>4.109</c:v>
                </c:pt>
                <c:pt idx="626">
                  <c:v>4.109</c:v>
                </c:pt>
                <c:pt idx="627">
                  <c:v>4.109</c:v>
                </c:pt>
                <c:pt idx="628">
                  <c:v>4.109</c:v>
                </c:pt>
                <c:pt idx="629">
                  <c:v>4.109</c:v>
                </c:pt>
                <c:pt idx="630">
                  <c:v>4.109</c:v>
                </c:pt>
                <c:pt idx="631">
                  <c:v>4.109</c:v>
                </c:pt>
                <c:pt idx="632">
                  <c:v>4.109</c:v>
                </c:pt>
                <c:pt idx="633">
                  <c:v>4.109</c:v>
                </c:pt>
                <c:pt idx="634">
                  <c:v>4.109</c:v>
                </c:pt>
                <c:pt idx="635">
                  <c:v>4.109</c:v>
                </c:pt>
                <c:pt idx="636">
                  <c:v>4.109</c:v>
                </c:pt>
                <c:pt idx="637">
                  <c:v>4.109</c:v>
                </c:pt>
                <c:pt idx="638">
                  <c:v>4.109</c:v>
                </c:pt>
                <c:pt idx="639">
                  <c:v>4.109</c:v>
                </c:pt>
                <c:pt idx="640">
                  <c:v>4.109</c:v>
                </c:pt>
                <c:pt idx="641">
                  <c:v>4.109</c:v>
                </c:pt>
                <c:pt idx="642">
                  <c:v>4.109</c:v>
                </c:pt>
                <c:pt idx="643">
                  <c:v>4.444</c:v>
                </c:pt>
                <c:pt idx="644">
                  <c:v>4.444</c:v>
                </c:pt>
                <c:pt idx="645">
                  <c:v>4.444</c:v>
                </c:pt>
                <c:pt idx="646">
                  <c:v>4.444</c:v>
                </c:pt>
                <c:pt idx="647">
                  <c:v>4.444</c:v>
                </c:pt>
                <c:pt idx="648">
                  <c:v>4.7359999999999998</c:v>
                </c:pt>
                <c:pt idx="649">
                  <c:v>4.7359999999999998</c:v>
                </c:pt>
                <c:pt idx="650">
                  <c:v>4.7359999999999998</c:v>
                </c:pt>
                <c:pt idx="651">
                  <c:v>4.7359999999999998</c:v>
                </c:pt>
                <c:pt idx="652">
                  <c:v>4.7359999999999998</c:v>
                </c:pt>
                <c:pt idx="653">
                  <c:v>5.0709999999999997</c:v>
                </c:pt>
                <c:pt idx="654">
                  <c:v>5.0709999999999997</c:v>
                </c:pt>
                <c:pt idx="655">
                  <c:v>5.0709999999999997</c:v>
                </c:pt>
                <c:pt idx="656">
                  <c:v>5.0709999999999997</c:v>
                </c:pt>
                <c:pt idx="657">
                  <c:v>5.0709999999999997</c:v>
                </c:pt>
                <c:pt idx="658">
                  <c:v>5.3629999999999995</c:v>
                </c:pt>
                <c:pt idx="659">
                  <c:v>5.3629999999999995</c:v>
                </c:pt>
                <c:pt idx="660">
                  <c:v>5.3629999999999995</c:v>
                </c:pt>
                <c:pt idx="661">
                  <c:v>5.3629999999999995</c:v>
                </c:pt>
                <c:pt idx="662">
                  <c:v>5.3629999999999995</c:v>
                </c:pt>
                <c:pt idx="663">
                  <c:v>5.6539999999999999</c:v>
                </c:pt>
                <c:pt idx="664">
                  <c:v>5.6539999999999999</c:v>
                </c:pt>
                <c:pt idx="665">
                  <c:v>5.6539999999999999</c:v>
                </c:pt>
                <c:pt idx="666">
                  <c:v>5.6539999999999999</c:v>
                </c:pt>
                <c:pt idx="667">
                  <c:v>5.6539999999999999</c:v>
                </c:pt>
                <c:pt idx="668">
                  <c:v>5.944</c:v>
                </c:pt>
                <c:pt idx="669">
                  <c:v>5.944</c:v>
                </c:pt>
                <c:pt idx="670">
                  <c:v>5.944</c:v>
                </c:pt>
                <c:pt idx="671">
                  <c:v>5.944</c:v>
                </c:pt>
                <c:pt idx="672">
                  <c:v>5.944</c:v>
                </c:pt>
                <c:pt idx="673">
                  <c:v>6.234</c:v>
                </c:pt>
                <c:pt idx="674">
                  <c:v>6.234</c:v>
                </c:pt>
                <c:pt idx="675">
                  <c:v>6.234</c:v>
                </c:pt>
                <c:pt idx="676">
                  <c:v>6.234</c:v>
                </c:pt>
                <c:pt idx="677">
                  <c:v>6.234</c:v>
                </c:pt>
                <c:pt idx="678">
                  <c:v>6.234</c:v>
                </c:pt>
                <c:pt idx="679">
                  <c:v>6.234</c:v>
                </c:pt>
                <c:pt idx="680">
                  <c:v>6.5250000000000004</c:v>
                </c:pt>
                <c:pt idx="681">
                  <c:v>6.5250000000000004</c:v>
                </c:pt>
                <c:pt idx="682">
                  <c:v>6.5250000000000004</c:v>
                </c:pt>
                <c:pt idx="683">
                  <c:v>6.5250000000000004</c:v>
                </c:pt>
                <c:pt idx="684">
                  <c:v>6.5250000000000004</c:v>
                </c:pt>
                <c:pt idx="685">
                  <c:v>6.5250000000000004</c:v>
                </c:pt>
                <c:pt idx="686">
                  <c:v>6.5250000000000004</c:v>
                </c:pt>
                <c:pt idx="687">
                  <c:v>6.5250000000000004</c:v>
                </c:pt>
                <c:pt idx="688">
                  <c:v>6.5250000000000004</c:v>
                </c:pt>
                <c:pt idx="689">
                  <c:v>6.5250000000000004</c:v>
                </c:pt>
                <c:pt idx="690">
                  <c:v>6.5250000000000004</c:v>
                </c:pt>
                <c:pt idx="691">
                  <c:v>6.5250000000000004</c:v>
                </c:pt>
                <c:pt idx="692">
                  <c:v>6.5250000000000004</c:v>
                </c:pt>
                <c:pt idx="693">
                  <c:v>6.5250000000000004</c:v>
                </c:pt>
                <c:pt idx="694">
                  <c:v>6.5250000000000004</c:v>
                </c:pt>
                <c:pt idx="695">
                  <c:v>6.5250000000000004</c:v>
                </c:pt>
                <c:pt idx="696">
                  <c:v>6.5250000000000004</c:v>
                </c:pt>
                <c:pt idx="697">
                  <c:v>6.5250000000000004</c:v>
                </c:pt>
                <c:pt idx="698">
                  <c:v>6.5250000000000004</c:v>
                </c:pt>
                <c:pt idx="699">
                  <c:v>6.5250000000000004</c:v>
                </c:pt>
                <c:pt idx="700">
                  <c:v>6.5250000000000004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D7-499C-8580-F28CB88B9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072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100"/>
      </c:valAx>
      <c:valAx>
        <c:axId val="576372736"/>
        <c:scaling>
          <c:orientation val="minMax"/>
          <c:max val="2000"/>
          <c:min val="-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2.0548035209538083E-3"/>
              <c:y val="0.35930324595787111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5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8"/>
          <c:min val="-8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2"/>
        <c:minorUnit val="2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372388</xdr:colOff>
      <xdr:row>694</xdr:row>
      <xdr:rowOff>152400</xdr:rowOff>
    </xdr:from>
    <xdr:to>
      <xdr:col>30</xdr:col>
      <xdr:colOff>389371</xdr:colOff>
      <xdr:row>722</xdr:row>
      <xdr:rowOff>152541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6D9E45E-4B29-4659-9CFB-1BAFBFBDD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A9" t="str">
            <v>A</v>
          </cell>
        </row>
      </sheetData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9">
          <cell r="A9" t="str">
            <v>A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>
        <row r="9">
          <cell r="A9" t="str">
            <v>A</v>
          </cell>
        </row>
      </sheetData>
      <sheetData sheetId="620" refreshError="1"/>
      <sheetData sheetId="621">
        <row r="9">
          <cell r="A9" t="str">
            <v>A</v>
          </cell>
        </row>
      </sheetData>
      <sheetData sheetId="622" refreshError="1"/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 refreshError="1"/>
      <sheetData sheetId="626" refreshError="1"/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 refreshError="1"/>
      <sheetData sheetId="630" refreshError="1"/>
      <sheetData sheetId="631" refreshError="1"/>
      <sheetData sheetId="632" refreshError="1"/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>
        <row r="9">
          <cell r="A9" t="str">
            <v>A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>
        <row r="9">
          <cell r="A9" t="str">
            <v>A</v>
          </cell>
        </row>
      </sheetData>
      <sheetData sheetId="713" refreshError="1"/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 refreshError="1"/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9">
          <cell r="A9" t="str">
            <v>A</v>
          </cell>
        </row>
      </sheetData>
      <sheetData sheetId="747" refreshError="1"/>
      <sheetData sheetId="748" refreshError="1"/>
      <sheetData sheetId="749" refreshError="1"/>
      <sheetData sheetId="750">
        <row r="9">
          <cell r="A9" t="str">
            <v>A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9">
          <cell r="A9" t="str">
            <v>A</v>
          </cell>
        </row>
      </sheetData>
      <sheetData sheetId="769" refreshError="1"/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 refreshError="1"/>
      <sheetData sheetId="803" refreshError="1"/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 refreshError="1"/>
      <sheetData sheetId="815" refreshError="1"/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 refreshError="1"/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 refreshError="1"/>
      <sheetData sheetId="825" refreshError="1"/>
      <sheetData sheetId="826" refreshError="1"/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 refreshError="1"/>
      <sheetData sheetId="907" refreshError="1"/>
      <sheetData sheetId="908">
        <row r="9">
          <cell r="A9" t="str">
            <v>A</v>
          </cell>
        </row>
      </sheetData>
      <sheetData sheetId="909" refreshError="1"/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 refreshError="1"/>
      <sheetData sheetId="941" refreshError="1"/>
      <sheetData sheetId="942" refreshError="1"/>
      <sheetData sheetId="943">
        <row r="9">
          <cell r="A9" t="str">
            <v>A</v>
          </cell>
        </row>
      </sheetData>
      <sheetData sheetId="944" refreshError="1"/>
      <sheetData sheetId="945" refreshError="1"/>
      <sheetData sheetId="946" refreshError="1"/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 refreshError="1"/>
      <sheetData sheetId="1249" refreshError="1"/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 refreshError="1"/>
      <sheetData sheetId="1256" refreshError="1"/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 refreshError="1"/>
      <sheetData sheetId="1261" refreshError="1"/>
      <sheetData sheetId="1262" refreshError="1"/>
      <sheetData sheetId="1263" refreshError="1"/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>
        <row r="9">
          <cell r="A9" t="str">
            <v>A</v>
          </cell>
        </row>
      </sheetData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 refreshError="1"/>
      <sheetData sheetId="1304">
        <row r="9">
          <cell r="A9" t="str">
            <v>A</v>
          </cell>
        </row>
      </sheetData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 refreshError="1"/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 refreshError="1"/>
      <sheetData sheetId="1330" refreshError="1"/>
      <sheetData sheetId="1331" refreshError="1"/>
      <sheetData sheetId="1332" refreshError="1"/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>
        <row r="9">
          <cell r="A9" t="str">
            <v>A</v>
          </cell>
        </row>
      </sheetData>
      <sheetData sheetId="1354" refreshError="1"/>
      <sheetData sheetId="1355" refreshError="1"/>
      <sheetData sheetId="1356" refreshError="1"/>
      <sheetData sheetId="1357" refreshError="1"/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 refreshError="1"/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 refreshError="1"/>
      <sheetData sheetId="1416" refreshError="1"/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>
        <row r="9">
          <cell r="A9" t="str">
            <v>A</v>
          </cell>
        </row>
      </sheetData>
      <sheetData sheetId="1424" refreshError="1"/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>
        <row r="9">
          <cell r="A9" t="str">
            <v>A</v>
          </cell>
        </row>
      </sheetData>
      <sheetData sheetId="1436" refreshError="1"/>
      <sheetData sheetId="1437">
        <row r="9">
          <cell r="A9" t="str">
            <v>A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 refreshError="1"/>
      <sheetData sheetId="1462">
        <row r="9">
          <cell r="A9" t="str">
            <v>A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 refreshError="1"/>
      <sheetData sheetId="1496" refreshError="1"/>
      <sheetData sheetId="1497">
        <row r="9">
          <cell r="A9" t="str">
            <v>A</v>
          </cell>
        </row>
      </sheetData>
      <sheetData sheetId="1498" refreshError="1"/>
      <sheetData sheetId="1499" refreshError="1"/>
      <sheetData sheetId="1500">
        <row r="9">
          <cell r="A9" t="str">
            <v>A</v>
          </cell>
        </row>
      </sheetData>
      <sheetData sheetId="1501" refreshError="1"/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 refreshError="1"/>
      <sheetData sheetId="1507" refreshError="1"/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 refreshError="1"/>
      <sheetData sheetId="1551" refreshError="1"/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 refreshError="1"/>
      <sheetData sheetId="1558">
        <row r="9">
          <cell r="A9" t="str">
            <v>A</v>
          </cell>
        </row>
      </sheetData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>
        <row r="9">
          <cell r="A9" t="str">
            <v>A</v>
          </cell>
        </row>
      </sheetData>
      <sheetData sheetId="1567" refreshError="1"/>
      <sheetData sheetId="1568" refreshError="1"/>
      <sheetData sheetId="1569" refreshError="1"/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 refreshError="1"/>
      <sheetData sheetId="1573">
        <row r="9">
          <cell r="A9" t="str">
            <v>A</v>
          </cell>
        </row>
      </sheetData>
      <sheetData sheetId="1574" refreshError="1"/>
      <sheetData sheetId="1575" refreshError="1"/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 refreshError="1"/>
      <sheetData sheetId="1580" refreshError="1"/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 refreshError="1"/>
      <sheetData sheetId="1590" refreshError="1"/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 refreshError="1"/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 refreshError="1"/>
      <sheetData sheetId="1600" refreshError="1"/>
      <sheetData sheetId="1601">
        <row r="9">
          <cell r="A9" t="str">
            <v>A</v>
          </cell>
        </row>
      </sheetData>
      <sheetData sheetId="1602" refreshError="1"/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 refreshError="1"/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 refreshError="1"/>
      <sheetData sheetId="1624" refreshError="1"/>
      <sheetData sheetId="1625" refreshError="1"/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 refreshError="1"/>
      <sheetData sheetId="1633" refreshError="1"/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9">
          <cell r="A9" t="str">
            <v>A</v>
          </cell>
        </row>
      </sheetData>
      <sheetData sheetId="1965" refreshError="1"/>
      <sheetData sheetId="1966">
        <row r="9">
          <cell r="A9" t="str">
            <v>A</v>
          </cell>
        </row>
      </sheetData>
      <sheetData sheetId="1967" refreshError="1"/>
      <sheetData sheetId="1968">
        <row r="9">
          <cell r="A9" t="str">
            <v>A</v>
          </cell>
        </row>
      </sheetData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 refreshError="1"/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 refreshError="1"/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 refreshError="1"/>
      <sheetData sheetId="1998">
        <row r="9">
          <cell r="A9" t="str">
            <v>A</v>
          </cell>
        </row>
      </sheetData>
      <sheetData sheetId="1999" refreshError="1"/>
      <sheetData sheetId="2000" refreshError="1"/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 refreshError="1"/>
      <sheetData sheetId="2004">
        <row r="9">
          <cell r="A9" t="str">
            <v>A</v>
          </cell>
        </row>
      </sheetData>
      <sheetData sheetId="2005" refreshError="1"/>
      <sheetData sheetId="2006">
        <row r="9">
          <cell r="A9" t="str">
            <v>A</v>
          </cell>
        </row>
      </sheetData>
      <sheetData sheetId="2007" refreshError="1"/>
      <sheetData sheetId="2008">
        <row r="9">
          <cell r="A9" t="str">
            <v>A</v>
          </cell>
        </row>
      </sheetData>
      <sheetData sheetId="2009" refreshError="1"/>
      <sheetData sheetId="2010" refreshError="1"/>
      <sheetData sheetId="2011" refreshError="1"/>
      <sheetData sheetId="2012" refreshError="1"/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>
        <row r="9">
          <cell r="A9" t="str">
            <v>A</v>
          </cell>
        </row>
      </sheetData>
      <sheetData sheetId="2022" refreshError="1"/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 refreshError="1"/>
      <sheetData sheetId="2059" refreshError="1"/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9">
          <cell r="A9" t="str">
            <v>A</v>
          </cell>
        </row>
      </sheetData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>
        <row r="9">
          <cell r="A9" t="str">
            <v>A</v>
          </cell>
        </row>
      </sheetData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 refreshError="1"/>
      <sheetData sheetId="2299" refreshError="1"/>
      <sheetData sheetId="2300" refreshError="1"/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>
        <row r="9">
          <cell r="A9" t="str">
            <v>A</v>
          </cell>
        </row>
      </sheetData>
      <sheetData sheetId="2329" refreshError="1"/>
      <sheetData sheetId="2330" refreshError="1"/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>
        <row r="9">
          <cell r="A9" t="str">
            <v>A</v>
          </cell>
        </row>
      </sheetData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 refreshError="1"/>
      <sheetData sheetId="2415" refreshError="1"/>
      <sheetData sheetId="2416" refreshError="1"/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 refreshError="1"/>
      <sheetData sheetId="2434" refreshError="1"/>
      <sheetData sheetId="2435" refreshError="1"/>
      <sheetData sheetId="2436" refreshError="1"/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 refreshError="1"/>
      <sheetData sheetId="2440" refreshError="1"/>
      <sheetData sheetId="2441">
        <row r="9">
          <cell r="A9" t="str">
            <v>A</v>
          </cell>
        </row>
      </sheetData>
      <sheetData sheetId="2442" refreshError="1"/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 refreshError="1"/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 refreshError="1"/>
      <sheetData sheetId="2479" refreshError="1"/>
      <sheetData sheetId="2480" refreshError="1"/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 refreshError="1"/>
      <sheetData sheetId="2497" refreshError="1"/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>
        <row r="9">
          <cell r="A9" t="str">
            <v>A</v>
          </cell>
        </row>
      </sheetData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 refreshError="1"/>
      <sheetData sheetId="2552">
        <row r="9">
          <cell r="A9" t="str">
            <v>A</v>
          </cell>
        </row>
      </sheetData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>
        <row r="9">
          <cell r="A9" t="str">
            <v>A</v>
          </cell>
        </row>
      </sheetData>
      <sheetData sheetId="2560" refreshError="1"/>
      <sheetData sheetId="2561" refreshError="1"/>
      <sheetData sheetId="2562" refreshError="1"/>
      <sheetData sheetId="2563">
        <row r="9">
          <cell r="A9" t="str">
            <v>A</v>
          </cell>
        </row>
      </sheetData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9">
          <cell r="A9" t="str">
            <v>A</v>
          </cell>
        </row>
      </sheetData>
      <sheetData sheetId="2570" refreshError="1"/>
      <sheetData sheetId="2571" refreshError="1"/>
      <sheetData sheetId="2572" refreshError="1"/>
      <sheetData sheetId="2573" refreshError="1"/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 refreshError="1"/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>
        <row r="9">
          <cell r="A9" t="str">
            <v>A</v>
          </cell>
        </row>
      </sheetData>
      <sheetData sheetId="2596" refreshError="1"/>
      <sheetData sheetId="2597" refreshError="1"/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 refreshError="1"/>
      <sheetData sheetId="2621" refreshError="1"/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>
        <row r="9">
          <cell r="A9" t="str">
            <v>A</v>
          </cell>
        </row>
      </sheetData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 refreshError="1"/>
      <sheetData sheetId="2656" refreshError="1"/>
      <sheetData sheetId="2657" refreshError="1"/>
      <sheetData sheetId="2658" refreshError="1"/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>
        <row r="9">
          <cell r="A9" t="str">
            <v>A</v>
          </cell>
        </row>
      </sheetData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>
        <row r="9">
          <cell r="A9" t="str">
            <v>A</v>
          </cell>
        </row>
      </sheetData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>
        <row r="9">
          <cell r="A9" t="str">
            <v>A</v>
          </cell>
        </row>
      </sheetData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9">
          <cell r="A9" t="str">
            <v>A</v>
          </cell>
        </row>
      </sheetData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 refreshError="1"/>
      <sheetData sheetId="3480" refreshError="1"/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>
        <row r="4">
          <cell r="A4" t="str">
            <v>BẢNG TÍNH TOÁN, ĐO BÓC KHỐI LƯỢNG HOÀN THÀNH ĐƯA VÀO QUYẾT TOÁN</v>
          </cell>
        </row>
      </sheetData>
      <sheetData sheetId="3495" refreshError="1"/>
      <sheetData sheetId="3496">
        <row r="4">
          <cell r="A4" t="str">
            <v>BẢNG TÍNH TOÁN, ĐO BÓC KHỐI LƯỢNG HOÀN THÀNH ĐƯA VÀO QUYẾT TOÁN</v>
          </cell>
        </row>
      </sheetData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>
        <row r="4">
          <cell r="A4" t="str">
            <v>BẢNG TÍNH TOÁN, ĐO BÓC KHỐI LƯỢNG HOÀN THÀNH ĐƯA VÀO QUYẾT TOÁN</v>
          </cell>
        </row>
      </sheetData>
      <sheetData sheetId="3506" refreshError="1"/>
      <sheetData sheetId="3507" refreshError="1"/>
      <sheetData sheetId="3508" refreshError="1"/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 refreshError="1"/>
      <sheetData sheetId="4023" refreshError="1"/>
      <sheetData sheetId="4024" refreshError="1"/>
      <sheetData sheetId="4025" refreshError="1"/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>
        <row r="9">
          <cell r="A9" t="str">
            <v>A</v>
          </cell>
        </row>
      </sheetData>
      <sheetData sheetId="4038">
        <row r="9">
          <cell r="A9" t="str">
            <v>A</v>
          </cell>
        </row>
      </sheetData>
      <sheetData sheetId="4039" refreshError="1"/>
      <sheetData sheetId="4040" refreshError="1"/>
      <sheetData sheetId="4041">
        <row r="4">
          <cell r="A4" t="str">
            <v>BẢNG TÍNH TOÁN, ĐO BÓC KHỐI LƯỢNG HOÀN THÀNH ĐƯA VÀO QUYẾT TOÁN</v>
          </cell>
        </row>
      </sheetData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>
        <row r="4">
          <cell r="A4" t="str">
            <v>BẢNG TÍNH TOÁN, ĐO BÓC KHỐI LƯỢNG HOÀN THÀNH ĐƯA VÀO QUYẾT TOÁN</v>
          </cell>
        </row>
      </sheetData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>
        <row r="9">
          <cell r="A9" t="str">
            <v>A</v>
          </cell>
        </row>
      </sheetData>
      <sheetData sheetId="4069">
        <row r="9">
          <cell r="A9" t="str">
            <v>A</v>
          </cell>
        </row>
      </sheetData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 refreshError="1"/>
      <sheetData sheetId="4075">
        <row r="9">
          <cell r="A9" t="str">
            <v>A</v>
          </cell>
        </row>
      </sheetData>
      <sheetData sheetId="4076" refreshError="1"/>
      <sheetData sheetId="4077">
        <row r="9">
          <cell r="A9" t="str">
            <v>A</v>
          </cell>
        </row>
      </sheetData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 refreshError="1"/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>
        <row r="4">
          <cell r="A4" t="str">
            <v>BẢNG TÍNH TOÁN, ĐO BÓC KHỐI LƯỢNG HOÀN THÀNH ĐƯA VÀO QUYẾT TOÁN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 refreshError="1"/>
      <sheetData sheetId="4102" refreshError="1"/>
      <sheetData sheetId="4103">
        <row r="9">
          <cell r="A9" t="str">
            <v>A</v>
          </cell>
        </row>
      </sheetData>
      <sheetData sheetId="4104">
        <row r="4">
          <cell r="A4" t="str">
            <v>BẢNG TÍNH TOÁN, ĐO BÓC KHỐI LƯỢNG HOÀN THÀNH ĐƯA VÀO QUYẾT TOÁN</v>
          </cell>
        </row>
      </sheetData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>
        <row r="4">
          <cell r="A4" t="str">
            <v>BẢNG TÍNH TOÁN, ĐO BÓC KHỐI LƯỢNG HOÀN THÀNH ĐƯA VÀO QUYẾT TOÁN</v>
          </cell>
        </row>
      </sheetData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>
        <row r="9">
          <cell r="A9" t="str">
            <v>A</v>
          </cell>
        </row>
      </sheetData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 refreshError="1"/>
      <sheetData sheetId="4141" refreshError="1"/>
      <sheetData sheetId="4142" refreshError="1"/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 refreshError="1"/>
      <sheetData sheetId="4164" refreshError="1"/>
      <sheetData sheetId="4165" refreshError="1"/>
      <sheetData sheetId="4166" refreshError="1"/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>
        <row r="9">
          <cell r="A9" t="str">
            <v>A</v>
          </cell>
        </row>
      </sheetData>
      <sheetData sheetId="4876" refreshError="1"/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9">
          <cell r="A9" t="str">
            <v>A</v>
          </cell>
        </row>
      </sheetData>
      <sheetData sheetId="4880" refreshError="1"/>
      <sheetData sheetId="4881" refreshError="1"/>
      <sheetData sheetId="4882">
        <row r="4">
          <cell r="A4" t="str">
            <v>BẢNG TÍNH TOÁN, ĐO BÓC KHỐI LƯỢNG HOÀN THÀNH ĐƯA VÀO QUYẾT TOÁN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9">
          <cell r="A9" t="str">
            <v>A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9">
          <cell r="A9" t="str">
            <v>A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 refreshError="1"/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>
        <row r="4">
          <cell r="A4" t="str">
            <v>BẢNG TÍNH TOÁN, ĐO BÓC KHỐI LƯỢNG HOÀN THÀNH ĐƯA VÀO QUYẾT TOÁN</v>
          </cell>
        </row>
      </sheetData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>
        <row r="4">
          <cell r="A4" t="str">
            <v>BẢNG TÍNH TOÁN, ĐO BÓC KHỐI LƯỢNG HOÀN THÀNH ĐƯA VÀO QUYẾT TOÁN</v>
          </cell>
        </row>
      </sheetData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>
        <row r="9">
          <cell r="A9" t="str">
            <v>A</v>
          </cell>
        </row>
      </sheetData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>
        <row r="4">
          <cell r="A4" t="str">
            <v>BẢNG TÍNH TOÁN, ĐO BÓC KHỐI LƯỢNG HOÀN THÀNH ĐƯA VÀO QUYẾT TOÁN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4">
          <cell r="A4" t="str">
            <v>BẢNG TÍNH TOÁN, ĐO BÓC KHỐI LƯỢNG HOÀN THÀNH ĐƯA VÀO QUYẾT TOÁN</v>
          </cell>
        </row>
      </sheetData>
      <sheetData sheetId="8123">
        <row r="4">
          <cell r="A4" t="str">
            <v>BẢNG TÍNH TOÁN, ĐO BÓC KHỐI LƯỢNG HOÀN THÀNH ĐƯA VÀO QUYẾT TOÁN</v>
          </cell>
        </row>
      </sheetData>
      <sheetData sheetId="8124">
        <row r="9">
          <cell r="A9" t="str">
            <v>A</v>
          </cell>
        </row>
      </sheetData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>
        <row r="9">
          <cell r="A9" t="str">
            <v>A</v>
          </cell>
        </row>
      </sheetData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>
        <row r="9">
          <cell r="A9" t="str">
            <v>A</v>
          </cell>
        </row>
      </sheetData>
      <sheetData sheetId="8980" refreshError="1"/>
      <sheetData sheetId="8981" refreshError="1"/>
      <sheetData sheetId="8982">
        <row r="4">
          <cell r="A4" t="str">
            <v>BẢNG TÍNH TOÁN, ĐO BÓC KHỐI LƯỢNG HOÀN THÀNH ĐƯA VÀO QUYẾT TOÁN</v>
          </cell>
        </row>
      </sheetData>
      <sheetData sheetId="8983"/>
      <sheetData sheetId="8984" refreshError="1"/>
      <sheetData sheetId="8985" refreshError="1"/>
      <sheetData sheetId="8986" refreshError="1"/>
      <sheetData sheetId="8987" refreshError="1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>
        <row r="4">
          <cell r="A4" t="str">
            <v>BẢNG TÍNH TOÁN, ĐO BÓC KHỐI LƯỢNG HOÀN THÀNH ĐƯA VÀO QUYẾT TOÁN</v>
          </cell>
        </row>
      </sheetData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>
        <row r="9">
          <cell r="A9" t="str">
            <v>A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>
        <row r="9">
          <cell r="A9" t="str">
            <v>A</v>
          </cell>
        </row>
      </sheetData>
      <sheetData sheetId="9039" refreshError="1"/>
      <sheetData sheetId="9040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 refreshError="1"/>
      <sheetData sheetId="9045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>
        <row r="9">
          <cell r="A9" t="str">
            <v>A</v>
          </cell>
        </row>
      </sheetData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>
        <row r="9">
          <cell r="A9" t="str">
            <v>A</v>
          </cell>
        </row>
      </sheetData>
      <sheetData sheetId="9277" refreshError="1"/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>
        <row r="9">
          <cell r="A9" t="str">
            <v>A</v>
          </cell>
        </row>
      </sheetData>
      <sheetData sheetId="9315" refreshError="1"/>
      <sheetData sheetId="9316" refreshError="1"/>
      <sheetData sheetId="9317" refreshError="1"/>
      <sheetData sheetId="9318" refreshError="1"/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 refreshError="1"/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4">
          <cell r="A4" t="str">
            <v>BẢNG TÍNH TOÁN, ĐO BÓC KHỐI LƯỢNG HOÀN THÀNH ĐƯA VÀO QUYẾT TOÁN</v>
          </cell>
        </row>
      </sheetData>
      <sheetData sheetId="9365">
        <row r="9">
          <cell r="A9" t="str">
            <v>A</v>
          </cell>
        </row>
      </sheetData>
      <sheetData sheetId="9366">
        <row r="4">
          <cell r="A4" t="str">
            <v>BẢNG TÍNH TOÁN, ĐO BÓC KHỐI LƯỢNG HOÀN THÀNH ĐƯA VÀO QUYẾT TOÁN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4">
          <cell r="A4" t="str">
            <v>BẢNG TÍNH TOÁN, ĐO BÓC KHỐI LƯỢNG HOÀN THÀNH ĐƯA VÀO QUYẾT TOÁN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 refreshError="1"/>
      <sheetData sheetId="9399" refreshError="1"/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4">
          <cell r="A4" t="str">
            <v>BẢNG TÍNH TOÁN, ĐO BÓC KHỐI LƯỢNG HOÀN THÀNH ĐƯA VÀO QUYẾT TOÁN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4">
          <cell r="A4" t="str">
            <v>BẢNG TÍNH TOÁN, ĐO BÓC KHỐI LƯỢNG HOÀN THÀNH ĐƯA VÀO QUYẾT TOÁN</v>
          </cell>
        </row>
      </sheetData>
      <sheetData sheetId="9429">
        <row r="4">
          <cell r="A4" t="str">
            <v>BẢNG TÍNH TOÁN, ĐO BÓC KHỐI LƯỢNG HOÀN THÀNH ĐƯA VÀO QUYẾT TOÁN</v>
          </cell>
        </row>
      </sheetData>
      <sheetData sheetId="9430">
        <row r="4">
          <cell r="A4" t="str">
            <v>BẢNG TÍNH TOÁN, ĐO BÓC KHỐI LƯỢNG HOÀN THÀNH ĐƯA VÀO QUYẾT TOÁN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 refreshError="1"/>
      <sheetData sheetId="9436" refreshError="1"/>
      <sheetData sheetId="9437" refreshError="1"/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 refreshError="1"/>
      <sheetData sheetId="9467" refreshError="1"/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>
        <row r="9">
          <cell r="A9" t="str">
            <v>A</v>
          </cell>
        </row>
      </sheetData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/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/>
      <sheetData sheetId="9504">
        <row r="9">
          <cell r="A9" t="str">
            <v>A</v>
          </cell>
        </row>
      </sheetData>
      <sheetData sheetId="9505"/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 refreshError="1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/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/>
      <sheetData sheetId="9559">
        <row r="9">
          <cell r="A9" t="str">
            <v>A</v>
          </cell>
        </row>
      </sheetData>
      <sheetData sheetId="9560"/>
      <sheetData sheetId="9561">
        <row r="9">
          <cell r="A9" t="str">
            <v>A</v>
          </cell>
        </row>
      </sheetData>
      <sheetData sheetId="9562"/>
      <sheetData sheetId="9563"/>
      <sheetData sheetId="9564"/>
      <sheetData sheetId="9565">
        <row r="9">
          <cell r="A9" t="str">
            <v>A</v>
          </cell>
        </row>
      </sheetData>
      <sheetData sheetId="9566">
        <row r="9">
          <cell r="A9" t="str">
            <v>A</v>
          </cell>
        </row>
      </sheetData>
      <sheetData sheetId="9567">
        <row r="9">
          <cell r="A9" t="str">
            <v>A</v>
          </cell>
        </row>
      </sheetData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/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4">
          <cell r="A4" t="str">
            <v>BẢNG TÍNH TOÁN, ĐO BÓC KHỐI LƯỢNG HOÀN THÀNH ĐƯA VÀO QUYẾT TOÁN</v>
          </cell>
        </row>
      </sheetData>
      <sheetData sheetId="9589">
        <row r="4">
          <cell r="A4" t="str">
            <v>BẢNG TÍNH TOÁN, ĐO BÓC KHỐI LƯỢNG HOÀN THÀNH ĐƯA VÀO QUYẾT TOÁN</v>
          </cell>
        </row>
      </sheetData>
      <sheetData sheetId="9590">
        <row r="4">
          <cell r="A4" t="str">
            <v>BẢNG TÍNH TOÁN, ĐO BÓC KHỐI LƯỢNG HOÀN THÀNH ĐƯA VÀO QUYẾT TOÁN</v>
          </cell>
        </row>
      </sheetData>
      <sheetData sheetId="9591">
        <row r="9">
          <cell r="A9" t="str">
            <v>A</v>
          </cell>
        </row>
      </sheetData>
      <sheetData sheetId="9592">
        <row r="9">
          <cell r="A9" t="str">
            <v>A</v>
          </cell>
        </row>
      </sheetData>
      <sheetData sheetId="9593">
        <row r="9">
          <cell r="A9" t="str">
            <v>A</v>
          </cell>
        </row>
      </sheetData>
      <sheetData sheetId="9594">
        <row r="9">
          <cell r="A9" t="str">
            <v>A</v>
          </cell>
        </row>
      </sheetData>
      <sheetData sheetId="9595">
        <row r="9">
          <cell r="A9" t="str">
            <v>A</v>
          </cell>
        </row>
      </sheetData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>
        <row r="9">
          <cell r="A9" t="str">
            <v>A</v>
          </cell>
        </row>
      </sheetData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/>
      <sheetData sheetId="9608"/>
      <sheetData sheetId="9609"/>
      <sheetData sheetId="9610">
        <row r="9">
          <cell r="A9" t="str">
            <v>A</v>
          </cell>
        </row>
      </sheetData>
      <sheetData sheetId="9611">
        <row r="4">
          <cell r="A4" t="str">
            <v>BẢNG TÍNH TOÁN, ĐO BÓC KHỐI LƯỢNG HOÀN THÀNH ĐƯA VÀO QUYẾT TOÁN</v>
          </cell>
        </row>
      </sheetData>
      <sheetData sheetId="9612">
        <row r="4">
          <cell r="A4" t="str">
            <v>BẢNG TÍNH TOÁN, ĐO BÓC KHỐI LƯỢNG HOÀN THÀNH ĐƯA VÀO QUYẾT TOÁN</v>
          </cell>
        </row>
      </sheetData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/>
      <sheetData sheetId="9625">
        <row r="9">
          <cell r="A9" t="str">
            <v>A</v>
          </cell>
        </row>
      </sheetData>
      <sheetData sheetId="9626" refreshError="1"/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4">
          <cell r="A4" t="str">
            <v>BẢNG TÍNH TOÁN, ĐO BÓC KHỐI LƯỢNG HOÀN THÀNH ĐƯA VÀO QUYẾT TOÁN</v>
          </cell>
        </row>
      </sheetData>
      <sheetData sheetId="9635">
        <row r="4">
          <cell r="A4" t="str">
            <v>BẢNG TÍNH TOÁN, ĐO BÓC KHỐI LƯỢNG HOÀN THÀNH ĐƯA VÀO QUYẾT TOÁN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4">
          <cell r="A4" t="str">
            <v>BẢNG TÍNH TOÁN, ĐO BÓC KHỐI LƯỢNG HOÀN THÀNH ĐƯA VÀO QUYẾT TOÁN</v>
          </cell>
        </row>
      </sheetData>
      <sheetData sheetId="9642">
        <row r="4">
          <cell r="A4" t="str">
            <v>BẢNG TÍNH TOÁN, ĐO BÓC KHỐI LƯỢNG HOÀN THÀNH ĐƯA VÀO QUYẾT TOÁN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4">
          <cell r="A4" t="str">
            <v>BẢNG TÍNH TOÁN, ĐO BÓC KHỐI LƯỢNG HOÀN THÀNH ĐƯA VÀO QUYẾT TOÁN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/>
      <sheetData sheetId="9650">
        <row r="4">
          <cell r="A4" t="str">
            <v>BẢNG TÍNH TOÁN, ĐO BÓC KHỐI LƯỢNG HOÀN THÀNH ĐƯA VÀO QUYẾT TOÁN</v>
          </cell>
        </row>
      </sheetData>
      <sheetData sheetId="9651">
        <row r="9">
          <cell r="A9" t="str">
            <v>A</v>
          </cell>
        </row>
      </sheetData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>
        <row r="9">
          <cell r="A9" t="str">
            <v>A</v>
          </cell>
        </row>
      </sheetData>
      <sheetData sheetId="9663"/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/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/>
      <sheetData sheetId="9671"/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/>
      <sheetData sheetId="9675"/>
      <sheetData sheetId="9676"/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/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/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1999-41E1-4B9F-83D5-2AB074ED8923}">
  <sheetPr>
    <tabColor rgb="FF00B050"/>
    <pageSetUpPr fitToPage="1"/>
  </sheetPr>
  <dimension ref="A1:AJ742"/>
  <sheetViews>
    <sheetView view="pageBreakPreview" topLeftCell="A7" zoomScaleNormal="83" zoomScaleSheetLayoutView="100" workbookViewId="0">
      <pane ySplit="8" topLeftCell="A15" activePane="bottomLeft" state="frozen"/>
      <selection activeCell="AG22" sqref="AG22"/>
      <selection pane="bottomLeft" activeCell="O27" sqref="O27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bestFit="1" customWidth="1"/>
    <col min="31" max="31" width="8.7109375" customWidth="1"/>
    <col min="32" max="32" width="11.7109375" customWidth="1"/>
    <col min="33" max="33" width="8.28515625" bestFit="1" customWidth="1"/>
    <col min="34" max="34" width="9.28515625" customWidth="1"/>
    <col min="37" max="16384" width="9.28515625" style="1"/>
  </cols>
  <sheetData>
    <row r="1" spans="1:36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6" ht="19.5" customHeight="1">
      <c r="A2" s="199" t="s">
        <v>45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36" ht="19.5" customHeight="1">
      <c r="A3" s="199" t="s">
        <v>44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36" ht="19.5" customHeight="1">
      <c r="A4" s="19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</row>
    <row r="5" spans="1:36" ht="18.75" customHeight="1">
      <c r="A5" s="200" t="s">
        <v>43</v>
      </c>
      <c r="B5" s="201"/>
      <c r="C5" s="201"/>
      <c r="D5" s="201"/>
      <c r="E5" s="201"/>
      <c r="F5" s="201"/>
      <c r="G5" s="201"/>
      <c r="H5" s="202"/>
      <c r="I5" s="203" t="s">
        <v>42</v>
      </c>
      <c r="J5" s="204"/>
      <c r="K5" s="204"/>
      <c r="L5" s="204"/>
      <c r="M5" s="204"/>
      <c r="N5" s="204"/>
      <c r="O5" s="204"/>
      <c r="P5" s="204"/>
      <c r="Q5" s="204"/>
      <c r="R5" s="205"/>
      <c r="S5" s="203" t="s">
        <v>41</v>
      </c>
      <c r="T5" s="204"/>
      <c r="U5" s="204"/>
      <c r="V5" s="204"/>
      <c r="W5" s="204"/>
      <c r="X5" s="204"/>
      <c r="Y5" s="204"/>
      <c r="Z5" s="204"/>
      <c r="AA5" s="204"/>
      <c r="AB5" s="205"/>
    </row>
    <row r="6" spans="1:36" ht="17.25" customHeight="1">
      <c r="A6" s="206" t="s">
        <v>40</v>
      </c>
      <c r="B6" s="207"/>
      <c r="C6" s="207"/>
      <c r="D6" s="207"/>
      <c r="E6" s="207"/>
      <c r="F6" s="207"/>
      <c r="G6" s="207"/>
      <c r="H6" s="208"/>
      <c r="I6" s="21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20"/>
      <c r="K6" s="220"/>
      <c r="L6" s="220"/>
      <c r="M6" s="220"/>
      <c r="N6" s="220"/>
      <c r="O6" s="220"/>
      <c r="P6" s="220"/>
      <c r="Q6" s="220"/>
      <c r="R6" s="221"/>
      <c r="S6" s="222" t="s">
        <v>39</v>
      </c>
      <c r="T6" s="223"/>
      <c r="U6" s="223"/>
      <c r="V6" s="223"/>
      <c r="W6" s="223"/>
      <c r="X6" s="223"/>
      <c r="Y6" s="223"/>
      <c r="Z6" s="223"/>
      <c r="AA6" s="223"/>
      <c r="AB6" s="224"/>
    </row>
    <row r="7" spans="1:36" ht="21" customHeight="1">
      <c r="A7" s="209" t="s">
        <v>38</v>
      </c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1"/>
    </row>
    <row r="8" spans="1:36" ht="15">
      <c r="A8" s="71" t="s">
        <v>37</v>
      </c>
      <c r="B8" s="69"/>
      <c r="C8" s="69"/>
      <c r="D8" s="69"/>
      <c r="E8" s="69"/>
      <c r="F8" s="69"/>
      <c r="G8" s="69"/>
      <c r="H8" s="69"/>
      <c r="I8" s="69"/>
      <c r="J8" s="70"/>
      <c r="K8" s="70" t="s">
        <v>36</v>
      </c>
      <c r="L8" s="70"/>
      <c r="M8" s="70"/>
      <c r="N8" s="70"/>
      <c r="O8" s="69"/>
      <c r="P8" s="69"/>
      <c r="Q8" s="69"/>
      <c r="R8" s="69"/>
      <c r="S8" s="69"/>
      <c r="T8" s="69"/>
      <c r="U8" s="69"/>
      <c r="V8" s="69"/>
      <c r="W8" s="68"/>
      <c r="X8" s="68"/>
      <c r="Y8" s="68"/>
      <c r="Z8" s="68"/>
      <c r="AA8" s="68"/>
      <c r="AB8" s="67"/>
    </row>
    <row r="9" spans="1:36" ht="15">
      <c r="A9" s="65" t="s">
        <v>35</v>
      </c>
      <c r="B9" s="63"/>
      <c r="C9" s="63" t="s">
        <v>34</v>
      </c>
      <c r="D9" s="63"/>
      <c r="E9" s="63"/>
      <c r="F9" s="63"/>
      <c r="G9" s="63"/>
      <c r="H9" s="63"/>
      <c r="I9" s="63"/>
      <c r="J9" s="64"/>
      <c r="K9" s="64" t="s">
        <v>33</v>
      </c>
      <c r="L9" s="64"/>
      <c r="M9" s="66">
        <f>C14</f>
        <v>1069</v>
      </c>
      <c r="N9" s="64"/>
      <c r="O9" s="63"/>
      <c r="P9" s="63"/>
      <c r="Q9" s="63"/>
      <c r="R9" s="63"/>
      <c r="S9" s="63"/>
      <c r="T9" s="63"/>
      <c r="U9" s="63"/>
      <c r="V9" s="63"/>
      <c r="W9" s="62"/>
      <c r="X9" s="62"/>
      <c r="Y9" s="62"/>
      <c r="Z9" s="62"/>
      <c r="AA9" s="62"/>
      <c r="AB9" s="61"/>
    </row>
    <row r="10" spans="1:36" ht="15">
      <c r="A10" s="65" t="s">
        <v>32</v>
      </c>
      <c r="B10" s="63"/>
      <c r="C10" s="63" t="s">
        <v>31</v>
      </c>
      <c r="D10" s="63"/>
      <c r="E10" s="63"/>
      <c r="F10" s="63"/>
      <c r="G10" s="63"/>
      <c r="H10" s="63"/>
      <c r="I10" s="63"/>
      <c r="J10" s="64"/>
      <c r="K10" s="64" t="s">
        <v>30</v>
      </c>
      <c r="L10" s="64"/>
      <c r="M10" s="212">
        <f>B14</f>
        <v>45072</v>
      </c>
      <c r="N10" s="212"/>
      <c r="O10" s="63"/>
      <c r="P10" s="63"/>
      <c r="Q10" s="63"/>
      <c r="R10" s="63"/>
      <c r="S10" s="63"/>
      <c r="T10" s="63"/>
      <c r="U10" s="63"/>
      <c r="V10" s="63"/>
      <c r="W10" s="62"/>
      <c r="X10" s="62"/>
      <c r="Y10" s="62"/>
      <c r="Z10" s="62"/>
      <c r="AA10" s="62"/>
      <c r="AB10" s="61"/>
    </row>
    <row r="11" spans="1:36" ht="11.25" customHeight="1">
      <c r="A11" s="60"/>
      <c r="B11" s="57"/>
      <c r="C11" s="59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7"/>
      <c r="U11" s="57"/>
      <c r="V11" s="57"/>
      <c r="W11" s="57"/>
      <c r="X11" s="57"/>
      <c r="Y11" s="57"/>
      <c r="Z11" s="57"/>
      <c r="AA11" s="57"/>
      <c r="AB11" s="56"/>
    </row>
    <row r="12" spans="1:36" ht="47.25" customHeight="1">
      <c r="A12" s="194" t="s">
        <v>29</v>
      </c>
      <c r="B12" s="194" t="s">
        <v>28</v>
      </c>
      <c r="C12" s="194" t="s">
        <v>27</v>
      </c>
      <c r="D12" s="194" t="s">
        <v>26</v>
      </c>
      <c r="E12" s="196" t="s">
        <v>25</v>
      </c>
      <c r="F12" s="197"/>
      <c r="G12" s="198"/>
      <c r="H12" s="196" t="s">
        <v>24</v>
      </c>
      <c r="I12" s="197"/>
      <c r="J12" s="198"/>
      <c r="K12" s="196" t="s">
        <v>23</v>
      </c>
      <c r="L12" s="197"/>
      <c r="M12" s="198"/>
      <c r="N12" s="196" t="s">
        <v>22</v>
      </c>
      <c r="O12" s="197"/>
      <c r="P12" s="198"/>
      <c r="Q12" s="213" t="s">
        <v>21</v>
      </c>
      <c r="R12" s="214"/>
      <c r="S12" s="215"/>
      <c r="T12" s="194" t="s">
        <v>20</v>
      </c>
      <c r="U12" s="216" t="s">
        <v>19</v>
      </c>
      <c r="V12" s="217"/>
      <c r="W12" s="218"/>
      <c r="X12" s="194" t="s">
        <v>18</v>
      </c>
      <c r="Y12" s="194" t="s">
        <v>17</v>
      </c>
      <c r="Z12" s="194" t="s">
        <v>16</v>
      </c>
      <c r="AA12" s="194" t="s">
        <v>15</v>
      </c>
      <c r="AB12" s="194" t="s">
        <v>14</v>
      </c>
    </row>
    <row r="13" spans="1:36" ht="33" customHeight="1">
      <c r="A13" s="195"/>
      <c r="B13" s="195"/>
      <c r="C13" s="195"/>
      <c r="D13" s="195"/>
      <c r="E13" s="55" t="s">
        <v>13</v>
      </c>
      <c r="F13" s="55" t="s">
        <v>12</v>
      </c>
      <c r="G13" s="55" t="s">
        <v>11</v>
      </c>
      <c r="H13" s="55" t="s">
        <v>13</v>
      </c>
      <c r="I13" s="55" t="s">
        <v>12</v>
      </c>
      <c r="J13" s="55" t="s">
        <v>11</v>
      </c>
      <c r="K13" s="55" t="s">
        <v>13</v>
      </c>
      <c r="L13" s="55" t="s">
        <v>12</v>
      </c>
      <c r="M13" s="55" t="s">
        <v>11</v>
      </c>
      <c r="N13" s="55" t="s">
        <v>13</v>
      </c>
      <c r="O13" s="55" t="s">
        <v>12</v>
      </c>
      <c r="P13" s="55" t="s">
        <v>11</v>
      </c>
      <c r="Q13" s="55" t="s">
        <v>13</v>
      </c>
      <c r="R13" s="55" t="s">
        <v>12</v>
      </c>
      <c r="S13" s="55" t="s">
        <v>11</v>
      </c>
      <c r="T13" s="195"/>
      <c r="U13" s="55" t="s">
        <v>13</v>
      </c>
      <c r="V13" s="55" t="s">
        <v>12</v>
      </c>
      <c r="W13" s="55" t="s">
        <v>11</v>
      </c>
      <c r="X13" s="195"/>
      <c r="Y13" s="195"/>
      <c r="Z13" s="195"/>
      <c r="AA13" s="195"/>
      <c r="AB13" s="195"/>
    </row>
    <row r="14" spans="1:36" s="48" customFormat="1" ht="15">
      <c r="A14" s="54">
        <v>0</v>
      </c>
      <c r="B14" s="53">
        <v>45072</v>
      </c>
      <c r="C14" s="52">
        <v>1069</v>
      </c>
      <c r="D14" s="51">
        <v>1620</v>
      </c>
      <c r="E14" s="44">
        <f t="shared" ref="E14:E77" si="1">C14+D14-H14</f>
        <v>649</v>
      </c>
      <c r="F14" s="44">
        <f t="shared" ref="F14:F77" si="2">C14+D14-I14</f>
        <v>699</v>
      </c>
      <c r="G14" s="44">
        <f t="shared" ref="G14:G77" si="3">D14+C14-J14</f>
        <v>729</v>
      </c>
      <c r="H14" s="44">
        <f t="shared" ref="H14:H77" si="4">K14+N14</f>
        <v>2040</v>
      </c>
      <c r="I14" s="44">
        <f t="shared" ref="I14:I77" si="5">L14+O14</f>
        <v>1990</v>
      </c>
      <c r="J14" s="44">
        <f t="shared" ref="J14:J77" si="6">M14+P14</f>
        <v>1960</v>
      </c>
      <c r="K14" s="44">
        <v>2000</v>
      </c>
      <c r="L14" s="44">
        <v>2000</v>
      </c>
      <c r="M14" s="44">
        <v>2000</v>
      </c>
      <c r="N14" s="44">
        <v>40</v>
      </c>
      <c r="O14" s="50">
        <v>-10</v>
      </c>
      <c r="P14" s="44">
        <v>-40</v>
      </c>
      <c r="Q14" s="44">
        <f t="shared" ref="Q14:S26" ca="1" si="7">RANDBETWEEN(0,0)</f>
        <v>0</v>
      </c>
      <c r="R14" s="44">
        <f t="shared" ca="1" si="7"/>
        <v>0</v>
      </c>
      <c r="S14" s="44">
        <f t="shared" ca="1" si="7"/>
        <v>0</v>
      </c>
      <c r="T14" s="44">
        <f t="shared" ref="T14:T77" si="8">D14+C14-V14</f>
        <v>2699</v>
      </c>
      <c r="U14" s="44">
        <f>N14</f>
        <v>40</v>
      </c>
      <c r="V14" s="44">
        <f>O14</f>
        <v>-10</v>
      </c>
      <c r="W14" s="44">
        <f>P14</f>
        <v>-40</v>
      </c>
      <c r="X14" s="44"/>
      <c r="Y14" s="39"/>
      <c r="Z14" s="44"/>
      <c r="AA14" s="44"/>
      <c r="AB14" s="49" t="s">
        <v>10</v>
      </c>
      <c r="AD14"/>
      <c r="AE14"/>
      <c r="AF14"/>
      <c r="AG14"/>
      <c r="AH14"/>
      <c r="AI14"/>
      <c r="AJ14"/>
    </row>
    <row r="15" spans="1:36" ht="15">
      <c r="A15" s="36">
        <v>1</v>
      </c>
      <c r="B15" s="35">
        <f t="shared" ref="B15:B78" si="9">B14+1</f>
        <v>45073</v>
      </c>
      <c r="C15" s="16">
        <f t="shared" ref="C15:C78" si="10">C14</f>
        <v>1069</v>
      </c>
      <c r="D15" s="15">
        <f t="shared" ref="D15:D46" si="11">D14-2</f>
        <v>1618</v>
      </c>
      <c r="E15" s="14">
        <f t="shared" ca="1" si="1"/>
        <v>647</v>
      </c>
      <c r="F15" s="14">
        <f t="shared" ca="1" si="2"/>
        <v>697</v>
      </c>
      <c r="G15" s="14">
        <f t="shared" ca="1" si="3"/>
        <v>727</v>
      </c>
      <c r="H15" s="10">
        <f t="shared" ca="1" si="4"/>
        <v>2040</v>
      </c>
      <c r="I15" s="10">
        <f t="shared" ca="1" si="5"/>
        <v>1990</v>
      </c>
      <c r="J15" s="10">
        <f t="shared" ca="1" si="6"/>
        <v>1960</v>
      </c>
      <c r="K15" s="10">
        <f t="shared" ref="K15:K78" si="12">K14</f>
        <v>2000</v>
      </c>
      <c r="L15" s="10">
        <f t="shared" ref="L15:L78" si="13">L14</f>
        <v>2000</v>
      </c>
      <c r="M15" s="10">
        <f t="shared" ref="M15:M78" si="14">M14</f>
        <v>2000</v>
      </c>
      <c r="N15" s="10">
        <f t="shared" ref="N15:N78" ca="1" si="15">N14-Q15</f>
        <v>40</v>
      </c>
      <c r="O15" s="10">
        <f t="shared" ref="O15:O78" ca="1" si="16">O14-R15</f>
        <v>-10</v>
      </c>
      <c r="P15" s="10">
        <f t="shared" ref="P15:P78" ca="1" si="17">P14-S15</f>
        <v>-40</v>
      </c>
      <c r="Q15" s="44">
        <f t="shared" ca="1" si="7"/>
        <v>0</v>
      </c>
      <c r="R15" s="44">
        <f t="shared" ca="1" si="7"/>
        <v>0</v>
      </c>
      <c r="S15" s="44">
        <f t="shared" ca="1" si="7"/>
        <v>0</v>
      </c>
      <c r="T15" s="13">
        <f t="shared" ca="1" si="8"/>
        <v>2697</v>
      </c>
      <c r="U15" s="12">
        <f t="shared" ref="U15:U26" ca="1" si="18">U14+$X15*1000-Q15</f>
        <v>40</v>
      </c>
      <c r="V15" s="12">
        <f t="shared" ref="V15:V26" ca="1" si="19">V14+$X15*1000-R15</f>
        <v>-10</v>
      </c>
      <c r="W15" s="12">
        <f t="shared" ref="W15:W26" ca="1" si="20">W14+$X15*1000-S15</f>
        <v>-40</v>
      </c>
      <c r="X15" s="13"/>
      <c r="Y15" s="47"/>
      <c r="Z15" s="10"/>
      <c r="AA15" s="10"/>
      <c r="AB15" s="45"/>
    </row>
    <row r="16" spans="1:36" ht="15">
      <c r="A16" s="36">
        <v>2</v>
      </c>
      <c r="B16" s="35">
        <f t="shared" si="9"/>
        <v>45074</v>
      </c>
      <c r="C16" s="16">
        <f t="shared" si="10"/>
        <v>1069</v>
      </c>
      <c r="D16" s="15">
        <f t="shared" si="11"/>
        <v>1616</v>
      </c>
      <c r="E16" s="14">
        <f t="shared" ca="1" si="1"/>
        <v>645</v>
      </c>
      <c r="F16" s="14">
        <f t="shared" ca="1" si="2"/>
        <v>695</v>
      </c>
      <c r="G16" s="14">
        <f t="shared" ca="1" si="3"/>
        <v>725</v>
      </c>
      <c r="H16" s="10">
        <f t="shared" ca="1" si="4"/>
        <v>2040</v>
      </c>
      <c r="I16" s="10">
        <f t="shared" ca="1" si="5"/>
        <v>1990</v>
      </c>
      <c r="J16" s="10">
        <f t="shared" ca="1" si="6"/>
        <v>1960</v>
      </c>
      <c r="K16" s="10">
        <f t="shared" si="12"/>
        <v>2000</v>
      </c>
      <c r="L16" s="10">
        <f t="shared" si="13"/>
        <v>2000</v>
      </c>
      <c r="M16" s="10">
        <f t="shared" si="14"/>
        <v>2000</v>
      </c>
      <c r="N16" s="10">
        <f t="shared" ca="1" si="15"/>
        <v>40</v>
      </c>
      <c r="O16" s="10">
        <f t="shared" ca="1" si="16"/>
        <v>-10</v>
      </c>
      <c r="P16" s="10">
        <f t="shared" ca="1" si="17"/>
        <v>-40</v>
      </c>
      <c r="Q16" s="44">
        <f t="shared" ca="1" si="7"/>
        <v>0</v>
      </c>
      <c r="R16" s="44">
        <f t="shared" ca="1" si="7"/>
        <v>0</v>
      </c>
      <c r="S16" s="44">
        <f t="shared" ca="1" si="7"/>
        <v>0</v>
      </c>
      <c r="T16" s="13">
        <f t="shared" ca="1" si="8"/>
        <v>2695</v>
      </c>
      <c r="U16" s="12">
        <f t="shared" ca="1" si="18"/>
        <v>40</v>
      </c>
      <c r="V16" s="12">
        <f t="shared" ca="1" si="19"/>
        <v>-10</v>
      </c>
      <c r="W16" s="12">
        <f t="shared" ca="1" si="20"/>
        <v>-40</v>
      </c>
      <c r="X16" s="13"/>
      <c r="Y16" s="47"/>
      <c r="Z16" s="10"/>
      <c r="AA16" s="10"/>
      <c r="AB16" s="46"/>
    </row>
    <row r="17" spans="1:28" ht="15">
      <c r="A17" s="36">
        <v>3</v>
      </c>
      <c r="B17" s="35">
        <f t="shared" si="9"/>
        <v>45075</v>
      </c>
      <c r="C17" s="16">
        <f t="shared" si="10"/>
        <v>1069</v>
      </c>
      <c r="D17" s="15">
        <f t="shared" si="11"/>
        <v>1614</v>
      </c>
      <c r="E17" s="14">
        <f t="shared" ca="1" si="1"/>
        <v>643</v>
      </c>
      <c r="F17" s="14">
        <f t="shared" ca="1" si="2"/>
        <v>693</v>
      </c>
      <c r="G17" s="14">
        <f t="shared" ca="1" si="3"/>
        <v>723</v>
      </c>
      <c r="H17" s="10">
        <f t="shared" ca="1" si="4"/>
        <v>2040</v>
      </c>
      <c r="I17" s="10">
        <f t="shared" ca="1" si="5"/>
        <v>1990</v>
      </c>
      <c r="J17" s="10">
        <f t="shared" ca="1" si="6"/>
        <v>1960</v>
      </c>
      <c r="K17" s="10">
        <f t="shared" si="12"/>
        <v>2000</v>
      </c>
      <c r="L17" s="10">
        <f t="shared" si="13"/>
        <v>2000</v>
      </c>
      <c r="M17" s="10">
        <f t="shared" si="14"/>
        <v>2000</v>
      </c>
      <c r="N17" s="10">
        <f t="shared" ca="1" si="15"/>
        <v>40</v>
      </c>
      <c r="O17" s="10">
        <f t="shared" ca="1" si="16"/>
        <v>-10</v>
      </c>
      <c r="P17" s="10">
        <f t="shared" ca="1" si="17"/>
        <v>-40</v>
      </c>
      <c r="Q17" s="44">
        <f t="shared" ca="1" si="7"/>
        <v>0</v>
      </c>
      <c r="R17" s="44">
        <f t="shared" ca="1" si="7"/>
        <v>0</v>
      </c>
      <c r="S17" s="44">
        <f t="shared" ca="1" si="7"/>
        <v>0</v>
      </c>
      <c r="T17" s="13">
        <f t="shared" ca="1" si="8"/>
        <v>2693</v>
      </c>
      <c r="U17" s="12">
        <f t="shared" ca="1" si="18"/>
        <v>40</v>
      </c>
      <c r="V17" s="12">
        <f t="shared" ca="1" si="19"/>
        <v>-10</v>
      </c>
      <c r="W17" s="12">
        <f t="shared" ca="1" si="20"/>
        <v>-40</v>
      </c>
      <c r="X17" s="13"/>
      <c r="Y17" s="10"/>
      <c r="Z17" s="10"/>
      <c r="AA17" s="10"/>
      <c r="AB17" s="9"/>
    </row>
    <row r="18" spans="1:28" ht="16.5" customHeight="1">
      <c r="A18" s="36">
        <v>4</v>
      </c>
      <c r="B18" s="35">
        <f t="shared" si="9"/>
        <v>45076</v>
      </c>
      <c r="C18" s="16">
        <f t="shared" si="10"/>
        <v>1069</v>
      </c>
      <c r="D18" s="15">
        <f t="shared" si="11"/>
        <v>1612</v>
      </c>
      <c r="E18" s="14">
        <f t="shared" ca="1" si="1"/>
        <v>641</v>
      </c>
      <c r="F18" s="14">
        <f t="shared" ca="1" si="2"/>
        <v>691</v>
      </c>
      <c r="G18" s="14">
        <f t="shared" ca="1" si="3"/>
        <v>721</v>
      </c>
      <c r="H18" s="10">
        <f t="shared" ca="1" si="4"/>
        <v>2040</v>
      </c>
      <c r="I18" s="10">
        <f t="shared" ca="1" si="5"/>
        <v>1990</v>
      </c>
      <c r="J18" s="10">
        <f t="shared" ca="1" si="6"/>
        <v>1960</v>
      </c>
      <c r="K18" s="10">
        <f t="shared" si="12"/>
        <v>2000</v>
      </c>
      <c r="L18" s="10">
        <f t="shared" si="13"/>
        <v>2000</v>
      </c>
      <c r="M18" s="10">
        <f t="shared" si="14"/>
        <v>2000</v>
      </c>
      <c r="N18" s="10">
        <f t="shared" ca="1" si="15"/>
        <v>40</v>
      </c>
      <c r="O18" s="10">
        <f t="shared" ca="1" si="16"/>
        <v>-10</v>
      </c>
      <c r="P18" s="10">
        <f t="shared" ca="1" si="17"/>
        <v>-40</v>
      </c>
      <c r="Q18" s="44">
        <f t="shared" ca="1" si="7"/>
        <v>0</v>
      </c>
      <c r="R18" s="44">
        <f t="shared" ca="1" si="7"/>
        <v>0</v>
      </c>
      <c r="S18" s="44">
        <f t="shared" ca="1" si="7"/>
        <v>0</v>
      </c>
      <c r="T18" s="13">
        <f t="shared" ca="1" si="8"/>
        <v>2691</v>
      </c>
      <c r="U18" s="12">
        <f t="shared" ca="1" si="18"/>
        <v>40</v>
      </c>
      <c r="V18" s="12">
        <f t="shared" ca="1" si="19"/>
        <v>-10</v>
      </c>
      <c r="W18" s="12">
        <f t="shared" ca="1" si="20"/>
        <v>-40</v>
      </c>
      <c r="X18" s="13"/>
      <c r="Y18" s="10"/>
      <c r="Z18" s="10"/>
      <c r="AA18" s="10"/>
      <c r="AB18" s="45"/>
    </row>
    <row r="19" spans="1:28" ht="16.5" customHeight="1">
      <c r="A19" s="36">
        <v>5</v>
      </c>
      <c r="B19" s="35">
        <f t="shared" si="9"/>
        <v>45077</v>
      </c>
      <c r="C19" s="16">
        <f t="shared" si="10"/>
        <v>1069</v>
      </c>
      <c r="D19" s="15">
        <f t="shared" si="11"/>
        <v>1610</v>
      </c>
      <c r="E19" s="14">
        <f t="shared" ca="1" si="1"/>
        <v>639</v>
      </c>
      <c r="F19" s="14">
        <f t="shared" ca="1" si="2"/>
        <v>689</v>
      </c>
      <c r="G19" s="14">
        <f t="shared" ca="1" si="3"/>
        <v>719</v>
      </c>
      <c r="H19" s="10">
        <f t="shared" ca="1" si="4"/>
        <v>2040</v>
      </c>
      <c r="I19" s="10">
        <f t="shared" ca="1" si="5"/>
        <v>1990</v>
      </c>
      <c r="J19" s="10">
        <f t="shared" ca="1" si="6"/>
        <v>1960</v>
      </c>
      <c r="K19" s="10">
        <f t="shared" si="12"/>
        <v>2000</v>
      </c>
      <c r="L19" s="10">
        <f t="shared" si="13"/>
        <v>2000</v>
      </c>
      <c r="M19" s="10">
        <f t="shared" si="14"/>
        <v>2000</v>
      </c>
      <c r="N19" s="10">
        <f t="shared" ca="1" si="15"/>
        <v>40</v>
      </c>
      <c r="O19" s="10">
        <f t="shared" ca="1" si="16"/>
        <v>-10</v>
      </c>
      <c r="P19" s="10">
        <f t="shared" ca="1" si="17"/>
        <v>-40</v>
      </c>
      <c r="Q19" s="44">
        <f t="shared" ca="1" si="7"/>
        <v>0</v>
      </c>
      <c r="R19" s="44">
        <f t="shared" ca="1" si="7"/>
        <v>0</v>
      </c>
      <c r="S19" s="44">
        <f t="shared" ca="1" si="7"/>
        <v>0</v>
      </c>
      <c r="T19" s="13">
        <f t="shared" ca="1" si="8"/>
        <v>2689</v>
      </c>
      <c r="U19" s="12">
        <f t="shared" ca="1" si="18"/>
        <v>40</v>
      </c>
      <c r="V19" s="12">
        <f t="shared" ca="1" si="19"/>
        <v>-10</v>
      </c>
      <c r="W19" s="12">
        <f t="shared" ca="1" si="20"/>
        <v>-40</v>
      </c>
      <c r="X19" s="13"/>
      <c r="Y19" s="10"/>
      <c r="Z19" s="10"/>
      <c r="AA19" s="10"/>
      <c r="AB19" s="9"/>
    </row>
    <row r="20" spans="1:28" ht="16.5" customHeight="1">
      <c r="A20" s="36">
        <v>6</v>
      </c>
      <c r="B20" s="35">
        <f t="shared" si="9"/>
        <v>45078</v>
      </c>
      <c r="C20" s="16">
        <f t="shared" si="10"/>
        <v>1069</v>
      </c>
      <c r="D20" s="15">
        <f t="shared" si="11"/>
        <v>1608</v>
      </c>
      <c r="E20" s="14">
        <f t="shared" ca="1" si="1"/>
        <v>637</v>
      </c>
      <c r="F20" s="14">
        <f t="shared" ca="1" si="2"/>
        <v>687</v>
      </c>
      <c r="G20" s="14">
        <f t="shared" ca="1" si="3"/>
        <v>717</v>
      </c>
      <c r="H20" s="10">
        <f t="shared" ca="1" si="4"/>
        <v>2040</v>
      </c>
      <c r="I20" s="10">
        <f t="shared" ca="1" si="5"/>
        <v>1990</v>
      </c>
      <c r="J20" s="10">
        <f t="shared" ca="1" si="6"/>
        <v>1960</v>
      </c>
      <c r="K20" s="10">
        <f t="shared" si="12"/>
        <v>2000</v>
      </c>
      <c r="L20" s="10">
        <f t="shared" si="13"/>
        <v>2000</v>
      </c>
      <c r="M20" s="10">
        <f t="shared" si="14"/>
        <v>2000</v>
      </c>
      <c r="N20" s="10">
        <f t="shared" ca="1" si="15"/>
        <v>40</v>
      </c>
      <c r="O20" s="10">
        <f t="shared" ca="1" si="16"/>
        <v>-10</v>
      </c>
      <c r="P20" s="10">
        <f t="shared" ca="1" si="17"/>
        <v>-40</v>
      </c>
      <c r="Q20" s="44">
        <f t="shared" ca="1" si="7"/>
        <v>0</v>
      </c>
      <c r="R20" s="44">
        <f t="shared" ca="1" si="7"/>
        <v>0</v>
      </c>
      <c r="S20" s="44">
        <f t="shared" ca="1" si="7"/>
        <v>0</v>
      </c>
      <c r="T20" s="13">
        <f t="shared" ca="1" si="8"/>
        <v>2687</v>
      </c>
      <c r="U20" s="12">
        <f t="shared" ca="1" si="18"/>
        <v>40</v>
      </c>
      <c r="V20" s="12">
        <f t="shared" ca="1" si="19"/>
        <v>-10</v>
      </c>
      <c r="W20" s="12">
        <f t="shared" ca="1" si="20"/>
        <v>-40</v>
      </c>
      <c r="X20" s="13"/>
      <c r="Y20" s="10"/>
      <c r="Z20" s="10"/>
      <c r="AA20" s="10"/>
      <c r="AB20" s="9"/>
    </row>
    <row r="21" spans="1:28" ht="16.5" customHeight="1">
      <c r="A21" s="36">
        <v>7</v>
      </c>
      <c r="B21" s="35">
        <f t="shared" si="9"/>
        <v>45079</v>
      </c>
      <c r="C21" s="16">
        <f t="shared" si="10"/>
        <v>1069</v>
      </c>
      <c r="D21" s="15">
        <f t="shared" si="11"/>
        <v>1606</v>
      </c>
      <c r="E21" s="14">
        <f t="shared" ca="1" si="1"/>
        <v>635</v>
      </c>
      <c r="F21" s="14">
        <f t="shared" ca="1" si="2"/>
        <v>685</v>
      </c>
      <c r="G21" s="14">
        <f t="shared" ca="1" si="3"/>
        <v>715</v>
      </c>
      <c r="H21" s="10">
        <f t="shared" ca="1" si="4"/>
        <v>2040</v>
      </c>
      <c r="I21" s="10">
        <f t="shared" ca="1" si="5"/>
        <v>1990</v>
      </c>
      <c r="J21" s="10">
        <f t="shared" ca="1" si="6"/>
        <v>1960</v>
      </c>
      <c r="K21" s="10">
        <f t="shared" si="12"/>
        <v>2000</v>
      </c>
      <c r="L21" s="10">
        <f t="shared" si="13"/>
        <v>2000</v>
      </c>
      <c r="M21" s="10">
        <f t="shared" si="14"/>
        <v>2000</v>
      </c>
      <c r="N21" s="10">
        <f t="shared" ca="1" si="15"/>
        <v>40</v>
      </c>
      <c r="O21" s="10">
        <f t="shared" ca="1" si="16"/>
        <v>-10</v>
      </c>
      <c r="P21" s="10">
        <f t="shared" ca="1" si="17"/>
        <v>-40</v>
      </c>
      <c r="Q21" s="44">
        <f t="shared" ca="1" si="7"/>
        <v>0</v>
      </c>
      <c r="R21" s="44">
        <f t="shared" ca="1" si="7"/>
        <v>0</v>
      </c>
      <c r="S21" s="44">
        <f t="shared" ca="1" si="7"/>
        <v>0</v>
      </c>
      <c r="T21" s="13">
        <f t="shared" ca="1" si="8"/>
        <v>2685</v>
      </c>
      <c r="U21" s="12">
        <f t="shared" ca="1" si="18"/>
        <v>40</v>
      </c>
      <c r="V21" s="12">
        <f t="shared" ca="1" si="19"/>
        <v>-10</v>
      </c>
      <c r="W21" s="12">
        <f t="shared" ca="1" si="20"/>
        <v>-40</v>
      </c>
      <c r="X21" s="13"/>
      <c r="Y21" s="10"/>
      <c r="Z21" s="10"/>
      <c r="AA21" s="10"/>
      <c r="AB21" s="9"/>
    </row>
    <row r="22" spans="1:28" ht="16.5" customHeight="1">
      <c r="A22" s="36">
        <v>8</v>
      </c>
      <c r="B22" s="35">
        <f t="shared" si="9"/>
        <v>45080</v>
      </c>
      <c r="C22" s="16">
        <f t="shared" si="10"/>
        <v>1069</v>
      </c>
      <c r="D22" s="15">
        <f t="shared" si="11"/>
        <v>1604</v>
      </c>
      <c r="E22" s="14">
        <f t="shared" ca="1" si="1"/>
        <v>633</v>
      </c>
      <c r="F22" s="14">
        <f t="shared" ca="1" si="2"/>
        <v>683</v>
      </c>
      <c r="G22" s="14">
        <f t="shared" ca="1" si="3"/>
        <v>713</v>
      </c>
      <c r="H22" s="10">
        <f t="shared" ca="1" si="4"/>
        <v>2040</v>
      </c>
      <c r="I22" s="10">
        <f t="shared" ca="1" si="5"/>
        <v>1990</v>
      </c>
      <c r="J22" s="10">
        <f t="shared" ca="1" si="6"/>
        <v>1960</v>
      </c>
      <c r="K22" s="10">
        <f t="shared" si="12"/>
        <v>2000</v>
      </c>
      <c r="L22" s="10">
        <f t="shared" si="13"/>
        <v>2000</v>
      </c>
      <c r="M22" s="10">
        <f t="shared" si="14"/>
        <v>2000</v>
      </c>
      <c r="N22" s="10">
        <f t="shared" ca="1" si="15"/>
        <v>40</v>
      </c>
      <c r="O22" s="10">
        <f t="shared" ca="1" si="16"/>
        <v>-10</v>
      </c>
      <c r="P22" s="10">
        <f t="shared" ca="1" si="17"/>
        <v>-40</v>
      </c>
      <c r="Q22" s="44">
        <f t="shared" ca="1" si="7"/>
        <v>0</v>
      </c>
      <c r="R22" s="44">
        <f t="shared" ca="1" si="7"/>
        <v>0</v>
      </c>
      <c r="S22" s="44">
        <f t="shared" ca="1" si="7"/>
        <v>0</v>
      </c>
      <c r="T22" s="13">
        <f t="shared" ca="1" si="8"/>
        <v>2683</v>
      </c>
      <c r="U22" s="12">
        <f t="shared" ca="1" si="18"/>
        <v>40</v>
      </c>
      <c r="V22" s="12">
        <f t="shared" ca="1" si="19"/>
        <v>-10</v>
      </c>
      <c r="W22" s="12">
        <f t="shared" ca="1" si="20"/>
        <v>-40</v>
      </c>
      <c r="X22" s="13"/>
      <c r="Y22" s="10"/>
      <c r="Z22" s="10"/>
      <c r="AA22" s="10"/>
      <c r="AB22" s="9"/>
    </row>
    <row r="23" spans="1:28" ht="16.5" customHeight="1">
      <c r="A23" s="36">
        <v>9</v>
      </c>
      <c r="B23" s="35">
        <f t="shared" si="9"/>
        <v>45081</v>
      </c>
      <c r="C23" s="16">
        <f t="shared" si="10"/>
        <v>1069</v>
      </c>
      <c r="D23" s="15">
        <f t="shared" si="11"/>
        <v>1602</v>
      </c>
      <c r="E23" s="14">
        <f t="shared" ca="1" si="1"/>
        <v>631</v>
      </c>
      <c r="F23" s="14">
        <f t="shared" ca="1" si="2"/>
        <v>681</v>
      </c>
      <c r="G23" s="14">
        <f t="shared" ca="1" si="3"/>
        <v>711</v>
      </c>
      <c r="H23" s="10">
        <f t="shared" ca="1" si="4"/>
        <v>2040</v>
      </c>
      <c r="I23" s="10">
        <f t="shared" ca="1" si="5"/>
        <v>1990</v>
      </c>
      <c r="J23" s="10">
        <f t="shared" ca="1" si="6"/>
        <v>1960</v>
      </c>
      <c r="K23" s="10">
        <f t="shared" si="12"/>
        <v>2000</v>
      </c>
      <c r="L23" s="10">
        <f t="shared" si="13"/>
        <v>2000</v>
      </c>
      <c r="M23" s="10">
        <f t="shared" si="14"/>
        <v>2000</v>
      </c>
      <c r="N23" s="10">
        <f t="shared" ca="1" si="15"/>
        <v>40</v>
      </c>
      <c r="O23" s="10">
        <f t="shared" ca="1" si="16"/>
        <v>-10</v>
      </c>
      <c r="P23" s="10">
        <f t="shared" ca="1" si="17"/>
        <v>-40</v>
      </c>
      <c r="Q23" s="44">
        <f t="shared" ca="1" si="7"/>
        <v>0</v>
      </c>
      <c r="R23" s="44">
        <f t="shared" ca="1" si="7"/>
        <v>0</v>
      </c>
      <c r="S23" s="44">
        <f t="shared" ca="1" si="7"/>
        <v>0</v>
      </c>
      <c r="T23" s="13">
        <f t="shared" ca="1" si="8"/>
        <v>2681</v>
      </c>
      <c r="U23" s="12">
        <f t="shared" ca="1" si="18"/>
        <v>40</v>
      </c>
      <c r="V23" s="12">
        <f t="shared" ca="1" si="19"/>
        <v>-10</v>
      </c>
      <c r="W23" s="12">
        <f t="shared" ca="1" si="20"/>
        <v>-40</v>
      </c>
      <c r="X23" s="13"/>
      <c r="Y23" s="10"/>
      <c r="Z23" s="10"/>
      <c r="AA23" s="10"/>
      <c r="AB23" s="9"/>
    </row>
    <row r="24" spans="1:28" ht="16.5" customHeight="1">
      <c r="A24" s="36">
        <v>10</v>
      </c>
      <c r="B24" s="35">
        <f t="shared" si="9"/>
        <v>45082</v>
      </c>
      <c r="C24" s="16">
        <f t="shared" si="10"/>
        <v>1069</v>
      </c>
      <c r="D24" s="15">
        <f t="shared" si="11"/>
        <v>1600</v>
      </c>
      <c r="E24" s="14">
        <f t="shared" ca="1" si="1"/>
        <v>629</v>
      </c>
      <c r="F24" s="14">
        <f t="shared" ca="1" si="2"/>
        <v>679</v>
      </c>
      <c r="G24" s="14">
        <f t="shared" ca="1" si="3"/>
        <v>709</v>
      </c>
      <c r="H24" s="10">
        <f t="shared" ca="1" si="4"/>
        <v>2040</v>
      </c>
      <c r="I24" s="10">
        <f t="shared" ca="1" si="5"/>
        <v>1990</v>
      </c>
      <c r="J24" s="10">
        <f t="shared" ca="1" si="6"/>
        <v>1960</v>
      </c>
      <c r="K24" s="10">
        <f t="shared" si="12"/>
        <v>2000</v>
      </c>
      <c r="L24" s="10">
        <f t="shared" si="13"/>
        <v>2000</v>
      </c>
      <c r="M24" s="10">
        <f t="shared" si="14"/>
        <v>2000</v>
      </c>
      <c r="N24" s="10">
        <f t="shared" ca="1" si="15"/>
        <v>40</v>
      </c>
      <c r="O24" s="10">
        <f t="shared" ca="1" si="16"/>
        <v>-10</v>
      </c>
      <c r="P24" s="10">
        <f t="shared" ca="1" si="17"/>
        <v>-40</v>
      </c>
      <c r="Q24" s="44">
        <f t="shared" ca="1" si="7"/>
        <v>0</v>
      </c>
      <c r="R24" s="44">
        <f t="shared" ca="1" si="7"/>
        <v>0</v>
      </c>
      <c r="S24" s="44">
        <f t="shared" ca="1" si="7"/>
        <v>0</v>
      </c>
      <c r="T24" s="13">
        <f t="shared" ca="1" si="8"/>
        <v>2679</v>
      </c>
      <c r="U24" s="12">
        <f t="shared" ca="1" si="18"/>
        <v>40</v>
      </c>
      <c r="V24" s="12">
        <f t="shared" ca="1" si="19"/>
        <v>-10</v>
      </c>
      <c r="W24" s="12">
        <f t="shared" ca="1" si="20"/>
        <v>-40</v>
      </c>
      <c r="X24" s="13"/>
      <c r="Y24" s="10"/>
      <c r="Z24" s="10"/>
      <c r="AA24" s="10"/>
      <c r="AB24" s="9"/>
    </row>
    <row r="25" spans="1:28" ht="16.5" customHeight="1">
      <c r="A25" s="36">
        <v>11</v>
      </c>
      <c r="B25" s="35">
        <f t="shared" si="9"/>
        <v>45083</v>
      </c>
      <c r="C25" s="16">
        <f t="shared" si="10"/>
        <v>1069</v>
      </c>
      <c r="D25" s="15">
        <f t="shared" si="11"/>
        <v>1598</v>
      </c>
      <c r="E25" s="14">
        <f t="shared" ca="1" si="1"/>
        <v>627</v>
      </c>
      <c r="F25" s="14">
        <f t="shared" ca="1" si="2"/>
        <v>677</v>
      </c>
      <c r="G25" s="14">
        <f t="shared" ca="1" si="3"/>
        <v>707</v>
      </c>
      <c r="H25" s="10">
        <f t="shared" ca="1" si="4"/>
        <v>2040</v>
      </c>
      <c r="I25" s="10">
        <f t="shared" ca="1" si="5"/>
        <v>1990</v>
      </c>
      <c r="J25" s="10">
        <f t="shared" ca="1" si="6"/>
        <v>1960</v>
      </c>
      <c r="K25" s="10">
        <f t="shared" si="12"/>
        <v>2000</v>
      </c>
      <c r="L25" s="10">
        <f t="shared" si="13"/>
        <v>2000</v>
      </c>
      <c r="M25" s="10">
        <f t="shared" si="14"/>
        <v>2000</v>
      </c>
      <c r="N25" s="10">
        <f t="shared" ca="1" si="15"/>
        <v>40</v>
      </c>
      <c r="O25" s="10">
        <f t="shared" ca="1" si="16"/>
        <v>-10</v>
      </c>
      <c r="P25" s="10">
        <f t="shared" ca="1" si="17"/>
        <v>-40</v>
      </c>
      <c r="Q25" s="44">
        <f t="shared" ca="1" si="7"/>
        <v>0</v>
      </c>
      <c r="R25" s="44">
        <f t="shared" ca="1" si="7"/>
        <v>0</v>
      </c>
      <c r="S25" s="44">
        <f t="shared" ca="1" si="7"/>
        <v>0</v>
      </c>
      <c r="T25" s="13">
        <f t="shared" ca="1" si="8"/>
        <v>2677</v>
      </c>
      <c r="U25" s="12">
        <f t="shared" ca="1" si="18"/>
        <v>40</v>
      </c>
      <c r="V25" s="12">
        <f t="shared" ca="1" si="19"/>
        <v>-10</v>
      </c>
      <c r="W25" s="12">
        <f t="shared" ca="1" si="20"/>
        <v>-40</v>
      </c>
      <c r="X25" s="13"/>
      <c r="Y25" s="10"/>
      <c r="Z25" s="10"/>
      <c r="AA25" s="10"/>
      <c r="AB25" s="9"/>
    </row>
    <row r="26" spans="1:28" ht="16.5" customHeight="1">
      <c r="A26" s="36">
        <v>12</v>
      </c>
      <c r="B26" s="35">
        <f t="shared" si="9"/>
        <v>45084</v>
      </c>
      <c r="C26" s="16">
        <f t="shared" si="10"/>
        <v>1069</v>
      </c>
      <c r="D26" s="15">
        <f t="shared" si="11"/>
        <v>1596</v>
      </c>
      <c r="E26" s="14">
        <f t="shared" ca="1" si="1"/>
        <v>625</v>
      </c>
      <c r="F26" s="14">
        <f t="shared" ca="1" si="2"/>
        <v>675</v>
      </c>
      <c r="G26" s="14">
        <f t="shared" ca="1" si="3"/>
        <v>705</v>
      </c>
      <c r="H26" s="10">
        <f t="shared" ca="1" si="4"/>
        <v>2040</v>
      </c>
      <c r="I26" s="10">
        <f t="shared" ca="1" si="5"/>
        <v>1990</v>
      </c>
      <c r="J26" s="10">
        <f t="shared" ca="1" si="6"/>
        <v>1960</v>
      </c>
      <c r="K26" s="10">
        <f t="shared" si="12"/>
        <v>2000</v>
      </c>
      <c r="L26" s="10">
        <f t="shared" si="13"/>
        <v>2000</v>
      </c>
      <c r="M26" s="10">
        <f t="shared" si="14"/>
        <v>2000</v>
      </c>
      <c r="N26" s="10">
        <f t="shared" ca="1" si="15"/>
        <v>40</v>
      </c>
      <c r="O26" s="10">
        <f t="shared" ca="1" si="16"/>
        <v>-10</v>
      </c>
      <c r="P26" s="10">
        <f t="shared" ca="1" si="17"/>
        <v>-40</v>
      </c>
      <c r="Q26" s="44">
        <f t="shared" ca="1" si="7"/>
        <v>0</v>
      </c>
      <c r="R26" s="44">
        <f t="shared" ca="1" si="7"/>
        <v>0</v>
      </c>
      <c r="S26" s="44">
        <f t="shared" ca="1" si="7"/>
        <v>0</v>
      </c>
      <c r="T26" s="13">
        <f t="shared" ca="1" si="8"/>
        <v>2675</v>
      </c>
      <c r="U26" s="12">
        <f t="shared" ca="1" si="18"/>
        <v>40</v>
      </c>
      <c r="V26" s="12">
        <f t="shared" ca="1" si="19"/>
        <v>-10</v>
      </c>
      <c r="W26" s="12">
        <f t="shared" ca="1" si="20"/>
        <v>-40</v>
      </c>
      <c r="X26" s="13"/>
      <c r="Y26" s="10"/>
      <c r="Z26" s="10"/>
      <c r="AA26" s="10"/>
      <c r="AB26" s="9"/>
    </row>
    <row r="27" spans="1:28" ht="16.5" customHeight="1">
      <c r="A27" s="36">
        <v>13</v>
      </c>
      <c r="B27" s="35">
        <f t="shared" si="9"/>
        <v>45085</v>
      </c>
      <c r="C27" s="16">
        <f t="shared" si="10"/>
        <v>1069</v>
      </c>
      <c r="D27" s="15">
        <f t="shared" si="11"/>
        <v>1594</v>
      </c>
      <c r="E27" s="14">
        <f t="shared" ca="1" si="1"/>
        <v>630</v>
      </c>
      <c r="F27" s="14">
        <f t="shared" ca="1" si="2"/>
        <v>680</v>
      </c>
      <c r="G27" s="14">
        <f t="shared" ca="1" si="3"/>
        <v>712</v>
      </c>
      <c r="H27" s="10">
        <f t="shared" ca="1" si="4"/>
        <v>2033</v>
      </c>
      <c r="I27" s="10">
        <f t="shared" ca="1" si="5"/>
        <v>1983</v>
      </c>
      <c r="J27" s="10">
        <f t="shared" ca="1" si="6"/>
        <v>1951</v>
      </c>
      <c r="K27" s="10">
        <f t="shared" si="12"/>
        <v>2000</v>
      </c>
      <c r="L27" s="10">
        <f t="shared" si="13"/>
        <v>2000</v>
      </c>
      <c r="M27" s="10">
        <f t="shared" si="14"/>
        <v>2000</v>
      </c>
      <c r="N27" s="10">
        <f t="shared" ca="1" si="15"/>
        <v>33</v>
      </c>
      <c r="O27" s="10">
        <f t="shared" ca="1" si="16"/>
        <v>-17</v>
      </c>
      <c r="P27" s="10">
        <f t="shared" ca="1" si="17"/>
        <v>-49</v>
      </c>
      <c r="Q27" s="14">
        <v>7</v>
      </c>
      <c r="R27" s="14">
        <v>7</v>
      </c>
      <c r="S27" s="14">
        <v>9</v>
      </c>
      <c r="T27" s="13">
        <f t="shared" ca="1" si="8"/>
        <v>2570</v>
      </c>
      <c r="U27" s="43">
        <f ca="1">U26+0.06*1000-Q27</f>
        <v>93</v>
      </c>
      <c r="V27" s="43">
        <f t="shared" ref="V27:V90" ca="1" si="21">V26+$X27*1000-R27</f>
        <v>93</v>
      </c>
      <c r="W27" s="43">
        <f ca="1">W26+0.14*1000-S27</f>
        <v>91</v>
      </c>
      <c r="X27" s="39">
        <v>0.11</v>
      </c>
      <c r="Y27" s="13">
        <v>100</v>
      </c>
      <c r="Z27" s="13">
        <v>100</v>
      </c>
      <c r="AA27" s="13">
        <v>100</v>
      </c>
      <c r="AB27" s="9">
        <v>9</v>
      </c>
    </row>
    <row r="28" spans="1:28" ht="16.5" customHeight="1">
      <c r="A28" s="36">
        <v>14</v>
      </c>
      <c r="B28" s="35">
        <f t="shared" si="9"/>
        <v>45086</v>
      </c>
      <c r="C28" s="16">
        <f t="shared" si="10"/>
        <v>1069</v>
      </c>
      <c r="D28" s="15">
        <f t="shared" si="11"/>
        <v>1592</v>
      </c>
      <c r="E28" s="14">
        <f t="shared" ca="1" si="1"/>
        <v>634</v>
      </c>
      <c r="F28" s="14">
        <f t="shared" ca="1" si="2"/>
        <v>682</v>
      </c>
      <c r="G28" s="14">
        <f t="shared" ca="1" si="3"/>
        <v>716</v>
      </c>
      <c r="H28" s="10">
        <f t="shared" ca="1" si="4"/>
        <v>2027</v>
      </c>
      <c r="I28" s="10">
        <f t="shared" ca="1" si="5"/>
        <v>1979</v>
      </c>
      <c r="J28" s="10">
        <f t="shared" ca="1" si="6"/>
        <v>1945</v>
      </c>
      <c r="K28" s="10">
        <f t="shared" si="12"/>
        <v>2000</v>
      </c>
      <c r="L28" s="10">
        <f t="shared" si="13"/>
        <v>2000</v>
      </c>
      <c r="M28" s="10">
        <f t="shared" si="14"/>
        <v>2000</v>
      </c>
      <c r="N28" s="10">
        <f t="shared" ca="1" si="15"/>
        <v>27</v>
      </c>
      <c r="O28" s="10">
        <f t="shared" ca="1" si="16"/>
        <v>-21</v>
      </c>
      <c r="P28" s="10">
        <f t="shared" ca="1" si="17"/>
        <v>-55</v>
      </c>
      <c r="Q28" s="14">
        <v>6</v>
      </c>
      <c r="R28" s="14">
        <v>4</v>
      </c>
      <c r="S28" s="14">
        <v>6</v>
      </c>
      <c r="T28" s="13">
        <f t="shared" ca="1" si="8"/>
        <v>2572</v>
      </c>
      <c r="U28" s="12">
        <f t="shared" ref="U28:U91" ca="1" si="22">U27+$X28*1000-Q28</f>
        <v>87</v>
      </c>
      <c r="V28" s="12">
        <f t="shared" ca="1" si="21"/>
        <v>89</v>
      </c>
      <c r="W28" s="12">
        <f t="shared" ref="W28:W91" ca="1" si="23">W27+$X28*1000-S28</f>
        <v>85</v>
      </c>
      <c r="X28" s="13"/>
      <c r="Y28" s="10"/>
      <c r="Z28" s="10"/>
      <c r="AA28" s="10"/>
      <c r="AB28" s="9"/>
    </row>
    <row r="29" spans="1:28" ht="16.5" customHeight="1">
      <c r="A29" s="36">
        <v>15</v>
      </c>
      <c r="B29" s="35">
        <f t="shared" si="9"/>
        <v>45087</v>
      </c>
      <c r="C29" s="16">
        <f t="shared" si="10"/>
        <v>1069</v>
      </c>
      <c r="D29" s="15">
        <f t="shared" si="11"/>
        <v>1590</v>
      </c>
      <c r="E29" s="14">
        <f t="shared" ca="1" si="1"/>
        <v>635</v>
      </c>
      <c r="F29" s="14">
        <f t="shared" ca="1" si="2"/>
        <v>682</v>
      </c>
      <c r="G29" s="14">
        <f t="shared" ca="1" si="3"/>
        <v>718</v>
      </c>
      <c r="H29" s="10">
        <f t="shared" ca="1" si="4"/>
        <v>2024</v>
      </c>
      <c r="I29" s="10">
        <f t="shared" ca="1" si="5"/>
        <v>1977</v>
      </c>
      <c r="J29" s="10">
        <f t="shared" ca="1" si="6"/>
        <v>1941</v>
      </c>
      <c r="K29" s="10">
        <f t="shared" si="12"/>
        <v>2000</v>
      </c>
      <c r="L29" s="10">
        <f t="shared" si="13"/>
        <v>2000</v>
      </c>
      <c r="M29" s="10">
        <f t="shared" si="14"/>
        <v>2000</v>
      </c>
      <c r="N29" s="10">
        <f t="shared" ca="1" si="15"/>
        <v>24</v>
      </c>
      <c r="O29" s="10">
        <f t="shared" ca="1" si="16"/>
        <v>-23</v>
      </c>
      <c r="P29" s="10">
        <f t="shared" ca="1" si="17"/>
        <v>-59</v>
      </c>
      <c r="Q29" s="14">
        <v>3</v>
      </c>
      <c r="R29" s="14">
        <v>2</v>
      </c>
      <c r="S29" s="14">
        <v>4</v>
      </c>
      <c r="T29" s="13">
        <f t="shared" ca="1" si="8"/>
        <v>2572</v>
      </c>
      <c r="U29" s="12">
        <f t="shared" ca="1" si="22"/>
        <v>84</v>
      </c>
      <c r="V29" s="12">
        <f t="shared" ca="1" si="21"/>
        <v>87</v>
      </c>
      <c r="W29" s="12">
        <f t="shared" ca="1" si="23"/>
        <v>81</v>
      </c>
      <c r="X29" s="13"/>
      <c r="Y29" s="10"/>
      <c r="Z29" s="10"/>
      <c r="AA29" s="10"/>
      <c r="AB29" s="9"/>
    </row>
    <row r="30" spans="1:28" ht="16.5" customHeight="1">
      <c r="A30" s="36">
        <v>16</v>
      </c>
      <c r="B30" s="35">
        <f t="shared" si="9"/>
        <v>45088</v>
      </c>
      <c r="C30" s="16">
        <f t="shared" si="10"/>
        <v>1069</v>
      </c>
      <c r="D30" s="15">
        <f t="shared" si="11"/>
        <v>1588</v>
      </c>
      <c r="E30" s="14">
        <f t="shared" ca="1" si="1"/>
        <v>633</v>
      </c>
      <c r="F30" s="14">
        <f t="shared" ca="1" si="2"/>
        <v>681</v>
      </c>
      <c r="G30" s="14">
        <f t="shared" ca="1" si="3"/>
        <v>716</v>
      </c>
      <c r="H30" s="10">
        <f t="shared" ca="1" si="4"/>
        <v>2024</v>
      </c>
      <c r="I30" s="10">
        <f t="shared" ca="1" si="5"/>
        <v>1976</v>
      </c>
      <c r="J30" s="10">
        <f t="shared" ca="1" si="6"/>
        <v>1941</v>
      </c>
      <c r="K30" s="10">
        <f t="shared" si="12"/>
        <v>2000</v>
      </c>
      <c r="L30" s="10">
        <f t="shared" si="13"/>
        <v>2000</v>
      </c>
      <c r="M30" s="10">
        <f t="shared" si="14"/>
        <v>2000</v>
      </c>
      <c r="N30" s="10">
        <f t="shared" ca="1" si="15"/>
        <v>24</v>
      </c>
      <c r="O30" s="10">
        <f t="shared" ca="1" si="16"/>
        <v>-24</v>
      </c>
      <c r="P30" s="10">
        <f t="shared" ca="1" si="17"/>
        <v>-59</v>
      </c>
      <c r="Q30" s="14">
        <v>0</v>
      </c>
      <c r="R30" s="14">
        <v>1</v>
      </c>
      <c r="S30" s="14">
        <v>0</v>
      </c>
      <c r="T30" s="13">
        <f t="shared" ca="1" si="8"/>
        <v>2571</v>
      </c>
      <c r="U30" s="12">
        <f t="shared" ca="1" si="22"/>
        <v>84</v>
      </c>
      <c r="V30" s="12">
        <f t="shared" ca="1" si="21"/>
        <v>86</v>
      </c>
      <c r="W30" s="12">
        <f t="shared" ca="1" si="23"/>
        <v>81</v>
      </c>
      <c r="X30" s="13"/>
      <c r="Y30" s="10"/>
      <c r="Z30" s="10"/>
      <c r="AA30" s="10"/>
      <c r="AB30" s="9"/>
    </row>
    <row r="31" spans="1:28" ht="16.5" customHeight="1">
      <c r="A31" s="36">
        <v>17</v>
      </c>
      <c r="B31" s="35">
        <f t="shared" si="9"/>
        <v>45089</v>
      </c>
      <c r="C31" s="16">
        <f t="shared" si="10"/>
        <v>1069</v>
      </c>
      <c r="D31" s="15">
        <f t="shared" si="11"/>
        <v>1586</v>
      </c>
      <c r="E31" s="14">
        <f t="shared" ca="1" si="1"/>
        <v>639</v>
      </c>
      <c r="F31" s="14">
        <f t="shared" ca="1" si="2"/>
        <v>685</v>
      </c>
      <c r="G31" s="14">
        <f t="shared" ca="1" si="3"/>
        <v>721</v>
      </c>
      <c r="H31" s="10">
        <f t="shared" ca="1" si="4"/>
        <v>2016</v>
      </c>
      <c r="I31" s="10">
        <f t="shared" ca="1" si="5"/>
        <v>1970</v>
      </c>
      <c r="J31" s="10">
        <f t="shared" ca="1" si="6"/>
        <v>1934</v>
      </c>
      <c r="K31" s="10">
        <f t="shared" si="12"/>
        <v>2000</v>
      </c>
      <c r="L31" s="10">
        <f t="shared" si="13"/>
        <v>2000</v>
      </c>
      <c r="M31" s="10">
        <f t="shared" si="14"/>
        <v>2000</v>
      </c>
      <c r="N31" s="10">
        <f t="shared" ca="1" si="15"/>
        <v>16</v>
      </c>
      <c r="O31" s="10">
        <f t="shared" ca="1" si="16"/>
        <v>-30</v>
      </c>
      <c r="P31" s="10">
        <f t="shared" ca="1" si="17"/>
        <v>-66</v>
      </c>
      <c r="Q31" s="14">
        <v>8</v>
      </c>
      <c r="R31" s="14">
        <v>6</v>
      </c>
      <c r="S31" s="14">
        <v>7</v>
      </c>
      <c r="T31" s="13">
        <f t="shared" ca="1" si="8"/>
        <v>2275</v>
      </c>
      <c r="U31" s="12">
        <f t="shared" ca="1" si="22"/>
        <v>376</v>
      </c>
      <c r="V31" s="12">
        <f t="shared" ca="1" si="21"/>
        <v>380</v>
      </c>
      <c r="W31" s="12">
        <f t="shared" ca="1" si="23"/>
        <v>374</v>
      </c>
      <c r="X31" s="39">
        <v>0.3</v>
      </c>
      <c r="Y31" s="10"/>
      <c r="Z31" s="10"/>
      <c r="AA31" s="10"/>
      <c r="AB31" s="9">
        <v>8</v>
      </c>
    </row>
    <row r="32" spans="1:28" ht="16.5" customHeight="1">
      <c r="A32" s="36">
        <v>18</v>
      </c>
      <c r="B32" s="35">
        <f t="shared" si="9"/>
        <v>45090</v>
      </c>
      <c r="C32" s="16">
        <f t="shared" si="10"/>
        <v>1069</v>
      </c>
      <c r="D32" s="15">
        <f t="shared" si="11"/>
        <v>1584</v>
      </c>
      <c r="E32" s="14">
        <f t="shared" ca="1" si="1"/>
        <v>646</v>
      </c>
      <c r="F32" s="14">
        <f t="shared" ca="1" si="2"/>
        <v>690</v>
      </c>
      <c r="G32" s="14">
        <f t="shared" ca="1" si="3"/>
        <v>725</v>
      </c>
      <c r="H32" s="10">
        <f t="shared" ca="1" si="4"/>
        <v>2007</v>
      </c>
      <c r="I32" s="10">
        <f t="shared" ca="1" si="5"/>
        <v>1963</v>
      </c>
      <c r="J32" s="10">
        <f t="shared" ca="1" si="6"/>
        <v>1928</v>
      </c>
      <c r="K32" s="10">
        <f t="shared" si="12"/>
        <v>2000</v>
      </c>
      <c r="L32" s="10">
        <f t="shared" si="13"/>
        <v>2000</v>
      </c>
      <c r="M32" s="10">
        <f t="shared" si="14"/>
        <v>2000</v>
      </c>
      <c r="N32" s="10">
        <f t="shared" ca="1" si="15"/>
        <v>7</v>
      </c>
      <c r="O32" s="27">
        <f t="shared" ca="1" si="16"/>
        <v>-37</v>
      </c>
      <c r="P32" s="10">
        <f t="shared" ca="1" si="17"/>
        <v>-72</v>
      </c>
      <c r="Q32" s="14">
        <v>9</v>
      </c>
      <c r="R32" s="14">
        <v>7</v>
      </c>
      <c r="S32" s="14">
        <v>6</v>
      </c>
      <c r="T32" s="13">
        <f t="shared" ca="1" si="8"/>
        <v>2280</v>
      </c>
      <c r="U32" s="12">
        <f t="shared" ca="1" si="22"/>
        <v>367</v>
      </c>
      <c r="V32" s="12">
        <f t="shared" ca="1" si="21"/>
        <v>373</v>
      </c>
      <c r="W32" s="12">
        <f t="shared" ca="1" si="23"/>
        <v>368</v>
      </c>
      <c r="X32" s="13"/>
      <c r="Y32" s="10"/>
      <c r="Z32" s="10"/>
      <c r="AA32" s="10"/>
      <c r="AB32" s="9"/>
    </row>
    <row r="33" spans="1:28" ht="16.5" customHeight="1">
      <c r="A33" s="36">
        <v>19</v>
      </c>
      <c r="B33" s="35">
        <f t="shared" si="9"/>
        <v>45091</v>
      </c>
      <c r="C33" s="16">
        <f t="shared" si="10"/>
        <v>1069</v>
      </c>
      <c r="D33" s="15">
        <f t="shared" si="11"/>
        <v>1582</v>
      </c>
      <c r="E33" s="14">
        <f t="shared" ca="1" si="1"/>
        <v>651</v>
      </c>
      <c r="F33" s="14">
        <f t="shared" ca="1" si="2"/>
        <v>697</v>
      </c>
      <c r="G33" s="14">
        <f t="shared" ca="1" si="3"/>
        <v>730</v>
      </c>
      <c r="H33" s="10">
        <f t="shared" ca="1" si="4"/>
        <v>2000</v>
      </c>
      <c r="I33" s="10">
        <f t="shared" ca="1" si="5"/>
        <v>1954</v>
      </c>
      <c r="J33" s="10">
        <f t="shared" ca="1" si="6"/>
        <v>1921</v>
      </c>
      <c r="K33" s="10">
        <f t="shared" si="12"/>
        <v>2000</v>
      </c>
      <c r="L33" s="10">
        <f t="shared" si="13"/>
        <v>2000</v>
      </c>
      <c r="M33" s="10">
        <f t="shared" si="14"/>
        <v>2000</v>
      </c>
      <c r="N33" s="10">
        <f t="shared" ca="1" si="15"/>
        <v>0</v>
      </c>
      <c r="O33" s="10">
        <f t="shared" ca="1" si="16"/>
        <v>-46</v>
      </c>
      <c r="P33" s="10">
        <f t="shared" ca="1" si="17"/>
        <v>-79</v>
      </c>
      <c r="Q33" s="14">
        <v>7</v>
      </c>
      <c r="R33" s="14">
        <v>9</v>
      </c>
      <c r="S33" s="14">
        <v>7</v>
      </c>
      <c r="T33" s="13">
        <f t="shared" ca="1" si="8"/>
        <v>2287</v>
      </c>
      <c r="U33" s="12">
        <f t="shared" ca="1" si="22"/>
        <v>360</v>
      </c>
      <c r="V33" s="12">
        <f t="shared" ca="1" si="21"/>
        <v>364</v>
      </c>
      <c r="W33" s="12">
        <f t="shared" ca="1" si="23"/>
        <v>361</v>
      </c>
      <c r="X33" s="13"/>
      <c r="Y33" s="10"/>
      <c r="Z33" s="10"/>
      <c r="AA33" s="10"/>
      <c r="AB33" s="9"/>
    </row>
    <row r="34" spans="1:28" ht="16.5" customHeight="1">
      <c r="A34" s="36">
        <v>20</v>
      </c>
      <c r="B34" s="35">
        <f t="shared" si="9"/>
        <v>45092</v>
      </c>
      <c r="C34" s="16">
        <f t="shared" si="10"/>
        <v>1069</v>
      </c>
      <c r="D34" s="15">
        <f t="shared" si="11"/>
        <v>1580</v>
      </c>
      <c r="E34" s="14">
        <f t="shared" ca="1" si="1"/>
        <v>658</v>
      </c>
      <c r="F34" s="14">
        <f t="shared" ca="1" si="2"/>
        <v>703</v>
      </c>
      <c r="G34" s="14">
        <f t="shared" ca="1" si="3"/>
        <v>736</v>
      </c>
      <c r="H34" s="10">
        <f t="shared" ca="1" si="4"/>
        <v>1991</v>
      </c>
      <c r="I34" s="10">
        <f t="shared" ca="1" si="5"/>
        <v>1946</v>
      </c>
      <c r="J34" s="10">
        <f t="shared" ca="1" si="6"/>
        <v>1913</v>
      </c>
      <c r="K34" s="10">
        <f t="shared" si="12"/>
        <v>2000</v>
      </c>
      <c r="L34" s="10">
        <f t="shared" si="13"/>
        <v>2000</v>
      </c>
      <c r="M34" s="10">
        <f t="shared" si="14"/>
        <v>2000</v>
      </c>
      <c r="N34" s="10">
        <f t="shared" ca="1" si="15"/>
        <v>-9</v>
      </c>
      <c r="O34" s="10">
        <f t="shared" ca="1" si="16"/>
        <v>-54</v>
      </c>
      <c r="P34" s="10">
        <f t="shared" ca="1" si="17"/>
        <v>-87</v>
      </c>
      <c r="Q34" s="14">
        <v>9</v>
      </c>
      <c r="R34" s="14">
        <v>8</v>
      </c>
      <c r="S34" s="14">
        <v>8</v>
      </c>
      <c r="T34" s="13">
        <f t="shared" ca="1" si="8"/>
        <v>2293</v>
      </c>
      <c r="U34" s="12">
        <f t="shared" ca="1" si="22"/>
        <v>351</v>
      </c>
      <c r="V34" s="12">
        <f t="shared" ca="1" si="21"/>
        <v>356</v>
      </c>
      <c r="W34" s="12">
        <f t="shared" ca="1" si="23"/>
        <v>353</v>
      </c>
      <c r="X34" s="13"/>
      <c r="Y34" s="10"/>
      <c r="Z34" s="10"/>
      <c r="AA34" s="10"/>
      <c r="AB34" s="9"/>
    </row>
    <row r="35" spans="1:28" ht="16.5" customHeight="1">
      <c r="A35" s="36">
        <v>21</v>
      </c>
      <c r="B35" s="35">
        <f t="shared" si="9"/>
        <v>45093</v>
      </c>
      <c r="C35" s="16">
        <f t="shared" si="10"/>
        <v>1069</v>
      </c>
      <c r="D35" s="15">
        <f t="shared" si="11"/>
        <v>1578</v>
      </c>
      <c r="E35" s="14">
        <f t="shared" ca="1" si="1"/>
        <v>665</v>
      </c>
      <c r="F35" s="14">
        <f t="shared" ca="1" si="2"/>
        <v>709</v>
      </c>
      <c r="G35" s="14">
        <f t="shared" ca="1" si="3"/>
        <v>743</v>
      </c>
      <c r="H35" s="10">
        <f t="shared" ca="1" si="4"/>
        <v>1982</v>
      </c>
      <c r="I35" s="10">
        <f t="shared" ca="1" si="5"/>
        <v>1938</v>
      </c>
      <c r="J35" s="10">
        <f t="shared" ca="1" si="6"/>
        <v>1904</v>
      </c>
      <c r="K35" s="10">
        <f t="shared" si="12"/>
        <v>2000</v>
      </c>
      <c r="L35" s="10">
        <f t="shared" si="13"/>
        <v>2000</v>
      </c>
      <c r="M35" s="10">
        <f t="shared" si="14"/>
        <v>2000</v>
      </c>
      <c r="N35" s="10">
        <f t="shared" ca="1" si="15"/>
        <v>-18</v>
      </c>
      <c r="O35" s="10">
        <f t="shared" ca="1" si="16"/>
        <v>-62</v>
      </c>
      <c r="P35" s="10">
        <f t="shared" ca="1" si="17"/>
        <v>-96</v>
      </c>
      <c r="Q35" s="14">
        <v>9</v>
      </c>
      <c r="R35" s="14">
        <v>8</v>
      </c>
      <c r="S35" s="14">
        <v>9</v>
      </c>
      <c r="T35" s="13">
        <f t="shared" ca="1" si="8"/>
        <v>1999</v>
      </c>
      <c r="U35" s="12">
        <f t="shared" ca="1" si="22"/>
        <v>642</v>
      </c>
      <c r="V35" s="12">
        <f t="shared" ca="1" si="21"/>
        <v>648</v>
      </c>
      <c r="W35" s="12">
        <f t="shared" ca="1" si="23"/>
        <v>644</v>
      </c>
      <c r="X35" s="39">
        <v>0.3</v>
      </c>
      <c r="Y35" s="10"/>
      <c r="Z35" s="10"/>
      <c r="AA35" s="10"/>
      <c r="AB35" s="9">
        <v>7</v>
      </c>
    </row>
    <row r="36" spans="1:28" ht="16.5" customHeight="1">
      <c r="A36" s="36">
        <v>22</v>
      </c>
      <c r="B36" s="35">
        <f t="shared" si="9"/>
        <v>45094</v>
      </c>
      <c r="C36" s="16">
        <f t="shared" si="10"/>
        <v>1069</v>
      </c>
      <c r="D36" s="15">
        <f t="shared" si="11"/>
        <v>1576</v>
      </c>
      <c r="E36" s="14">
        <f t="shared" ca="1" si="1"/>
        <v>665</v>
      </c>
      <c r="F36" s="14">
        <f t="shared" ca="1" si="2"/>
        <v>712</v>
      </c>
      <c r="G36" s="14">
        <f t="shared" ca="1" si="3"/>
        <v>743</v>
      </c>
      <c r="H36" s="10">
        <f t="shared" ca="1" si="4"/>
        <v>1980</v>
      </c>
      <c r="I36" s="10">
        <f t="shared" ca="1" si="5"/>
        <v>1933</v>
      </c>
      <c r="J36" s="10">
        <f t="shared" ca="1" si="6"/>
        <v>1902</v>
      </c>
      <c r="K36" s="10">
        <f t="shared" si="12"/>
        <v>2000</v>
      </c>
      <c r="L36" s="10">
        <f t="shared" si="13"/>
        <v>2000</v>
      </c>
      <c r="M36" s="10">
        <f t="shared" si="14"/>
        <v>2000</v>
      </c>
      <c r="N36" s="10">
        <f t="shared" ca="1" si="15"/>
        <v>-20</v>
      </c>
      <c r="O36" s="10">
        <f t="shared" ca="1" si="16"/>
        <v>-67</v>
      </c>
      <c r="P36" s="10">
        <f t="shared" ca="1" si="17"/>
        <v>-98</v>
      </c>
      <c r="Q36" s="14">
        <v>2</v>
      </c>
      <c r="R36" s="14">
        <v>5</v>
      </c>
      <c r="S36" s="14">
        <v>2</v>
      </c>
      <c r="T36" s="13">
        <f t="shared" ca="1" si="8"/>
        <v>2002</v>
      </c>
      <c r="U36" s="12">
        <f t="shared" ca="1" si="22"/>
        <v>640</v>
      </c>
      <c r="V36" s="12">
        <f t="shared" ca="1" si="21"/>
        <v>643</v>
      </c>
      <c r="W36" s="12">
        <f t="shared" ca="1" si="23"/>
        <v>642</v>
      </c>
      <c r="X36" s="13"/>
      <c r="Y36" s="10"/>
      <c r="Z36" s="10"/>
      <c r="AA36" s="10"/>
      <c r="AB36" s="9"/>
    </row>
    <row r="37" spans="1:28" ht="16.5" customHeight="1">
      <c r="A37" s="36">
        <v>23</v>
      </c>
      <c r="B37" s="35">
        <f t="shared" si="9"/>
        <v>45095</v>
      </c>
      <c r="C37" s="16">
        <f t="shared" si="10"/>
        <v>1069</v>
      </c>
      <c r="D37" s="15">
        <f t="shared" si="11"/>
        <v>1574</v>
      </c>
      <c r="E37" s="14">
        <f t="shared" ca="1" si="1"/>
        <v>667</v>
      </c>
      <c r="F37" s="14">
        <f t="shared" ca="1" si="2"/>
        <v>715</v>
      </c>
      <c r="G37" s="14">
        <f t="shared" ca="1" si="3"/>
        <v>743</v>
      </c>
      <c r="H37" s="10">
        <f t="shared" ca="1" si="4"/>
        <v>1976</v>
      </c>
      <c r="I37" s="10">
        <f t="shared" ca="1" si="5"/>
        <v>1928</v>
      </c>
      <c r="J37" s="10">
        <f t="shared" ca="1" si="6"/>
        <v>1900</v>
      </c>
      <c r="K37" s="10">
        <f t="shared" si="12"/>
        <v>2000</v>
      </c>
      <c r="L37" s="10">
        <f t="shared" si="13"/>
        <v>2000</v>
      </c>
      <c r="M37" s="10">
        <f t="shared" si="14"/>
        <v>2000</v>
      </c>
      <c r="N37" s="10">
        <f t="shared" ca="1" si="15"/>
        <v>-24</v>
      </c>
      <c r="O37" s="10">
        <f t="shared" ca="1" si="16"/>
        <v>-72</v>
      </c>
      <c r="P37" s="10">
        <f t="shared" ca="1" si="17"/>
        <v>-100</v>
      </c>
      <c r="Q37" s="14">
        <v>4</v>
      </c>
      <c r="R37" s="14">
        <v>5</v>
      </c>
      <c r="S37" s="14">
        <v>2</v>
      </c>
      <c r="T37" s="13">
        <f t="shared" ca="1" si="8"/>
        <v>2005</v>
      </c>
      <c r="U37" s="12">
        <f t="shared" ca="1" si="22"/>
        <v>636</v>
      </c>
      <c r="V37" s="12">
        <f t="shared" ca="1" si="21"/>
        <v>638</v>
      </c>
      <c r="W37" s="12">
        <f t="shared" ca="1" si="23"/>
        <v>640</v>
      </c>
      <c r="X37" s="13"/>
      <c r="Y37" s="10"/>
      <c r="Z37" s="10"/>
      <c r="AA37" s="10"/>
      <c r="AB37" s="9"/>
    </row>
    <row r="38" spans="1:28" ht="16.5" customHeight="1">
      <c r="A38" s="36">
        <v>24</v>
      </c>
      <c r="B38" s="35">
        <f t="shared" si="9"/>
        <v>45096</v>
      </c>
      <c r="C38" s="16">
        <f t="shared" si="10"/>
        <v>1069</v>
      </c>
      <c r="D38" s="15">
        <f t="shared" si="11"/>
        <v>1572</v>
      </c>
      <c r="E38" s="14">
        <f t="shared" ca="1" si="1"/>
        <v>669</v>
      </c>
      <c r="F38" s="14">
        <f t="shared" ca="1" si="2"/>
        <v>718</v>
      </c>
      <c r="G38" s="14">
        <f t="shared" ca="1" si="3"/>
        <v>746</v>
      </c>
      <c r="H38" s="10">
        <f t="shared" ca="1" si="4"/>
        <v>1972</v>
      </c>
      <c r="I38" s="10">
        <f t="shared" ca="1" si="5"/>
        <v>1923</v>
      </c>
      <c r="J38" s="10">
        <f t="shared" ca="1" si="6"/>
        <v>1895</v>
      </c>
      <c r="K38" s="10">
        <f t="shared" si="12"/>
        <v>2000</v>
      </c>
      <c r="L38" s="10">
        <f t="shared" si="13"/>
        <v>2000</v>
      </c>
      <c r="M38" s="10">
        <f t="shared" si="14"/>
        <v>2000</v>
      </c>
      <c r="N38" s="10">
        <f t="shared" ca="1" si="15"/>
        <v>-28</v>
      </c>
      <c r="O38" s="10">
        <f t="shared" ca="1" si="16"/>
        <v>-77</v>
      </c>
      <c r="P38" s="10">
        <f t="shared" ca="1" si="17"/>
        <v>-105</v>
      </c>
      <c r="Q38" s="14">
        <v>4</v>
      </c>
      <c r="R38" s="14">
        <v>5</v>
      </c>
      <c r="S38" s="14">
        <v>5</v>
      </c>
      <c r="T38" s="13">
        <f t="shared" ca="1" si="8"/>
        <v>2008</v>
      </c>
      <c r="U38" s="12">
        <f t="shared" ca="1" si="22"/>
        <v>632</v>
      </c>
      <c r="V38" s="12">
        <f t="shared" ca="1" si="21"/>
        <v>633</v>
      </c>
      <c r="W38" s="12">
        <f t="shared" ca="1" si="23"/>
        <v>635</v>
      </c>
      <c r="X38" s="13"/>
      <c r="Y38" s="10"/>
      <c r="Z38" s="10"/>
      <c r="AA38" s="10"/>
      <c r="AB38" s="9"/>
    </row>
    <row r="39" spans="1:28" ht="16.5" customHeight="1">
      <c r="A39" s="36">
        <v>25</v>
      </c>
      <c r="B39" s="35">
        <f t="shared" si="9"/>
        <v>45097</v>
      </c>
      <c r="C39" s="16">
        <f t="shared" si="10"/>
        <v>1069</v>
      </c>
      <c r="D39" s="15">
        <f t="shared" si="11"/>
        <v>1570</v>
      </c>
      <c r="E39" s="14">
        <f t="shared" ca="1" si="1"/>
        <v>675</v>
      </c>
      <c r="F39" s="14">
        <f t="shared" ca="1" si="2"/>
        <v>724</v>
      </c>
      <c r="G39" s="14">
        <f t="shared" ca="1" si="3"/>
        <v>752</v>
      </c>
      <c r="H39" s="10">
        <f t="shared" ca="1" si="4"/>
        <v>1964</v>
      </c>
      <c r="I39" s="10">
        <f t="shared" ca="1" si="5"/>
        <v>1915</v>
      </c>
      <c r="J39" s="10">
        <f t="shared" ca="1" si="6"/>
        <v>1887</v>
      </c>
      <c r="K39" s="10">
        <f t="shared" si="12"/>
        <v>2000</v>
      </c>
      <c r="L39" s="10">
        <f t="shared" si="13"/>
        <v>2000</v>
      </c>
      <c r="M39" s="10">
        <f t="shared" si="14"/>
        <v>2000</v>
      </c>
      <c r="N39" s="10">
        <f t="shared" ca="1" si="15"/>
        <v>-36</v>
      </c>
      <c r="O39" s="10">
        <f t="shared" ca="1" si="16"/>
        <v>-85</v>
      </c>
      <c r="P39" s="10">
        <f t="shared" ca="1" si="17"/>
        <v>-113</v>
      </c>
      <c r="Q39" s="14">
        <v>8</v>
      </c>
      <c r="R39" s="14">
        <v>8</v>
      </c>
      <c r="S39" s="14">
        <v>8</v>
      </c>
      <c r="T39" s="13">
        <f t="shared" ca="1" si="8"/>
        <v>1714</v>
      </c>
      <c r="U39" s="12">
        <f t="shared" ca="1" si="22"/>
        <v>924</v>
      </c>
      <c r="V39" s="12">
        <f t="shared" ca="1" si="21"/>
        <v>925</v>
      </c>
      <c r="W39" s="12">
        <f t="shared" ca="1" si="23"/>
        <v>927</v>
      </c>
      <c r="X39" s="39">
        <v>0.3</v>
      </c>
      <c r="Y39" s="10"/>
      <c r="Z39" s="10"/>
      <c r="AA39" s="10"/>
      <c r="AB39" s="9">
        <v>6</v>
      </c>
    </row>
    <row r="40" spans="1:28" ht="16.5" customHeight="1">
      <c r="A40" s="36">
        <v>26</v>
      </c>
      <c r="B40" s="35">
        <f t="shared" si="9"/>
        <v>45098</v>
      </c>
      <c r="C40" s="16">
        <f t="shared" si="10"/>
        <v>1069</v>
      </c>
      <c r="D40" s="15">
        <f t="shared" si="11"/>
        <v>1568</v>
      </c>
      <c r="E40" s="14">
        <f t="shared" ca="1" si="1"/>
        <v>678</v>
      </c>
      <c r="F40" s="14">
        <f t="shared" ca="1" si="2"/>
        <v>724</v>
      </c>
      <c r="G40" s="14">
        <f t="shared" ca="1" si="3"/>
        <v>752</v>
      </c>
      <c r="H40" s="10">
        <f t="shared" ca="1" si="4"/>
        <v>1959</v>
      </c>
      <c r="I40" s="10">
        <f t="shared" ca="1" si="5"/>
        <v>1913</v>
      </c>
      <c r="J40" s="10">
        <f t="shared" ca="1" si="6"/>
        <v>1885</v>
      </c>
      <c r="K40" s="10">
        <f t="shared" si="12"/>
        <v>2000</v>
      </c>
      <c r="L40" s="10">
        <f t="shared" si="13"/>
        <v>2000</v>
      </c>
      <c r="M40" s="10">
        <f t="shared" si="14"/>
        <v>2000</v>
      </c>
      <c r="N40" s="10">
        <f t="shared" ca="1" si="15"/>
        <v>-41</v>
      </c>
      <c r="O40" s="10">
        <f t="shared" ca="1" si="16"/>
        <v>-87</v>
      </c>
      <c r="P40" s="10">
        <f t="shared" ca="1" si="17"/>
        <v>-115</v>
      </c>
      <c r="Q40" s="14">
        <v>5</v>
      </c>
      <c r="R40" s="14">
        <v>2</v>
      </c>
      <c r="S40" s="14">
        <v>2</v>
      </c>
      <c r="T40" s="13">
        <f t="shared" ca="1" si="8"/>
        <v>1714</v>
      </c>
      <c r="U40" s="12">
        <f t="shared" ca="1" si="22"/>
        <v>919</v>
      </c>
      <c r="V40" s="12">
        <f t="shared" ca="1" si="21"/>
        <v>923</v>
      </c>
      <c r="W40" s="12">
        <f t="shared" ca="1" si="23"/>
        <v>925</v>
      </c>
      <c r="X40" s="13"/>
      <c r="Y40" s="10"/>
      <c r="Z40" s="10"/>
      <c r="AA40" s="10"/>
      <c r="AB40" s="9"/>
    </row>
    <row r="41" spans="1:28" ht="16.5" customHeight="1">
      <c r="A41" s="36">
        <v>27</v>
      </c>
      <c r="B41" s="35">
        <f t="shared" si="9"/>
        <v>45099</v>
      </c>
      <c r="C41" s="16">
        <f t="shared" si="10"/>
        <v>1069</v>
      </c>
      <c r="D41" s="15">
        <f t="shared" si="11"/>
        <v>1566</v>
      </c>
      <c r="E41" s="14">
        <f t="shared" ca="1" si="1"/>
        <v>680</v>
      </c>
      <c r="F41" s="14">
        <f t="shared" ca="1" si="2"/>
        <v>726</v>
      </c>
      <c r="G41" s="14">
        <f t="shared" ca="1" si="3"/>
        <v>752</v>
      </c>
      <c r="H41" s="10">
        <f t="shared" ca="1" si="4"/>
        <v>1955</v>
      </c>
      <c r="I41" s="10">
        <f t="shared" ca="1" si="5"/>
        <v>1909</v>
      </c>
      <c r="J41" s="10">
        <f t="shared" ca="1" si="6"/>
        <v>1883</v>
      </c>
      <c r="K41" s="10">
        <f t="shared" si="12"/>
        <v>2000</v>
      </c>
      <c r="L41" s="10">
        <f t="shared" si="13"/>
        <v>2000</v>
      </c>
      <c r="M41" s="10">
        <f t="shared" si="14"/>
        <v>2000</v>
      </c>
      <c r="N41" s="10">
        <f t="shared" ca="1" si="15"/>
        <v>-45</v>
      </c>
      <c r="O41" s="10">
        <f t="shared" ca="1" si="16"/>
        <v>-91</v>
      </c>
      <c r="P41" s="10">
        <f t="shared" ca="1" si="17"/>
        <v>-117</v>
      </c>
      <c r="Q41" s="14">
        <v>4</v>
      </c>
      <c r="R41" s="14">
        <v>4</v>
      </c>
      <c r="S41" s="14">
        <v>2</v>
      </c>
      <c r="T41" s="13">
        <f t="shared" ca="1" si="8"/>
        <v>1716</v>
      </c>
      <c r="U41" s="12">
        <f t="shared" ca="1" si="22"/>
        <v>915</v>
      </c>
      <c r="V41" s="12">
        <f t="shared" ca="1" si="21"/>
        <v>919</v>
      </c>
      <c r="W41" s="12">
        <f t="shared" ca="1" si="23"/>
        <v>923</v>
      </c>
      <c r="X41" s="13"/>
      <c r="Y41" s="10"/>
      <c r="Z41" s="10"/>
      <c r="AA41" s="10"/>
      <c r="AB41" s="9"/>
    </row>
    <row r="42" spans="1:28" ht="16.5" customHeight="1">
      <c r="A42" s="36">
        <v>28</v>
      </c>
      <c r="B42" s="35">
        <f t="shared" si="9"/>
        <v>45100</v>
      </c>
      <c r="C42" s="16">
        <f t="shared" si="10"/>
        <v>1069</v>
      </c>
      <c r="D42" s="15">
        <f t="shared" si="11"/>
        <v>1564</v>
      </c>
      <c r="E42" s="14">
        <f t="shared" ca="1" si="1"/>
        <v>681</v>
      </c>
      <c r="F42" s="14">
        <f t="shared" ca="1" si="2"/>
        <v>726</v>
      </c>
      <c r="G42" s="14">
        <f t="shared" ca="1" si="3"/>
        <v>752</v>
      </c>
      <c r="H42" s="10">
        <f t="shared" ca="1" si="4"/>
        <v>1952</v>
      </c>
      <c r="I42" s="10">
        <f t="shared" ca="1" si="5"/>
        <v>1907</v>
      </c>
      <c r="J42" s="10">
        <f t="shared" ca="1" si="6"/>
        <v>1881</v>
      </c>
      <c r="K42" s="10">
        <f t="shared" si="12"/>
        <v>2000</v>
      </c>
      <c r="L42" s="10">
        <f t="shared" si="13"/>
        <v>2000</v>
      </c>
      <c r="M42" s="10">
        <f t="shared" si="14"/>
        <v>2000</v>
      </c>
      <c r="N42" s="10">
        <f t="shared" ca="1" si="15"/>
        <v>-48</v>
      </c>
      <c r="O42" s="10">
        <f t="shared" ca="1" si="16"/>
        <v>-93</v>
      </c>
      <c r="P42" s="10">
        <f t="shared" ca="1" si="17"/>
        <v>-119</v>
      </c>
      <c r="Q42" s="14">
        <v>3</v>
      </c>
      <c r="R42" s="14">
        <v>2</v>
      </c>
      <c r="S42" s="14">
        <v>2</v>
      </c>
      <c r="T42" s="13">
        <f t="shared" ca="1" si="8"/>
        <v>1716</v>
      </c>
      <c r="U42" s="12">
        <f t="shared" ca="1" si="22"/>
        <v>912</v>
      </c>
      <c r="V42" s="12">
        <f t="shared" ca="1" si="21"/>
        <v>917</v>
      </c>
      <c r="W42" s="12">
        <f t="shared" ca="1" si="23"/>
        <v>921</v>
      </c>
      <c r="X42" s="13"/>
      <c r="Y42" s="10"/>
      <c r="Z42" s="10"/>
      <c r="AA42" s="10"/>
      <c r="AB42" s="9"/>
    </row>
    <row r="43" spans="1:28" ht="16.5" customHeight="1">
      <c r="A43" s="36">
        <v>29</v>
      </c>
      <c r="B43" s="35">
        <f t="shared" si="9"/>
        <v>45101</v>
      </c>
      <c r="C43" s="16">
        <f t="shared" si="10"/>
        <v>1069</v>
      </c>
      <c r="D43" s="15">
        <f t="shared" si="11"/>
        <v>1562</v>
      </c>
      <c r="E43" s="14">
        <f t="shared" ca="1" si="1"/>
        <v>682</v>
      </c>
      <c r="F43" s="14">
        <f t="shared" ca="1" si="2"/>
        <v>725</v>
      </c>
      <c r="G43" s="14">
        <f t="shared" ca="1" si="3"/>
        <v>752</v>
      </c>
      <c r="H43" s="10">
        <f t="shared" ca="1" si="4"/>
        <v>1949</v>
      </c>
      <c r="I43" s="10">
        <f t="shared" ca="1" si="5"/>
        <v>1906</v>
      </c>
      <c r="J43" s="10">
        <f t="shared" ca="1" si="6"/>
        <v>1879</v>
      </c>
      <c r="K43" s="10">
        <f t="shared" si="12"/>
        <v>2000</v>
      </c>
      <c r="L43" s="10">
        <f t="shared" si="13"/>
        <v>2000</v>
      </c>
      <c r="M43" s="10">
        <f t="shared" si="14"/>
        <v>2000</v>
      </c>
      <c r="N43" s="10">
        <f t="shared" ca="1" si="15"/>
        <v>-51</v>
      </c>
      <c r="O43" s="10">
        <f t="shared" ca="1" si="16"/>
        <v>-94</v>
      </c>
      <c r="P43" s="10">
        <f t="shared" ca="1" si="17"/>
        <v>-121</v>
      </c>
      <c r="Q43" s="14">
        <v>3</v>
      </c>
      <c r="R43" s="14">
        <v>1</v>
      </c>
      <c r="S43" s="14">
        <v>2</v>
      </c>
      <c r="T43" s="13">
        <f t="shared" ca="1" si="8"/>
        <v>1715</v>
      </c>
      <c r="U43" s="12">
        <f t="shared" ca="1" si="22"/>
        <v>909</v>
      </c>
      <c r="V43" s="12">
        <f t="shared" ca="1" si="21"/>
        <v>916</v>
      </c>
      <c r="W43" s="12">
        <f t="shared" ca="1" si="23"/>
        <v>919</v>
      </c>
      <c r="X43" s="13"/>
      <c r="Y43" s="10"/>
      <c r="Z43" s="10"/>
      <c r="AA43" s="10"/>
      <c r="AB43" s="9"/>
    </row>
    <row r="44" spans="1:28" ht="16.5" customHeight="1">
      <c r="A44" s="36">
        <v>30</v>
      </c>
      <c r="B44" s="35">
        <f t="shared" si="9"/>
        <v>45102</v>
      </c>
      <c r="C44" s="16">
        <f t="shared" si="10"/>
        <v>1069</v>
      </c>
      <c r="D44" s="15">
        <f t="shared" si="11"/>
        <v>1560</v>
      </c>
      <c r="E44" s="14">
        <f t="shared" ca="1" si="1"/>
        <v>683</v>
      </c>
      <c r="F44" s="14">
        <f t="shared" ca="1" si="2"/>
        <v>726</v>
      </c>
      <c r="G44" s="14">
        <f t="shared" ca="1" si="3"/>
        <v>753</v>
      </c>
      <c r="H44" s="10">
        <f t="shared" ca="1" si="4"/>
        <v>1946</v>
      </c>
      <c r="I44" s="10">
        <f t="shared" ca="1" si="5"/>
        <v>1903</v>
      </c>
      <c r="J44" s="10">
        <f t="shared" ca="1" si="6"/>
        <v>1876</v>
      </c>
      <c r="K44" s="10">
        <f t="shared" si="12"/>
        <v>2000</v>
      </c>
      <c r="L44" s="10">
        <f t="shared" si="13"/>
        <v>2000</v>
      </c>
      <c r="M44" s="10">
        <f t="shared" si="14"/>
        <v>2000</v>
      </c>
      <c r="N44" s="10">
        <f t="shared" ca="1" si="15"/>
        <v>-54</v>
      </c>
      <c r="O44" s="10">
        <f t="shared" ca="1" si="16"/>
        <v>-97</v>
      </c>
      <c r="P44" s="10">
        <f t="shared" ca="1" si="17"/>
        <v>-124</v>
      </c>
      <c r="Q44" s="14">
        <v>3</v>
      </c>
      <c r="R44" s="14">
        <v>3</v>
      </c>
      <c r="S44" s="14">
        <v>3</v>
      </c>
      <c r="T44" s="13">
        <f t="shared" ca="1" si="8"/>
        <v>1716</v>
      </c>
      <c r="U44" s="12">
        <f t="shared" ca="1" si="22"/>
        <v>906</v>
      </c>
      <c r="V44" s="12">
        <f t="shared" ca="1" si="21"/>
        <v>913</v>
      </c>
      <c r="W44" s="12">
        <f t="shared" ca="1" si="23"/>
        <v>916</v>
      </c>
      <c r="X44" s="13"/>
      <c r="Y44" s="10"/>
      <c r="Z44" s="10"/>
      <c r="AA44" s="10"/>
      <c r="AB44" s="9"/>
    </row>
    <row r="45" spans="1:28" ht="15">
      <c r="A45" s="36">
        <v>31</v>
      </c>
      <c r="B45" s="35">
        <f t="shared" si="9"/>
        <v>45103</v>
      </c>
      <c r="C45" s="16">
        <f t="shared" si="10"/>
        <v>1069</v>
      </c>
      <c r="D45" s="15">
        <f t="shared" si="11"/>
        <v>1558</v>
      </c>
      <c r="E45" s="14">
        <f t="shared" ca="1" si="1"/>
        <v>686</v>
      </c>
      <c r="F45" s="14">
        <f t="shared" ca="1" si="2"/>
        <v>726</v>
      </c>
      <c r="G45" s="14">
        <f t="shared" ca="1" si="3"/>
        <v>755</v>
      </c>
      <c r="H45" s="10">
        <f t="shared" ca="1" si="4"/>
        <v>1941</v>
      </c>
      <c r="I45" s="10">
        <f t="shared" ca="1" si="5"/>
        <v>1901</v>
      </c>
      <c r="J45" s="10">
        <f t="shared" ca="1" si="6"/>
        <v>1872</v>
      </c>
      <c r="K45" s="10">
        <f t="shared" si="12"/>
        <v>2000</v>
      </c>
      <c r="L45" s="10">
        <f t="shared" si="13"/>
        <v>2000</v>
      </c>
      <c r="M45" s="10">
        <f t="shared" si="14"/>
        <v>2000</v>
      </c>
      <c r="N45" s="10">
        <f t="shared" ca="1" si="15"/>
        <v>-59</v>
      </c>
      <c r="O45" s="10">
        <f t="shared" ca="1" si="16"/>
        <v>-99</v>
      </c>
      <c r="P45" s="10">
        <f t="shared" ca="1" si="17"/>
        <v>-128</v>
      </c>
      <c r="Q45" s="14">
        <v>5</v>
      </c>
      <c r="R45" s="14">
        <v>2</v>
      </c>
      <c r="S45" s="14">
        <v>4</v>
      </c>
      <c r="T45" s="13">
        <f t="shared" ca="1" si="8"/>
        <v>1716</v>
      </c>
      <c r="U45" s="12">
        <f t="shared" ca="1" si="22"/>
        <v>901</v>
      </c>
      <c r="V45" s="12">
        <f t="shared" ca="1" si="21"/>
        <v>911</v>
      </c>
      <c r="W45" s="12">
        <f t="shared" ca="1" si="23"/>
        <v>912</v>
      </c>
      <c r="X45" s="13"/>
      <c r="Y45" s="10"/>
      <c r="Z45" s="10"/>
      <c r="AA45" s="10"/>
      <c r="AB45" s="9"/>
    </row>
    <row r="46" spans="1:28" ht="15" customHeight="1">
      <c r="A46" s="36">
        <v>32</v>
      </c>
      <c r="B46" s="35">
        <f t="shared" si="9"/>
        <v>45104</v>
      </c>
      <c r="C46" s="16">
        <f t="shared" si="10"/>
        <v>1069</v>
      </c>
      <c r="D46" s="15">
        <f t="shared" si="11"/>
        <v>1556</v>
      </c>
      <c r="E46" s="14">
        <f t="shared" ca="1" si="1"/>
        <v>689</v>
      </c>
      <c r="F46" s="14">
        <f t="shared" ca="1" si="2"/>
        <v>727</v>
      </c>
      <c r="G46" s="14">
        <f t="shared" ca="1" si="3"/>
        <v>757</v>
      </c>
      <c r="H46" s="10">
        <f t="shared" ca="1" si="4"/>
        <v>1936</v>
      </c>
      <c r="I46" s="10">
        <f t="shared" ca="1" si="5"/>
        <v>1898</v>
      </c>
      <c r="J46" s="10">
        <f t="shared" ca="1" si="6"/>
        <v>1868</v>
      </c>
      <c r="K46" s="10">
        <f t="shared" si="12"/>
        <v>2000</v>
      </c>
      <c r="L46" s="10">
        <f t="shared" si="13"/>
        <v>2000</v>
      </c>
      <c r="M46" s="10">
        <f t="shared" si="14"/>
        <v>2000</v>
      </c>
      <c r="N46" s="10">
        <f t="shared" ca="1" si="15"/>
        <v>-64</v>
      </c>
      <c r="O46" s="10">
        <f t="shared" ca="1" si="16"/>
        <v>-102</v>
      </c>
      <c r="P46" s="10">
        <f t="shared" ca="1" si="17"/>
        <v>-132</v>
      </c>
      <c r="Q46" s="14">
        <v>5</v>
      </c>
      <c r="R46" s="14">
        <v>3</v>
      </c>
      <c r="S46" s="14">
        <v>4</v>
      </c>
      <c r="T46" s="13">
        <f t="shared" ca="1" si="8"/>
        <v>1717</v>
      </c>
      <c r="U46" s="12">
        <f t="shared" ca="1" si="22"/>
        <v>896</v>
      </c>
      <c r="V46" s="12">
        <f t="shared" ca="1" si="21"/>
        <v>908</v>
      </c>
      <c r="W46" s="12">
        <f t="shared" ca="1" si="23"/>
        <v>908</v>
      </c>
      <c r="X46" s="13"/>
      <c r="Y46" s="10"/>
      <c r="Z46" s="10"/>
      <c r="AA46" s="10"/>
      <c r="AB46" s="9"/>
    </row>
    <row r="47" spans="1:28" ht="15" customHeight="1">
      <c r="A47" s="36">
        <v>33</v>
      </c>
      <c r="B47" s="35">
        <f t="shared" si="9"/>
        <v>45105</v>
      </c>
      <c r="C47" s="16">
        <f t="shared" si="10"/>
        <v>1069</v>
      </c>
      <c r="D47" s="15">
        <f t="shared" ref="D47:D78" si="24">D46-2</f>
        <v>1554</v>
      </c>
      <c r="E47" s="14">
        <f t="shared" ca="1" si="1"/>
        <v>691</v>
      </c>
      <c r="F47" s="14">
        <f t="shared" ca="1" si="2"/>
        <v>727</v>
      </c>
      <c r="G47" s="14">
        <f t="shared" ca="1" si="3"/>
        <v>758</v>
      </c>
      <c r="H47" s="10">
        <f t="shared" ca="1" si="4"/>
        <v>1932</v>
      </c>
      <c r="I47" s="10">
        <f t="shared" ca="1" si="5"/>
        <v>1896</v>
      </c>
      <c r="J47" s="10">
        <f t="shared" ca="1" si="6"/>
        <v>1865</v>
      </c>
      <c r="K47" s="10">
        <f t="shared" si="12"/>
        <v>2000</v>
      </c>
      <c r="L47" s="10">
        <f t="shared" si="13"/>
        <v>2000</v>
      </c>
      <c r="M47" s="10">
        <f t="shared" si="14"/>
        <v>2000</v>
      </c>
      <c r="N47" s="10">
        <f t="shared" ca="1" si="15"/>
        <v>-68</v>
      </c>
      <c r="O47" s="10">
        <f t="shared" ca="1" si="16"/>
        <v>-104</v>
      </c>
      <c r="P47" s="10">
        <f t="shared" ca="1" si="17"/>
        <v>-135</v>
      </c>
      <c r="Q47" s="14">
        <v>4</v>
      </c>
      <c r="R47" s="14">
        <v>2</v>
      </c>
      <c r="S47" s="14">
        <v>3</v>
      </c>
      <c r="T47" s="13">
        <f t="shared" ca="1" si="8"/>
        <v>1717</v>
      </c>
      <c r="U47" s="12">
        <f t="shared" ca="1" si="22"/>
        <v>892</v>
      </c>
      <c r="V47" s="12">
        <f t="shared" ca="1" si="21"/>
        <v>906</v>
      </c>
      <c r="W47" s="12">
        <f t="shared" ca="1" si="23"/>
        <v>905</v>
      </c>
      <c r="X47" s="13"/>
      <c r="Y47" s="10"/>
      <c r="Z47" s="10"/>
      <c r="AA47" s="10"/>
      <c r="AB47" s="9"/>
    </row>
    <row r="48" spans="1:28" ht="15" customHeight="1">
      <c r="A48" s="36">
        <v>34</v>
      </c>
      <c r="B48" s="35">
        <f t="shared" si="9"/>
        <v>45106</v>
      </c>
      <c r="C48" s="16">
        <f t="shared" si="10"/>
        <v>1069</v>
      </c>
      <c r="D48" s="15">
        <f t="shared" si="24"/>
        <v>1552</v>
      </c>
      <c r="E48" s="14">
        <f t="shared" ca="1" si="1"/>
        <v>692</v>
      </c>
      <c r="F48" s="14">
        <f t="shared" ca="1" si="2"/>
        <v>726</v>
      </c>
      <c r="G48" s="14">
        <f t="shared" ca="1" si="3"/>
        <v>759</v>
      </c>
      <c r="H48" s="10">
        <f t="shared" ca="1" si="4"/>
        <v>1929</v>
      </c>
      <c r="I48" s="10">
        <f t="shared" ca="1" si="5"/>
        <v>1895</v>
      </c>
      <c r="J48" s="10">
        <f t="shared" ca="1" si="6"/>
        <v>1862</v>
      </c>
      <c r="K48" s="10">
        <f t="shared" si="12"/>
        <v>2000</v>
      </c>
      <c r="L48" s="10">
        <f t="shared" si="13"/>
        <v>2000</v>
      </c>
      <c r="M48" s="10">
        <f t="shared" si="14"/>
        <v>2000</v>
      </c>
      <c r="N48" s="10">
        <f t="shared" ca="1" si="15"/>
        <v>-71</v>
      </c>
      <c r="O48" s="10">
        <f t="shared" ca="1" si="16"/>
        <v>-105</v>
      </c>
      <c r="P48" s="10">
        <f t="shared" ca="1" si="17"/>
        <v>-138</v>
      </c>
      <c r="Q48" s="14">
        <v>3</v>
      </c>
      <c r="R48" s="14">
        <v>1</v>
      </c>
      <c r="S48" s="14">
        <v>3</v>
      </c>
      <c r="T48" s="13">
        <f t="shared" ca="1" si="8"/>
        <v>1716</v>
      </c>
      <c r="U48" s="12">
        <f t="shared" ca="1" si="22"/>
        <v>889</v>
      </c>
      <c r="V48" s="12">
        <f t="shared" ca="1" si="21"/>
        <v>905</v>
      </c>
      <c r="W48" s="12">
        <f t="shared" ca="1" si="23"/>
        <v>902</v>
      </c>
      <c r="X48" s="13"/>
      <c r="Y48" s="10"/>
      <c r="Z48" s="10"/>
      <c r="AA48" s="10"/>
      <c r="AB48" s="9"/>
    </row>
    <row r="49" spans="1:36" ht="15" customHeight="1">
      <c r="A49" s="36">
        <v>35</v>
      </c>
      <c r="B49" s="35">
        <f t="shared" si="9"/>
        <v>45107</v>
      </c>
      <c r="C49" s="16">
        <f t="shared" si="10"/>
        <v>1069</v>
      </c>
      <c r="D49" s="15">
        <f t="shared" si="24"/>
        <v>1550</v>
      </c>
      <c r="E49" s="14">
        <f t="shared" ca="1" si="1"/>
        <v>695</v>
      </c>
      <c r="F49" s="14">
        <f t="shared" ca="1" si="2"/>
        <v>726</v>
      </c>
      <c r="G49" s="14">
        <f t="shared" ca="1" si="3"/>
        <v>759</v>
      </c>
      <c r="H49" s="10">
        <f t="shared" ca="1" si="4"/>
        <v>1924</v>
      </c>
      <c r="I49" s="10">
        <f t="shared" ca="1" si="5"/>
        <v>1893</v>
      </c>
      <c r="J49" s="10">
        <f t="shared" ca="1" si="6"/>
        <v>1860</v>
      </c>
      <c r="K49" s="10">
        <f t="shared" si="12"/>
        <v>2000</v>
      </c>
      <c r="L49" s="10">
        <f t="shared" si="13"/>
        <v>2000</v>
      </c>
      <c r="M49" s="10">
        <f t="shared" si="14"/>
        <v>2000</v>
      </c>
      <c r="N49" s="10">
        <f t="shared" ca="1" si="15"/>
        <v>-76</v>
      </c>
      <c r="O49" s="10">
        <f t="shared" ca="1" si="16"/>
        <v>-107</v>
      </c>
      <c r="P49" s="10">
        <f t="shared" ca="1" si="17"/>
        <v>-140</v>
      </c>
      <c r="Q49" s="14">
        <v>5</v>
      </c>
      <c r="R49" s="14">
        <v>2</v>
      </c>
      <c r="S49" s="14">
        <v>2</v>
      </c>
      <c r="T49" s="13">
        <f t="shared" ca="1" si="8"/>
        <v>1716</v>
      </c>
      <c r="U49" s="12">
        <f t="shared" ca="1" si="22"/>
        <v>884</v>
      </c>
      <c r="V49" s="12">
        <f t="shared" ca="1" si="21"/>
        <v>903</v>
      </c>
      <c r="W49" s="12">
        <f t="shared" ca="1" si="23"/>
        <v>900</v>
      </c>
      <c r="X49" s="13"/>
      <c r="Y49" s="10"/>
      <c r="Z49" s="10"/>
      <c r="AA49" s="10"/>
      <c r="AB49" s="9"/>
    </row>
    <row r="50" spans="1:36" ht="15" customHeight="1">
      <c r="A50" s="36">
        <v>36</v>
      </c>
      <c r="B50" s="35">
        <f t="shared" si="9"/>
        <v>45108</v>
      </c>
      <c r="C50" s="16">
        <f t="shared" si="10"/>
        <v>1069</v>
      </c>
      <c r="D50" s="15">
        <f t="shared" si="24"/>
        <v>1548</v>
      </c>
      <c r="E50" s="14">
        <f t="shared" ca="1" si="1"/>
        <v>695</v>
      </c>
      <c r="F50" s="14">
        <f t="shared" ca="1" si="2"/>
        <v>726</v>
      </c>
      <c r="G50" s="14">
        <f t="shared" ca="1" si="3"/>
        <v>761</v>
      </c>
      <c r="H50" s="10">
        <f t="shared" ca="1" si="4"/>
        <v>1922</v>
      </c>
      <c r="I50" s="10">
        <f t="shared" ca="1" si="5"/>
        <v>1891</v>
      </c>
      <c r="J50" s="10">
        <f t="shared" ca="1" si="6"/>
        <v>1856</v>
      </c>
      <c r="K50" s="10">
        <f t="shared" si="12"/>
        <v>2000</v>
      </c>
      <c r="L50" s="10">
        <f t="shared" si="13"/>
        <v>2000</v>
      </c>
      <c r="M50" s="10">
        <f t="shared" si="14"/>
        <v>2000</v>
      </c>
      <c r="N50" s="10">
        <f t="shared" ca="1" si="15"/>
        <v>-78</v>
      </c>
      <c r="O50" s="10">
        <f t="shared" ca="1" si="16"/>
        <v>-109</v>
      </c>
      <c r="P50" s="10">
        <f t="shared" ca="1" si="17"/>
        <v>-144</v>
      </c>
      <c r="Q50" s="14">
        <v>2</v>
      </c>
      <c r="R50" s="14">
        <v>2</v>
      </c>
      <c r="S50" s="14">
        <v>4</v>
      </c>
      <c r="T50" s="13">
        <f t="shared" ca="1" si="8"/>
        <v>1716</v>
      </c>
      <c r="U50" s="12">
        <f t="shared" ca="1" si="22"/>
        <v>882</v>
      </c>
      <c r="V50" s="12">
        <f t="shared" ca="1" si="21"/>
        <v>901</v>
      </c>
      <c r="W50" s="12">
        <f t="shared" ca="1" si="23"/>
        <v>896</v>
      </c>
      <c r="X50" s="13"/>
      <c r="Y50" s="10"/>
      <c r="Z50" s="10"/>
      <c r="AA50" s="10"/>
      <c r="AB50" s="9"/>
    </row>
    <row r="51" spans="1:36" ht="15" customHeight="1">
      <c r="A51" s="36">
        <v>37</v>
      </c>
      <c r="B51" s="35">
        <f t="shared" si="9"/>
        <v>45109</v>
      </c>
      <c r="C51" s="16">
        <f t="shared" si="10"/>
        <v>1069</v>
      </c>
      <c r="D51" s="15">
        <f t="shared" si="24"/>
        <v>1546</v>
      </c>
      <c r="E51" s="14">
        <f t="shared" ca="1" si="1"/>
        <v>695</v>
      </c>
      <c r="F51" s="14">
        <f t="shared" ca="1" si="2"/>
        <v>726</v>
      </c>
      <c r="G51" s="14">
        <f t="shared" ca="1" si="3"/>
        <v>761</v>
      </c>
      <c r="H51" s="10">
        <f t="shared" ca="1" si="4"/>
        <v>1920</v>
      </c>
      <c r="I51" s="10">
        <f t="shared" ca="1" si="5"/>
        <v>1889</v>
      </c>
      <c r="J51" s="10">
        <f t="shared" ca="1" si="6"/>
        <v>1854</v>
      </c>
      <c r="K51" s="10">
        <f t="shared" si="12"/>
        <v>2000</v>
      </c>
      <c r="L51" s="10">
        <f t="shared" si="13"/>
        <v>2000</v>
      </c>
      <c r="M51" s="10">
        <f t="shared" si="14"/>
        <v>2000</v>
      </c>
      <c r="N51" s="10">
        <f t="shared" ca="1" si="15"/>
        <v>-80</v>
      </c>
      <c r="O51" s="10">
        <f t="shared" ca="1" si="16"/>
        <v>-111</v>
      </c>
      <c r="P51" s="10">
        <f t="shared" ca="1" si="17"/>
        <v>-146</v>
      </c>
      <c r="Q51" s="14">
        <v>2</v>
      </c>
      <c r="R51" s="14">
        <v>2</v>
      </c>
      <c r="S51" s="14">
        <v>2</v>
      </c>
      <c r="T51" s="13">
        <f t="shared" ca="1" si="8"/>
        <v>1716</v>
      </c>
      <c r="U51" s="12">
        <f t="shared" ca="1" si="22"/>
        <v>880</v>
      </c>
      <c r="V51" s="12">
        <f t="shared" ca="1" si="21"/>
        <v>899</v>
      </c>
      <c r="W51" s="12">
        <f t="shared" ca="1" si="23"/>
        <v>894</v>
      </c>
      <c r="X51" s="13"/>
      <c r="Y51" s="10"/>
      <c r="Z51" s="10"/>
      <c r="AA51" s="10"/>
      <c r="AB51" s="9"/>
    </row>
    <row r="52" spans="1:36" ht="15" customHeight="1">
      <c r="A52" s="36">
        <v>38</v>
      </c>
      <c r="B52" s="35">
        <f t="shared" si="9"/>
        <v>45110</v>
      </c>
      <c r="C52" s="16">
        <f t="shared" si="10"/>
        <v>1069</v>
      </c>
      <c r="D52" s="15">
        <f t="shared" si="24"/>
        <v>1544</v>
      </c>
      <c r="E52" s="14">
        <f t="shared" ca="1" si="1"/>
        <v>694</v>
      </c>
      <c r="F52" s="14">
        <f t="shared" ca="1" si="2"/>
        <v>726</v>
      </c>
      <c r="G52" s="14">
        <f t="shared" ca="1" si="3"/>
        <v>760</v>
      </c>
      <c r="H52" s="10">
        <f t="shared" ca="1" si="4"/>
        <v>1919</v>
      </c>
      <c r="I52" s="10">
        <f t="shared" ca="1" si="5"/>
        <v>1887</v>
      </c>
      <c r="J52" s="10">
        <f t="shared" ca="1" si="6"/>
        <v>1853</v>
      </c>
      <c r="K52" s="10">
        <f t="shared" si="12"/>
        <v>2000</v>
      </c>
      <c r="L52" s="10">
        <f t="shared" si="13"/>
        <v>2000</v>
      </c>
      <c r="M52" s="10">
        <f t="shared" si="14"/>
        <v>2000</v>
      </c>
      <c r="N52" s="10">
        <f t="shared" ca="1" si="15"/>
        <v>-81</v>
      </c>
      <c r="O52" s="10">
        <f t="shared" ca="1" si="16"/>
        <v>-113</v>
      </c>
      <c r="P52" s="10">
        <f t="shared" ca="1" si="17"/>
        <v>-147</v>
      </c>
      <c r="Q52" s="14">
        <v>1</v>
      </c>
      <c r="R52" s="14">
        <v>2</v>
      </c>
      <c r="S52" s="14">
        <v>1</v>
      </c>
      <c r="T52" s="13">
        <f t="shared" ca="1" si="8"/>
        <v>1716</v>
      </c>
      <c r="U52" s="12">
        <f t="shared" ca="1" si="22"/>
        <v>879</v>
      </c>
      <c r="V52" s="12">
        <f t="shared" ca="1" si="21"/>
        <v>897</v>
      </c>
      <c r="W52" s="12">
        <f t="shared" ca="1" si="23"/>
        <v>893</v>
      </c>
      <c r="X52" s="13"/>
      <c r="Y52" s="10"/>
      <c r="Z52" s="10"/>
      <c r="AA52" s="10"/>
      <c r="AB52" s="9"/>
    </row>
    <row r="53" spans="1:36" ht="15" customHeight="1">
      <c r="A53" s="36">
        <v>39</v>
      </c>
      <c r="B53" s="35">
        <f t="shared" si="9"/>
        <v>45111</v>
      </c>
      <c r="C53" s="16">
        <f t="shared" si="10"/>
        <v>1069</v>
      </c>
      <c r="D53" s="15">
        <f t="shared" si="24"/>
        <v>1542</v>
      </c>
      <c r="E53" s="14">
        <f t="shared" ca="1" si="1"/>
        <v>695</v>
      </c>
      <c r="F53" s="14">
        <f t="shared" ca="1" si="2"/>
        <v>724</v>
      </c>
      <c r="G53" s="14">
        <f t="shared" ca="1" si="3"/>
        <v>761</v>
      </c>
      <c r="H53" s="10">
        <f t="shared" ca="1" si="4"/>
        <v>1916</v>
      </c>
      <c r="I53" s="10">
        <f t="shared" ca="1" si="5"/>
        <v>1887</v>
      </c>
      <c r="J53" s="10">
        <f t="shared" ca="1" si="6"/>
        <v>1850</v>
      </c>
      <c r="K53" s="10">
        <f t="shared" si="12"/>
        <v>2000</v>
      </c>
      <c r="L53" s="10">
        <f t="shared" si="13"/>
        <v>2000</v>
      </c>
      <c r="M53" s="10">
        <f t="shared" si="14"/>
        <v>2000</v>
      </c>
      <c r="N53" s="10">
        <f t="shared" ca="1" si="15"/>
        <v>-84</v>
      </c>
      <c r="O53" s="10">
        <f t="shared" ca="1" si="16"/>
        <v>-113</v>
      </c>
      <c r="P53" s="10">
        <f t="shared" ca="1" si="17"/>
        <v>-150</v>
      </c>
      <c r="Q53" s="14">
        <v>3</v>
      </c>
      <c r="R53" s="14">
        <v>0</v>
      </c>
      <c r="S53" s="14">
        <v>3</v>
      </c>
      <c r="T53" s="13">
        <f t="shared" ca="1" si="8"/>
        <v>1714</v>
      </c>
      <c r="U53" s="12">
        <f t="shared" ca="1" si="22"/>
        <v>876</v>
      </c>
      <c r="V53" s="12">
        <f t="shared" ca="1" si="21"/>
        <v>897</v>
      </c>
      <c r="W53" s="12">
        <f t="shared" ca="1" si="23"/>
        <v>890</v>
      </c>
      <c r="X53" s="13"/>
      <c r="Y53" s="10"/>
      <c r="Z53" s="10"/>
      <c r="AA53" s="10"/>
      <c r="AB53" s="9"/>
    </row>
    <row r="54" spans="1:36" ht="15" customHeight="1">
      <c r="A54" s="36">
        <v>40</v>
      </c>
      <c r="B54" s="35">
        <f t="shared" si="9"/>
        <v>45112</v>
      </c>
      <c r="C54" s="16">
        <f t="shared" si="10"/>
        <v>1069</v>
      </c>
      <c r="D54" s="15">
        <f t="shared" si="24"/>
        <v>1540</v>
      </c>
      <c r="E54" s="14">
        <f t="shared" ca="1" si="1"/>
        <v>695</v>
      </c>
      <c r="F54" s="14">
        <f t="shared" ca="1" si="2"/>
        <v>722</v>
      </c>
      <c r="G54" s="14">
        <f t="shared" ca="1" si="3"/>
        <v>761</v>
      </c>
      <c r="H54" s="10">
        <f t="shared" ca="1" si="4"/>
        <v>1914</v>
      </c>
      <c r="I54" s="10">
        <f t="shared" ca="1" si="5"/>
        <v>1887</v>
      </c>
      <c r="J54" s="10">
        <f t="shared" ca="1" si="6"/>
        <v>1848</v>
      </c>
      <c r="K54" s="10">
        <f t="shared" si="12"/>
        <v>2000</v>
      </c>
      <c r="L54" s="10">
        <f t="shared" si="13"/>
        <v>2000</v>
      </c>
      <c r="M54" s="10">
        <f t="shared" si="14"/>
        <v>2000</v>
      </c>
      <c r="N54" s="10">
        <f t="shared" ca="1" si="15"/>
        <v>-86</v>
      </c>
      <c r="O54" s="10">
        <f t="shared" ca="1" si="16"/>
        <v>-113</v>
      </c>
      <c r="P54" s="10">
        <f t="shared" ca="1" si="17"/>
        <v>-152</v>
      </c>
      <c r="Q54" s="14">
        <v>2</v>
      </c>
      <c r="R54" s="14">
        <v>0</v>
      </c>
      <c r="S54" s="14">
        <v>2</v>
      </c>
      <c r="T54" s="13">
        <f t="shared" ca="1" si="8"/>
        <v>1712</v>
      </c>
      <c r="U54" s="12">
        <f t="shared" ca="1" si="22"/>
        <v>874</v>
      </c>
      <c r="V54" s="12">
        <f t="shared" ca="1" si="21"/>
        <v>897</v>
      </c>
      <c r="W54" s="12">
        <f t="shared" ca="1" si="23"/>
        <v>888</v>
      </c>
      <c r="X54" s="13"/>
      <c r="Y54" s="10"/>
      <c r="Z54" s="10"/>
      <c r="AA54" s="10"/>
      <c r="AB54" s="9"/>
    </row>
    <row r="55" spans="1:36" s="25" customFormat="1" ht="15" customHeight="1">
      <c r="A55" s="42">
        <v>41</v>
      </c>
      <c r="B55" s="41">
        <f t="shared" si="9"/>
        <v>45113</v>
      </c>
      <c r="C55" s="33">
        <f t="shared" si="10"/>
        <v>1069</v>
      </c>
      <c r="D55" s="32">
        <f t="shared" si="24"/>
        <v>1538</v>
      </c>
      <c r="E55" s="31">
        <f t="shared" ca="1" si="1"/>
        <v>696</v>
      </c>
      <c r="F55" s="31">
        <f t="shared" ca="1" si="2"/>
        <v>720</v>
      </c>
      <c r="G55" s="31">
        <f t="shared" ca="1" si="3"/>
        <v>762</v>
      </c>
      <c r="H55" s="27">
        <f t="shared" ca="1" si="4"/>
        <v>1911</v>
      </c>
      <c r="I55" s="27">
        <f t="shared" ca="1" si="5"/>
        <v>1887</v>
      </c>
      <c r="J55" s="27">
        <f t="shared" ca="1" si="6"/>
        <v>1845</v>
      </c>
      <c r="K55" s="27">
        <f t="shared" si="12"/>
        <v>2000</v>
      </c>
      <c r="L55" s="27">
        <f t="shared" si="13"/>
        <v>2000</v>
      </c>
      <c r="M55" s="27">
        <f t="shared" si="14"/>
        <v>2000</v>
      </c>
      <c r="N55" s="27">
        <f t="shared" ca="1" si="15"/>
        <v>-89</v>
      </c>
      <c r="O55" s="27">
        <f t="shared" ca="1" si="16"/>
        <v>-113</v>
      </c>
      <c r="P55" s="27">
        <f t="shared" ca="1" si="17"/>
        <v>-155</v>
      </c>
      <c r="Q55" s="31">
        <v>3</v>
      </c>
      <c r="R55" s="31">
        <v>0</v>
      </c>
      <c r="S55" s="31">
        <v>3</v>
      </c>
      <c r="T55" s="30">
        <f t="shared" ca="1" si="8"/>
        <v>1710</v>
      </c>
      <c r="U55" s="29">
        <f t="shared" ca="1" si="22"/>
        <v>871</v>
      </c>
      <c r="V55" s="29">
        <f t="shared" ca="1" si="21"/>
        <v>897</v>
      </c>
      <c r="W55" s="29">
        <f t="shared" ca="1" si="23"/>
        <v>885</v>
      </c>
      <c r="X55" s="30"/>
      <c r="Y55" s="27"/>
      <c r="Z55" s="27"/>
      <c r="AA55" s="27"/>
      <c r="AB55" s="40"/>
      <c r="AD55"/>
      <c r="AE55"/>
      <c r="AF55"/>
      <c r="AG55"/>
      <c r="AH55"/>
      <c r="AI55"/>
      <c r="AJ55"/>
    </row>
    <row r="56" spans="1:36" ht="15" customHeight="1">
      <c r="A56" s="36">
        <v>42</v>
      </c>
      <c r="B56" s="35">
        <f t="shared" si="9"/>
        <v>45114</v>
      </c>
      <c r="C56" s="16">
        <f t="shared" si="10"/>
        <v>1069</v>
      </c>
      <c r="D56" s="15">
        <f t="shared" si="24"/>
        <v>1536</v>
      </c>
      <c r="E56" s="14">
        <f t="shared" ca="1" si="1"/>
        <v>696</v>
      </c>
      <c r="F56" s="14">
        <f t="shared" ca="1" si="2"/>
        <v>718</v>
      </c>
      <c r="G56" s="14">
        <f t="shared" ca="1" si="3"/>
        <v>762</v>
      </c>
      <c r="H56" s="10">
        <f t="shared" ca="1" si="4"/>
        <v>1909</v>
      </c>
      <c r="I56" s="10">
        <f t="shared" ca="1" si="5"/>
        <v>1887</v>
      </c>
      <c r="J56" s="10">
        <f t="shared" ca="1" si="6"/>
        <v>1843</v>
      </c>
      <c r="K56" s="10">
        <f t="shared" si="12"/>
        <v>2000</v>
      </c>
      <c r="L56" s="10">
        <f t="shared" si="13"/>
        <v>2000</v>
      </c>
      <c r="M56" s="10">
        <f t="shared" si="14"/>
        <v>2000</v>
      </c>
      <c r="N56" s="10">
        <f t="shared" ca="1" si="15"/>
        <v>-91</v>
      </c>
      <c r="O56" s="10">
        <f t="shared" ca="1" si="16"/>
        <v>-113</v>
      </c>
      <c r="P56" s="10">
        <f t="shared" ca="1" si="17"/>
        <v>-157</v>
      </c>
      <c r="Q56" s="14">
        <v>2</v>
      </c>
      <c r="R56" s="14">
        <v>0</v>
      </c>
      <c r="S56" s="14">
        <v>2</v>
      </c>
      <c r="T56" s="13">
        <f t="shared" ca="1" si="8"/>
        <v>1708</v>
      </c>
      <c r="U56" s="12">
        <f t="shared" ca="1" si="22"/>
        <v>869</v>
      </c>
      <c r="V56" s="12">
        <f t="shared" ca="1" si="21"/>
        <v>897</v>
      </c>
      <c r="W56" s="12">
        <f t="shared" ca="1" si="23"/>
        <v>883</v>
      </c>
      <c r="X56" s="13"/>
      <c r="Y56" s="10"/>
      <c r="Z56" s="10"/>
      <c r="AA56" s="10"/>
      <c r="AB56" s="9"/>
    </row>
    <row r="57" spans="1:36" ht="15" customHeight="1">
      <c r="A57" s="36">
        <v>43</v>
      </c>
      <c r="B57" s="35">
        <f t="shared" si="9"/>
        <v>45115</v>
      </c>
      <c r="C57" s="16">
        <f t="shared" si="10"/>
        <v>1069</v>
      </c>
      <c r="D57" s="15">
        <f t="shared" si="24"/>
        <v>1534</v>
      </c>
      <c r="E57" s="14">
        <f t="shared" ca="1" si="1"/>
        <v>695</v>
      </c>
      <c r="F57" s="14">
        <f t="shared" ca="1" si="2"/>
        <v>716</v>
      </c>
      <c r="G57" s="14">
        <f t="shared" ca="1" si="3"/>
        <v>761</v>
      </c>
      <c r="H57" s="10">
        <f t="shared" ca="1" si="4"/>
        <v>1908</v>
      </c>
      <c r="I57" s="10">
        <f t="shared" ca="1" si="5"/>
        <v>1887</v>
      </c>
      <c r="J57" s="10">
        <f t="shared" ca="1" si="6"/>
        <v>1842</v>
      </c>
      <c r="K57" s="10">
        <f t="shared" si="12"/>
        <v>2000</v>
      </c>
      <c r="L57" s="10">
        <f t="shared" si="13"/>
        <v>2000</v>
      </c>
      <c r="M57" s="10">
        <f t="shared" si="14"/>
        <v>2000</v>
      </c>
      <c r="N57" s="10">
        <f t="shared" ca="1" si="15"/>
        <v>-92</v>
      </c>
      <c r="O57" s="10">
        <f t="shared" ca="1" si="16"/>
        <v>-113</v>
      </c>
      <c r="P57" s="10">
        <f t="shared" ca="1" si="17"/>
        <v>-158</v>
      </c>
      <c r="Q57" s="14">
        <v>1</v>
      </c>
      <c r="R57" s="14">
        <v>0</v>
      </c>
      <c r="S57" s="14">
        <v>1</v>
      </c>
      <c r="T57" s="13">
        <f t="shared" ca="1" si="8"/>
        <v>1706</v>
      </c>
      <c r="U57" s="12">
        <f t="shared" ca="1" si="22"/>
        <v>868</v>
      </c>
      <c r="V57" s="12">
        <f t="shared" ca="1" si="21"/>
        <v>897</v>
      </c>
      <c r="W57" s="12">
        <f t="shared" ca="1" si="23"/>
        <v>882</v>
      </c>
      <c r="X57" s="13"/>
      <c r="Y57" s="10"/>
      <c r="Z57" s="10"/>
      <c r="AA57" s="10"/>
      <c r="AB57" s="9"/>
    </row>
    <row r="58" spans="1:36" ht="15" customHeight="1">
      <c r="A58" s="36">
        <v>44</v>
      </c>
      <c r="B58" s="35">
        <f t="shared" si="9"/>
        <v>45116</v>
      </c>
      <c r="C58" s="16">
        <f t="shared" si="10"/>
        <v>1069</v>
      </c>
      <c r="D58" s="15">
        <f t="shared" si="24"/>
        <v>1532</v>
      </c>
      <c r="E58" s="14">
        <f t="shared" ca="1" si="1"/>
        <v>695</v>
      </c>
      <c r="F58" s="14">
        <f t="shared" ca="1" si="2"/>
        <v>714</v>
      </c>
      <c r="G58" s="14">
        <f t="shared" ca="1" si="3"/>
        <v>761</v>
      </c>
      <c r="H58" s="10">
        <f t="shared" ca="1" si="4"/>
        <v>1906</v>
      </c>
      <c r="I58" s="10">
        <f t="shared" ca="1" si="5"/>
        <v>1887</v>
      </c>
      <c r="J58" s="10">
        <f t="shared" ca="1" si="6"/>
        <v>1840</v>
      </c>
      <c r="K58" s="10">
        <f t="shared" si="12"/>
        <v>2000</v>
      </c>
      <c r="L58" s="10">
        <f t="shared" si="13"/>
        <v>2000</v>
      </c>
      <c r="M58" s="10">
        <f t="shared" si="14"/>
        <v>2000</v>
      </c>
      <c r="N58" s="10">
        <f t="shared" ca="1" si="15"/>
        <v>-94</v>
      </c>
      <c r="O58" s="10">
        <f t="shared" ca="1" si="16"/>
        <v>-113</v>
      </c>
      <c r="P58" s="10">
        <f t="shared" ca="1" si="17"/>
        <v>-160</v>
      </c>
      <c r="Q58" s="14">
        <v>2</v>
      </c>
      <c r="R58" s="14">
        <v>0</v>
      </c>
      <c r="S58" s="14">
        <v>2</v>
      </c>
      <c r="T58" s="13">
        <f t="shared" ca="1" si="8"/>
        <v>1704</v>
      </c>
      <c r="U58" s="12">
        <f t="shared" ca="1" si="22"/>
        <v>866</v>
      </c>
      <c r="V58" s="12">
        <f t="shared" ca="1" si="21"/>
        <v>897</v>
      </c>
      <c r="W58" s="12">
        <f t="shared" ca="1" si="23"/>
        <v>880</v>
      </c>
      <c r="X58" s="13"/>
      <c r="Y58" s="10"/>
      <c r="Z58" s="10"/>
      <c r="AA58" s="10"/>
      <c r="AB58" s="9"/>
    </row>
    <row r="59" spans="1:36" ht="15" customHeight="1">
      <c r="A59" s="36">
        <v>45</v>
      </c>
      <c r="B59" s="35">
        <f t="shared" si="9"/>
        <v>45117</v>
      </c>
      <c r="C59" s="16">
        <f t="shared" si="10"/>
        <v>1069</v>
      </c>
      <c r="D59" s="15">
        <f t="shared" si="24"/>
        <v>1530</v>
      </c>
      <c r="E59" s="14">
        <f t="shared" ca="1" si="1"/>
        <v>695</v>
      </c>
      <c r="F59" s="14">
        <f t="shared" ca="1" si="2"/>
        <v>712</v>
      </c>
      <c r="G59" s="14">
        <f t="shared" ca="1" si="3"/>
        <v>761</v>
      </c>
      <c r="H59" s="10">
        <f t="shared" ca="1" si="4"/>
        <v>1904</v>
      </c>
      <c r="I59" s="10">
        <f t="shared" ca="1" si="5"/>
        <v>1887</v>
      </c>
      <c r="J59" s="10">
        <f t="shared" ca="1" si="6"/>
        <v>1838</v>
      </c>
      <c r="K59" s="10">
        <f t="shared" si="12"/>
        <v>2000</v>
      </c>
      <c r="L59" s="10">
        <f t="shared" si="13"/>
        <v>2000</v>
      </c>
      <c r="M59" s="10">
        <f t="shared" si="14"/>
        <v>2000</v>
      </c>
      <c r="N59" s="10">
        <f t="shared" ca="1" si="15"/>
        <v>-96</v>
      </c>
      <c r="O59" s="10">
        <f t="shared" ca="1" si="16"/>
        <v>-113</v>
      </c>
      <c r="P59" s="10">
        <f t="shared" ca="1" si="17"/>
        <v>-162</v>
      </c>
      <c r="Q59" s="14">
        <v>2</v>
      </c>
      <c r="R59" s="14">
        <v>0</v>
      </c>
      <c r="S59" s="14">
        <v>2</v>
      </c>
      <c r="T59" s="13">
        <f t="shared" ca="1" si="8"/>
        <v>1702</v>
      </c>
      <c r="U59" s="12">
        <f t="shared" ca="1" si="22"/>
        <v>864</v>
      </c>
      <c r="V59" s="12">
        <f t="shared" ca="1" si="21"/>
        <v>897</v>
      </c>
      <c r="W59" s="12">
        <f t="shared" ca="1" si="23"/>
        <v>878</v>
      </c>
      <c r="X59" s="13"/>
      <c r="Y59" s="10"/>
      <c r="Z59" s="10"/>
      <c r="AA59" s="10"/>
      <c r="AB59" s="9"/>
    </row>
    <row r="60" spans="1:36" ht="15" customHeight="1">
      <c r="A60" s="36">
        <v>46</v>
      </c>
      <c r="B60" s="35">
        <f t="shared" si="9"/>
        <v>45118</v>
      </c>
      <c r="C60" s="16">
        <f t="shared" si="10"/>
        <v>1069</v>
      </c>
      <c r="D60" s="15">
        <f t="shared" si="24"/>
        <v>1528</v>
      </c>
      <c r="E60" s="14">
        <f t="shared" ca="1" si="1"/>
        <v>695</v>
      </c>
      <c r="F60" s="14">
        <f t="shared" ca="1" si="2"/>
        <v>710</v>
      </c>
      <c r="G60" s="14">
        <f t="shared" ca="1" si="3"/>
        <v>761</v>
      </c>
      <c r="H60" s="10">
        <f t="shared" ca="1" si="4"/>
        <v>1902</v>
      </c>
      <c r="I60" s="10">
        <f t="shared" ca="1" si="5"/>
        <v>1887</v>
      </c>
      <c r="J60" s="10">
        <f t="shared" ca="1" si="6"/>
        <v>1836</v>
      </c>
      <c r="K60" s="10">
        <f t="shared" si="12"/>
        <v>2000</v>
      </c>
      <c r="L60" s="10">
        <f t="shared" si="13"/>
        <v>2000</v>
      </c>
      <c r="M60" s="10">
        <f t="shared" si="14"/>
        <v>2000</v>
      </c>
      <c r="N60" s="10">
        <f t="shared" ca="1" si="15"/>
        <v>-98</v>
      </c>
      <c r="O60" s="10">
        <f t="shared" ca="1" si="16"/>
        <v>-113</v>
      </c>
      <c r="P60" s="10">
        <f t="shared" ca="1" si="17"/>
        <v>-164</v>
      </c>
      <c r="Q60" s="14">
        <v>2</v>
      </c>
      <c r="R60" s="14">
        <v>0</v>
      </c>
      <c r="S60" s="14">
        <v>2</v>
      </c>
      <c r="T60" s="13">
        <f t="shared" ca="1" si="8"/>
        <v>1700</v>
      </c>
      <c r="U60" s="12">
        <f t="shared" ca="1" si="22"/>
        <v>862</v>
      </c>
      <c r="V60" s="12">
        <f t="shared" ca="1" si="21"/>
        <v>897</v>
      </c>
      <c r="W60" s="12">
        <f t="shared" ca="1" si="23"/>
        <v>876</v>
      </c>
      <c r="X60" s="13"/>
      <c r="Y60" s="10"/>
      <c r="Z60" s="10"/>
      <c r="AA60" s="10"/>
      <c r="AB60" s="9"/>
    </row>
    <row r="61" spans="1:36" ht="15" customHeight="1">
      <c r="A61" s="36">
        <v>47</v>
      </c>
      <c r="B61" s="35">
        <f t="shared" si="9"/>
        <v>45119</v>
      </c>
      <c r="C61" s="16">
        <f t="shared" si="10"/>
        <v>1069</v>
      </c>
      <c r="D61" s="15">
        <f t="shared" si="24"/>
        <v>1526</v>
      </c>
      <c r="E61" s="14">
        <f t="shared" ca="1" si="1"/>
        <v>695</v>
      </c>
      <c r="F61" s="14">
        <f t="shared" ca="1" si="2"/>
        <v>708</v>
      </c>
      <c r="G61" s="14">
        <f t="shared" ca="1" si="3"/>
        <v>761</v>
      </c>
      <c r="H61" s="10">
        <f t="shared" ca="1" si="4"/>
        <v>1900</v>
      </c>
      <c r="I61" s="10">
        <f t="shared" ca="1" si="5"/>
        <v>1887</v>
      </c>
      <c r="J61" s="10">
        <f t="shared" ca="1" si="6"/>
        <v>1834</v>
      </c>
      <c r="K61" s="10">
        <f t="shared" si="12"/>
        <v>2000</v>
      </c>
      <c r="L61" s="10">
        <f t="shared" si="13"/>
        <v>2000</v>
      </c>
      <c r="M61" s="10">
        <f t="shared" si="14"/>
        <v>2000</v>
      </c>
      <c r="N61" s="10">
        <f t="shared" ca="1" si="15"/>
        <v>-100</v>
      </c>
      <c r="O61" s="10">
        <f t="shared" ca="1" si="16"/>
        <v>-113</v>
      </c>
      <c r="P61" s="10">
        <f t="shared" ca="1" si="17"/>
        <v>-166</v>
      </c>
      <c r="Q61" s="14">
        <v>2</v>
      </c>
      <c r="R61" s="14">
        <v>0</v>
      </c>
      <c r="S61" s="14">
        <v>2</v>
      </c>
      <c r="T61" s="13">
        <f t="shared" ca="1" si="8"/>
        <v>1698</v>
      </c>
      <c r="U61" s="12">
        <f t="shared" ca="1" si="22"/>
        <v>860</v>
      </c>
      <c r="V61" s="12">
        <f t="shared" ca="1" si="21"/>
        <v>897</v>
      </c>
      <c r="W61" s="12">
        <f t="shared" ca="1" si="23"/>
        <v>874</v>
      </c>
      <c r="X61" s="13"/>
      <c r="Y61" s="10"/>
      <c r="Z61" s="10"/>
      <c r="AA61" s="10"/>
      <c r="AB61" s="9"/>
    </row>
    <row r="62" spans="1:36" ht="15" customHeight="1">
      <c r="A62" s="36">
        <v>48</v>
      </c>
      <c r="B62" s="35">
        <f t="shared" si="9"/>
        <v>45120</v>
      </c>
      <c r="C62" s="16">
        <f t="shared" si="10"/>
        <v>1069</v>
      </c>
      <c r="D62" s="15">
        <f t="shared" si="24"/>
        <v>1524</v>
      </c>
      <c r="E62" s="14">
        <f t="shared" ca="1" si="1"/>
        <v>693</v>
      </c>
      <c r="F62" s="14">
        <f t="shared" ca="1" si="2"/>
        <v>706</v>
      </c>
      <c r="G62" s="14">
        <f t="shared" ca="1" si="3"/>
        <v>759</v>
      </c>
      <c r="H62" s="10">
        <f t="shared" ca="1" si="4"/>
        <v>1900</v>
      </c>
      <c r="I62" s="10">
        <f t="shared" ca="1" si="5"/>
        <v>1887</v>
      </c>
      <c r="J62" s="10">
        <f t="shared" ca="1" si="6"/>
        <v>1834</v>
      </c>
      <c r="K62" s="10">
        <f t="shared" si="12"/>
        <v>2000</v>
      </c>
      <c r="L62" s="10">
        <f t="shared" si="13"/>
        <v>2000</v>
      </c>
      <c r="M62" s="10">
        <f t="shared" si="14"/>
        <v>2000</v>
      </c>
      <c r="N62" s="10">
        <f t="shared" ca="1" si="15"/>
        <v>-100</v>
      </c>
      <c r="O62" s="10">
        <f t="shared" ca="1" si="16"/>
        <v>-113</v>
      </c>
      <c r="P62" s="10">
        <f t="shared" ca="1" si="17"/>
        <v>-166</v>
      </c>
      <c r="Q62" s="14">
        <v>0</v>
      </c>
      <c r="R62" s="14">
        <v>0</v>
      </c>
      <c r="S62" s="14">
        <v>0</v>
      </c>
      <c r="T62" s="13">
        <f t="shared" ca="1" si="8"/>
        <v>1696</v>
      </c>
      <c r="U62" s="12">
        <f t="shared" ca="1" si="22"/>
        <v>860</v>
      </c>
      <c r="V62" s="12">
        <f t="shared" ca="1" si="21"/>
        <v>897</v>
      </c>
      <c r="W62" s="12">
        <f t="shared" ca="1" si="23"/>
        <v>874</v>
      </c>
      <c r="X62" s="13"/>
      <c r="Y62" s="10"/>
      <c r="Z62" s="10"/>
      <c r="AA62" s="10"/>
      <c r="AB62" s="9"/>
    </row>
    <row r="63" spans="1:36" ht="15" customHeight="1">
      <c r="A63" s="36">
        <v>49</v>
      </c>
      <c r="B63" s="35">
        <f t="shared" si="9"/>
        <v>45121</v>
      </c>
      <c r="C63" s="16">
        <f t="shared" si="10"/>
        <v>1069</v>
      </c>
      <c r="D63" s="15">
        <f t="shared" si="24"/>
        <v>1522</v>
      </c>
      <c r="E63" s="14">
        <f t="shared" ca="1" si="1"/>
        <v>691</v>
      </c>
      <c r="F63" s="14">
        <f t="shared" ca="1" si="2"/>
        <v>704</v>
      </c>
      <c r="G63" s="14">
        <f t="shared" ca="1" si="3"/>
        <v>757</v>
      </c>
      <c r="H63" s="10">
        <f t="shared" ca="1" si="4"/>
        <v>1900</v>
      </c>
      <c r="I63" s="10">
        <f t="shared" ca="1" si="5"/>
        <v>1887</v>
      </c>
      <c r="J63" s="10">
        <f t="shared" ca="1" si="6"/>
        <v>1834</v>
      </c>
      <c r="K63" s="10">
        <f t="shared" si="12"/>
        <v>2000</v>
      </c>
      <c r="L63" s="10">
        <f t="shared" si="13"/>
        <v>2000</v>
      </c>
      <c r="M63" s="10">
        <f t="shared" si="14"/>
        <v>2000</v>
      </c>
      <c r="N63" s="10">
        <f t="shared" ca="1" si="15"/>
        <v>-100</v>
      </c>
      <c r="O63" s="10">
        <f t="shared" ca="1" si="16"/>
        <v>-113</v>
      </c>
      <c r="P63" s="10">
        <f t="shared" ca="1" si="17"/>
        <v>-166</v>
      </c>
      <c r="Q63" s="14">
        <v>0</v>
      </c>
      <c r="R63" s="14">
        <v>0</v>
      </c>
      <c r="S63" s="14">
        <v>0</v>
      </c>
      <c r="T63" s="13">
        <f t="shared" ca="1" si="8"/>
        <v>1694</v>
      </c>
      <c r="U63" s="12">
        <f t="shared" ca="1" si="22"/>
        <v>860</v>
      </c>
      <c r="V63" s="12">
        <f t="shared" ca="1" si="21"/>
        <v>897</v>
      </c>
      <c r="W63" s="12">
        <f t="shared" ca="1" si="23"/>
        <v>874</v>
      </c>
      <c r="X63" s="13"/>
      <c r="Y63" s="10"/>
      <c r="Z63" s="10"/>
      <c r="AA63" s="10"/>
      <c r="AB63" s="9"/>
    </row>
    <row r="64" spans="1:36" ht="15" customHeight="1">
      <c r="A64" s="36">
        <v>50</v>
      </c>
      <c r="B64" s="35">
        <f t="shared" si="9"/>
        <v>45122</v>
      </c>
      <c r="C64" s="16">
        <f t="shared" si="10"/>
        <v>1069</v>
      </c>
      <c r="D64" s="15">
        <f t="shared" si="24"/>
        <v>1520</v>
      </c>
      <c r="E64" s="14">
        <f t="shared" ca="1" si="1"/>
        <v>689</v>
      </c>
      <c r="F64" s="14">
        <f t="shared" ca="1" si="2"/>
        <v>702</v>
      </c>
      <c r="G64" s="14">
        <f t="shared" ca="1" si="3"/>
        <v>755</v>
      </c>
      <c r="H64" s="10">
        <f t="shared" ca="1" si="4"/>
        <v>1900</v>
      </c>
      <c r="I64" s="10">
        <f t="shared" ca="1" si="5"/>
        <v>1887</v>
      </c>
      <c r="J64" s="10">
        <f t="shared" ca="1" si="6"/>
        <v>1834</v>
      </c>
      <c r="K64" s="10">
        <f t="shared" si="12"/>
        <v>2000</v>
      </c>
      <c r="L64" s="10">
        <f t="shared" si="13"/>
        <v>2000</v>
      </c>
      <c r="M64" s="10">
        <f t="shared" si="14"/>
        <v>2000</v>
      </c>
      <c r="N64" s="10">
        <f t="shared" ca="1" si="15"/>
        <v>-100</v>
      </c>
      <c r="O64" s="10">
        <f t="shared" ca="1" si="16"/>
        <v>-113</v>
      </c>
      <c r="P64" s="10">
        <f t="shared" ca="1" si="17"/>
        <v>-166</v>
      </c>
      <c r="Q64" s="14">
        <v>0</v>
      </c>
      <c r="R64" s="14">
        <v>0</v>
      </c>
      <c r="S64" s="14">
        <v>0</v>
      </c>
      <c r="T64" s="13">
        <f t="shared" ca="1" si="8"/>
        <v>1692</v>
      </c>
      <c r="U64" s="12">
        <f t="shared" ca="1" si="22"/>
        <v>860</v>
      </c>
      <c r="V64" s="12">
        <f t="shared" ca="1" si="21"/>
        <v>897</v>
      </c>
      <c r="W64" s="12">
        <f t="shared" ca="1" si="23"/>
        <v>874</v>
      </c>
      <c r="X64" s="13"/>
      <c r="Y64" s="10"/>
      <c r="Z64" s="10"/>
      <c r="AA64" s="10"/>
      <c r="AB64" s="9"/>
    </row>
    <row r="65" spans="1:28" ht="15" customHeight="1">
      <c r="A65" s="36">
        <v>51</v>
      </c>
      <c r="B65" s="35">
        <f t="shared" si="9"/>
        <v>45123</v>
      </c>
      <c r="C65" s="16">
        <f t="shared" si="10"/>
        <v>1069</v>
      </c>
      <c r="D65" s="15">
        <f t="shared" si="24"/>
        <v>1518</v>
      </c>
      <c r="E65" s="14">
        <f t="shared" ca="1" si="1"/>
        <v>687</v>
      </c>
      <c r="F65" s="14">
        <f t="shared" ca="1" si="2"/>
        <v>700</v>
      </c>
      <c r="G65" s="14">
        <f t="shared" ca="1" si="3"/>
        <v>753</v>
      </c>
      <c r="H65" s="10">
        <f t="shared" ca="1" si="4"/>
        <v>1900</v>
      </c>
      <c r="I65" s="10">
        <f t="shared" ca="1" si="5"/>
        <v>1887</v>
      </c>
      <c r="J65" s="10">
        <f t="shared" ca="1" si="6"/>
        <v>1834</v>
      </c>
      <c r="K65" s="10">
        <f t="shared" si="12"/>
        <v>2000</v>
      </c>
      <c r="L65" s="10">
        <f t="shared" si="13"/>
        <v>2000</v>
      </c>
      <c r="M65" s="10">
        <f t="shared" si="14"/>
        <v>2000</v>
      </c>
      <c r="N65" s="10">
        <f t="shared" ca="1" si="15"/>
        <v>-100</v>
      </c>
      <c r="O65" s="10">
        <f t="shared" ca="1" si="16"/>
        <v>-113</v>
      </c>
      <c r="P65" s="10">
        <f t="shared" ca="1" si="17"/>
        <v>-166</v>
      </c>
      <c r="Q65" s="14">
        <v>0</v>
      </c>
      <c r="R65" s="14">
        <v>0</v>
      </c>
      <c r="S65" s="14">
        <v>0</v>
      </c>
      <c r="T65" s="13">
        <f t="shared" ca="1" si="8"/>
        <v>1690</v>
      </c>
      <c r="U65" s="12">
        <f t="shared" ca="1" si="22"/>
        <v>860</v>
      </c>
      <c r="V65" s="12">
        <f t="shared" ca="1" si="21"/>
        <v>897</v>
      </c>
      <c r="W65" s="12">
        <f t="shared" ca="1" si="23"/>
        <v>874</v>
      </c>
      <c r="X65" s="13"/>
      <c r="Y65" s="10"/>
      <c r="Z65" s="10"/>
      <c r="AA65" s="10"/>
      <c r="AB65" s="9"/>
    </row>
    <row r="66" spans="1:28" ht="15" customHeight="1">
      <c r="A66" s="36">
        <v>52</v>
      </c>
      <c r="B66" s="35">
        <f t="shared" si="9"/>
        <v>45124</v>
      </c>
      <c r="C66" s="16">
        <f t="shared" si="10"/>
        <v>1069</v>
      </c>
      <c r="D66" s="15">
        <f t="shared" si="24"/>
        <v>1516</v>
      </c>
      <c r="E66" s="14">
        <f t="shared" ca="1" si="1"/>
        <v>685</v>
      </c>
      <c r="F66" s="14">
        <f t="shared" ca="1" si="2"/>
        <v>698</v>
      </c>
      <c r="G66" s="14">
        <f t="shared" ca="1" si="3"/>
        <v>751</v>
      </c>
      <c r="H66" s="10">
        <f t="shared" ca="1" si="4"/>
        <v>1900</v>
      </c>
      <c r="I66" s="10">
        <f t="shared" ca="1" si="5"/>
        <v>1887</v>
      </c>
      <c r="J66" s="10">
        <f t="shared" ca="1" si="6"/>
        <v>1834</v>
      </c>
      <c r="K66" s="10">
        <f t="shared" si="12"/>
        <v>2000</v>
      </c>
      <c r="L66" s="10">
        <f t="shared" si="13"/>
        <v>2000</v>
      </c>
      <c r="M66" s="10">
        <f t="shared" si="14"/>
        <v>2000</v>
      </c>
      <c r="N66" s="10">
        <f t="shared" ca="1" si="15"/>
        <v>-100</v>
      </c>
      <c r="O66" s="10">
        <f t="shared" ca="1" si="16"/>
        <v>-113</v>
      </c>
      <c r="P66" s="10">
        <f t="shared" ca="1" si="17"/>
        <v>-166</v>
      </c>
      <c r="Q66" s="14">
        <v>0</v>
      </c>
      <c r="R66" s="14">
        <v>0</v>
      </c>
      <c r="S66" s="14">
        <v>0</v>
      </c>
      <c r="T66" s="13">
        <f t="shared" ca="1" si="8"/>
        <v>1688</v>
      </c>
      <c r="U66" s="12">
        <f t="shared" ca="1" si="22"/>
        <v>860</v>
      </c>
      <c r="V66" s="12">
        <f t="shared" ca="1" si="21"/>
        <v>897</v>
      </c>
      <c r="W66" s="12">
        <f t="shared" ca="1" si="23"/>
        <v>874</v>
      </c>
      <c r="X66" s="13"/>
      <c r="Y66" s="10"/>
      <c r="Z66" s="10"/>
      <c r="AA66" s="10"/>
      <c r="AB66" s="9"/>
    </row>
    <row r="67" spans="1:28" ht="15" customHeight="1">
      <c r="A67" s="36">
        <v>53</v>
      </c>
      <c r="B67" s="35">
        <f t="shared" si="9"/>
        <v>45125</v>
      </c>
      <c r="C67" s="16">
        <f t="shared" si="10"/>
        <v>1069</v>
      </c>
      <c r="D67" s="15">
        <f t="shared" si="24"/>
        <v>1514</v>
      </c>
      <c r="E67" s="14">
        <f t="shared" ca="1" si="1"/>
        <v>683</v>
      </c>
      <c r="F67" s="14">
        <f t="shared" ca="1" si="2"/>
        <v>696</v>
      </c>
      <c r="G67" s="14">
        <f t="shared" ca="1" si="3"/>
        <v>749</v>
      </c>
      <c r="H67" s="10">
        <f t="shared" ca="1" si="4"/>
        <v>1900</v>
      </c>
      <c r="I67" s="10">
        <f t="shared" ca="1" si="5"/>
        <v>1887</v>
      </c>
      <c r="J67" s="10">
        <f t="shared" ca="1" si="6"/>
        <v>1834</v>
      </c>
      <c r="K67" s="10">
        <f t="shared" si="12"/>
        <v>2000</v>
      </c>
      <c r="L67" s="10">
        <f t="shared" si="13"/>
        <v>2000</v>
      </c>
      <c r="M67" s="10">
        <f t="shared" si="14"/>
        <v>2000</v>
      </c>
      <c r="N67" s="10">
        <f t="shared" ca="1" si="15"/>
        <v>-100</v>
      </c>
      <c r="O67" s="10">
        <f t="shared" ca="1" si="16"/>
        <v>-113</v>
      </c>
      <c r="P67" s="10">
        <f t="shared" ca="1" si="17"/>
        <v>-166</v>
      </c>
      <c r="Q67" s="14">
        <v>0</v>
      </c>
      <c r="R67" s="14">
        <v>0</v>
      </c>
      <c r="S67" s="14">
        <v>0</v>
      </c>
      <c r="T67" s="13">
        <f t="shared" ca="1" si="8"/>
        <v>1686</v>
      </c>
      <c r="U67" s="12">
        <f t="shared" ca="1" si="22"/>
        <v>860</v>
      </c>
      <c r="V67" s="12">
        <f t="shared" ca="1" si="21"/>
        <v>897</v>
      </c>
      <c r="W67" s="12">
        <f t="shared" ca="1" si="23"/>
        <v>874</v>
      </c>
      <c r="X67" s="13"/>
      <c r="Y67" s="10"/>
      <c r="Z67" s="10"/>
      <c r="AA67" s="10"/>
      <c r="AB67" s="9"/>
    </row>
    <row r="68" spans="1:28" ht="15" customHeight="1">
      <c r="A68" s="36">
        <v>54</v>
      </c>
      <c r="B68" s="35">
        <f t="shared" si="9"/>
        <v>45126</v>
      </c>
      <c r="C68" s="16">
        <f t="shared" si="10"/>
        <v>1069</v>
      </c>
      <c r="D68" s="15">
        <f t="shared" si="24"/>
        <v>1512</v>
      </c>
      <c r="E68" s="14">
        <f t="shared" ca="1" si="1"/>
        <v>681</v>
      </c>
      <c r="F68" s="14">
        <f t="shared" ca="1" si="2"/>
        <v>694</v>
      </c>
      <c r="G68" s="14">
        <f t="shared" ca="1" si="3"/>
        <v>747</v>
      </c>
      <c r="H68" s="10">
        <f t="shared" ca="1" si="4"/>
        <v>1900</v>
      </c>
      <c r="I68" s="10">
        <f t="shared" ca="1" si="5"/>
        <v>1887</v>
      </c>
      <c r="J68" s="10">
        <f t="shared" ca="1" si="6"/>
        <v>1834</v>
      </c>
      <c r="K68" s="10">
        <f t="shared" si="12"/>
        <v>2000</v>
      </c>
      <c r="L68" s="10">
        <f t="shared" si="13"/>
        <v>2000</v>
      </c>
      <c r="M68" s="10">
        <f t="shared" si="14"/>
        <v>2000</v>
      </c>
      <c r="N68" s="10">
        <f t="shared" ca="1" si="15"/>
        <v>-100</v>
      </c>
      <c r="O68" s="10">
        <f t="shared" ca="1" si="16"/>
        <v>-113</v>
      </c>
      <c r="P68" s="10">
        <f t="shared" ca="1" si="17"/>
        <v>-166</v>
      </c>
      <c r="Q68" s="14">
        <v>0</v>
      </c>
      <c r="R68" s="14">
        <v>0</v>
      </c>
      <c r="S68" s="14">
        <v>0</v>
      </c>
      <c r="T68" s="13">
        <f t="shared" ca="1" si="8"/>
        <v>1684</v>
      </c>
      <c r="U68" s="12">
        <f t="shared" ca="1" si="22"/>
        <v>860</v>
      </c>
      <c r="V68" s="12">
        <f t="shared" ca="1" si="21"/>
        <v>897</v>
      </c>
      <c r="W68" s="12">
        <f t="shared" ca="1" si="23"/>
        <v>874</v>
      </c>
      <c r="X68" s="13"/>
      <c r="Y68" s="10"/>
      <c r="Z68" s="10"/>
      <c r="AA68" s="10"/>
      <c r="AB68" s="9"/>
    </row>
    <row r="69" spans="1:28" ht="15" customHeight="1">
      <c r="A69" s="36">
        <v>55</v>
      </c>
      <c r="B69" s="35">
        <f t="shared" si="9"/>
        <v>45127</v>
      </c>
      <c r="C69" s="16">
        <f t="shared" si="10"/>
        <v>1069</v>
      </c>
      <c r="D69" s="15">
        <f t="shared" si="24"/>
        <v>1510</v>
      </c>
      <c r="E69" s="14">
        <f t="shared" ca="1" si="1"/>
        <v>679</v>
      </c>
      <c r="F69" s="14">
        <f t="shared" ca="1" si="2"/>
        <v>692</v>
      </c>
      <c r="G69" s="14">
        <f t="shared" ca="1" si="3"/>
        <v>745</v>
      </c>
      <c r="H69" s="10">
        <f t="shared" ca="1" si="4"/>
        <v>1900</v>
      </c>
      <c r="I69" s="10">
        <f t="shared" ca="1" si="5"/>
        <v>1887</v>
      </c>
      <c r="J69" s="10">
        <f t="shared" ca="1" si="6"/>
        <v>1834</v>
      </c>
      <c r="K69" s="10">
        <f t="shared" si="12"/>
        <v>2000</v>
      </c>
      <c r="L69" s="10">
        <f t="shared" si="13"/>
        <v>2000</v>
      </c>
      <c r="M69" s="10">
        <f t="shared" si="14"/>
        <v>2000</v>
      </c>
      <c r="N69" s="10">
        <f t="shared" ca="1" si="15"/>
        <v>-100</v>
      </c>
      <c r="O69" s="10">
        <f t="shared" ca="1" si="16"/>
        <v>-113</v>
      </c>
      <c r="P69" s="10">
        <f t="shared" ca="1" si="17"/>
        <v>-166</v>
      </c>
      <c r="Q69" s="14">
        <v>0</v>
      </c>
      <c r="R69" s="14">
        <v>0</v>
      </c>
      <c r="S69" s="14">
        <v>0</v>
      </c>
      <c r="T69" s="13">
        <f t="shared" ca="1" si="8"/>
        <v>1682</v>
      </c>
      <c r="U69" s="12">
        <f t="shared" ca="1" si="22"/>
        <v>860</v>
      </c>
      <c r="V69" s="12">
        <f t="shared" ca="1" si="21"/>
        <v>897</v>
      </c>
      <c r="W69" s="12">
        <f t="shared" ca="1" si="23"/>
        <v>874</v>
      </c>
      <c r="X69" s="13"/>
      <c r="Y69" s="10"/>
      <c r="Z69" s="10"/>
      <c r="AA69" s="10"/>
      <c r="AB69" s="9"/>
    </row>
    <row r="70" spans="1:28" ht="15" customHeight="1">
      <c r="A70" s="36">
        <v>56</v>
      </c>
      <c r="B70" s="35">
        <f t="shared" si="9"/>
        <v>45128</v>
      </c>
      <c r="C70" s="16">
        <f t="shared" si="10"/>
        <v>1069</v>
      </c>
      <c r="D70" s="15">
        <f t="shared" si="24"/>
        <v>1508</v>
      </c>
      <c r="E70" s="14">
        <f t="shared" ca="1" si="1"/>
        <v>677</v>
      </c>
      <c r="F70" s="14">
        <f t="shared" ca="1" si="2"/>
        <v>690</v>
      </c>
      <c r="G70" s="14">
        <f t="shared" ca="1" si="3"/>
        <v>743</v>
      </c>
      <c r="H70" s="10">
        <f t="shared" ca="1" si="4"/>
        <v>1900</v>
      </c>
      <c r="I70" s="10">
        <f t="shared" ca="1" si="5"/>
        <v>1887</v>
      </c>
      <c r="J70" s="10">
        <f t="shared" ca="1" si="6"/>
        <v>1834</v>
      </c>
      <c r="K70" s="10">
        <f t="shared" si="12"/>
        <v>2000</v>
      </c>
      <c r="L70" s="10">
        <f t="shared" si="13"/>
        <v>2000</v>
      </c>
      <c r="M70" s="10">
        <f t="shared" si="14"/>
        <v>2000</v>
      </c>
      <c r="N70" s="10">
        <f t="shared" ca="1" si="15"/>
        <v>-100</v>
      </c>
      <c r="O70" s="10">
        <f t="shared" ca="1" si="16"/>
        <v>-113</v>
      </c>
      <c r="P70" s="10">
        <f t="shared" ca="1" si="17"/>
        <v>-166</v>
      </c>
      <c r="Q70" s="14">
        <v>0</v>
      </c>
      <c r="R70" s="14">
        <v>0</v>
      </c>
      <c r="S70" s="14">
        <v>0</v>
      </c>
      <c r="T70" s="13">
        <f t="shared" ca="1" si="8"/>
        <v>1680</v>
      </c>
      <c r="U70" s="12">
        <f t="shared" ca="1" si="22"/>
        <v>860</v>
      </c>
      <c r="V70" s="12">
        <f t="shared" ca="1" si="21"/>
        <v>897</v>
      </c>
      <c r="W70" s="12">
        <f t="shared" ca="1" si="23"/>
        <v>874</v>
      </c>
      <c r="X70" s="13"/>
      <c r="Y70" s="10"/>
      <c r="Z70" s="10"/>
      <c r="AA70" s="10"/>
      <c r="AB70" s="9"/>
    </row>
    <row r="71" spans="1:28" ht="15" customHeight="1">
      <c r="A71" s="36">
        <v>57</v>
      </c>
      <c r="B71" s="35">
        <f t="shared" si="9"/>
        <v>45129</v>
      </c>
      <c r="C71" s="16">
        <f t="shared" si="10"/>
        <v>1069</v>
      </c>
      <c r="D71" s="15">
        <f t="shared" si="24"/>
        <v>1506</v>
      </c>
      <c r="E71" s="14">
        <f t="shared" ca="1" si="1"/>
        <v>675</v>
      </c>
      <c r="F71" s="14">
        <f t="shared" ca="1" si="2"/>
        <v>688</v>
      </c>
      <c r="G71" s="14">
        <f t="shared" ca="1" si="3"/>
        <v>741</v>
      </c>
      <c r="H71" s="10">
        <f t="shared" ca="1" si="4"/>
        <v>1900</v>
      </c>
      <c r="I71" s="10">
        <f t="shared" ca="1" si="5"/>
        <v>1887</v>
      </c>
      <c r="J71" s="10">
        <f t="shared" ca="1" si="6"/>
        <v>1834</v>
      </c>
      <c r="K71" s="10">
        <f t="shared" si="12"/>
        <v>2000</v>
      </c>
      <c r="L71" s="10">
        <f t="shared" si="13"/>
        <v>2000</v>
      </c>
      <c r="M71" s="10">
        <f t="shared" si="14"/>
        <v>2000</v>
      </c>
      <c r="N71" s="10">
        <f t="shared" ca="1" si="15"/>
        <v>-100</v>
      </c>
      <c r="O71" s="10">
        <f t="shared" ca="1" si="16"/>
        <v>-113</v>
      </c>
      <c r="P71" s="10">
        <f t="shared" ca="1" si="17"/>
        <v>-166</v>
      </c>
      <c r="Q71" s="14">
        <v>0</v>
      </c>
      <c r="R71" s="14">
        <v>0</v>
      </c>
      <c r="S71" s="14">
        <v>0</v>
      </c>
      <c r="T71" s="13">
        <f t="shared" ca="1" si="8"/>
        <v>1678</v>
      </c>
      <c r="U71" s="12">
        <f t="shared" ca="1" si="22"/>
        <v>860</v>
      </c>
      <c r="V71" s="12">
        <f t="shared" ca="1" si="21"/>
        <v>897</v>
      </c>
      <c r="W71" s="12">
        <f t="shared" ca="1" si="23"/>
        <v>874</v>
      </c>
      <c r="X71" s="13"/>
      <c r="Y71" s="10"/>
      <c r="Z71" s="10"/>
      <c r="AA71" s="10"/>
      <c r="AB71" s="9"/>
    </row>
    <row r="72" spans="1:28" ht="15" customHeight="1">
      <c r="A72" s="36">
        <v>58</v>
      </c>
      <c r="B72" s="35">
        <f t="shared" si="9"/>
        <v>45130</v>
      </c>
      <c r="C72" s="16">
        <f t="shared" si="10"/>
        <v>1069</v>
      </c>
      <c r="D72" s="15">
        <f t="shared" si="24"/>
        <v>1504</v>
      </c>
      <c r="E72" s="14">
        <f t="shared" ca="1" si="1"/>
        <v>673</v>
      </c>
      <c r="F72" s="14">
        <f t="shared" ca="1" si="2"/>
        <v>686</v>
      </c>
      <c r="G72" s="14">
        <f t="shared" ca="1" si="3"/>
        <v>739</v>
      </c>
      <c r="H72" s="10">
        <f t="shared" ca="1" si="4"/>
        <v>1900</v>
      </c>
      <c r="I72" s="10">
        <f t="shared" ca="1" si="5"/>
        <v>1887</v>
      </c>
      <c r="J72" s="10">
        <f t="shared" ca="1" si="6"/>
        <v>1834</v>
      </c>
      <c r="K72" s="10">
        <f t="shared" si="12"/>
        <v>2000</v>
      </c>
      <c r="L72" s="10">
        <f t="shared" si="13"/>
        <v>2000</v>
      </c>
      <c r="M72" s="10">
        <f t="shared" si="14"/>
        <v>2000</v>
      </c>
      <c r="N72" s="10">
        <f t="shared" ca="1" si="15"/>
        <v>-100</v>
      </c>
      <c r="O72" s="10">
        <f t="shared" ca="1" si="16"/>
        <v>-113</v>
      </c>
      <c r="P72" s="10">
        <f t="shared" ca="1" si="17"/>
        <v>-166</v>
      </c>
      <c r="Q72" s="14">
        <v>0</v>
      </c>
      <c r="R72" s="14">
        <v>0</v>
      </c>
      <c r="S72" s="14">
        <v>0</v>
      </c>
      <c r="T72" s="13">
        <f t="shared" ca="1" si="8"/>
        <v>1676</v>
      </c>
      <c r="U72" s="12">
        <f t="shared" ca="1" si="22"/>
        <v>860</v>
      </c>
      <c r="V72" s="12">
        <f t="shared" ca="1" si="21"/>
        <v>897</v>
      </c>
      <c r="W72" s="12">
        <f t="shared" ca="1" si="23"/>
        <v>874</v>
      </c>
      <c r="X72" s="13"/>
      <c r="Y72" s="10"/>
      <c r="Z72" s="10"/>
      <c r="AA72" s="10"/>
      <c r="AB72" s="9"/>
    </row>
    <row r="73" spans="1:28" ht="15" customHeight="1">
      <c r="A73" s="36">
        <v>59</v>
      </c>
      <c r="B73" s="35">
        <f t="shared" si="9"/>
        <v>45131</v>
      </c>
      <c r="C73" s="16">
        <f t="shared" si="10"/>
        <v>1069</v>
      </c>
      <c r="D73" s="15">
        <f t="shared" si="24"/>
        <v>1502</v>
      </c>
      <c r="E73" s="14">
        <f t="shared" ca="1" si="1"/>
        <v>671</v>
      </c>
      <c r="F73" s="14">
        <f t="shared" ca="1" si="2"/>
        <v>684</v>
      </c>
      <c r="G73" s="14">
        <f t="shared" ca="1" si="3"/>
        <v>737</v>
      </c>
      <c r="H73" s="10">
        <f t="shared" ca="1" si="4"/>
        <v>1900</v>
      </c>
      <c r="I73" s="10">
        <f t="shared" ca="1" si="5"/>
        <v>1887</v>
      </c>
      <c r="J73" s="10">
        <f t="shared" ca="1" si="6"/>
        <v>1834</v>
      </c>
      <c r="K73" s="10">
        <f t="shared" si="12"/>
        <v>2000</v>
      </c>
      <c r="L73" s="10">
        <f t="shared" si="13"/>
        <v>2000</v>
      </c>
      <c r="M73" s="10">
        <f t="shared" si="14"/>
        <v>2000</v>
      </c>
      <c r="N73" s="10">
        <f t="shared" ca="1" si="15"/>
        <v>-100</v>
      </c>
      <c r="O73" s="10">
        <f t="shared" ca="1" si="16"/>
        <v>-113</v>
      </c>
      <c r="P73" s="10">
        <f t="shared" ca="1" si="17"/>
        <v>-166</v>
      </c>
      <c r="Q73" s="14">
        <v>0</v>
      </c>
      <c r="R73" s="14">
        <v>0</v>
      </c>
      <c r="S73" s="14">
        <v>0</v>
      </c>
      <c r="T73" s="13">
        <f t="shared" ca="1" si="8"/>
        <v>1674</v>
      </c>
      <c r="U73" s="12">
        <f t="shared" ca="1" si="22"/>
        <v>860</v>
      </c>
      <c r="V73" s="12">
        <f t="shared" ca="1" si="21"/>
        <v>897</v>
      </c>
      <c r="W73" s="12">
        <f t="shared" ca="1" si="23"/>
        <v>874</v>
      </c>
      <c r="X73" s="13"/>
      <c r="Y73" s="10"/>
      <c r="Z73" s="10"/>
      <c r="AA73" s="10"/>
      <c r="AB73" s="9"/>
    </row>
    <row r="74" spans="1:28" ht="15" customHeight="1">
      <c r="A74" s="36">
        <v>60</v>
      </c>
      <c r="B74" s="35">
        <f t="shared" si="9"/>
        <v>45132</v>
      </c>
      <c r="C74" s="16">
        <f t="shared" si="10"/>
        <v>1069</v>
      </c>
      <c r="D74" s="15">
        <f t="shared" si="24"/>
        <v>1500</v>
      </c>
      <c r="E74" s="14">
        <f t="shared" ca="1" si="1"/>
        <v>669</v>
      </c>
      <c r="F74" s="14">
        <f t="shared" ca="1" si="2"/>
        <v>682</v>
      </c>
      <c r="G74" s="14">
        <f t="shared" ca="1" si="3"/>
        <v>735</v>
      </c>
      <c r="H74" s="10">
        <f t="shared" ca="1" si="4"/>
        <v>1900</v>
      </c>
      <c r="I74" s="10">
        <f t="shared" ca="1" si="5"/>
        <v>1887</v>
      </c>
      <c r="J74" s="10">
        <f t="shared" ca="1" si="6"/>
        <v>1834</v>
      </c>
      <c r="K74" s="10">
        <f t="shared" si="12"/>
        <v>2000</v>
      </c>
      <c r="L74" s="10">
        <f t="shared" si="13"/>
        <v>2000</v>
      </c>
      <c r="M74" s="10">
        <f t="shared" si="14"/>
        <v>2000</v>
      </c>
      <c r="N74" s="10">
        <f t="shared" ca="1" si="15"/>
        <v>-100</v>
      </c>
      <c r="O74" s="10">
        <f t="shared" ca="1" si="16"/>
        <v>-113</v>
      </c>
      <c r="P74" s="10">
        <f t="shared" ca="1" si="17"/>
        <v>-166</v>
      </c>
      <c r="Q74" s="14">
        <v>0</v>
      </c>
      <c r="R74" s="14">
        <v>0</v>
      </c>
      <c r="S74" s="14">
        <v>0</v>
      </c>
      <c r="T74" s="13">
        <f t="shared" ca="1" si="8"/>
        <v>1672</v>
      </c>
      <c r="U74" s="12">
        <f t="shared" ca="1" si="22"/>
        <v>860</v>
      </c>
      <c r="V74" s="12">
        <f t="shared" ca="1" si="21"/>
        <v>897</v>
      </c>
      <c r="W74" s="12">
        <f t="shared" ca="1" si="23"/>
        <v>874</v>
      </c>
      <c r="X74" s="13"/>
      <c r="Y74" s="10"/>
      <c r="Z74" s="10"/>
      <c r="AA74" s="10"/>
      <c r="AB74" s="9"/>
    </row>
    <row r="75" spans="1:28" ht="15" customHeight="1">
      <c r="A75" s="36">
        <v>61</v>
      </c>
      <c r="B75" s="35">
        <f t="shared" si="9"/>
        <v>45133</v>
      </c>
      <c r="C75" s="16">
        <f t="shared" si="10"/>
        <v>1069</v>
      </c>
      <c r="D75" s="15">
        <f t="shared" si="24"/>
        <v>1498</v>
      </c>
      <c r="E75" s="14">
        <f t="shared" ca="1" si="1"/>
        <v>667</v>
      </c>
      <c r="F75" s="14">
        <f t="shared" ca="1" si="2"/>
        <v>680</v>
      </c>
      <c r="G75" s="14">
        <f t="shared" ca="1" si="3"/>
        <v>733</v>
      </c>
      <c r="H75" s="10">
        <f t="shared" ca="1" si="4"/>
        <v>1900</v>
      </c>
      <c r="I75" s="10">
        <f t="shared" ca="1" si="5"/>
        <v>1887</v>
      </c>
      <c r="J75" s="10">
        <f t="shared" ca="1" si="6"/>
        <v>1834</v>
      </c>
      <c r="K75" s="10">
        <f t="shared" si="12"/>
        <v>2000</v>
      </c>
      <c r="L75" s="10">
        <f t="shared" si="13"/>
        <v>2000</v>
      </c>
      <c r="M75" s="10">
        <f t="shared" si="14"/>
        <v>2000</v>
      </c>
      <c r="N75" s="10">
        <f t="shared" ca="1" si="15"/>
        <v>-100</v>
      </c>
      <c r="O75" s="10">
        <f t="shared" ca="1" si="16"/>
        <v>-113</v>
      </c>
      <c r="P75" s="10">
        <f t="shared" ca="1" si="17"/>
        <v>-166</v>
      </c>
      <c r="Q75" s="14">
        <v>0</v>
      </c>
      <c r="R75" s="14">
        <v>0</v>
      </c>
      <c r="S75" s="14">
        <v>0</v>
      </c>
      <c r="T75" s="13">
        <f t="shared" ca="1" si="8"/>
        <v>1670</v>
      </c>
      <c r="U75" s="12">
        <f t="shared" ca="1" si="22"/>
        <v>860</v>
      </c>
      <c r="V75" s="12">
        <f t="shared" ca="1" si="21"/>
        <v>897</v>
      </c>
      <c r="W75" s="12">
        <f t="shared" ca="1" si="23"/>
        <v>874</v>
      </c>
      <c r="X75" s="13"/>
      <c r="Y75" s="10"/>
      <c r="Z75" s="10"/>
      <c r="AA75" s="10"/>
      <c r="AB75" s="9"/>
    </row>
    <row r="76" spans="1:28" ht="15">
      <c r="A76" s="36">
        <v>62</v>
      </c>
      <c r="B76" s="35">
        <f t="shared" si="9"/>
        <v>45134</v>
      </c>
      <c r="C76" s="16">
        <f t="shared" si="10"/>
        <v>1069</v>
      </c>
      <c r="D76" s="15">
        <f t="shared" si="24"/>
        <v>1496</v>
      </c>
      <c r="E76" s="14">
        <f t="shared" ca="1" si="1"/>
        <v>665</v>
      </c>
      <c r="F76" s="14">
        <f t="shared" ca="1" si="2"/>
        <v>678</v>
      </c>
      <c r="G76" s="14">
        <f t="shared" ca="1" si="3"/>
        <v>731</v>
      </c>
      <c r="H76" s="10">
        <f t="shared" ca="1" si="4"/>
        <v>1900</v>
      </c>
      <c r="I76" s="10">
        <f t="shared" ca="1" si="5"/>
        <v>1887</v>
      </c>
      <c r="J76" s="10">
        <f t="shared" ca="1" si="6"/>
        <v>1834</v>
      </c>
      <c r="K76" s="10">
        <f t="shared" si="12"/>
        <v>2000</v>
      </c>
      <c r="L76" s="10">
        <f t="shared" si="13"/>
        <v>2000</v>
      </c>
      <c r="M76" s="10">
        <f t="shared" si="14"/>
        <v>2000</v>
      </c>
      <c r="N76" s="10">
        <f t="shared" ca="1" si="15"/>
        <v>-100</v>
      </c>
      <c r="O76" s="10">
        <f t="shared" ca="1" si="16"/>
        <v>-113</v>
      </c>
      <c r="P76" s="10">
        <f t="shared" ca="1" si="17"/>
        <v>-166</v>
      </c>
      <c r="Q76" s="14">
        <v>0</v>
      </c>
      <c r="R76" s="14">
        <v>0</v>
      </c>
      <c r="S76" s="14">
        <v>0</v>
      </c>
      <c r="T76" s="13">
        <f t="shared" ca="1" si="8"/>
        <v>1668</v>
      </c>
      <c r="U76" s="12">
        <f t="shared" ca="1" si="22"/>
        <v>860</v>
      </c>
      <c r="V76" s="12">
        <f t="shared" ca="1" si="21"/>
        <v>897</v>
      </c>
      <c r="W76" s="12">
        <f t="shared" ca="1" si="23"/>
        <v>874</v>
      </c>
      <c r="X76" s="13"/>
      <c r="Y76" s="10"/>
      <c r="Z76" s="10"/>
      <c r="AA76" s="10"/>
      <c r="AB76" s="9"/>
    </row>
    <row r="77" spans="1:28" ht="15" customHeight="1">
      <c r="A77" s="36">
        <v>63</v>
      </c>
      <c r="B77" s="35">
        <f t="shared" si="9"/>
        <v>45135</v>
      </c>
      <c r="C77" s="16">
        <f t="shared" si="10"/>
        <v>1069</v>
      </c>
      <c r="D77" s="15">
        <f t="shared" si="24"/>
        <v>1494</v>
      </c>
      <c r="E77" s="14">
        <f t="shared" ca="1" si="1"/>
        <v>663</v>
      </c>
      <c r="F77" s="14">
        <f t="shared" ca="1" si="2"/>
        <v>676</v>
      </c>
      <c r="G77" s="14">
        <f t="shared" ca="1" si="3"/>
        <v>729</v>
      </c>
      <c r="H77" s="10">
        <f t="shared" ca="1" si="4"/>
        <v>1900</v>
      </c>
      <c r="I77" s="10">
        <f t="shared" ca="1" si="5"/>
        <v>1887</v>
      </c>
      <c r="J77" s="10">
        <f t="shared" ca="1" si="6"/>
        <v>1834</v>
      </c>
      <c r="K77" s="10">
        <f t="shared" si="12"/>
        <v>2000</v>
      </c>
      <c r="L77" s="10">
        <f t="shared" si="13"/>
        <v>2000</v>
      </c>
      <c r="M77" s="10">
        <f t="shared" si="14"/>
        <v>2000</v>
      </c>
      <c r="N77" s="10">
        <f t="shared" ca="1" si="15"/>
        <v>-100</v>
      </c>
      <c r="O77" s="10">
        <f t="shared" ca="1" si="16"/>
        <v>-113</v>
      </c>
      <c r="P77" s="10">
        <f t="shared" ca="1" si="17"/>
        <v>-166</v>
      </c>
      <c r="Q77" s="14">
        <v>0</v>
      </c>
      <c r="R77" s="14">
        <v>0</v>
      </c>
      <c r="S77" s="14">
        <v>0</v>
      </c>
      <c r="T77" s="13">
        <f t="shared" ca="1" si="8"/>
        <v>1666</v>
      </c>
      <c r="U77" s="12">
        <f t="shared" ca="1" si="22"/>
        <v>860</v>
      </c>
      <c r="V77" s="12">
        <f t="shared" ca="1" si="21"/>
        <v>897</v>
      </c>
      <c r="W77" s="12">
        <f t="shared" ca="1" si="23"/>
        <v>874</v>
      </c>
      <c r="X77" s="13"/>
      <c r="Y77" s="10"/>
      <c r="Z77" s="10"/>
      <c r="AA77" s="10"/>
      <c r="AB77" s="9"/>
    </row>
    <row r="78" spans="1:28" ht="15" customHeight="1">
      <c r="A78" s="36">
        <v>64</v>
      </c>
      <c r="B78" s="35">
        <f t="shared" si="9"/>
        <v>45136</v>
      </c>
      <c r="C78" s="16">
        <f t="shared" si="10"/>
        <v>1069</v>
      </c>
      <c r="D78" s="15">
        <f t="shared" si="24"/>
        <v>1492</v>
      </c>
      <c r="E78" s="14">
        <f t="shared" ref="E78:E141" ca="1" si="25">C78+D78-H78</f>
        <v>661</v>
      </c>
      <c r="F78" s="14">
        <f t="shared" ref="F78:F141" ca="1" si="26">C78+D78-I78</f>
        <v>674</v>
      </c>
      <c r="G78" s="14">
        <f t="shared" ref="G78:G141" ca="1" si="27">D78+C78-J78</f>
        <v>727</v>
      </c>
      <c r="H78" s="10">
        <f t="shared" ref="H78:H141" ca="1" si="28">K78+N78</f>
        <v>1900</v>
      </c>
      <c r="I78" s="10">
        <f t="shared" ref="I78:I141" ca="1" si="29">L78+O78</f>
        <v>1887</v>
      </c>
      <c r="J78" s="10">
        <f t="shared" ref="J78:J141" ca="1" si="30">M78+P78</f>
        <v>1834</v>
      </c>
      <c r="K78" s="10">
        <f t="shared" si="12"/>
        <v>2000</v>
      </c>
      <c r="L78" s="10">
        <f t="shared" si="13"/>
        <v>2000</v>
      </c>
      <c r="M78" s="10">
        <f t="shared" si="14"/>
        <v>2000</v>
      </c>
      <c r="N78" s="10">
        <f t="shared" ca="1" si="15"/>
        <v>-100</v>
      </c>
      <c r="O78" s="10">
        <f t="shared" ca="1" si="16"/>
        <v>-113</v>
      </c>
      <c r="P78" s="10">
        <f t="shared" ca="1" si="17"/>
        <v>-166</v>
      </c>
      <c r="Q78" s="14">
        <v>0</v>
      </c>
      <c r="R78" s="14">
        <v>0</v>
      </c>
      <c r="S78" s="14">
        <v>0</v>
      </c>
      <c r="T78" s="13">
        <f t="shared" ref="T78:T141" ca="1" si="31">D78+C78-V78</f>
        <v>1664</v>
      </c>
      <c r="U78" s="12">
        <f t="shared" ca="1" si="22"/>
        <v>860</v>
      </c>
      <c r="V78" s="12">
        <f t="shared" ca="1" si="21"/>
        <v>897</v>
      </c>
      <c r="W78" s="12">
        <f t="shared" ca="1" si="23"/>
        <v>874</v>
      </c>
      <c r="X78" s="13"/>
      <c r="Y78" s="10"/>
      <c r="Z78" s="10"/>
      <c r="AA78" s="10"/>
      <c r="AB78" s="9"/>
    </row>
    <row r="79" spans="1:28" ht="15" customHeight="1">
      <c r="A79" s="36">
        <v>65</v>
      </c>
      <c r="B79" s="35">
        <f t="shared" ref="B79:B142" si="32">B78+1</f>
        <v>45137</v>
      </c>
      <c r="C79" s="16">
        <f t="shared" ref="C79:C142" si="33">C78</f>
        <v>1069</v>
      </c>
      <c r="D79" s="15">
        <f t="shared" ref="D79:D110" si="34">D78-2</f>
        <v>1490</v>
      </c>
      <c r="E79" s="14">
        <f t="shared" ca="1" si="25"/>
        <v>659</v>
      </c>
      <c r="F79" s="14">
        <f t="shared" ca="1" si="26"/>
        <v>672</v>
      </c>
      <c r="G79" s="14">
        <f t="shared" ca="1" si="27"/>
        <v>725</v>
      </c>
      <c r="H79" s="10">
        <f t="shared" ca="1" si="28"/>
        <v>1900</v>
      </c>
      <c r="I79" s="10">
        <f t="shared" ca="1" si="29"/>
        <v>1887</v>
      </c>
      <c r="J79" s="10">
        <f t="shared" ca="1" si="30"/>
        <v>1834</v>
      </c>
      <c r="K79" s="10">
        <f t="shared" ref="K79:K142" si="35">K78</f>
        <v>2000</v>
      </c>
      <c r="L79" s="10">
        <f t="shared" ref="L79:L142" si="36">L78</f>
        <v>2000</v>
      </c>
      <c r="M79" s="10">
        <f t="shared" ref="M79:M142" si="37">M78</f>
        <v>2000</v>
      </c>
      <c r="N79" s="10">
        <f t="shared" ref="N79:N142" ca="1" si="38">N78-Q79</f>
        <v>-100</v>
      </c>
      <c r="O79" s="10">
        <f t="shared" ref="O79:O142" ca="1" si="39">O78-R79</f>
        <v>-113</v>
      </c>
      <c r="P79" s="10">
        <f t="shared" ref="P79:P142" ca="1" si="40">P78-S79</f>
        <v>-166</v>
      </c>
      <c r="Q79" s="14">
        <v>0</v>
      </c>
      <c r="R79" s="14">
        <v>0</v>
      </c>
      <c r="S79" s="14">
        <v>0</v>
      </c>
      <c r="T79" s="13">
        <f t="shared" ca="1" si="31"/>
        <v>1662</v>
      </c>
      <c r="U79" s="12">
        <f t="shared" ca="1" si="22"/>
        <v>860</v>
      </c>
      <c r="V79" s="12">
        <f t="shared" ca="1" si="21"/>
        <v>897</v>
      </c>
      <c r="W79" s="12">
        <f t="shared" ca="1" si="23"/>
        <v>874</v>
      </c>
      <c r="X79" s="13"/>
      <c r="Y79" s="10"/>
      <c r="Z79" s="10"/>
      <c r="AA79" s="10"/>
      <c r="AB79" s="9"/>
    </row>
    <row r="80" spans="1:28" ht="15" customHeight="1">
      <c r="A80" s="36">
        <v>66</v>
      </c>
      <c r="B80" s="35">
        <f t="shared" si="32"/>
        <v>45138</v>
      </c>
      <c r="C80" s="16">
        <f t="shared" si="33"/>
        <v>1069</v>
      </c>
      <c r="D80" s="15">
        <f t="shared" si="34"/>
        <v>1488</v>
      </c>
      <c r="E80" s="14">
        <f t="shared" ca="1" si="25"/>
        <v>657</v>
      </c>
      <c r="F80" s="14">
        <f t="shared" ca="1" si="26"/>
        <v>670</v>
      </c>
      <c r="G80" s="14">
        <f t="shared" ca="1" si="27"/>
        <v>723</v>
      </c>
      <c r="H80" s="10">
        <f t="shared" ca="1" si="28"/>
        <v>1900</v>
      </c>
      <c r="I80" s="10">
        <f t="shared" ca="1" si="29"/>
        <v>1887</v>
      </c>
      <c r="J80" s="10">
        <f t="shared" ca="1" si="30"/>
        <v>1834</v>
      </c>
      <c r="K80" s="10">
        <f t="shared" si="35"/>
        <v>2000</v>
      </c>
      <c r="L80" s="10">
        <f t="shared" si="36"/>
        <v>2000</v>
      </c>
      <c r="M80" s="10">
        <f t="shared" si="37"/>
        <v>2000</v>
      </c>
      <c r="N80" s="10">
        <f t="shared" ca="1" si="38"/>
        <v>-100</v>
      </c>
      <c r="O80" s="10">
        <f t="shared" ca="1" si="39"/>
        <v>-113</v>
      </c>
      <c r="P80" s="10">
        <f t="shared" ca="1" si="40"/>
        <v>-166</v>
      </c>
      <c r="Q80" s="14">
        <v>0</v>
      </c>
      <c r="R80" s="14">
        <v>0</v>
      </c>
      <c r="S80" s="14">
        <v>0</v>
      </c>
      <c r="T80" s="13">
        <f t="shared" ca="1" si="31"/>
        <v>1660</v>
      </c>
      <c r="U80" s="12">
        <f t="shared" ca="1" si="22"/>
        <v>860</v>
      </c>
      <c r="V80" s="12">
        <f t="shared" ca="1" si="21"/>
        <v>897</v>
      </c>
      <c r="W80" s="12">
        <f t="shared" ca="1" si="23"/>
        <v>874</v>
      </c>
      <c r="X80" s="13"/>
      <c r="Y80" s="10"/>
      <c r="Z80" s="10"/>
      <c r="AA80" s="10"/>
      <c r="AB80" s="9"/>
    </row>
    <row r="81" spans="1:36" ht="15" customHeight="1">
      <c r="A81" s="36">
        <v>67</v>
      </c>
      <c r="B81" s="35">
        <f t="shared" si="32"/>
        <v>45139</v>
      </c>
      <c r="C81" s="16">
        <f t="shared" si="33"/>
        <v>1069</v>
      </c>
      <c r="D81" s="15">
        <f t="shared" si="34"/>
        <v>1486</v>
      </c>
      <c r="E81" s="14">
        <f t="shared" ca="1" si="25"/>
        <v>655</v>
      </c>
      <c r="F81" s="14">
        <f t="shared" ca="1" si="26"/>
        <v>668</v>
      </c>
      <c r="G81" s="14">
        <f t="shared" ca="1" si="27"/>
        <v>721</v>
      </c>
      <c r="H81" s="10">
        <f t="shared" ca="1" si="28"/>
        <v>1900</v>
      </c>
      <c r="I81" s="10">
        <f t="shared" ca="1" si="29"/>
        <v>1887</v>
      </c>
      <c r="J81" s="10">
        <f t="shared" ca="1" si="30"/>
        <v>1834</v>
      </c>
      <c r="K81" s="10">
        <f t="shared" si="35"/>
        <v>2000</v>
      </c>
      <c r="L81" s="10">
        <f t="shared" si="36"/>
        <v>2000</v>
      </c>
      <c r="M81" s="10">
        <f t="shared" si="37"/>
        <v>2000</v>
      </c>
      <c r="N81" s="10">
        <f t="shared" ca="1" si="38"/>
        <v>-100</v>
      </c>
      <c r="O81" s="10">
        <f t="shared" ca="1" si="39"/>
        <v>-113</v>
      </c>
      <c r="P81" s="10">
        <f t="shared" ca="1" si="40"/>
        <v>-166</v>
      </c>
      <c r="Q81" s="14">
        <v>0</v>
      </c>
      <c r="R81" s="14">
        <v>0</v>
      </c>
      <c r="S81" s="14">
        <v>0</v>
      </c>
      <c r="T81" s="13">
        <f t="shared" ca="1" si="31"/>
        <v>1658</v>
      </c>
      <c r="U81" s="12">
        <f t="shared" ca="1" si="22"/>
        <v>860</v>
      </c>
      <c r="V81" s="12">
        <f t="shared" ca="1" si="21"/>
        <v>897</v>
      </c>
      <c r="W81" s="12">
        <f t="shared" ca="1" si="23"/>
        <v>874</v>
      </c>
      <c r="X81" s="13"/>
      <c r="Y81" s="10"/>
      <c r="Z81" s="10"/>
      <c r="AA81" s="10"/>
      <c r="AB81" s="9"/>
    </row>
    <row r="82" spans="1:36" s="25" customFormat="1" ht="15" customHeight="1">
      <c r="A82" s="42">
        <v>68</v>
      </c>
      <c r="B82" s="41">
        <f t="shared" si="32"/>
        <v>45140</v>
      </c>
      <c r="C82" s="33">
        <f t="shared" si="33"/>
        <v>1069</v>
      </c>
      <c r="D82" s="32">
        <f t="shared" si="34"/>
        <v>1484</v>
      </c>
      <c r="E82" s="31">
        <f t="shared" ca="1" si="25"/>
        <v>653</v>
      </c>
      <c r="F82" s="31">
        <f t="shared" ca="1" si="26"/>
        <v>666</v>
      </c>
      <c r="G82" s="31">
        <f t="shared" ca="1" si="27"/>
        <v>719</v>
      </c>
      <c r="H82" s="27">
        <f t="shared" ca="1" si="28"/>
        <v>1900</v>
      </c>
      <c r="I82" s="27">
        <f t="shared" ca="1" si="29"/>
        <v>1887</v>
      </c>
      <c r="J82" s="27">
        <f t="shared" ca="1" si="30"/>
        <v>1834</v>
      </c>
      <c r="K82" s="27">
        <f t="shared" si="35"/>
        <v>2000</v>
      </c>
      <c r="L82" s="27">
        <f t="shared" si="36"/>
        <v>2000</v>
      </c>
      <c r="M82" s="27">
        <f t="shared" si="37"/>
        <v>2000</v>
      </c>
      <c r="N82" s="27">
        <f t="shared" ca="1" si="38"/>
        <v>-100</v>
      </c>
      <c r="O82" s="27">
        <f t="shared" ca="1" si="39"/>
        <v>-113</v>
      </c>
      <c r="P82" s="27">
        <f t="shared" ca="1" si="40"/>
        <v>-166</v>
      </c>
      <c r="Q82" s="31">
        <v>0</v>
      </c>
      <c r="R82" s="31">
        <v>0</v>
      </c>
      <c r="S82" s="31">
        <v>0</v>
      </c>
      <c r="T82" s="30">
        <f t="shared" ca="1" si="31"/>
        <v>1656</v>
      </c>
      <c r="U82" s="29">
        <f t="shared" ca="1" si="22"/>
        <v>860</v>
      </c>
      <c r="V82" s="29">
        <f t="shared" ca="1" si="21"/>
        <v>897</v>
      </c>
      <c r="W82" s="29">
        <f t="shared" ca="1" si="23"/>
        <v>874</v>
      </c>
      <c r="X82" s="30"/>
      <c r="Y82" s="27"/>
      <c r="Z82" s="27"/>
      <c r="AA82" s="27"/>
      <c r="AB82" s="40"/>
      <c r="AD82"/>
      <c r="AE82"/>
      <c r="AF82"/>
      <c r="AG82"/>
      <c r="AH82"/>
      <c r="AI82"/>
      <c r="AJ82"/>
    </row>
    <row r="83" spans="1:36" ht="15" customHeight="1">
      <c r="A83" s="36">
        <v>69</v>
      </c>
      <c r="B83" s="35">
        <f t="shared" si="32"/>
        <v>45141</v>
      </c>
      <c r="C83" s="16">
        <f t="shared" si="33"/>
        <v>1069</v>
      </c>
      <c r="D83" s="15">
        <f t="shared" si="34"/>
        <v>1482</v>
      </c>
      <c r="E83" s="14">
        <f t="shared" ca="1" si="25"/>
        <v>651</v>
      </c>
      <c r="F83" s="14">
        <f t="shared" ca="1" si="26"/>
        <v>664</v>
      </c>
      <c r="G83" s="14">
        <f t="shared" ca="1" si="27"/>
        <v>717</v>
      </c>
      <c r="H83" s="10">
        <f t="shared" ca="1" si="28"/>
        <v>1900</v>
      </c>
      <c r="I83" s="10">
        <f t="shared" ca="1" si="29"/>
        <v>1887</v>
      </c>
      <c r="J83" s="10">
        <f t="shared" ca="1" si="30"/>
        <v>1834</v>
      </c>
      <c r="K83" s="10">
        <f t="shared" si="35"/>
        <v>2000</v>
      </c>
      <c r="L83" s="10">
        <f t="shared" si="36"/>
        <v>2000</v>
      </c>
      <c r="M83" s="10">
        <f t="shared" si="37"/>
        <v>2000</v>
      </c>
      <c r="N83" s="10">
        <f t="shared" ca="1" si="38"/>
        <v>-100</v>
      </c>
      <c r="O83" s="10">
        <f t="shared" ca="1" si="39"/>
        <v>-113</v>
      </c>
      <c r="P83" s="10">
        <f t="shared" ca="1" si="40"/>
        <v>-166</v>
      </c>
      <c r="Q83" s="14">
        <v>0</v>
      </c>
      <c r="R83" s="14">
        <v>0</v>
      </c>
      <c r="S83" s="14">
        <v>0</v>
      </c>
      <c r="T83" s="13">
        <f t="shared" ca="1" si="31"/>
        <v>1654</v>
      </c>
      <c r="U83" s="12">
        <f t="shared" ca="1" si="22"/>
        <v>860</v>
      </c>
      <c r="V83" s="12">
        <f t="shared" ca="1" si="21"/>
        <v>897</v>
      </c>
      <c r="W83" s="12">
        <f t="shared" ca="1" si="23"/>
        <v>874</v>
      </c>
      <c r="X83" s="13"/>
      <c r="Y83" s="10"/>
      <c r="Z83" s="10"/>
      <c r="AA83" s="10"/>
      <c r="AB83" s="9"/>
    </row>
    <row r="84" spans="1:36" ht="15" customHeight="1">
      <c r="A84" s="36">
        <v>70</v>
      </c>
      <c r="B84" s="35">
        <f t="shared" si="32"/>
        <v>45142</v>
      </c>
      <c r="C84" s="16">
        <f t="shared" si="33"/>
        <v>1069</v>
      </c>
      <c r="D84" s="15">
        <f t="shared" si="34"/>
        <v>1480</v>
      </c>
      <c r="E84" s="14">
        <f t="shared" ca="1" si="25"/>
        <v>649</v>
      </c>
      <c r="F84" s="14">
        <f t="shared" ca="1" si="26"/>
        <v>662</v>
      </c>
      <c r="G84" s="14">
        <f t="shared" ca="1" si="27"/>
        <v>715</v>
      </c>
      <c r="H84" s="10">
        <f t="shared" ca="1" si="28"/>
        <v>1900</v>
      </c>
      <c r="I84" s="10">
        <f t="shared" ca="1" si="29"/>
        <v>1887</v>
      </c>
      <c r="J84" s="10">
        <f t="shared" ca="1" si="30"/>
        <v>1834</v>
      </c>
      <c r="K84" s="10">
        <f t="shared" si="35"/>
        <v>2000</v>
      </c>
      <c r="L84" s="10">
        <f t="shared" si="36"/>
        <v>2000</v>
      </c>
      <c r="M84" s="10">
        <f t="shared" si="37"/>
        <v>2000</v>
      </c>
      <c r="N84" s="10">
        <f t="shared" ca="1" si="38"/>
        <v>-100</v>
      </c>
      <c r="O84" s="10">
        <f t="shared" ca="1" si="39"/>
        <v>-113</v>
      </c>
      <c r="P84" s="10">
        <f t="shared" ca="1" si="40"/>
        <v>-166</v>
      </c>
      <c r="Q84" s="14">
        <v>0</v>
      </c>
      <c r="R84" s="14">
        <v>0</v>
      </c>
      <c r="S84" s="14">
        <v>0</v>
      </c>
      <c r="T84" s="13">
        <f t="shared" ca="1" si="31"/>
        <v>1652</v>
      </c>
      <c r="U84" s="12">
        <f t="shared" ca="1" si="22"/>
        <v>860</v>
      </c>
      <c r="V84" s="12">
        <f t="shared" ca="1" si="21"/>
        <v>897</v>
      </c>
      <c r="W84" s="12">
        <f t="shared" ca="1" si="23"/>
        <v>874</v>
      </c>
      <c r="X84" s="13"/>
      <c r="Y84" s="10"/>
      <c r="Z84" s="10"/>
      <c r="AA84" s="10"/>
      <c r="AB84" s="9"/>
    </row>
    <row r="85" spans="1:36" ht="15" customHeight="1">
      <c r="A85" s="36">
        <v>71</v>
      </c>
      <c r="B85" s="35">
        <f t="shared" si="32"/>
        <v>45143</v>
      </c>
      <c r="C85" s="16">
        <f t="shared" si="33"/>
        <v>1069</v>
      </c>
      <c r="D85" s="15">
        <f t="shared" si="34"/>
        <v>1478</v>
      </c>
      <c r="E85" s="14">
        <f t="shared" ca="1" si="25"/>
        <v>647</v>
      </c>
      <c r="F85" s="14">
        <f t="shared" ca="1" si="26"/>
        <v>660</v>
      </c>
      <c r="G85" s="14">
        <f t="shared" ca="1" si="27"/>
        <v>713</v>
      </c>
      <c r="H85" s="10">
        <f t="shared" ca="1" si="28"/>
        <v>1900</v>
      </c>
      <c r="I85" s="10">
        <f t="shared" ca="1" si="29"/>
        <v>1887</v>
      </c>
      <c r="J85" s="10">
        <f t="shared" ca="1" si="30"/>
        <v>1834</v>
      </c>
      <c r="K85" s="10">
        <f t="shared" si="35"/>
        <v>2000</v>
      </c>
      <c r="L85" s="10">
        <f t="shared" si="36"/>
        <v>2000</v>
      </c>
      <c r="M85" s="10">
        <f t="shared" si="37"/>
        <v>2000</v>
      </c>
      <c r="N85" s="10">
        <f t="shared" ca="1" si="38"/>
        <v>-100</v>
      </c>
      <c r="O85" s="10">
        <f t="shared" ca="1" si="39"/>
        <v>-113</v>
      </c>
      <c r="P85" s="10">
        <f t="shared" ca="1" si="40"/>
        <v>-166</v>
      </c>
      <c r="Q85" s="14">
        <v>0</v>
      </c>
      <c r="R85" s="14">
        <v>0</v>
      </c>
      <c r="S85" s="14">
        <v>0</v>
      </c>
      <c r="T85" s="13">
        <f t="shared" ca="1" si="31"/>
        <v>1650</v>
      </c>
      <c r="U85" s="12">
        <f t="shared" ca="1" si="22"/>
        <v>860</v>
      </c>
      <c r="V85" s="12">
        <f t="shared" ca="1" si="21"/>
        <v>897</v>
      </c>
      <c r="W85" s="12">
        <f t="shared" ca="1" si="23"/>
        <v>874</v>
      </c>
      <c r="X85" s="13"/>
      <c r="Y85" s="10"/>
      <c r="Z85" s="10"/>
      <c r="AA85" s="10"/>
      <c r="AB85" s="9"/>
    </row>
    <row r="86" spans="1:36" ht="15" customHeight="1">
      <c r="A86" s="36">
        <v>72</v>
      </c>
      <c r="B86" s="35">
        <f t="shared" si="32"/>
        <v>45144</v>
      </c>
      <c r="C86" s="16">
        <f t="shared" si="33"/>
        <v>1069</v>
      </c>
      <c r="D86" s="15">
        <f t="shared" si="34"/>
        <v>1476</v>
      </c>
      <c r="E86" s="14">
        <f t="shared" ca="1" si="25"/>
        <v>645</v>
      </c>
      <c r="F86" s="14">
        <f t="shared" ca="1" si="26"/>
        <v>658</v>
      </c>
      <c r="G86" s="14">
        <f t="shared" ca="1" si="27"/>
        <v>711</v>
      </c>
      <c r="H86" s="10">
        <f t="shared" ca="1" si="28"/>
        <v>1900</v>
      </c>
      <c r="I86" s="10">
        <f t="shared" ca="1" si="29"/>
        <v>1887</v>
      </c>
      <c r="J86" s="10">
        <f t="shared" ca="1" si="30"/>
        <v>1834</v>
      </c>
      <c r="K86" s="10">
        <f t="shared" si="35"/>
        <v>2000</v>
      </c>
      <c r="L86" s="10">
        <f t="shared" si="36"/>
        <v>2000</v>
      </c>
      <c r="M86" s="10">
        <f t="shared" si="37"/>
        <v>2000</v>
      </c>
      <c r="N86" s="10">
        <f t="shared" ca="1" si="38"/>
        <v>-100</v>
      </c>
      <c r="O86" s="10">
        <f t="shared" ca="1" si="39"/>
        <v>-113</v>
      </c>
      <c r="P86" s="10">
        <f t="shared" ca="1" si="40"/>
        <v>-166</v>
      </c>
      <c r="Q86" s="14">
        <v>0</v>
      </c>
      <c r="R86" s="14">
        <v>0</v>
      </c>
      <c r="S86" s="14">
        <v>0</v>
      </c>
      <c r="T86" s="13">
        <f t="shared" ca="1" si="31"/>
        <v>1648</v>
      </c>
      <c r="U86" s="12">
        <f t="shared" ca="1" si="22"/>
        <v>860</v>
      </c>
      <c r="V86" s="12">
        <f t="shared" ca="1" si="21"/>
        <v>897</v>
      </c>
      <c r="W86" s="12">
        <f t="shared" ca="1" si="23"/>
        <v>874</v>
      </c>
      <c r="X86" s="13"/>
      <c r="Y86" s="10"/>
      <c r="Z86" s="10"/>
      <c r="AA86" s="10"/>
      <c r="AB86" s="9"/>
    </row>
    <row r="87" spans="1:36" ht="15" customHeight="1">
      <c r="A87" s="36">
        <v>73</v>
      </c>
      <c r="B87" s="35">
        <f t="shared" si="32"/>
        <v>45145</v>
      </c>
      <c r="C87" s="16">
        <f t="shared" si="33"/>
        <v>1069</v>
      </c>
      <c r="D87" s="15">
        <f t="shared" si="34"/>
        <v>1474</v>
      </c>
      <c r="E87" s="14">
        <f t="shared" ca="1" si="25"/>
        <v>643</v>
      </c>
      <c r="F87" s="14">
        <f t="shared" ca="1" si="26"/>
        <v>656</v>
      </c>
      <c r="G87" s="14">
        <f t="shared" ca="1" si="27"/>
        <v>709</v>
      </c>
      <c r="H87" s="10">
        <f t="shared" ca="1" si="28"/>
        <v>1900</v>
      </c>
      <c r="I87" s="10">
        <f t="shared" ca="1" si="29"/>
        <v>1887</v>
      </c>
      <c r="J87" s="10">
        <f t="shared" ca="1" si="30"/>
        <v>1834</v>
      </c>
      <c r="K87" s="10">
        <f t="shared" si="35"/>
        <v>2000</v>
      </c>
      <c r="L87" s="10">
        <f t="shared" si="36"/>
        <v>2000</v>
      </c>
      <c r="M87" s="10">
        <f t="shared" si="37"/>
        <v>2000</v>
      </c>
      <c r="N87" s="10">
        <f t="shared" ca="1" si="38"/>
        <v>-100</v>
      </c>
      <c r="O87" s="10">
        <f t="shared" ca="1" si="39"/>
        <v>-113</v>
      </c>
      <c r="P87" s="10">
        <f t="shared" ca="1" si="40"/>
        <v>-166</v>
      </c>
      <c r="Q87" s="14">
        <v>0</v>
      </c>
      <c r="R87" s="14">
        <v>0</v>
      </c>
      <c r="S87" s="14">
        <v>0</v>
      </c>
      <c r="T87" s="13">
        <f t="shared" ca="1" si="31"/>
        <v>1646</v>
      </c>
      <c r="U87" s="12">
        <f t="shared" ca="1" si="22"/>
        <v>860</v>
      </c>
      <c r="V87" s="12">
        <f t="shared" ca="1" si="21"/>
        <v>897</v>
      </c>
      <c r="W87" s="12">
        <f t="shared" ca="1" si="23"/>
        <v>874</v>
      </c>
      <c r="X87" s="13"/>
      <c r="Y87" s="10"/>
      <c r="Z87" s="10"/>
      <c r="AA87" s="10"/>
      <c r="AB87" s="9"/>
    </row>
    <row r="88" spans="1:36" ht="15" customHeight="1">
      <c r="A88" s="36">
        <v>74</v>
      </c>
      <c r="B88" s="35">
        <f t="shared" si="32"/>
        <v>45146</v>
      </c>
      <c r="C88" s="16">
        <f t="shared" si="33"/>
        <v>1069</v>
      </c>
      <c r="D88" s="15">
        <f t="shared" si="34"/>
        <v>1472</v>
      </c>
      <c r="E88" s="14">
        <f t="shared" ca="1" si="25"/>
        <v>641</v>
      </c>
      <c r="F88" s="14">
        <f t="shared" ca="1" si="26"/>
        <v>654</v>
      </c>
      <c r="G88" s="14">
        <f t="shared" ca="1" si="27"/>
        <v>707</v>
      </c>
      <c r="H88" s="10">
        <f t="shared" ca="1" si="28"/>
        <v>1900</v>
      </c>
      <c r="I88" s="10">
        <f t="shared" ca="1" si="29"/>
        <v>1887</v>
      </c>
      <c r="J88" s="10">
        <f t="shared" ca="1" si="30"/>
        <v>1834</v>
      </c>
      <c r="K88" s="10">
        <f t="shared" si="35"/>
        <v>2000</v>
      </c>
      <c r="L88" s="10">
        <f t="shared" si="36"/>
        <v>2000</v>
      </c>
      <c r="M88" s="10">
        <f t="shared" si="37"/>
        <v>2000</v>
      </c>
      <c r="N88" s="10">
        <f t="shared" ca="1" si="38"/>
        <v>-100</v>
      </c>
      <c r="O88" s="10">
        <f t="shared" ca="1" si="39"/>
        <v>-113</v>
      </c>
      <c r="P88" s="10">
        <f t="shared" ca="1" si="40"/>
        <v>-166</v>
      </c>
      <c r="Q88" s="14">
        <v>0</v>
      </c>
      <c r="R88" s="14">
        <v>0</v>
      </c>
      <c r="S88" s="14">
        <v>0</v>
      </c>
      <c r="T88" s="13">
        <f t="shared" ca="1" si="31"/>
        <v>1644</v>
      </c>
      <c r="U88" s="12">
        <f t="shared" ca="1" si="22"/>
        <v>860</v>
      </c>
      <c r="V88" s="12">
        <f t="shared" ca="1" si="21"/>
        <v>897</v>
      </c>
      <c r="W88" s="12">
        <f t="shared" ca="1" si="23"/>
        <v>874</v>
      </c>
      <c r="X88" s="13"/>
      <c r="Y88" s="10"/>
      <c r="Z88" s="10"/>
      <c r="AA88" s="10"/>
      <c r="AB88" s="9"/>
    </row>
    <row r="89" spans="1:36" ht="15" customHeight="1">
      <c r="A89" s="36">
        <v>75</v>
      </c>
      <c r="B89" s="35">
        <f t="shared" si="32"/>
        <v>45147</v>
      </c>
      <c r="C89" s="16">
        <f t="shared" si="33"/>
        <v>1069</v>
      </c>
      <c r="D89" s="15">
        <f t="shared" si="34"/>
        <v>1470</v>
      </c>
      <c r="E89" s="14">
        <f t="shared" ca="1" si="25"/>
        <v>639</v>
      </c>
      <c r="F89" s="14">
        <f t="shared" ca="1" si="26"/>
        <v>652</v>
      </c>
      <c r="G89" s="14">
        <f t="shared" ca="1" si="27"/>
        <v>705</v>
      </c>
      <c r="H89" s="10">
        <f t="shared" ca="1" si="28"/>
        <v>1900</v>
      </c>
      <c r="I89" s="10">
        <f t="shared" ca="1" si="29"/>
        <v>1887</v>
      </c>
      <c r="J89" s="10">
        <f t="shared" ca="1" si="30"/>
        <v>1834</v>
      </c>
      <c r="K89" s="10">
        <f t="shared" si="35"/>
        <v>2000</v>
      </c>
      <c r="L89" s="10">
        <f t="shared" si="36"/>
        <v>2000</v>
      </c>
      <c r="M89" s="10">
        <f t="shared" si="37"/>
        <v>2000</v>
      </c>
      <c r="N89" s="10">
        <f t="shared" ca="1" si="38"/>
        <v>-100</v>
      </c>
      <c r="O89" s="10">
        <f t="shared" ca="1" si="39"/>
        <v>-113</v>
      </c>
      <c r="P89" s="10">
        <f t="shared" ca="1" si="40"/>
        <v>-166</v>
      </c>
      <c r="Q89" s="14">
        <v>0</v>
      </c>
      <c r="R89" s="14">
        <v>0</v>
      </c>
      <c r="S89" s="14">
        <v>0</v>
      </c>
      <c r="T89" s="13">
        <f t="shared" ca="1" si="31"/>
        <v>1642</v>
      </c>
      <c r="U89" s="12">
        <f t="shared" ca="1" si="22"/>
        <v>860</v>
      </c>
      <c r="V89" s="12">
        <f t="shared" ca="1" si="21"/>
        <v>897</v>
      </c>
      <c r="W89" s="12">
        <f t="shared" ca="1" si="23"/>
        <v>874</v>
      </c>
      <c r="X89" s="13"/>
      <c r="Y89" s="10"/>
      <c r="Z89" s="10"/>
      <c r="AA89" s="10"/>
      <c r="AB89" s="9"/>
    </row>
    <row r="90" spans="1:36" ht="15" customHeight="1">
      <c r="A90" s="36">
        <v>76</v>
      </c>
      <c r="B90" s="35">
        <f t="shared" si="32"/>
        <v>45148</v>
      </c>
      <c r="C90" s="16">
        <f t="shared" si="33"/>
        <v>1069</v>
      </c>
      <c r="D90" s="15">
        <f t="shared" si="34"/>
        <v>1468</v>
      </c>
      <c r="E90" s="14">
        <f t="shared" ca="1" si="25"/>
        <v>637</v>
      </c>
      <c r="F90" s="14">
        <f t="shared" ca="1" si="26"/>
        <v>650</v>
      </c>
      <c r="G90" s="14">
        <f t="shared" ca="1" si="27"/>
        <v>703</v>
      </c>
      <c r="H90" s="10">
        <f t="shared" ca="1" si="28"/>
        <v>1900</v>
      </c>
      <c r="I90" s="10">
        <f t="shared" ca="1" si="29"/>
        <v>1887</v>
      </c>
      <c r="J90" s="10">
        <f t="shared" ca="1" si="30"/>
        <v>1834</v>
      </c>
      <c r="K90" s="10">
        <f t="shared" si="35"/>
        <v>2000</v>
      </c>
      <c r="L90" s="10">
        <f t="shared" si="36"/>
        <v>2000</v>
      </c>
      <c r="M90" s="10">
        <f t="shared" si="37"/>
        <v>2000</v>
      </c>
      <c r="N90" s="10">
        <f t="shared" ca="1" si="38"/>
        <v>-100</v>
      </c>
      <c r="O90" s="10">
        <f t="shared" ca="1" si="39"/>
        <v>-113</v>
      </c>
      <c r="P90" s="10">
        <f t="shared" ca="1" si="40"/>
        <v>-166</v>
      </c>
      <c r="Q90" s="14">
        <v>0</v>
      </c>
      <c r="R90" s="14">
        <v>0</v>
      </c>
      <c r="S90" s="14">
        <v>0</v>
      </c>
      <c r="T90" s="13">
        <f t="shared" ca="1" si="31"/>
        <v>1640</v>
      </c>
      <c r="U90" s="12">
        <f t="shared" ca="1" si="22"/>
        <v>860</v>
      </c>
      <c r="V90" s="12">
        <f t="shared" ca="1" si="21"/>
        <v>897</v>
      </c>
      <c r="W90" s="12">
        <f t="shared" ca="1" si="23"/>
        <v>874</v>
      </c>
      <c r="X90" s="13"/>
      <c r="Y90" s="10"/>
      <c r="Z90" s="10"/>
      <c r="AA90" s="10"/>
      <c r="AB90" s="9"/>
    </row>
    <row r="91" spans="1:36" ht="15" customHeight="1">
      <c r="A91" s="36">
        <v>77</v>
      </c>
      <c r="B91" s="35">
        <f t="shared" si="32"/>
        <v>45149</v>
      </c>
      <c r="C91" s="16">
        <f t="shared" si="33"/>
        <v>1069</v>
      </c>
      <c r="D91" s="15">
        <f t="shared" si="34"/>
        <v>1466</v>
      </c>
      <c r="E91" s="14">
        <f t="shared" ca="1" si="25"/>
        <v>635</v>
      </c>
      <c r="F91" s="14">
        <f t="shared" ca="1" si="26"/>
        <v>648</v>
      </c>
      <c r="G91" s="14">
        <f t="shared" ca="1" si="27"/>
        <v>701</v>
      </c>
      <c r="H91" s="10">
        <f t="shared" ca="1" si="28"/>
        <v>1900</v>
      </c>
      <c r="I91" s="10">
        <f t="shared" ca="1" si="29"/>
        <v>1887</v>
      </c>
      <c r="J91" s="10">
        <f t="shared" ca="1" si="30"/>
        <v>1834</v>
      </c>
      <c r="K91" s="10">
        <f t="shared" si="35"/>
        <v>2000</v>
      </c>
      <c r="L91" s="10">
        <f t="shared" si="36"/>
        <v>2000</v>
      </c>
      <c r="M91" s="10">
        <f t="shared" si="37"/>
        <v>2000</v>
      </c>
      <c r="N91" s="10">
        <f t="shared" ca="1" si="38"/>
        <v>-100</v>
      </c>
      <c r="O91" s="10">
        <f t="shared" ca="1" si="39"/>
        <v>-113</v>
      </c>
      <c r="P91" s="10">
        <f t="shared" ca="1" si="40"/>
        <v>-166</v>
      </c>
      <c r="Q91" s="14">
        <v>0</v>
      </c>
      <c r="R91" s="14">
        <v>0</v>
      </c>
      <c r="S91" s="14">
        <v>0</v>
      </c>
      <c r="T91" s="13">
        <f t="shared" ca="1" si="31"/>
        <v>1638</v>
      </c>
      <c r="U91" s="12">
        <f t="shared" ca="1" si="22"/>
        <v>860</v>
      </c>
      <c r="V91" s="12">
        <f t="shared" ref="V91:V154" ca="1" si="41">V90+$X91*1000-R91</f>
        <v>897</v>
      </c>
      <c r="W91" s="12">
        <f t="shared" ca="1" si="23"/>
        <v>874</v>
      </c>
      <c r="X91" s="13"/>
      <c r="Y91" s="10"/>
      <c r="Z91" s="10"/>
      <c r="AA91" s="10"/>
      <c r="AB91" s="9"/>
    </row>
    <row r="92" spans="1:36" ht="15" customHeight="1">
      <c r="A92" s="36">
        <v>78</v>
      </c>
      <c r="B92" s="35">
        <f t="shared" si="32"/>
        <v>45150</v>
      </c>
      <c r="C92" s="16">
        <f t="shared" si="33"/>
        <v>1069</v>
      </c>
      <c r="D92" s="15">
        <f t="shared" si="34"/>
        <v>1464</v>
      </c>
      <c r="E92" s="14">
        <f t="shared" ca="1" si="25"/>
        <v>633</v>
      </c>
      <c r="F92" s="14">
        <f t="shared" ca="1" si="26"/>
        <v>646</v>
      </c>
      <c r="G92" s="14">
        <f t="shared" ca="1" si="27"/>
        <v>699</v>
      </c>
      <c r="H92" s="10">
        <f t="shared" ca="1" si="28"/>
        <v>1900</v>
      </c>
      <c r="I92" s="10">
        <f t="shared" ca="1" si="29"/>
        <v>1887</v>
      </c>
      <c r="J92" s="10">
        <f t="shared" ca="1" si="30"/>
        <v>1834</v>
      </c>
      <c r="K92" s="10">
        <f t="shared" si="35"/>
        <v>2000</v>
      </c>
      <c r="L92" s="10">
        <f t="shared" si="36"/>
        <v>2000</v>
      </c>
      <c r="M92" s="10">
        <f t="shared" si="37"/>
        <v>2000</v>
      </c>
      <c r="N92" s="10">
        <f t="shared" ca="1" si="38"/>
        <v>-100</v>
      </c>
      <c r="O92" s="10">
        <f t="shared" ca="1" si="39"/>
        <v>-113</v>
      </c>
      <c r="P92" s="10">
        <f t="shared" ca="1" si="40"/>
        <v>-166</v>
      </c>
      <c r="Q92" s="14">
        <v>0</v>
      </c>
      <c r="R92" s="14">
        <v>0</v>
      </c>
      <c r="S92" s="14">
        <v>0</v>
      </c>
      <c r="T92" s="13">
        <f t="shared" ca="1" si="31"/>
        <v>1636</v>
      </c>
      <c r="U92" s="12">
        <f t="shared" ref="U92:U155" ca="1" si="42">U91+$X92*1000-Q92</f>
        <v>860</v>
      </c>
      <c r="V92" s="12">
        <f t="shared" ca="1" si="41"/>
        <v>897</v>
      </c>
      <c r="W92" s="12">
        <f t="shared" ref="W92:W155" ca="1" si="43">W91+$X92*1000-S92</f>
        <v>874</v>
      </c>
      <c r="X92" s="13"/>
      <c r="Y92" s="10"/>
      <c r="Z92" s="10"/>
      <c r="AA92" s="10"/>
      <c r="AB92" s="9"/>
    </row>
    <row r="93" spans="1:36" ht="15" customHeight="1">
      <c r="A93" s="36">
        <v>79</v>
      </c>
      <c r="B93" s="35">
        <f t="shared" si="32"/>
        <v>45151</v>
      </c>
      <c r="C93" s="16">
        <f t="shared" si="33"/>
        <v>1069</v>
      </c>
      <c r="D93" s="15">
        <f t="shared" si="34"/>
        <v>1462</v>
      </c>
      <c r="E93" s="14">
        <f t="shared" ca="1" si="25"/>
        <v>631</v>
      </c>
      <c r="F93" s="14">
        <f t="shared" ca="1" si="26"/>
        <v>644</v>
      </c>
      <c r="G93" s="14">
        <f t="shared" ca="1" si="27"/>
        <v>697</v>
      </c>
      <c r="H93" s="10">
        <f t="shared" ca="1" si="28"/>
        <v>1900</v>
      </c>
      <c r="I93" s="10">
        <f t="shared" ca="1" si="29"/>
        <v>1887</v>
      </c>
      <c r="J93" s="10">
        <f t="shared" ca="1" si="30"/>
        <v>1834</v>
      </c>
      <c r="K93" s="10">
        <f t="shared" si="35"/>
        <v>2000</v>
      </c>
      <c r="L93" s="10">
        <f t="shared" si="36"/>
        <v>2000</v>
      </c>
      <c r="M93" s="10">
        <f t="shared" si="37"/>
        <v>2000</v>
      </c>
      <c r="N93" s="10">
        <f t="shared" ca="1" si="38"/>
        <v>-100</v>
      </c>
      <c r="O93" s="10">
        <f t="shared" ca="1" si="39"/>
        <v>-113</v>
      </c>
      <c r="P93" s="10">
        <f t="shared" ca="1" si="40"/>
        <v>-166</v>
      </c>
      <c r="Q93" s="14">
        <v>0</v>
      </c>
      <c r="R93" s="14">
        <v>0</v>
      </c>
      <c r="S93" s="14">
        <v>0</v>
      </c>
      <c r="T93" s="13">
        <f t="shared" ca="1" si="31"/>
        <v>1634</v>
      </c>
      <c r="U93" s="12">
        <f t="shared" ca="1" si="42"/>
        <v>860</v>
      </c>
      <c r="V93" s="12">
        <f t="shared" ca="1" si="41"/>
        <v>897</v>
      </c>
      <c r="W93" s="12">
        <f t="shared" ca="1" si="43"/>
        <v>874</v>
      </c>
      <c r="X93" s="13"/>
      <c r="Y93" s="10"/>
      <c r="Z93" s="10"/>
      <c r="AA93" s="10"/>
      <c r="AB93" s="9"/>
    </row>
    <row r="94" spans="1:36" ht="15" customHeight="1">
      <c r="A94" s="36">
        <v>80</v>
      </c>
      <c r="B94" s="35">
        <f t="shared" si="32"/>
        <v>45152</v>
      </c>
      <c r="C94" s="16">
        <f t="shared" si="33"/>
        <v>1069</v>
      </c>
      <c r="D94" s="15">
        <f t="shared" si="34"/>
        <v>1460</v>
      </c>
      <c r="E94" s="14">
        <f t="shared" ca="1" si="25"/>
        <v>629</v>
      </c>
      <c r="F94" s="14">
        <f t="shared" ca="1" si="26"/>
        <v>642</v>
      </c>
      <c r="G94" s="14">
        <f t="shared" ca="1" si="27"/>
        <v>695</v>
      </c>
      <c r="H94" s="10">
        <f t="shared" ca="1" si="28"/>
        <v>1900</v>
      </c>
      <c r="I94" s="10">
        <f t="shared" ca="1" si="29"/>
        <v>1887</v>
      </c>
      <c r="J94" s="10">
        <f t="shared" ca="1" si="30"/>
        <v>1834</v>
      </c>
      <c r="K94" s="10">
        <f t="shared" si="35"/>
        <v>2000</v>
      </c>
      <c r="L94" s="10">
        <f t="shared" si="36"/>
        <v>2000</v>
      </c>
      <c r="M94" s="10">
        <f t="shared" si="37"/>
        <v>2000</v>
      </c>
      <c r="N94" s="10">
        <f t="shared" ca="1" si="38"/>
        <v>-100</v>
      </c>
      <c r="O94" s="10">
        <f t="shared" ca="1" si="39"/>
        <v>-113</v>
      </c>
      <c r="P94" s="10">
        <f t="shared" ca="1" si="40"/>
        <v>-166</v>
      </c>
      <c r="Q94" s="14">
        <v>0</v>
      </c>
      <c r="R94" s="14">
        <v>0</v>
      </c>
      <c r="S94" s="14">
        <v>0</v>
      </c>
      <c r="T94" s="13">
        <f t="shared" ca="1" si="31"/>
        <v>1632</v>
      </c>
      <c r="U94" s="12">
        <f t="shared" ca="1" si="42"/>
        <v>860</v>
      </c>
      <c r="V94" s="12">
        <f t="shared" ca="1" si="41"/>
        <v>897</v>
      </c>
      <c r="W94" s="12">
        <f t="shared" ca="1" si="43"/>
        <v>874</v>
      </c>
      <c r="X94" s="13"/>
      <c r="Y94" s="10"/>
      <c r="Z94" s="10"/>
      <c r="AA94" s="10"/>
      <c r="AB94" s="9"/>
    </row>
    <row r="95" spans="1:36" ht="15" customHeight="1">
      <c r="A95" s="36">
        <v>81</v>
      </c>
      <c r="B95" s="35">
        <f t="shared" si="32"/>
        <v>45153</v>
      </c>
      <c r="C95" s="16">
        <f t="shared" si="33"/>
        <v>1069</v>
      </c>
      <c r="D95" s="15">
        <f t="shared" si="34"/>
        <v>1458</v>
      </c>
      <c r="E95" s="14">
        <f t="shared" ca="1" si="25"/>
        <v>627</v>
      </c>
      <c r="F95" s="14">
        <f t="shared" ca="1" si="26"/>
        <v>640</v>
      </c>
      <c r="G95" s="14">
        <f t="shared" ca="1" si="27"/>
        <v>693</v>
      </c>
      <c r="H95" s="10">
        <f t="shared" ca="1" si="28"/>
        <v>1900</v>
      </c>
      <c r="I95" s="10">
        <f t="shared" ca="1" si="29"/>
        <v>1887</v>
      </c>
      <c r="J95" s="10">
        <f t="shared" ca="1" si="30"/>
        <v>1834</v>
      </c>
      <c r="K95" s="10">
        <f t="shared" si="35"/>
        <v>2000</v>
      </c>
      <c r="L95" s="10">
        <f t="shared" si="36"/>
        <v>2000</v>
      </c>
      <c r="M95" s="10">
        <f t="shared" si="37"/>
        <v>2000</v>
      </c>
      <c r="N95" s="10">
        <f t="shared" ca="1" si="38"/>
        <v>-100</v>
      </c>
      <c r="O95" s="10">
        <f t="shared" ca="1" si="39"/>
        <v>-113</v>
      </c>
      <c r="P95" s="10">
        <f t="shared" ca="1" si="40"/>
        <v>-166</v>
      </c>
      <c r="Q95" s="14">
        <v>0</v>
      </c>
      <c r="R95" s="14">
        <v>0</v>
      </c>
      <c r="S95" s="14">
        <v>0</v>
      </c>
      <c r="T95" s="13">
        <f t="shared" ca="1" si="31"/>
        <v>1630</v>
      </c>
      <c r="U95" s="12">
        <f t="shared" ca="1" si="42"/>
        <v>860</v>
      </c>
      <c r="V95" s="12">
        <f t="shared" ca="1" si="41"/>
        <v>897</v>
      </c>
      <c r="W95" s="12">
        <f t="shared" ca="1" si="43"/>
        <v>874</v>
      </c>
      <c r="X95" s="13"/>
      <c r="Y95" s="10"/>
      <c r="Z95" s="10"/>
      <c r="AA95" s="10"/>
      <c r="AB95" s="9"/>
    </row>
    <row r="96" spans="1:36" ht="15" customHeight="1">
      <c r="A96" s="36">
        <v>82</v>
      </c>
      <c r="B96" s="35">
        <f t="shared" si="32"/>
        <v>45154</v>
      </c>
      <c r="C96" s="16">
        <f t="shared" si="33"/>
        <v>1069</v>
      </c>
      <c r="D96" s="15">
        <f t="shared" si="34"/>
        <v>1456</v>
      </c>
      <c r="E96" s="14">
        <f t="shared" ca="1" si="25"/>
        <v>625</v>
      </c>
      <c r="F96" s="14">
        <f t="shared" ca="1" si="26"/>
        <v>638</v>
      </c>
      <c r="G96" s="14">
        <f t="shared" ca="1" si="27"/>
        <v>691</v>
      </c>
      <c r="H96" s="10">
        <f t="shared" ca="1" si="28"/>
        <v>1900</v>
      </c>
      <c r="I96" s="10">
        <f t="shared" ca="1" si="29"/>
        <v>1887</v>
      </c>
      <c r="J96" s="10">
        <f t="shared" ca="1" si="30"/>
        <v>1834</v>
      </c>
      <c r="K96" s="10">
        <f t="shared" si="35"/>
        <v>2000</v>
      </c>
      <c r="L96" s="10">
        <f t="shared" si="36"/>
        <v>2000</v>
      </c>
      <c r="M96" s="10">
        <f t="shared" si="37"/>
        <v>2000</v>
      </c>
      <c r="N96" s="10">
        <f t="shared" ca="1" si="38"/>
        <v>-100</v>
      </c>
      <c r="O96" s="10">
        <f t="shared" ca="1" si="39"/>
        <v>-113</v>
      </c>
      <c r="P96" s="10">
        <f t="shared" ca="1" si="40"/>
        <v>-166</v>
      </c>
      <c r="Q96" s="14">
        <v>0</v>
      </c>
      <c r="R96" s="14">
        <v>0</v>
      </c>
      <c r="S96" s="14">
        <v>0</v>
      </c>
      <c r="T96" s="13">
        <f t="shared" ca="1" si="31"/>
        <v>1628</v>
      </c>
      <c r="U96" s="12">
        <f t="shared" ca="1" si="42"/>
        <v>860</v>
      </c>
      <c r="V96" s="12">
        <f t="shared" ca="1" si="41"/>
        <v>897</v>
      </c>
      <c r="W96" s="12">
        <f t="shared" ca="1" si="43"/>
        <v>874</v>
      </c>
      <c r="X96" s="13"/>
      <c r="Y96" s="10"/>
      <c r="Z96" s="10"/>
      <c r="AA96" s="10"/>
      <c r="AB96" s="9"/>
    </row>
    <row r="97" spans="1:28" ht="15" customHeight="1">
      <c r="A97" s="36">
        <v>83</v>
      </c>
      <c r="B97" s="35">
        <f t="shared" si="32"/>
        <v>45155</v>
      </c>
      <c r="C97" s="16">
        <f t="shared" si="33"/>
        <v>1069</v>
      </c>
      <c r="D97" s="15">
        <f t="shared" si="34"/>
        <v>1454</v>
      </c>
      <c r="E97" s="14">
        <f t="shared" ca="1" si="25"/>
        <v>623</v>
      </c>
      <c r="F97" s="14">
        <f t="shared" ca="1" si="26"/>
        <v>636</v>
      </c>
      <c r="G97" s="14">
        <f t="shared" ca="1" si="27"/>
        <v>689</v>
      </c>
      <c r="H97" s="10">
        <f t="shared" ca="1" si="28"/>
        <v>1900</v>
      </c>
      <c r="I97" s="10">
        <f t="shared" ca="1" si="29"/>
        <v>1887</v>
      </c>
      <c r="J97" s="10">
        <f t="shared" ca="1" si="30"/>
        <v>1834</v>
      </c>
      <c r="K97" s="10">
        <f t="shared" si="35"/>
        <v>2000</v>
      </c>
      <c r="L97" s="10">
        <f t="shared" si="36"/>
        <v>2000</v>
      </c>
      <c r="M97" s="10">
        <f t="shared" si="37"/>
        <v>2000</v>
      </c>
      <c r="N97" s="10">
        <f t="shared" ca="1" si="38"/>
        <v>-100</v>
      </c>
      <c r="O97" s="10">
        <f t="shared" ca="1" si="39"/>
        <v>-113</v>
      </c>
      <c r="P97" s="10">
        <f t="shared" ca="1" si="40"/>
        <v>-166</v>
      </c>
      <c r="Q97" s="14">
        <v>0</v>
      </c>
      <c r="R97" s="14">
        <v>0</v>
      </c>
      <c r="S97" s="14">
        <v>0</v>
      </c>
      <c r="T97" s="13">
        <f t="shared" ca="1" si="31"/>
        <v>1626</v>
      </c>
      <c r="U97" s="12">
        <f t="shared" ca="1" si="42"/>
        <v>860</v>
      </c>
      <c r="V97" s="12">
        <f t="shared" ca="1" si="41"/>
        <v>897</v>
      </c>
      <c r="W97" s="12">
        <f t="shared" ca="1" si="43"/>
        <v>874</v>
      </c>
      <c r="X97" s="13"/>
      <c r="Y97" s="10"/>
      <c r="Z97" s="10"/>
      <c r="AA97" s="10"/>
      <c r="AB97" s="9"/>
    </row>
    <row r="98" spans="1:28" ht="15" customHeight="1">
      <c r="A98" s="36">
        <v>84</v>
      </c>
      <c r="B98" s="35">
        <f t="shared" si="32"/>
        <v>45156</v>
      </c>
      <c r="C98" s="16">
        <f t="shared" si="33"/>
        <v>1069</v>
      </c>
      <c r="D98" s="15">
        <f t="shared" si="34"/>
        <v>1452</v>
      </c>
      <c r="E98" s="14">
        <f t="shared" ca="1" si="25"/>
        <v>621</v>
      </c>
      <c r="F98" s="14">
        <f t="shared" ca="1" si="26"/>
        <v>634</v>
      </c>
      <c r="G98" s="14">
        <f t="shared" ca="1" si="27"/>
        <v>687</v>
      </c>
      <c r="H98" s="10">
        <f t="shared" ca="1" si="28"/>
        <v>1900</v>
      </c>
      <c r="I98" s="10">
        <f t="shared" ca="1" si="29"/>
        <v>1887</v>
      </c>
      <c r="J98" s="10">
        <f t="shared" ca="1" si="30"/>
        <v>1834</v>
      </c>
      <c r="K98" s="10">
        <f t="shared" si="35"/>
        <v>2000</v>
      </c>
      <c r="L98" s="10">
        <f t="shared" si="36"/>
        <v>2000</v>
      </c>
      <c r="M98" s="10">
        <f t="shared" si="37"/>
        <v>2000</v>
      </c>
      <c r="N98" s="10">
        <f t="shared" ca="1" si="38"/>
        <v>-100</v>
      </c>
      <c r="O98" s="10">
        <f t="shared" ca="1" si="39"/>
        <v>-113</v>
      </c>
      <c r="P98" s="10">
        <f t="shared" ca="1" si="40"/>
        <v>-166</v>
      </c>
      <c r="Q98" s="14">
        <v>0</v>
      </c>
      <c r="R98" s="14">
        <v>0</v>
      </c>
      <c r="S98" s="14">
        <v>0</v>
      </c>
      <c r="T98" s="13">
        <f t="shared" ca="1" si="31"/>
        <v>1624</v>
      </c>
      <c r="U98" s="12">
        <f t="shared" ca="1" si="42"/>
        <v>860</v>
      </c>
      <c r="V98" s="12">
        <f t="shared" ca="1" si="41"/>
        <v>897</v>
      </c>
      <c r="W98" s="12">
        <f t="shared" ca="1" si="43"/>
        <v>874</v>
      </c>
      <c r="X98" s="13"/>
      <c r="Y98" s="10"/>
      <c r="Z98" s="10"/>
      <c r="AA98" s="10"/>
      <c r="AB98" s="9"/>
    </row>
    <row r="99" spans="1:28" ht="15" customHeight="1">
      <c r="A99" s="36">
        <v>85</v>
      </c>
      <c r="B99" s="35">
        <f t="shared" si="32"/>
        <v>45157</v>
      </c>
      <c r="C99" s="16">
        <f t="shared" si="33"/>
        <v>1069</v>
      </c>
      <c r="D99" s="15">
        <f t="shared" si="34"/>
        <v>1450</v>
      </c>
      <c r="E99" s="14">
        <f t="shared" ca="1" si="25"/>
        <v>619</v>
      </c>
      <c r="F99" s="14">
        <f t="shared" ca="1" si="26"/>
        <v>632</v>
      </c>
      <c r="G99" s="14">
        <f t="shared" ca="1" si="27"/>
        <v>685</v>
      </c>
      <c r="H99" s="10">
        <f t="shared" ca="1" si="28"/>
        <v>1900</v>
      </c>
      <c r="I99" s="10">
        <f t="shared" ca="1" si="29"/>
        <v>1887</v>
      </c>
      <c r="J99" s="10">
        <f t="shared" ca="1" si="30"/>
        <v>1834</v>
      </c>
      <c r="K99" s="10">
        <f t="shared" si="35"/>
        <v>2000</v>
      </c>
      <c r="L99" s="10">
        <f t="shared" si="36"/>
        <v>2000</v>
      </c>
      <c r="M99" s="10">
        <f t="shared" si="37"/>
        <v>2000</v>
      </c>
      <c r="N99" s="10">
        <f t="shared" ca="1" si="38"/>
        <v>-100</v>
      </c>
      <c r="O99" s="10">
        <f t="shared" ca="1" si="39"/>
        <v>-113</v>
      </c>
      <c r="P99" s="10">
        <f t="shared" ca="1" si="40"/>
        <v>-166</v>
      </c>
      <c r="Q99" s="14">
        <v>0</v>
      </c>
      <c r="R99" s="14">
        <v>0</v>
      </c>
      <c r="S99" s="14">
        <v>0</v>
      </c>
      <c r="T99" s="13">
        <f t="shared" ca="1" si="31"/>
        <v>1622</v>
      </c>
      <c r="U99" s="12">
        <f t="shared" ca="1" si="42"/>
        <v>860</v>
      </c>
      <c r="V99" s="12">
        <f t="shared" ca="1" si="41"/>
        <v>897</v>
      </c>
      <c r="W99" s="12">
        <f t="shared" ca="1" si="43"/>
        <v>874</v>
      </c>
      <c r="X99" s="13"/>
      <c r="Y99" s="10"/>
      <c r="Z99" s="10"/>
      <c r="AA99" s="10"/>
      <c r="AB99" s="9"/>
    </row>
    <row r="100" spans="1:28" ht="15" customHeight="1">
      <c r="A100" s="36">
        <v>86</v>
      </c>
      <c r="B100" s="35">
        <f t="shared" si="32"/>
        <v>45158</v>
      </c>
      <c r="C100" s="16">
        <f t="shared" si="33"/>
        <v>1069</v>
      </c>
      <c r="D100" s="15">
        <f t="shared" si="34"/>
        <v>1448</v>
      </c>
      <c r="E100" s="14">
        <f t="shared" ca="1" si="25"/>
        <v>617</v>
      </c>
      <c r="F100" s="14">
        <f t="shared" ca="1" si="26"/>
        <v>630</v>
      </c>
      <c r="G100" s="14">
        <f t="shared" ca="1" si="27"/>
        <v>683</v>
      </c>
      <c r="H100" s="10">
        <f t="shared" ca="1" si="28"/>
        <v>1900</v>
      </c>
      <c r="I100" s="10">
        <f t="shared" ca="1" si="29"/>
        <v>1887</v>
      </c>
      <c r="J100" s="10">
        <f t="shared" ca="1" si="30"/>
        <v>1834</v>
      </c>
      <c r="K100" s="10">
        <f t="shared" si="35"/>
        <v>2000</v>
      </c>
      <c r="L100" s="10">
        <f t="shared" si="36"/>
        <v>2000</v>
      </c>
      <c r="M100" s="10">
        <f t="shared" si="37"/>
        <v>2000</v>
      </c>
      <c r="N100" s="10">
        <f t="shared" ca="1" si="38"/>
        <v>-100</v>
      </c>
      <c r="O100" s="10">
        <f t="shared" ca="1" si="39"/>
        <v>-113</v>
      </c>
      <c r="P100" s="10">
        <f t="shared" ca="1" si="40"/>
        <v>-166</v>
      </c>
      <c r="Q100" s="14">
        <v>0</v>
      </c>
      <c r="R100" s="14">
        <v>0</v>
      </c>
      <c r="S100" s="14">
        <v>0</v>
      </c>
      <c r="T100" s="13">
        <f t="shared" ca="1" si="31"/>
        <v>1620</v>
      </c>
      <c r="U100" s="12">
        <f t="shared" ca="1" si="42"/>
        <v>860</v>
      </c>
      <c r="V100" s="12">
        <f t="shared" ca="1" si="41"/>
        <v>897</v>
      </c>
      <c r="W100" s="12">
        <f t="shared" ca="1" si="43"/>
        <v>874</v>
      </c>
      <c r="X100" s="13"/>
      <c r="Y100" s="10"/>
      <c r="Z100" s="10"/>
      <c r="AA100" s="10"/>
      <c r="AB100" s="9"/>
    </row>
    <row r="101" spans="1:28" ht="15" customHeight="1">
      <c r="A101" s="36">
        <v>87</v>
      </c>
      <c r="B101" s="35">
        <f t="shared" si="32"/>
        <v>45159</v>
      </c>
      <c r="C101" s="16">
        <f t="shared" si="33"/>
        <v>1069</v>
      </c>
      <c r="D101" s="15">
        <f t="shared" si="34"/>
        <v>1446</v>
      </c>
      <c r="E101" s="14">
        <f t="shared" ca="1" si="25"/>
        <v>615</v>
      </c>
      <c r="F101" s="14">
        <f t="shared" ca="1" si="26"/>
        <v>628</v>
      </c>
      <c r="G101" s="14">
        <f t="shared" ca="1" si="27"/>
        <v>681</v>
      </c>
      <c r="H101" s="10">
        <f t="shared" ca="1" si="28"/>
        <v>1900</v>
      </c>
      <c r="I101" s="10">
        <f t="shared" ca="1" si="29"/>
        <v>1887</v>
      </c>
      <c r="J101" s="10">
        <f t="shared" ca="1" si="30"/>
        <v>1834</v>
      </c>
      <c r="K101" s="10">
        <f t="shared" si="35"/>
        <v>2000</v>
      </c>
      <c r="L101" s="10">
        <f t="shared" si="36"/>
        <v>2000</v>
      </c>
      <c r="M101" s="10">
        <f t="shared" si="37"/>
        <v>2000</v>
      </c>
      <c r="N101" s="10">
        <f t="shared" ca="1" si="38"/>
        <v>-100</v>
      </c>
      <c r="O101" s="10">
        <f t="shared" ca="1" si="39"/>
        <v>-113</v>
      </c>
      <c r="P101" s="10">
        <f t="shared" ca="1" si="40"/>
        <v>-166</v>
      </c>
      <c r="Q101" s="14">
        <v>0</v>
      </c>
      <c r="R101" s="14">
        <v>0</v>
      </c>
      <c r="S101" s="14">
        <v>0</v>
      </c>
      <c r="T101" s="13">
        <f t="shared" ca="1" si="31"/>
        <v>1618</v>
      </c>
      <c r="U101" s="12">
        <f t="shared" ca="1" si="42"/>
        <v>860</v>
      </c>
      <c r="V101" s="12">
        <f t="shared" ca="1" si="41"/>
        <v>897</v>
      </c>
      <c r="W101" s="12">
        <f t="shared" ca="1" si="43"/>
        <v>874</v>
      </c>
      <c r="X101" s="13"/>
      <c r="Y101" s="10"/>
      <c r="Z101" s="10"/>
      <c r="AA101" s="10"/>
      <c r="AB101" s="9"/>
    </row>
    <row r="102" spans="1:28" ht="15" customHeight="1">
      <c r="A102" s="36">
        <v>88</v>
      </c>
      <c r="B102" s="35">
        <f t="shared" si="32"/>
        <v>45160</v>
      </c>
      <c r="C102" s="16">
        <f t="shared" si="33"/>
        <v>1069</v>
      </c>
      <c r="D102" s="15">
        <f t="shared" si="34"/>
        <v>1444</v>
      </c>
      <c r="E102" s="14">
        <f t="shared" ca="1" si="25"/>
        <v>613</v>
      </c>
      <c r="F102" s="14">
        <f t="shared" ca="1" si="26"/>
        <v>626</v>
      </c>
      <c r="G102" s="14">
        <f t="shared" ca="1" si="27"/>
        <v>679</v>
      </c>
      <c r="H102" s="10">
        <f t="shared" ca="1" si="28"/>
        <v>1900</v>
      </c>
      <c r="I102" s="10">
        <f t="shared" ca="1" si="29"/>
        <v>1887</v>
      </c>
      <c r="J102" s="10">
        <f t="shared" ca="1" si="30"/>
        <v>1834</v>
      </c>
      <c r="K102" s="10">
        <f t="shared" si="35"/>
        <v>2000</v>
      </c>
      <c r="L102" s="10">
        <f t="shared" si="36"/>
        <v>2000</v>
      </c>
      <c r="M102" s="10">
        <f t="shared" si="37"/>
        <v>2000</v>
      </c>
      <c r="N102" s="10">
        <f t="shared" ca="1" si="38"/>
        <v>-100</v>
      </c>
      <c r="O102" s="10">
        <f t="shared" ca="1" si="39"/>
        <v>-113</v>
      </c>
      <c r="P102" s="10">
        <f t="shared" ca="1" si="40"/>
        <v>-166</v>
      </c>
      <c r="Q102" s="14">
        <v>0</v>
      </c>
      <c r="R102" s="14">
        <v>0</v>
      </c>
      <c r="S102" s="14">
        <v>0</v>
      </c>
      <c r="T102" s="13">
        <f t="shared" ca="1" si="31"/>
        <v>1616</v>
      </c>
      <c r="U102" s="12">
        <f t="shared" ca="1" si="42"/>
        <v>860</v>
      </c>
      <c r="V102" s="12">
        <f t="shared" ca="1" si="41"/>
        <v>897</v>
      </c>
      <c r="W102" s="12">
        <f t="shared" ca="1" si="43"/>
        <v>874</v>
      </c>
      <c r="X102" s="13"/>
      <c r="Y102" s="10"/>
      <c r="Z102" s="10"/>
      <c r="AA102" s="10"/>
      <c r="AB102" s="9"/>
    </row>
    <row r="103" spans="1:28" ht="15" customHeight="1">
      <c r="A103" s="36">
        <v>89</v>
      </c>
      <c r="B103" s="35">
        <f t="shared" si="32"/>
        <v>45161</v>
      </c>
      <c r="C103" s="16">
        <f t="shared" si="33"/>
        <v>1069</v>
      </c>
      <c r="D103" s="15">
        <f t="shared" si="34"/>
        <v>1442</v>
      </c>
      <c r="E103" s="14">
        <f t="shared" ca="1" si="25"/>
        <v>611</v>
      </c>
      <c r="F103" s="14">
        <f t="shared" ca="1" si="26"/>
        <v>624</v>
      </c>
      <c r="G103" s="14">
        <f t="shared" ca="1" si="27"/>
        <v>677</v>
      </c>
      <c r="H103" s="10">
        <f t="shared" ca="1" si="28"/>
        <v>1900</v>
      </c>
      <c r="I103" s="10">
        <f t="shared" ca="1" si="29"/>
        <v>1887</v>
      </c>
      <c r="J103" s="10">
        <f t="shared" ca="1" si="30"/>
        <v>1834</v>
      </c>
      <c r="K103" s="10">
        <f t="shared" si="35"/>
        <v>2000</v>
      </c>
      <c r="L103" s="10">
        <f t="shared" si="36"/>
        <v>2000</v>
      </c>
      <c r="M103" s="10">
        <f t="shared" si="37"/>
        <v>2000</v>
      </c>
      <c r="N103" s="10">
        <f t="shared" ca="1" si="38"/>
        <v>-100</v>
      </c>
      <c r="O103" s="10">
        <f t="shared" ca="1" si="39"/>
        <v>-113</v>
      </c>
      <c r="P103" s="10">
        <f t="shared" ca="1" si="40"/>
        <v>-166</v>
      </c>
      <c r="Q103" s="14">
        <v>0</v>
      </c>
      <c r="R103" s="14">
        <v>0</v>
      </c>
      <c r="S103" s="14">
        <v>0</v>
      </c>
      <c r="T103" s="13">
        <f t="shared" ca="1" si="31"/>
        <v>1614</v>
      </c>
      <c r="U103" s="12">
        <f t="shared" ca="1" si="42"/>
        <v>860</v>
      </c>
      <c r="V103" s="12">
        <f t="shared" ca="1" si="41"/>
        <v>897</v>
      </c>
      <c r="W103" s="12">
        <f t="shared" ca="1" si="43"/>
        <v>874</v>
      </c>
      <c r="X103" s="13"/>
      <c r="Y103" s="10"/>
      <c r="Z103" s="10"/>
      <c r="AA103" s="10"/>
      <c r="AB103" s="9"/>
    </row>
    <row r="104" spans="1:28" ht="15" customHeight="1">
      <c r="A104" s="36">
        <v>90</v>
      </c>
      <c r="B104" s="35">
        <f t="shared" si="32"/>
        <v>45162</v>
      </c>
      <c r="C104" s="16">
        <f t="shared" si="33"/>
        <v>1069</v>
      </c>
      <c r="D104" s="15">
        <f t="shared" si="34"/>
        <v>1440</v>
      </c>
      <c r="E104" s="14">
        <f t="shared" ca="1" si="25"/>
        <v>609</v>
      </c>
      <c r="F104" s="14">
        <f t="shared" ca="1" si="26"/>
        <v>622</v>
      </c>
      <c r="G104" s="14">
        <f t="shared" ca="1" si="27"/>
        <v>675</v>
      </c>
      <c r="H104" s="10">
        <f t="shared" ca="1" si="28"/>
        <v>1900</v>
      </c>
      <c r="I104" s="10">
        <f t="shared" ca="1" si="29"/>
        <v>1887</v>
      </c>
      <c r="J104" s="10">
        <f t="shared" ca="1" si="30"/>
        <v>1834</v>
      </c>
      <c r="K104" s="10">
        <f t="shared" si="35"/>
        <v>2000</v>
      </c>
      <c r="L104" s="10">
        <f t="shared" si="36"/>
        <v>2000</v>
      </c>
      <c r="M104" s="10">
        <f t="shared" si="37"/>
        <v>2000</v>
      </c>
      <c r="N104" s="10">
        <f t="shared" ca="1" si="38"/>
        <v>-100</v>
      </c>
      <c r="O104" s="10">
        <f t="shared" ca="1" si="39"/>
        <v>-113</v>
      </c>
      <c r="P104" s="10">
        <f t="shared" ca="1" si="40"/>
        <v>-166</v>
      </c>
      <c r="Q104" s="14">
        <v>0</v>
      </c>
      <c r="R104" s="14">
        <v>0</v>
      </c>
      <c r="S104" s="14">
        <v>0</v>
      </c>
      <c r="T104" s="13">
        <f t="shared" ca="1" si="31"/>
        <v>1612</v>
      </c>
      <c r="U104" s="12">
        <f t="shared" ca="1" si="42"/>
        <v>860</v>
      </c>
      <c r="V104" s="12">
        <f t="shared" ca="1" si="41"/>
        <v>897</v>
      </c>
      <c r="W104" s="12">
        <f t="shared" ca="1" si="43"/>
        <v>874</v>
      </c>
      <c r="X104" s="13"/>
      <c r="Y104" s="10"/>
      <c r="Z104" s="10"/>
      <c r="AA104" s="10"/>
      <c r="AB104" s="9"/>
    </row>
    <row r="105" spans="1:28" ht="15" customHeight="1">
      <c r="A105" s="36">
        <v>91</v>
      </c>
      <c r="B105" s="35">
        <f t="shared" si="32"/>
        <v>45163</v>
      </c>
      <c r="C105" s="16">
        <f t="shared" si="33"/>
        <v>1069</v>
      </c>
      <c r="D105" s="15">
        <f t="shared" si="34"/>
        <v>1438</v>
      </c>
      <c r="E105" s="14">
        <f t="shared" ca="1" si="25"/>
        <v>607</v>
      </c>
      <c r="F105" s="14">
        <f t="shared" ca="1" si="26"/>
        <v>620</v>
      </c>
      <c r="G105" s="14">
        <f t="shared" ca="1" si="27"/>
        <v>673</v>
      </c>
      <c r="H105" s="10">
        <f t="shared" ca="1" si="28"/>
        <v>1900</v>
      </c>
      <c r="I105" s="10">
        <f t="shared" ca="1" si="29"/>
        <v>1887</v>
      </c>
      <c r="J105" s="10">
        <f t="shared" ca="1" si="30"/>
        <v>1834</v>
      </c>
      <c r="K105" s="10">
        <f t="shared" si="35"/>
        <v>2000</v>
      </c>
      <c r="L105" s="10">
        <f t="shared" si="36"/>
        <v>2000</v>
      </c>
      <c r="M105" s="10">
        <f t="shared" si="37"/>
        <v>2000</v>
      </c>
      <c r="N105" s="10">
        <f t="shared" ca="1" si="38"/>
        <v>-100</v>
      </c>
      <c r="O105" s="10">
        <f t="shared" ca="1" si="39"/>
        <v>-113</v>
      </c>
      <c r="P105" s="10">
        <f t="shared" ca="1" si="40"/>
        <v>-166</v>
      </c>
      <c r="Q105" s="14">
        <v>0</v>
      </c>
      <c r="R105" s="14">
        <v>0</v>
      </c>
      <c r="S105" s="14">
        <v>0</v>
      </c>
      <c r="T105" s="13">
        <f t="shared" ca="1" si="31"/>
        <v>1610</v>
      </c>
      <c r="U105" s="12">
        <f t="shared" ca="1" si="42"/>
        <v>860</v>
      </c>
      <c r="V105" s="12">
        <f t="shared" ca="1" si="41"/>
        <v>897</v>
      </c>
      <c r="W105" s="12">
        <f t="shared" ca="1" si="43"/>
        <v>874</v>
      </c>
      <c r="X105" s="13"/>
      <c r="Y105" s="10"/>
      <c r="Z105" s="10"/>
      <c r="AA105" s="10"/>
      <c r="AB105" s="9"/>
    </row>
    <row r="106" spans="1:28" ht="15" customHeight="1">
      <c r="A106" s="36">
        <v>92</v>
      </c>
      <c r="B106" s="35">
        <f t="shared" si="32"/>
        <v>45164</v>
      </c>
      <c r="C106" s="16">
        <f t="shared" si="33"/>
        <v>1069</v>
      </c>
      <c r="D106" s="15">
        <f t="shared" si="34"/>
        <v>1436</v>
      </c>
      <c r="E106" s="14">
        <f t="shared" ca="1" si="25"/>
        <v>605</v>
      </c>
      <c r="F106" s="14">
        <f t="shared" ca="1" si="26"/>
        <v>618</v>
      </c>
      <c r="G106" s="14">
        <f t="shared" ca="1" si="27"/>
        <v>671</v>
      </c>
      <c r="H106" s="10">
        <f t="shared" ca="1" si="28"/>
        <v>1900</v>
      </c>
      <c r="I106" s="10">
        <f t="shared" ca="1" si="29"/>
        <v>1887</v>
      </c>
      <c r="J106" s="10">
        <f t="shared" ca="1" si="30"/>
        <v>1834</v>
      </c>
      <c r="K106" s="10">
        <f t="shared" si="35"/>
        <v>2000</v>
      </c>
      <c r="L106" s="10">
        <f t="shared" si="36"/>
        <v>2000</v>
      </c>
      <c r="M106" s="10">
        <f t="shared" si="37"/>
        <v>2000</v>
      </c>
      <c r="N106" s="10">
        <f t="shared" ca="1" si="38"/>
        <v>-100</v>
      </c>
      <c r="O106" s="10">
        <f t="shared" ca="1" si="39"/>
        <v>-113</v>
      </c>
      <c r="P106" s="10">
        <f t="shared" ca="1" si="40"/>
        <v>-166</v>
      </c>
      <c r="Q106" s="14">
        <v>0</v>
      </c>
      <c r="R106" s="14">
        <v>0</v>
      </c>
      <c r="S106" s="14">
        <v>0</v>
      </c>
      <c r="T106" s="13">
        <f t="shared" ca="1" si="31"/>
        <v>1608</v>
      </c>
      <c r="U106" s="12">
        <f t="shared" ca="1" si="42"/>
        <v>860</v>
      </c>
      <c r="V106" s="12">
        <f t="shared" ca="1" si="41"/>
        <v>897</v>
      </c>
      <c r="W106" s="12">
        <f t="shared" ca="1" si="43"/>
        <v>874</v>
      </c>
      <c r="X106" s="13"/>
      <c r="Y106" s="10"/>
      <c r="Z106" s="10"/>
      <c r="AA106" s="10"/>
      <c r="AB106" s="9"/>
    </row>
    <row r="107" spans="1:28" ht="15" customHeight="1">
      <c r="A107" s="36">
        <v>93</v>
      </c>
      <c r="B107" s="35">
        <f t="shared" si="32"/>
        <v>45165</v>
      </c>
      <c r="C107" s="16">
        <f t="shared" si="33"/>
        <v>1069</v>
      </c>
      <c r="D107" s="15">
        <f t="shared" si="34"/>
        <v>1434</v>
      </c>
      <c r="E107" s="14">
        <f t="shared" ca="1" si="25"/>
        <v>603</v>
      </c>
      <c r="F107" s="14">
        <f t="shared" ca="1" si="26"/>
        <v>616</v>
      </c>
      <c r="G107" s="14">
        <f t="shared" ca="1" si="27"/>
        <v>669</v>
      </c>
      <c r="H107" s="10">
        <f t="shared" ca="1" si="28"/>
        <v>1900</v>
      </c>
      <c r="I107" s="10">
        <f t="shared" ca="1" si="29"/>
        <v>1887</v>
      </c>
      <c r="J107" s="10">
        <f t="shared" ca="1" si="30"/>
        <v>1834</v>
      </c>
      <c r="K107" s="10">
        <f t="shared" si="35"/>
        <v>2000</v>
      </c>
      <c r="L107" s="10">
        <f t="shared" si="36"/>
        <v>2000</v>
      </c>
      <c r="M107" s="10">
        <f t="shared" si="37"/>
        <v>2000</v>
      </c>
      <c r="N107" s="10">
        <f t="shared" ca="1" si="38"/>
        <v>-100</v>
      </c>
      <c r="O107" s="10">
        <f t="shared" ca="1" si="39"/>
        <v>-113</v>
      </c>
      <c r="P107" s="10">
        <f t="shared" ca="1" si="40"/>
        <v>-166</v>
      </c>
      <c r="Q107" s="14">
        <v>0</v>
      </c>
      <c r="R107" s="14">
        <v>0</v>
      </c>
      <c r="S107" s="14">
        <v>0</v>
      </c>
      <c r="T107" s="13">
        <f t="shared" ca="1" si="31"/>
        <v>1606</v>
      </c>
      <c r="U107" s="12">
        <f t="shared" ca="1" si="42"/>
        <v>860</v>
      </c>
      <c r="V107" s="12">
        <f t="shared" ca="1" si="41"/>
        <v>897</v>
      </c>
      <c r="W107" s="12">
        <f t="shared" ca="1" si="43"/>
        <v>874</v>
      </c>
      <c r="X107" s="13"/>
      <c r="Y107" s="10"/>
      <c r="Z107" s="10"/>
      <c r="AA107" s="10"/>
      <c r="AB107" s="9"/>
    </row>
    <row r="108" spans="1:28" ht="15" customHeight="1">
      <c r="A108" s="36">
        <v>94</v>
      </c>
      <c r="B108" s="35">
        <f t="shared" si="32"/>
        <v>45166</v>
      </c>
      <c r="C108" s="16">
        <f t="shared" si="33"/>
        <v>1069</v>
      </c>
      <c r="D108" s="15">
        <f t="shared" si="34"/>
        <v>1432</v>
      </c>
      <c r="E108" s="14">
        <f t="shared" ca="1" si="25"/>
        <v>601</v>
      </c>
      <c r="F108" s="14">
        <f t="shared" ca="1" si="26"/>
        <v>614</v>
      </c>
      <c r="G108" s="14">
        <f t="shared" ca="1" si="27"/>
        <v>667</v>
      </c>
      <c r="H108" s="10">
        <f t="shared" ca="1" si="28"/>
        <v>1900</v>
      </c>
      <c r="I108" s="10">
        <f t="shared" ca="1" si="29"/>
        <v>1887</v>
      </c>
      <c r="J108" s="10">
        <f t="shared" ca="1" si="30"/>
        <v>1834</v>
      </c>
      <c r="K108" s="10">
        <f t="shared" si="35"/>
        <v>2000</v>
      </c>
      <c r="L108" s="10">
        <f t="shared" si="36"/>
        <v>2000</v>
      </c>
      <c r="M108" s="10">
        <f t="shared" si="37"/>
        <v>2000</v>
      </c>
      <c r="N108" s="10">
        <f t="shared" ca="1" si="38"/>
        <v>-100</v>
      </c>
      <c r="O108" s="10">
        <f t="shared" ca="1" si="39"/>
        <v>-113</v>
      </c>
      <c r="P108" s="10">
        <f t="shared" ca="1" si="40"/>
        <v>-166</v>
      </c>
      <c r="Q108" s="14">
        <v>0</v>
      </c>
      <c r="R108" s="14">
        <v>0</v>
      </c>
      <c r="S108" s="14">
        <v>0</v>
      </c>
      <c r="T108" s="13">
        <f t="shared" ca="1" si="31"/>
        <v>1604</v>
      </c>
      <c r="U108" s="12">
        <f t="shared" ca="1" si="42"/>
        <v>860</v>
      </c>
      <c r="V108" s="12">
        <f t="shared" ca="1" si="41"/>
        <v>897</v>
      </c>
      <c r="W108" s="12">
        <f t="shared" ca="1" si="43"/>
        <v>874</v>
      </c>
      <c r="X108" s="13"/>
      <c r="Y108" s="10"/>
      <c r="Z108" s="10"/>
      <c r="AA108" s="10"/>
      <c r="AB108" s="9"/>
    </row>
    <row r="109" spans="1:28" ht="15" customHeight="1">
      <c r="A109" s="36">
        <v>95</v>
      </c>
      <c r="B109" s="35">
        <f t="shared" si="32"/>
        <v>45167</v>
      </c>
      <c r="C109" s="16">
        <f t="shared" si="33"/>
        <v>1069</v>
      </c>
      <c r="D109" s="15">
        <f t="shared" si="34"/>
        <v>1430</v>
      </c>
      <c r="E109" s="14">
        <f t="shared" ca="1" si="25"/>
        <v>599</v>
      </c>
      <c r="F109" s="14">
        <f t="shared" ca="1" si="26"/>
        <v>612</v>
      </c>
      <c r="G109" s="14">
        <f t="shared" ca="1" si="27"/>
        <v>665</v>
      </c>
      <c r="H109" s="10">
        <f t="shared" ca="1" si="28"/>
        <v>1900</v>
      </c>
      <c r="I109" s="10">
        <f t="shared" ca="1" si="29"/>
        <v>1887</v>
      </c>
      <c r="J109" s="10">
        <f t="shared" ca="1" si="30"/>
        <v>1834</v>
      </c>
      <c r="K109" s="10">
        <f t="shared" si="35"/>
        <v>2000</v>
      </c>
      <c r="L109" s="10">
        <f t="shared" si="36"/>
        <v>2000</v>
      </c>
      <c r="M109" s="10">
        <f t="shared" si="37"/>
        <v>2000</v>
      </c>
      <c r="N109" s="10">
        <f t="shared" ca="1" si="38"/>
        <v>-100</v>
      </c>
      <c r="O109" s="10">
        <f t="shared" ca="1" si="39"/>
        <v>-113</v>
      </c>
      <c r="P109" s="10">
        <f t="shared" ca="1" si="40"/>
        <v>-166</v>
      </c>
      <c r="Q109" s="14">
        <v>0</v>
      </c>
      <c r="R109" s="14">
        <v>0</v>
      </c>
      <c r="S109" s="14">
        <v>0</v>
      </c>
      <c r="T109" s="13">
        <f t="shared" ca="1" si="31"/>
        <v>1602</v>
      </c>
      <c r="U109" s="12">
        <f t="shared" ca="1" si="42"/>
        <v>860</v>
      </c>
      <c r="V109" s="12">
        <f t="shared" ca="1" si="41"/>
        <v>897</v>
      </c>
      <c r="W109" s="12">
        <f t="shared" ca="1" si="43"/>
        <v>874</v>
      </c>
      <c r="X109" s="13"/>
      <c r="Y109" s="10"/>
      <c r="Z109" s="10"/>
      <c r="AA109" s="10"/>
      <c r="AB109" s="9"/>
    </row>
    <row r="110" spans="1:28" ht="15" customHeight="1">
      <c r="A110" s="36">
        <v>96</v>
      </c>
      <c r="B110" s="35">
        <f t="shared" si="32"/>
        <v>45168</v>
      </c>
      <c r="C110" s="16">
        <f t="shared" si="33"/>
        <v>1069</v>
      </c>
      <c r="D110" s="15">
        <f t="shared" si="34"/>
        <v>1428</v>
      </c>
      <c r="E110" s="14">
        <f t="shared" ca="1" si="25"/>
        <v>597</v>
      </c>
      <c r="F110" s="14">
        <f t="shared" ca="1" si="26"/>
        <v>610</v>
      </c>
      <c r="G110" s="14">
        <f t="shared" ca="1" si="27"/>
        <v>663</v>
      </c>
      <c r="H110" s="10">
        <f t="shared" ca="1" si="28"/>
        <v>1900</v>
      </c>
      <c r="I110" s="10">
        <f t="shared" ca="1" si="29"/>
        <v>1887</v>
      </c>
      <c r="J110" s="10">
        <f t="shared" ca="1" si="30"/>
        <v>1834</v>
      </c>
      <c r="K110" s="10">
        <f t="shared" si="35"/>
        <v>2000</v>
      </c>
      <c r="L110" s="10">
        <f t="shared" si="36"/>
        <v>2000</v>
      </c>
      <c r="M110" s="10">
        <f t="shared" si="37"/>
        <v>2000</v>
      </c>
      <c r="N110" s="10">
        <f t="shared" ca="1" si="38"/>
        <v>-100</v>
      </c>
      <c r="O110" s="10">
        <f t="shared" ca="1" si="39"/>
        <v>-113</v>
      </c>
      <c r="P110" s="10">
        <f t="shared" ca="1" si="40"/>
        <v>-166</v>
      </c>
      <c r="Q110" s="14">
        <v>0</v>
      </c>
      <c r="R110" s="14">
        <v>0</v>
      </c>
      <c r="S110" s="14">
        <v>0</v>
      </c>
      <c r="T110" s="13">
        <f t="shared" ca="1" si="31"/>
        <v>1600</v>
      </c>
      <c r="U110" s="12">
        <f t="shared" ca="1" si="42"/>
        <v>860</v>
      </c>
      <c r="V110" s="12">
        <f t="shared" ca="1" si="41"/>
        <v>897</v>
      </c>
      <c r="W110" s="12">
        <f t="shared" ca="1" si="43"/>
        <v>874</v>
      </c>
      <c r="X110" s="13"/>
      <c r="Y110" s="10"/>
      <c r="Z110" s="10"/>
      <c r="AA110" s="10"/>
      <c r="AB110" s="9"/>
    </row>
    <row r="111" spans="1:28" ht="15" customHeight="1">
      <c r="A111" s="36">
        <v>97</v>
      </c>
      <c r="B111" s="35">
        <f t="shared" si="32"/>
        <v>45169</v>
      </c>
      <c r="C111" s="16">
        <f t="shared" si="33"/>
        <v>1069</v>
      </c>
      <c r="D111" s="15">
        <f t="shared" ref="D111:D126" si="44">D110-2</f>
        <v>1426</v>
      </c>
      <c r="E111" s="14">
        <f t="shared" ca="1" si="25"/>
        <v>595</v>
      </c>
      <c r="F111" s="14">
        <f t="shared" ca="1" si="26"/>
        <v>608</v>
      </c>
      <c r="G111" s="14">
        <f t="shared" ca="1" si="27"/>
        <v>661</v>
      </c>
      <c r="H111" s="10">
        <f t="shared" ca="1" si="28"/>
        <v>1900</v>
      </c>
      <c r="I111" s="10">
        <f t="shared" ca="1" si="29"/>
        <v>1887</v>
      </c>
      <c r="J111" s="10">
        <f t="shared" ca="1" si="30"/>
        <v>1834</v>
      </c>
      <c r="K111" s="10">
        <f t="shared" si="35"/>
        <v>2000</v>
      </c>
      <c r="L111" s="10">
        <f t="shared" si="36"/>
        <v>2000</v>
      </c>
      <c r="M111" s="10">
        <f t="shared" si="37"/>
        <v>2000</v>
      </c>
      <c r="N111" s="10">
        <f t="shared" ca="1" si="38"/>
        <v>-100</v>
      </c>
      <c r="O111" s="10">
        <f t="shared" ca="1" si="39"/>
        <v>-113</v>
      </c>
      <c r="P111" s="10">
        <f t="shared" ca="1" si="40"/>
        <v>-166</v>
      </c>
      <c r="Q111" s="14">
        <v>0</v>
      </c>
      <c r="R111" s="14">
        <v>0</v>
      </c>
      <c r="S111" s="14">
        <v>0</v>
      </c>
      <c r="T111" s="13">
        <f t="shared" ca="1" si="31"/>
        <v>1598</v>
      </c>
      <c r="U111" s="12">
        <f t="shared" ca="1" si="42"/>
        <v>860</v>
      </c>
      <c r="V111" s="12">
        <f t="shared" ca="1" si="41"/>
        <v>897</v>
      </c>
      <c r="W111" s="12">
        <f t="shared" ca="1" si="43"/>
        <v>874</v>
      </c>
      <c r="X111" s="13"/>
      <c r="Y111" s="10"/>
      <c r="Z111" s="10"/>
      <c r="AA111" s="10"/>
      <c r="AB111" s="9"/>
    </row>
    <row r="112" spans="1:28" ht="15" customHeight="1">
      <c r="A112" s="36">
        <v>98</v>
      </c>
      <c r="B112" s="35">
        <f t="shared" si="32"/>
        <v>45170</v>
      </c>
      <c r="C112" s="16">
        <f t="shared" si="33"/>
        <v>1069</v>
      </c>
      <c r="D112" s="15">
        <f t="shared" si="44"/>
        <v>1424</v>
      </c>
      <c r="E112" s="14">
        <f t="shared" ca="1" si="25"/>
        <v>593</v>
      </c>
      <c r="F112" s="14">
        <f t="shared" ca="1" si="26"/>
        <v>606</v>
      </c>
      <c r="G112" s="14">
        <f t="shared" ca="1" si="27"/>
        <v>659</v>
      </c>
      <c r="H112" s="10">
        <f t="shared" ca="1" si="28"/>
        <v>1900</v>
      </c>
      <c r="I112" s="10">
        <f t="shared" ca="1" si="29"/>
        <v>1887</v>
      </c>
      <c r="J112" s="10">
        <f t="shared" ca="1" si="30"/>
        <v>1834</v>
      </c>
      <c r="K112" s="10">
        <f t="shared" si="35"/>
        <v>2000</v>
      </c>
      <c r="L112" s="10">
        <f t="shared" si="36"/>
        <v>2000</v>
      </c>
      <c r="M112" s="10">
        <f t="shared" si="37"/>
        <v>2000</v>
      </c>
      <c r="N112" s="10">
        <f t="shared" ca="1" si="38"/>
        <v>-100</v>
      </c>
      <c r="O112" s="10">
        <f t="shared" ca="1" si="39"/>
        <v>-113</v>
      </c>
      <c r="P112" s="10">
        <f t="shared" ca="1" si="40"/>
        <v>-166</v>
      </c>
      <c r="Q112" s="14">
        <v>0</v>
      </c>
      <c r="R112" s="14">
        <v>0</v>
      </c>
      <c r="S112" s="14">
        <v>0</v>
      </c>
      <c r="T112" s="13">
        <f t="shared" ca="1" si="31"/>
        <v>1596</v>
      </c>
      <c r="U112" s="12">
        <f t="shared" ca="1" si="42"/>
        <v>860</v>
      </c>
      <c r="V112" s="12">
        <f t="shared" ca="1" si="41"/>
        <v>897</v>
      </c>
      <c r="W112" s="12">
        <f t="shared" ca="1" si="43"/>
        <v>874</v>
      </c>
      <c r="X112" s="13"/>
      <c r="Y112" s="10"/>
      <c r="Z112" s="10"/>
      <c r="AA112" s="10"/>
      <c r="AB112" s="9"/>
    </row>
    <row r="113" spans="1:28" ht="15" customHeight="1">
      <c r="A113" s="36">
        <v>99</v>
      </c>
      <c r="B113" s="35">
        <f t="shared" si="32"/>
        <v>45171</v>
      </c>
      <c r="C113" s="16">
        <f t="shared" si="33"/>
        <v>1069</v>
      </c>
      <c r="D113" s="15">
        <f t="shared" si="44"/>
        <v>1422</v>
      </c>
      <c r="E113" s="14">
        <f t="shared" ca="1" si="25"/>
        <v>591</v>
      </c>
      <c r="F113" s="14">
        <f t="shared" ca="1" si="26"/>
        <v>604</v>
      </c>
      <c r="G113" s="14">
        <f t="shared" ca="1" si="27"/>
        <v>657</v>
      </c>
      <c r="H113" s="10">
        <f t="shared" ca="1" si="28"/>
        <v>1900</v>
      </c>
      <c r="I113" s="10">
        <f t="shared" ca="1" si="29"/>
        <v>1887</v>
      </c>
      <c r="J113" s="10">
        <f t="shared" ca="1" si="30"/>
        <v>1834</v>
      </c>
      <c r="K113" s="10">
        <f t="shared" si="35"/>
        <v>2000</v>
      </c>
      <c r="L113" s="10">
        <f t="shared" si="36"/>
        <v>2000</v>
      </c>
      <c r="M113" s="10">
        <f t="shared" si="37"/>
        <v>2000</v>
      </c>
      <c r="N113" s="10">
        <f t="shared" ca="1" si="38"/>
        <v>-100</v>
      </c>
      <c r="O113" s="10">
        <f t="shared" ca="1" si="39"/>
        <v>-113</v>
      </c>
      <c r="P113" s="10">
        <f t="shared" ca="1" si="40"/>
        <v>-166</v>
      </c>
      <c r="Q113" s="14">
        <v>0</v>
      </c>
      <c r="R113" s="14">
        <v>0</v>
      </c>
      <c r="S113" s="14">
        <v>0</v>
      </c>
      <c r="T113" s="13">
        <f t="shared" ca="1" si="31"/>
        <v>1594</v>
      </c>
      <c r="U113" s="12">
        <f t="shared" ca="1" si="42"/>
        <v>860</v>
      </c>
      <c r="V113" s="12">
        <f t="shared" ca="1" si="41"/>
        <v>897</v>
      </c>
      <c r="W113" s="12">
        <f t="shared" ca="1" si="43"/>
        <v>874</v>
      </c>
      <c r="X113" s="13"/>
      <c r="Y113" s="10"/>
      <c r="Z113" s="10"/>
      <c r="AA113" s="10"/>
      <c r="AB113" s="9"/>
    </row>
    <row r="114" spans="1:28" ht="15" customHeight="1">
      <c r="A114" s="36">
        <v>100</v>
      </c>
      <c r="B114" s="35">
        <f t="shared" si="32"/>
        <v>45172</v>
      </c>
      <c r="C114" s="16">
        <f t="shared" si="33"/>
        <v>1069</v>
      </c>
      <c r="D114" s="15">
        <f t="shared" si="44"/>
        <v>1420</v>
      </c>
      <c r="E114" s="14">
        <f t="shared" ca="1" si="25"/>
        <v>589</v>
      </c>
      <c r="F114" s="14">
        <f t="shared" ca="1" si="26"/>
        <v>602</v>
      </c>
      <c r="G114" s="14">
        <f t="shared" ca="1" si="27"/>
        <v>655</v>
      </c>
      <c r="H114" s="10">
        <f t="shared" ca="1" si="28"/>
        <v>1900</v>
      </c>
      <c r="I114" s="10">
        <f t="shared" ca="1" si="29"/>
        <v>1887</v>
      </c>
      <c r="J114" s="10">
        <f t="shared" ca="1" si="30"/>
        <v>1834</v>
      </c>
      <c r="K114" s="10">
        <f t="shared" si="35"/>
        <v>2000</v>
      </c>
      <c r="L114" s="10">
        <f t="shared" si="36"/>
        <v>2000</v>
      </c>
      <c r="M114" s="10">
        <f t="shared" si="37"/>
        <v>2000</v>
      </c>
      <c r="N114" s="10">
        <f t="shared" ca="1" si="38"/>
        <v>-100</v>
      </c>
      <c r="O114" s="10">
        <f t="shared" ca="1" si="39"/>
        <v>-113</v>
      </c>
      <c r="P114" s="10">
        <f t="shared" ca="1" si="40"/>
        <v>-166</v>
      </c>
      <c r="Q114" s="14">
        <v>0</v>
      </c>
      <c r="R114" s="14">
        <v>0</v>
      </c>
      <c r="S114" s="14">
        <v>0</v>
      </c>
      <c r="T114" s="13">
        <f t="shared" ca="1" si="31"/>
        <v>1592</v>
      </c>
      <c r="U114" s="12">
        <f t="shared" ca="1" si="42"/>
        <v>860</v>
      </c>
      <c r="V114" s="12">
        <f t="shared" ca="1" si="41"/>
        <v>897</v>
      </c>
      <c r="W114" s="12">
        <f t="shared" ca="1" si="43"/>
        <v>874</v>
      </c>
      <c r="X114" s="13"/>
      <c r="Y114" s="10"/>
      <c r="Z114" s="10"/>
      <c r="AA114" s="10"/>
      <c r="AB114" s="9"/>
    </row>
    <row r="115" spans="1:28" ht="15" customHeight="1">
      <c r="A115" s="36">
        <v>101</v>
      </c>
      <c r="B115" s="35">
        <f t="shared" si="32"/>
        <v>45173</v>
      </c>
      <c r="C115" s="16">
        <f t="shared" si="33"/>
        <v>1069</v>
      </c>
      <c r="D115" s="15">
        <f t="shared" si="44"/>
        <v>1418</v>
      </c>
      <c r="E115" s="14">
        <f t="shared" ca="1" si="25"/>
        <v>587</v>
      </c>
      <c r="F115" s="14">
        <f t="shared" ca="1" si="26"/>
        <v>600</v>
      </c>
      <c r="G115" s="14">
        <f t="shared" ca="1" si="27"/>
        <v>653</v>
      </c>
      <c r="H115" s="10">
        <f t="shared" ca="1" si="28"/>
        <v>1900</v>
      </c>
      <c r="I115" s="10">
        <f t="shared" ca="1" si="29"/>
        <v>1887</v>
      </c>
      <c r="J115" s="10">
        <f t="shared" ca="1" si="30"/>
        <v>1834</v>
      </c>
      <c r="K115" s="10">
        <f t="shared" si="35"/>
        <v>2000</v>
      </c>
      <c r="L115" s="10">
        <f t="shared" si="36"/>
        <v>2000</v>
      </c>
      <c r="M115" s="10">
        <f t="shared" si="37"/>
        <v>2000</v>
      </c>
      <c r="N115" s="10">
        <f t="shared" ca="1" si="38"/>
        <v>-100</v>
      </c>
      <c r="O115" s="10">
        <f t="shared" ca="1" si="39"/>
        <v>-113</v>
      </c>
      <c r="P115" s="10">
        <f t="shared" ca="1" si="40"/>
        <v>-166</v>
      </c>
      <c r="Q115" s="14">
        <v>0</v>
      </c>
      <c r="R115" s="14">
        <v>0</v>
      </c>
      <c r="S115" s="14">
        <v>0</v>
      </c>
      <c r="T115" s="13">
        <f t="shared" ca="1" si="31"/>
        <v>1590</v>
      </c>
      <c r="U115" s="12">
        <f t="shared" ca="1" si="42"/>
        <v>860</v>
      </c>
      <c r="V115" s="12">
        <f t="shared" ca="1" si="41"/>
        <v>897</v>
      </c>
      <c r="W115" s="12">
        <f t="shared" ca="1" si="43"/>
        <v>874</v>
      </c>
      <c r="X115" s="13"/>
      <c r="Y115" s="10"/>
      <c r="Z115" s="10"/>
      <c r="AA115" s="10"/>
      <c r="AB115" s="9"/>
    </row>
    <row r="116" spans="1:28" ht="13.15" customHeight="1">
      <c r="A116" s="36">
        <v>102</v>
      </c>
      <c r="B116" s="35">
        <f t="shared" si="32"/>
        <v>45174</v>
      </c>
      <c r="C116" s="16">
        <f t="shared" si="33"/>
        <v>1069</v>
      </c>
      <c r="D116" s="15">
        <f t="shared" si="44"/>
        <v>1416</v>
      </c>
      <c r="E116" s="14">
        <f t="shared" ca="1" si="25"/>
        <v>585</v>
      </c>
      <c r="F116" s="14">
        <f t="shared" ca="1" si="26"/>
        <v>598</v>
      </c>
      <c r="G116" s="14">
        <f t="shared" ca="1" si="27"/>
        <v>651</v>
      </c>
      <c r="H116" s="10">
        <f t="shared" ca="1" si="28"/>
        <v>1900</v>
      </c>
      <c r="I116" s="10">
        <f t="shared" ca="1" si="29"/>
        <v>1887</v>
      </c>
      <c r="J116" s="10">
        <f t="shared" ca="1" si="30"/>
        <v>1834</v>
      </c>
      <c r="K116" s="10">
        <f t="shared" si="35"/>
        <v>2000</v>
      </c>
      <c r="L116" s="10">
        <f t="shared" si="36"/>
        <v>2000</v>
      </c>
      <c r="M116" s="10">
        <f t="shared" si="37"/>
        <v>2000</v>
      </c>
      <c r="N116" s="10">
        <f t="shared" ca="1" si="38"/>
        <v>-100</v>
      </c>
      <c r="O116" s="10">
        <f t="shared" ca="1" si="39"/>
        <v>-113</v>
      </c>
      <c r="P116" s="10">
        <f t="shared" ca="1" si="40"/>
        <v>-166</v>
      </c>
      <c r="Q116" s="14">
        <v>0</v>
      </c>
      <c r="R116" s="14">
        <v>0</v>
      </c>
      <c r="S116" s="14">
        <v>0</v>
      </c>
      <c r="T116" s="13">
        <f t="shared" ca="1" si="31"/>
        <v>1588</v>
      </c>
      <c r="U116" s="12">
        <f t="shared" ca="1" si="42"/>
        <v>860</v>
      </c>
      <c r="V116" s="12">
        <f t="shared" ca="1" si="41"/>
        <v>897</v>
      </c>
      <c r="W116" s="12">
        <f t="shared" ca="1" si="43"/>
        <v>874</v>
      </c>
      <c r="X116" s="13"/>
      <c r="Y116" s="10"/>
      <c r="Z116" s="10"/>
      <c r="AA116" s="10"/>
      <c r="AB116" s="9"/>
    </row>
    <row r="117" spans="1:28" ht="13.15" customHeight="1">
      <c r="A117" s="36">
        <v>103</v>
      </c>
      <c r="B117" s="35">
        <f t="shared" si="32"/>
        <v>45175</v>
      </c>
      <c r="C117" s="16">
        <f t="shared" si="33"/>
        <v>1069</v>
      </c>
      <c r="D117" s="15">
        <f t="shared" si="44"/>
        <v>1414</v>
      </c>
      <c r="E117" s="14">
        <f t="shared" ca="1" si="25"/>
        <v>583</v>
      </c>
      <c r="F117" s="14">
        <f t="shared" ca="1" si="26"/>
        <v>596</v>
      </c>
      <c r="G117" s="14">
        <f t="shared" ca="1" si="27"/>
        <v>649</v>
      </c>
      <c r="H117" s="10">
        <f t="shared" ca="1" si="28"/>
        <v>1900</v>
      </c>
      <c r="I117" s="10">
        <f t="shared" ca="1" si="29"/>
        <v>1887</v>
      </c>
      <c r="J117" s="10">
        <f t="shared" ca="1" si="30"/>
        <v>1834</v>
      </c>
      <c r="K117" s="10">
        <f t="shared" si="35"/>
        <v>2000</v>
      </c>
      <c r="L117" s="10">
        <f t="shared" si="36"/>
        <v>2000</v>
      </c>
      <c r="M117" s="10">
        <f t="shared" si="37"/>
        <v>2000</v>
      </c>
      <c r="N117" s="10">
        <f t="shared" ca="1" si="38"/>
        <v>-100</v>
      </c>
      <c r="O117" s="10">
        <f t="shared" ca="1" si="39"/>
        <v>-113</v>
      </c>
      <c r="P117" s="10">
        <f t="shared" ca="1" si="40"/>
        <v>-166</v>
      </c>
      <c r="Q117" s="14">
        <v>0</v>
      </c>
      <c r="R117" s="14">
        <v>0</v>
      </c>
      <c r="S117" s="14">
        <v>0</v>
      </c>
      <c r="T117" s="13">
        <f t="shared" ca="1" si="31"/>
        <v>1586</v>
      </c>
      <c r="U117" s="12">
        <f t="shared" ca="1" si="42"/>
        <v>860</v>
      </c>
      <c r="V117" s="12">
        <f t="shared" ca="1" si="41"/>
        <v>897</v>
      </c>
      <c r="W117" s="12">
        <f t="shared" ca="1" si="43"/>
        <v>874</v>
      </c>
      <c r="X117" s="13"/>
      <c r="Y117" s="10"/>
      <c r="Z117" s="10"/>
      <c r="AA117" s="10"/>
      <c r="AB117" s="9"/>
    </row>
    <row r="118" spans="1:28" ht="13.15" customHeight="1">
      <c r="A118" s="36">
        <v>104</v>
      </c>
      <c r="B118" s="35">
        <f t="shared" si="32"/>
        <v>45176</v>
      </c>
      <c r="C118" s="16">
        <f t="shared" si="33"/>
        <v>1069</v>
      </c>
      <c r="D118" s="15">
        <f t="shared" si="44"/>
        <v>1412</v>
      </c>
      <c r="E118" s="14">
        <f t="shared" ca="1" si="25"/>
        <v>581</v>
      </c>
      <c r="F118" s="14">
        <f t="shared" ca="1" si="26"/>
        <v>594</v>
      </c>
      <c r="G118" s="14">
        <f t="shared" ca="1" si="27"/>
        <v>647</v>
      </c>
      <c r="H118" s="10">
        <f t="shared" ca="1" si="28"/>
        <v>1900</v>
      </c>
      <c r="I118" s="10">
        <f t="shared" ca="1" si="29"/>
        <v>1887</v>
      </c>
      <c r="J118" s="10">
        <f t="shared" ca="1" si="30"/>
        <v>1834</v>
      </c>
      <c r="K118" s="10">
        <f t="shared" si="35"/>
        <v>2000</v>
      </c>
      <c r="L118" s="10">
        <f t="shared" si="36"/>
        <v>2000</v>
      </c>
      <c r="M118" s="10">
        <f t="shared" si="37"/>
        <v>2000</v>
      </c>
      <c r="N118" s="10">
        <f t="shared" ca="1" si="38"/>
        <v>-100</v>
      </c>
      <c r="O118" s="10">
        <f t="shared" ca="1" si="39"/>
        <v>-113</v>
      </c>
      <c r="P118" s="10">
        <f t="shared" ca="1" si="40"/>
        <v>-166</v>
      </c>
      <c r="Q118" s="14">
        <v>0</v>
      </c>
      <c r="R118" s="14">
        <v>0</v>
      </c>
      <c r="S118" s="14">
        <v>0</v>
      </c>
      <c r="T118" s="13">
        <f t="shared" ca="1" si="31"/>
        <v>1584</v>
      </c>
      <c r="U118" s="12">
        <f t="shared" ca="1" si="42"/>
        <v>860</v>
      </c>
      <c r="V118" s="12">
        <f t="shared" ca="1" si="41"/>
        <v>897</v>
      </c>
      <c r="W118" s="12">
        <f t="shared" ca="1" si="43"/>
        <v>874</v>
      </c>
      <c r="X118" s="13"/>
      <c r="Y118" s="10"/>
      <c r="Z118" s="10"/>
      <c r="AA118" s="10"/>
      <c r="AB118" s="9"/>
    </row>
    <row r="119" spans="1:28" ht="13.15" customHeight="1">
      <c r="A119" s="36">
        <v>105</v>
      </c>
      <c r="B119" s="35">
        <f t="shared" si="32"/>
        <v>45177</v>
      </c>
      <c r="C119" s="16">
        <f t="shared" si="33"/>
        <v>1069</v>
      </c>
      <c r="D119" s="15">
        <f t="shared" si="44"/>
        <v>1410</v>
      </c>
      <c r="E119" s="14">
        <f t="shared" ca="1" si="25"/>
        <v>579</v>
      </c>
      <c r="F119" s="14">
        <f t="shared" ca="1" si="26"/>
        <v>592</v>
      </c>
      <c r="G119" s="14">
        <f t="shared" ca="1" si="27"/>
        <v>645</v>
      </c>
      <c r="H119" s="10">
        <f t="shared" ca="1" si="28"/>
        <v>1900</v>
      </c>
      <c r="I119" s="10">
        <f t="shared" ca="1" si="29"/>
        <v>1887</v>
      </c>
      <c r="J119" s="10">
        <f t="shared" ca="1" si="30"/>
        <v>1834</v>
      </c>
      <c r="K119" s="10">
        <f t="shared" si="35"/>
        <v>2000</v>
      </c>
      <c r="L119" s="10">
        <f t="shared" si="36"/>
        <v>2000</v>
      </c>
      <c r="M119" s="10">
        <f t="shared" si="37"/>
        <v>2000</v>
      </c>
      <c r="N119" s="10">
        <f t="shared" ca="1" si="38"/>
        <v>-100</v>
      </c>
      <c r="O119" s="10">
        <f t="shared" ca="1" si="39"/>
        <v>-113</v>
      </c>
      <c r="P119" s="10">
        <f t="shared" ca="1" si="40"/>
        <v>-166</v>
      </c>
      <c r="Q119" s="14">
        <v>0</v>
      </c>
      <c r="R119" s="14">
        <v>0</v>
      </c>
      <c r="S119" s="14">
        <v>0</v>
      </c>
      <c r="T119" s="13">
        <f t="shared" ca="1" si="31"/>
        <v>1582</v>
      </c>
      <c r="U119" s="12">
        <f t="shared" ca="1" si="42"/>
        <v>860</v>
      </c>
      <c r="V119" s="12">
        <f t="shared" ca="1" si="41"/>
        <v>897</v>
      </c>
      <c r="W119" s="12">
        <f t="shared" ca="1" si="43"/>
        <v>874</v>
      </c>
      <c r="X119" s="13"/>
      <c r="Y119" s="10"/>
      <c r="Z119" s="10"/>
      <c r="AA119" s="10"/>
      <c r="AB119" s="9"/>
    </row>
    <row r="120" spans="1:28" ht="13.15" customHeight="1">
      <c r="A120" s="36">
        <v>106</v>
      </c>
      <c r="B120" s="35">
        <f t="shared" si="32"/>
        <v>45178</v>
      </c>
      <c r="C120" s="16">
        <f t="shared" si="33"/>
        <v>1069</v>
      </c>
      <c r="D120" s="15">
        <f t="shared" si="44"/>
        <v>1408</v>
      </c>
      <c r="E120" s="14">
        <f t="shared" ca="1" si="25"/>
        <v>577</v>
      </c>
      <c r="F120" s="14">
        <f t="shared" ca="1" si="26"/>
        <v>590</v>
      </c>
      <c r="G120" s="14">
        <f t="shared" ca="1" si="27"/>
        <v>643</v>
      </c>
      <c r="H120" s="10">
        <f t="shared" ca="1" si="28"/>
        <v>1900</v>
      </c>
      <c r="I120" s="10">
        <f t="shared" ca="1" si="29"/>
        <v>1887</v>
      </c>
      <c r="J120" s="10">
        <f t="shared" ca="1" si="30"/>
        <v>1834</v>
      </c>
      <c r="K120" s="10">
        <f t="shared" si="35"/>
        <v>2000</v>
      </c>
      <c r="L120" s="10">
        <f t="shared" si="36"/>
        <v>2000</v>
      </c>
      <c r="M120" s="10">
        <f t="shared" si="37"/>
        <v>2000</v>
      </c>
      <c r="N120" s="10">
        <f t="shared" ca="1" si="38"/>
        <v>-100</v>
      </c>
      <c r="O120" s="10">
        <f t="shared" ca="1" si="39"/>
        <v>-113</v>
      </c>
      <c r="P120" s="10">
        <f t="shared" ca="1" si="40"/>
        <v>-166</v>
      </c>
      <c r="Q120" s="14">
        <v>0</v>
      </c>
      <c r="R120" s="14">
        <v>0</v>
      </c>
      <c r="S120" s="14">
        <v>0</v>
      </c>
      <c r="T120" s="13">
        <f t="shared" ca="1" si="31"/>
        <v>1580</v>
      </c>
      <c r="U120" s="12">
        <f t="shared" ca="1" si="42"/>
        <v>860</v>
      </c>
      <c r="V120" s="12">
        <f t="shared" ca="1" si="41"/>
        <v>897</v>
      </c>
      <c r="W120" s="12">
        <f t="shared" ca="1" si="43"/>
        <v>874</v>
      </c>
      <c r="X120" s="13"/>
      <c r="Y120" s="10"/>
      <c r="Z120" s="10"/>
      <c r="AA120" s="10"/>
      <c r="AB120" s="9"/>
    </row>
    <row r="121" spans="1:28" ht="13.15" customHeight="1">
      <c r="A121" s="36">
        <v>107</v>
      </c>
      <c r="B121" s="35">
        <f t="shared" si="32"/>
        <v>45179</v>
      </c>
      <c r="C121" s="16">
        <f t="shared" si="33"/>
        <v>1069</v>
      </c>
      <c r="D121" s="15">
        <f t="shared" si="44"/>
        <v>1406</v>
      </c>
      <c r="E121" s="14">
        <f t="shared" ca="1" si="25"/>
        <v>575</v>
      </c>
      <c r="F121" s="14">
        <f t="shared" ca="1" si="26"/>
        <v>588</v>
      </c>
      <c r="G121" s="14">
        <f t="shared" ca="1" si="27"/>
        <v>641</v>
      </c>
      <c r="H121" s="10">
        <f t="shared" ca="1" si="28"/>
        <v>1900</v>
      </c>
      <c r="I121" s="10">
        <f t="shared" ca="1" si="29"/>
        <v>1887</v>
      </c>
      <c r="J121" s="10">
        <f t="shared" ca="1" si="30"/>
        <v>1834</v>
      </c>
      <c r="K121" s="10">
        <f t="shared" si="35"/>
        <v>2000</v>
      </c>
      <c r="L121" s="10">
        <f t="shared" si="36"/>
        <v>2000</v>
      </c>
      <c r="M121" s="10">
        <f t="shared" si="37"/>
        <v>2000</v>
      </c>
      <c r="N121" s="10">
        <f t="shared" ca="1" si="38"/>
        <v>-100</v>
      </c>
      <c r="O121" s="10">
        <f t="shared" ca="1" si="39"/>
        <v>-113</v>
      </c>
      <c r="P121" s="10">
        <f t="shared" ca="1" si="40"/>
        <v>-166</v>
      </c>
      <c r="Q121" s="14">
        <v>0</v>
      </c>
      <c r="R121" s="14">
        <v>0</v>
      </c>
      <c r="S121" s="14">
        <v>0</v>
      </c>
      <c r="T121" s="13">
        <f t="shared" ca="1" si="31"/>
        <v>1578</v>
      </c>
      <c r="U121" s="12">
        <f t="shared" ca="1" si="42"/>
        <v>860</v>
      </c>
      <c r="V121" s="12">
        <f t="shared" ca="1" si="41"/>
        <v>897</v>
      </c>
      <c r="W121" s="12">
        <f t="shared" ca="1" si="43"/>
        <v>874</v>
      </c>
      <c r="X121" s="13"/>
      <c r="Y121" s="10"/>
      <c r="Z121" s="10"/>
      <c r="AA121" s="10"/>
      <c r="AB121" s="9"/>
    </row>
    <row r="122" spans="1:28" ht="13.15" customHeight="1">
      <c r="A122" s="36">
        <v>108</v>
      </c>
      <c r="B122" s="35">
        <f t="shared" si="32"/>
        <v>45180</v>
      </c>
      <c r="C122" s="16">
        <f t="shared" si="33"/>
        <v>1069</v>
      </c>
      <c r="D122" s="15">
        <f t="shared" si="44"/>
        <v>1404</v>
      </c>
      <c r="E122" s="14">
        <f t="shared" ca="1" si="25"/>
        <v>573</v>
      </c>
      <c r="F122" s="14">
        <f t="shared" ca="1" si="26"/>
        <v>586</v>
      </c>
      <c r="G122" s="14">
        <f t="shared" ca="1" si="27"/>
        <v>639</v>
      </c>
      <c r="H122" s="10">
        <f t="shared" ca="1" si="28"/>
        <v>1900</v>
      </c>
      <c r="I122" s="10">
        <f t="shared" ca="1" si="29"/>
        <v>1887</v>
      </c>
      <c r="J122" s="10">
        <f t="shared" ca="1" si="30"/>
        <v>1834</v>
      </c>
      <c r="K122" s="10">
        <f t="shared" si="35"/>
        <v>2000</v>
      </c>
      <c r="L122" s="10">
        <f t="shared" si="36"/>
        <v>2000</v>
      </c>
      <c r="M122" s="10">
        <f t="shared" si="37"/>
        <v>2000</v>
      </c>
      <c r="N122" s="10">
        <f t="shared" ca="1" si="38"/>
        <v>-100</v>
      </c>
      <c r="O122" s="10">
        <f t="shared" ca="1" si="39"/>
        <v>-113</v>
      </c>
      <c r="P122" s="10">
        <f t="shared" ca="1" si="40"/>
        <v>-166</v>
      </c>
      <c r="Q122" s="14">
        <v>0</v>
      </c>
      <c r="R122" s="14">
        <v>0</v>
      </c>
      <c r="S122" s="14">
        <v>0</v>
      </c>
      <c r="T122" s="13">
        <f t="shared" ca="1" si="31"/>
        <v>1576</v>
      </c>
      <c r="U122" s="12">
        <f t="shared" ca="1" si="42"/>
        <v>860</v>
      </c>
      <c r="V122" s="12">
        <f t="shared" ca="1" si="41"/>
        <v>897</v>
      </c>
      <c r="W122" s="12">
        <f t="shared" ca="1" si="43"/>
        <v>874</v>
      </c>
      <c r="X122" s="13"/>
      <c r="Y122" s="10"/>
      <c r="Z122" s="10"/>
      <c r="AA122" s="10"/>
      <c r="AB122" s="9"/>
    </row>
    <row r="123" spans="1:28" ht="13.15" customHeight="1">
      <c r="A123" s="36">
        <v>109</v>
      </c>
      <c r="B123" s="35">
        <f t="shared" si="32"/>
        <v>45181</v>
      </c>
      <c r="C123" s="16">
        <f t="shared" si="33"/>
        <v>1069</v>
      </c>
      <c r="D123" s="15">
        <f t="shared" si="44"/>
        <v>1402</v>
      </c>
      <c r="E123" s="14">
        <f t="shared" ca="1" si="25"/>
        <v>571</v>
      </c>
      <c r="F123" s="14">
        <f t="shared" ca="1" si="26"/>
        <v>584</v>
      </c>
      <c r="G123" s="14">
        <f t="shared" ca="1" si="27"/>
        <v>637</v>
      </c>
      <c r="H123" s="10">
        <f t="shared" ca="1" si="28"/>
        <v>1900</v>
      </c>
      <c r="I123" s="10">
        <f t="shared" ca="1" si="29"/>
        <v>1887</v>
      </c>
      <c r="J123" s="10">
        <f t="shared" ca="1" si="30"/>
        <v>1834</v>
      </c>
      <c r="K123" s="10">
        <f t="shared" si="35"/>
        <v>2000</v>
      </c>
      <c r="L123" s="10">
        <f t="shared" si="36"/>
        <v>2000</v>
      </c>
      <c r="M123" s="10">
        <f t="shared" si="37"/>
        <v>2000</v>
      </c>
      <c r="N123" s="10">
        <f t="shared" ca="1" si="38"/>
        <v>-100</v>
      </c>
      <c r="O123" s="10">
        <f t="shared" ca="1" si="39"/>
        <v>-113</v>
      </c>
      <c r="P123" s="10">
        <f t="shared" ca="1" si="40"/>
        <v>-166</v>
      </c>
      <c r="Q123" s="14">
        <v>0</v>
      </c>
      <c r="R123" s="14">
        <v>0</v>
      </c>
      <c r="S123" s="14">
        <v>0</v>
      </c>
      <c r="T123" s="13">
        <f t="shared" ca="1" si="31"/>
        <v>1574</v>
      </c>
      <c r="U123" s="12">
        <f t="shared" ca="1" si="42"/>
        <v>860</v>
      </c>
      <c r="V123" s="12">
        <f t="shared" ca="1" si="41"/>
        <v>897</v>
      </c>
      <c r="W123" s="12">
        <f t="shared" ca="1" si="43"/>
        <v>874</v>
      </c>
      <c r="X123" s="13"/>
      <c r="Y123" s="10"/>
      <c r="Z123" s="10"/>
      <c r="AA123" s="10"/>
      <c r="AB123" s="9"/>
    </row>
    <row r="124" spans="1:28" ht="13.15" customHeight="1">
      <c r="A124" s="36">
        <v>110</v>
      </c>
      <c r="B124" s="35">
        <f t="shared" si="32"/>
        <v>45182</v>
      </c>
      <c r="C124" s="16">
        <f t="shared" si="33"/>
        <v>1069</v>
      </c>
      <c r="D124" s="15">
        <f t="shared" si="44"/>
        <v>1400</v>
      </c>
      <c r="E124" s="14">
        <f t="shared" ca="1" si="25"/>
        <v>569</v>
      </c>
      <c r="F124" s="14">
        <f t="shared" ca="1" si="26"/>
        <v>582</v>
      </c>
      <c r="G124" s="14">
        <f t="shared" ca="1" si="27"/>
        <v>635</v>
      </c>
      <c r="H124" s="10">
        <f t="shared" ca="1" si="28"/>
        <v>1900</v>
      </c>
      <c r="I124" s="10">
        <f t="shared" ca="1" si="29"/>
        <v>1887</v>
      </c>
      <c r="J124" s="10">
        <f t="shared" ca="1" si="30"/>
        <v>1834</v>
      </c>
      <c r="K124" s="10">
        <f t="shared" si="35"/>
        <v>2000</v>
      </c>
      <c r="L124" s="10">
        <f t="shared" si="36"/>
        <v>2000</v>
      </c>
      <c r="M124" s="10">
        <f t="shared" si="37"/>
        <v>2000</v>
      </c>
      <c r="N124" s="10">
        <f t="shared" ca="1" si="38"/>
        <v>-100</v>
      </c>
      <c r="O124" s="10">
        <f t="shared" ca="1" si="39"/>
        <v>-113</v>
      </c>
      <c r="P124" s="10">
        <f t="shared" ca="1" si="40"/>
        <v>-166</v>
      </c>
      <c r="Q124" s="14">
        <v>0</v>
      </c>
      <c r="R124" s="14">
        <v>0</v>
      </c>
      <c r="S124" s="14">
        <v>0</v>
      </c>
      <c r="T124" s="13">
        <f t="shared" ca="1" si="31"/>
        <v>1572</v>
      </c>
      <c r="U124" s="12">
        <f t="shared" ca="1" si="42"/>
        <v>860</v>
      </c>
      <c r="V124" s="12">
        <f t="shared" ca="1" si="41"/>
        <v>897</v>
      </c>
      <c r="W124" s="12">
        <f t="shared" ca="1" si="43"/>
        <v>874</v>
      </c>
      <c r="X124" s="13"/>
      <c r="Y124" s="10"/>
      <c r="Z124" s="10"/>
      <c r="AA124" s="10"/>
      <c r="AB124" s="9"/>
    </row>
    <row r="125" spans="1:28" ht="13.15" customHeight="1">
      <c r="A125" s="36">
        <v>111</v>
      </c>
      <c r="B125" s="35">
        <f t="shared" si="32"/>
        <v>45183</v>
      </c>
      <c r="C125" s="16">
        <f t="shared" si="33"/>
        <v>1069</v>
      </c>
      <c r="D125" s="15">
        <f t="shared" si="44"/>
        <v>1398</v>
      </c>
      <c r="E125" s="14">
        <f t="shared" ca="1" si="25"/>
        <v>567</v>
      </c>
      <c r="F125" s="14">
        <f t="shared" ca="1" si="26"/>
        <v>580</v>
      </c>
      <c r="G125" s="14">
        <f t="shared" ca="1" si="27"/>
        <v>633</v>
      </c>
      <c r="H125" s="10">
        <f t="shared" ca="1" si="28"/>
        <v>1900</v>
      </c>
      <c r="I125" s="10">
        <f t="shared" ca="1" si="29"/>
        <v>1887</v>
      </c>
      <c r="J125" s="10">
        <f t="shared" ca="1" si="30"/>
        <v>1834</v>
      </c>
      <c r="K125" s="10">
        <f t="shared" si="35"/>
        <v>2000</v>
      </c>
      <c r="L125" s="10">
        <f t="shared" si="36"/>
        <v>2000</v>
      </c>
      <c r="M125" s="10">
        <f t="shared" si="37"/>
        <v>2000</v>
      </c>
      <c r="N125" s="10">
        <f t="shared" ca="1" si="38"/>
        <v>-100</v>
      </c>
      <c r="O125" s="10">
        <f t="shared" ca="1" si="39"/>
        <v>-113</v>
      </c>
      <c r="P125" s="10">
        <f t="shared" ca="1" si="40"/>
        <v>-166</v>
      </c>
      <c r="Q125" s="14">
        <v>0</v>
      </c>
      <c r="R125" s="14">
        <v>0</v>
      </c>
      <c r="S125" s="14">
        <v>0</v>
      </c>
      <c r="T125" s="13">
        <f t="shared" ca="1" si="31"/>
        <v>1570</v>
      </c>
      <c r="U125" s="12">
        <f t="shared" ca="1" si="42"/>
        <v>860</v>
      </c>
      <c r="V125" s="12">
        <f t="shared" ca="1" si="41"/>
        <v>897</v>
      </c>
      <c r="W125" s="12">
        <f t="shared" ca="1" si="43"/>
        <v>874</v>
      </c>
      <c r="X125" s="13"/>
      <c r="Y125" s="10"/>
      <c r="Z125" s="10"/>
      <c r="AA125" s="10"/>
      <c r="AB125" s="9"/>
    </row>
    <row r="126" spans="1:28" ht="13.15" customHeight="1">
      <c r="A126" s="36">
        <v>112</v>
      </c>
      <c r="B126" s="35">
        <f t="shared" si="32"/>
        <v>45184</v>
      </c>
      <c r="C126" s="16">
        <f t="shared" si="33"/>
        <v>1069</v>
      </c>
      <c r="D126" s="15">
        <f t="shared" si="44"/>
        <v>1396</v>
      </c>
      <c r="E126" s="14">
        <f t="shared" ca="1" si="25"/>
        <v>565</v>
      </c>
      <c r="F126" s="14">
        <f t="shared" ca="1" si="26"/>
        <v>578</v>
      </c>
      <c r="G126" s="14">
        <f t="shared" ca="1" si="27"/>
        <v>631</v>
      </c>
      <c r="H126" s="10">
        <f t="shared" ca="1" si="28"/>
        <v>1900</v>
      </c>
      <c r="I126" s="10">
        <f t="shared" ca="1" si="29"/>
        <v>1887</v>
      </c>
      <c r="J126" s="10">
        <f t="shared" ca="1" si="30"/>
        <v>1834</v>
      </c>
      <c r="K126" s="10">
        <f t="shared" si="35"/>
        <v>2000</v>
      </c>
      <c r="L126" s="10">
        <f t="shared" si="36"/>
        <v>2000</v>
      </c>
      <c r="M126" s="10">
        <f t="shared" si="37"/>
        <v>2000</v>
      </c>
      <c r="N126" s="10">
        <f t="shared" ca="1" si="38"/>
        <v>-100</v>
      </c>
      <c r="O126" s="10">
        <f t="shared" ca="1" si="39"/>
        <v>-113</v>
      </c>
      <c r="P126" s="10">
        <f t="shared" ca="1" si="40"/>
        <v>-166</v>
      </c>
      <c r="Q126" s="14">
        <v>0</v>
      </c>
      <c r="R126" s="14">
        <v>0</v>
      </c>
      <c r="S126" s="14">
        <v>0</v>
      </c>
      <c r="T126" s="13">
        <f t="shared" ca="1" si="31"/>
        <v>1568</v>
      </c>
      <c r="U126" s="12">
        <f t="shared" ca="1" si="42"/>
        <v>860</v>
      </c>
      <c r="V126" s="12">
        <f t="shared" ca="1" si="41"/>
        <v>897</v>
      </c>
      <c r="W126" s="12">
        <f t="shared" ca="1" si="43"/>
        <v>874</v>
      </c>
      <c r="X126" s="13"/>
      <c r="Y126" s="10"/>
      <c r="Z126" s="10"/>
      <c r="AA126" s="10"/>
      <c r="AB126" s="9"/>
    </row>
    <row r="127" spans="1:28" ht="13.15" customHeight="1">
      <c r="A127" s="36">
        <v>113</v>
      </c>
      <c r="B127" s="35">
        <f t="shared" si="32"/>
        <v>45185</v>
      </c>
      <c r="C127" s="16">
        <f t="shared" si="33"/>
        <v>1069</v>
      </c>
      <c r="D127" s="15">
        <f t="shared" ref="D127:D190" si="45">D126+2</f>
        <v>1398</v>
      </c>
      <c r="E127" s="14">
        <f t="shared" ca="1" si="25"/>
        <v>567</v>
      </c>
      <c r="F127" s="14">
        <f t="shared" ca="1" si="26"/>
        <v>580</v>
      </c>
      <c r="G127" s="14">
        <f t="shared" ca="1" si="27"/>
        <v>633</v>
      </c>
      <c r="H127" s="10">
        <f t="shared" ca="1" si="28"/>
        <v>1900</v>
      </c>
      <c r="I127" s="10">
        <f t="shared" ca="1" si="29"/>
        <v>1887</v>
      </c>
      <c r="J127" s="10">
        <f t="shared" ca="1" si="30"/>
        <v>1834</v>
      </c>
      <c r="K127" s="10">
        <f t="shared" si="35"/>
        <v>2000</v>
      </c>
      <c r="L127" s="10">
        <f t="shared" si="36"/>
        <v>2000</v>
      </c>
      <c r="M127" s="10">
        <f t="shared" si="37"/>
        <v>2000</v>
      </c>
      <c r="N127" s="10">
        <f t="shared" ca="1" si="38"/>
        <v>-100</v>
      </c>
      <c r="O127" s="10">
        <f t="shared" ca="1" si="39"/>
        <v>-113</v>
      </c>
      <c r="P127" s="10">
        <f t="shared" ca="1" si="40"/>
        <v>-166</v>
      </c>
      <c r="Q127" s="14">
        <v>0</v>
      </c>
      <c r="R127" s="14">
        <v>0</v>
      </c>
      <c r="S127" s="14">
        <v>0</v>
      </c>
      <c r="T127" s="13">
        <f t="shared" ca="1" si="31"/>
        <v>1570</v>
      </c>
      <c r="U127" s="12">
        <f t="shared" ca="1" si="42"/>
        <v>860</v>
      </c>
      <c r="V127" s="12">
        <f t="shared" ca="1" si="41"/>
        <v>897</v>
      </c>
      <c r="W127" s="12">
        <f t="shared" ca="1" si="43"/>
        <v>874</v>
      </c>
      <c r="X127" s="13"/>
      <c r="Y127" s="10"/>
      <c r="Z127" s="10"/>
      <c r="AA127" s="10"/>
      <c r="AB127" s="9"/>
    </row>
    <row r="128" spans="1:28" ht="13.15" customHeight="1">
      <c r="A128" s="36">
        <v>114</v>
      </c>
      <c r="B128" s="35">
        <f t="shared" si="32"/>
        <v>45186</v>
      </c>
      <c r="C128" s="16">
        <f t="shared" si="33"/>
        <v>1069</v>
      </c>
      <c r="D128" s="15">
        <f t="shared" si="45"/>
        <v>1400</v>
      </c>
      <c r="E128" s="14">
        <f t="shared" ca="1" si="25"/>
        <v>569</v>
      </c>
      <c r="F128" s="14">
        <f t="shared" ca="1" si="26"/>
        <v>582</v>
      </c>
      <c r="G128" s="14">
        <f t="shared" ca="1" si="27"/>
        <v>635</v>
      </c>
      <c r="H128" s="10">
        <f t="shared" ca="1" si="28"/>
        <v>1900</v>
      </c>
      <c r="I128" s="10">
        <f t="shared" ca="1" si="29"/>
        <v>1887</v>
      </c>
      <c r="J128" s="10">
        <f t="shared" ca="1" si="30"/>
        <v>1834</v>
      </c>
      <c r="K128" s="10">
        <f t="shared" si="35"/>
        <v>2000</v>
      </c>
      <c r="L128" s="10">
        <f t="shared" si="36"/>
        <v>2000</v>
      </c>
      <c r="M128" s="10">
        <f t="shared" si="37"/>
        <v>2000</v>
      </c>
      <c r="N128" s="10">
        <f t="shared" ca="1" si="38"/>
        <v>-100</v>
      </c>
      <c r="O128" s="10">
        <f t="shared" ca="1" si="39"/>
        <v>-113</v>
      </c>
      <c r="P128" s="10">
        <f t="shared" ca="1" si="40"/>
        <v>-166</v>
      </c>
      <c r="Q128" s="14">
        <v>0</v>
      </c>
      <c r="R128" s="14">
        <v>0</v>
      </c>
      <c r="S128" s="14">
        <v>0</v>
      </c>
      <c r="T128" s="13">
        <f t="shared" ca="1" si="31"/>
        <v>1572</v>
      </c>
      <c r="U128" s="12">
        <f t="shared" ca="1" si="42"/>
        <v>860</v>
      </c>
      <c r="V128" s="12">
        <f t="shared" ca="1" si="41"/>
        <v>897</v>
      </c>
      <c r="W128" s="12">
        <f t="shared" ca="1" si="43"/>
        <v>874</v>
      </c>
      <c r="X128" s="13"/>
      <c r="Y128" s="10"/>
      <c r="Z128" s="10"/>
      <c r="AA128" s="10"/>
      <c r="AB128" s="9"/>
    </row>
    <row r="129" spans="1:28" ht="13.15" customHeight="1">
      <c r="A129" s="36">
        <v>115</v>
      </c>
      <c r="B129" s="35">
        <f t="shared" si="32"/>
        <v>45187</v>
      </c>
      <c r="C129" s="16">
        <f t="shared" si="33"/>
        <v>1069</v>
      </c>
      <c r="D129" s="15">
        <f t="shared" si="45"/>
        <v>1402</v>
      </c>
      <c r="E129" s="14">
        <f t="shared" ca="1" si="25"/>
        <v>571</v>
      </c>
      <c r="F129" s="14">
        <f t="shared" ca="1" si="26"/>
        <v>584</v>
      </c>
      <c r="G129" s="14">
        <f t="shared" ca="1" si="27"/>
        <v>637</v>
      </c>
      <c r="H129" s="10">
        <f t="shared" ca="1" si="28"/>
        <v>1900</v>
      </c>
      <c r="I129" s="10">
        <f t="shared" ca="1" si="29"/>
        <v>1887</v>
      </c>
      <c r="J129" s="10">
        <f t="shared" ca="1" si="30"/>
        <v>1834</v>
      </c>
      <c r="K129" s="10">
        <f t="shared" si="35"/>
        <v>2000</v>
      </c>
      <c r="L129" s="10">
        <f t="shared" si="36"/>
        <v>2000</v>
      </c>
      <c r="M129" s="10">
        <f t="shared" si="37"/>
        <v>2000</v>
      </c>
      <c r="N129" s="10">
        <f t="shared" ca="1" si="38"/>
        <v>-100</v>
      </c>
      <c r="O129" s="10">
        <f t="shared" ca="1" si="39"/>
        <v>-113</v>
      </c>
      <c r="P129" s="10">
        <f t="shared" ca="1" si="40"/>
        <v>-166</v>
      </c>
      <c r="Q129" s="14">
        <v>0</v>
      </c>
      <c r="R129" s="14">
        <v>0</v>
      </c>
      <c r="S129" s="14">
        <v>0</v>
      </c>
      <c r="T129" s="13">
        <f t="shared" ca="1" si="31"/>
        <v>1574</v>
      </c>
      <c r="U129" s="12">
        <f t="shared" ca="1" si="42"/>
        <v>860</v>
      </c>
      <c r="V129" s="12">
        <f t="shared" ca="1" si="41"/>
        <v>897</v>
      </c>
      <c r="W129" s="12">
        <f t="shared" ca="1" si="43"/>
        <v>874</v>
      </c>
      <c r="X129" s="13"/>
      <c r="Y129" s="10"/>
      <c r="Z129" s="10"/>
      <c r="AA129" s="10"/>
      <c r="AB129" s="9"/>
    </row>
    <row r="130" spans="1:28" ht="13.15" customHeight="1">
      <c r="A130" s="36">
        <v>116</v>
      </c>
      <c r="B130" s="35">
        <f t="shared" si="32"/>
        <v>45188</v>
      </c>
      <c r="C130" s="16">
        <f t="shared" si="33"/>
        <v>1069</v>
      </c>
      <c r="D130" s="15">
        <f t="shared" si="45"/>
        <v>1404</v>
      </c>
      <c r="E130" s="14">
        <f t="shared" ca="1" si="25"/>
        <v>573</v>
      </c>
      <c r="F130" s="14">
        <f t="shared" ca="1" si="26"/>
        <v>586</v>
      </c>
      <c r="G130" s="14">
        <f t="shared" ca="1" si="27"/>
        <v>639</v>
      </c>
      <c r="H130" s="10">
        <f t="shared" ca="1" si="28"/>
        <v>1900</v>
      </c>
      <c r="I130" s="10">
        <f t="shared" ca="1" si="29"/>
        <v>1887</v>
      </c>
      <c r="J130" s="10">
        <f t="shared" ca="1" si="30"/>
        <v>1834</v>
      </c>
      <c r="K130" s="10">
        <f t="shared" si="35"/>
        <v>2000</v>
      </c>
      <c r="L130" s="10">
        <f t="shared" si="36"/>
        <v>2000</v>
      </c>
      <c r="M130" s="10">
        <f t="shared" si="37"/>
        <v>2000</v>
      </c>
      <c r="N130" s="10">
        <f t="shared" ca="1" si="38"/>
        <v>-100</v>
      </c>
      <c r="O130" s="10">
        <f t="shared" ca="1" si="39"/>
        <v>-113</v>
      </c>
      <c r="P130" s="10">
        <f t="shared" ca="1" si="40"/>
        <v>-166</v>
      </c>
      <c r="Q130" s="14">
        <v>0</v>
      </c>
      <c r="R130" s="14">
        <v>0</v>
      </c>
      <c r="S130" s="14">
        <v>0</v>
      </c>
      <c r="T130" s="13">
        <f t="shared" ca="1" si="31"/>
        <v>1576</v>
      </c>
      <c r="U130" s="12">
        <f t="shared" ca="1" si="42"/>
        <v>860</v>
      </c>
      <c r="V130" s="12">
        <f t="shared" ca="1" si="41"/>
        <v>897</v>
      </c>
      <c r="W130" s="12">
        <f t="shared" ca="1" si="43"/>
        <v>874</v>
      </c>
      <c r="X130" s="13"/>
      <c r="Y130" s="10"/>
      <c r="Z130" s="10"/>
      <c r="AA130" s="10"/>
      <c r="AB130" s="9"/>
    </row>
    <row r="131" spans="1:28" ht="13.15" customHeight="1">
      <c r="A131" s="36">
        <v>117</v>
      </c>
      <c r="B131" s="35">
        <f t="shared" si="32"/>
        <v>45189</v>
      </c>
      <c r="C131" s="16">
        <f t="shared" si="33"/>
        <v>1069</v>
      </c>
      <c r="D131" s="15">
        <f t="shared" si="45"/>
        <v>1406</v>
      </c>
      <c r="E131" s="14">
        <f t="shared" ca="1" si="25"/>
        <v>575</v>
      </c>
      <c r="F131" s="14">
        <f t="shared" ca="1" si="26"/>
        <v>588</v>
      </c>
      <c r="G131" s="14">
        <f t="shared" ca="1" si="27"/>
        <v>641</v>
      </c>
      <c r="H131" s="10">
        <f t="shared" ca="1" si="28"/>
        <v>1900</v>
      </c>
      <c r="I131" s="10">
        <f t="shared" ca="1" si="29"/>
        <v>1887</v>
      </c>
      <c r="J131" s="10">
        <f t="shared" ca="1" si="30"/>
        <v>1834</v>
      </c>
      <c r="K131" s="10">
        <f t="shared" si="35"/>
        <v>2000</v>
      </c>
      <c r="L131" s="10">
        <f t="shared" si="36"/>
        <v>2000</v>
      </c>
      <c r="M131" s="10">
        <f t="shared" si="37"/>
        <v>2000</v>
      </c>
      <c r="N131" s="10">
        <f t="shared" ca="1" si="38"/>
        <v>-100</v>
      </c>
      <c r="O131" s="10">
        <f t="shared" ca="1" si="39"/>
        <v>-113</v>
      </c>
      <c r="P131" s="10">
        <f t="shared" ca="1" si="40"/>
        <v>-166</v>
      </c>
      <c r="Q131" s="14">
        <v>0</v>
      </c>
      <c r="R131" s="14">
        <v>0</v>
      </c>
      <c r="S131" s="14">
        <v>0</v>
      </c>
      <c r="T131" s="13">
        <f t="shared" ca="1" si="31"/>
        <v>1578</v>
      </c>
      <c r="U131" s="12">
        <f t="shared" ca="1" si="42"/>
        <v>860</v>
      </c>
      <c r="V131" s="12">
        <f t="shared" ca="1" si="41"/>
        <v>897</v>
      </c>
      <c r="W131" s="12">
        <f t="shared" ca="1" si="43"/>
        <v>874</v>
      </c>
      <c r="X131" s="13"/>
      <c r="Y131" s="10"/>
      <c r="Z131" s="10"/>
      <c r="AA131" s="10"/>
      <c r="AB131" s="9"/>
    </row>
    <row r="132" spans="1:28" ht="13.15" customHeight="1">
      <c r="A132" s="36">
        <v>118</v>
      </c>
      <c r="B132" s="35">
        <f t="shared" si="32"/>
        <v>45190</v>
      </c>
      <c r="C132" s="16">
        <f t="shared" si="33"/>
        <v>1069</v>
      </c>
      <c r="D132" s="15">
        <f t="shared" si="45"/>
        <v>1408</v>
      </c>
      <c r="E132" s="14">
        <f t="shared" ca="1" si="25"/>
        <v>577</v>
      </c>
      <c r="F132" s="14">
        <f t="shared" ca="1" si="26"/>
        <v>590</v>
      </c>
      <c r="G132" s="14">
        <f t="shared" ca="1" si="27"/>
        <v>643</v>
      </c>
      <c r="H132" s="10">
        <f t="shared" ca="1" si="28"/>
        <v>1900</v>
      </c>
      <c r="I132" s="10">
        <f t="shared" ca="1" si="29"/>
        <v>1887</v>
      </c>
      <c r="J132" s="10">
        <f t="shared" ca="1" si="30"/>
        <v>1834</v>
      </c>
      <c r="K132" s="10">
        <f t="shared" si="35"/>
        <v>2000</v>
      </c>
      <c r="L132" s="10">
        <f t="shared" si="36"/>
        <v>2000</v>
      </c>
      <c r="M132" s="10">
        <f t="shared" si="37"/>
        <v>2000</v>
      </c>
      <c r="N132" s="10">
        <f t="shared" ca="1" si="38"/>
        <v>-100</v>
      </c>
      <c r="O132" s="10">
        <f t="shared" ca="1" si="39"/>
        <v>-113</v>
      </c>
      <c r="P132" s="10">
        <f t="shared" ca="1" si="40"/>
        <v>-166</v>
      </c>
      <c r="Q132" s="14">
        <v>0</v>
      </c>
      <c r="R132" s="14">
        <v>0</v>
      </c>
      <c r="S132" s="14">
        <v>0</v>
      </c>
      <c r="T132" s="13">
        <f t="shared" ca="1" si="31"/>
        <v>1580</v>
      </c>
      <c r="U132" s="12">
        <f t="shared" ca="1" si="42"/>
        <v>860</v>
      </c>
      <c r="V132" s="12">
        <f t="shared" ca="1" si="41"/>
        <v>897</v>
      </c>
      <c r="W132" s="12">
        <f t="shared" ca="1" si="43"/>
        <v>874</v>
      </c>
      <c r="X132" s="13"/>
      <c r="Y132" s="10"/>
      <c r="Z132" s="10"/>
      <c r="AA132" s="10"/>
      <c r="AB132" s="9"/>
    </row>
    <row r="133" spans="1:28" ht="13.15" customHeight="1">
      <c r="A133" s="36">
        <v>119</v>
      </c>
      <c r="B133" s="35">
        <f t="shared" si="32"/>
        <v>45191</v>
      </c>
      <c r="C133" s="16">
        <f t="shared" si="33"/>
        <v>1069</v>
      </c>
      <c r="D133" s="15">
        <f t="shared" si="45"/>
        <v>1410</v>
      </c>
      <c r="E133" s="14">
        <f t="shared" ca="1" si="25"/>
        <v>579</v>
      </c>
      <c r="F133" s="14">
        <f t="shared" ca="1" si="26"/>
        <v>592</v>
      </c>
      <c r="G133" s="14">
        <f t="shared" ca="1" si="27"/>
        <v>645</v>
      </c>
      <c r="H133" s="10">
        <f t="shared" ca="1" si="28"/>
        <v>1900</v>
      </c>
      <c r="I133" s="10">
        <f t="shared" ca="1" si="29"/>
        <v>1887</v>
      </c>
      <c r="J133" s="10">
        <f t="shared" ca="1" si="30"/>
        <v>1834</v>
      </c>
      <c r="K133" s="10">
        <f t="shared" si="35"/>
        <v>2000</v>
      </c>
      <c r="L133" s="10">
        <f t="shared" si="36"/>
        <v>2000</v>
      </c>
      <c r="M133" s="10">
        <f t="shared" si="37"/>
        <v>2000</v>
      </c>
      <c r="N133" s="10">
        <f t="shared" ca="1" si="38"/>
        <v>-100</v>
      </c>
      <c r="O133" s="10">
        <f t="shared" ca="1" si="39"/>
        <v>-113</v>
      </c>
      <c r="P133" s="10">
        <f t="shared" ca="1" si="40"/>
        <v>-166</v>
      </c>
      <c r="Q133" s="14">
        <v>0</v>
      </c>
      <c r="R133" s="14">
        <v>0</v>
      </c>
      <c r="S133" s="14">
        <v>0</v>
      </c>
      <c r="T133" s="13">
        <f t="shared" ca="1" si="31"/>
        <v>1582</v>
      </c>
      <c r="U133" s="12">
        <f t="shared" ca="1" si="42"/>
        <v>860</v>
      </c>
      <c r="V133" s="12">
        <f t="shared" ca="1" si="41"/>
        <v>897</v>
      </c>
      <c r="W133" s="12">
        <f t="shared" ca="1" si="43"/>
        <v>874</v>
      </c>
      <c r="X133" s="13"/>
      <c r="Y133" s="10"/>
      <c r="Z133" s="10"/>
      <c r="AA133" s="10"/>
      <c r="AB133" s="9"/>
    </row>
    <row r="134" spans="1:28" ht="13.15" customHeight="1">
      <c r="A134" s="36">
        <v>120</v>
      </c>
      <c r="B134" s="35">
        <f t="shared" si="32"/>
        <v>45192</v>
      </c>
      <c r="C134" s="16">
        <f t="shared" si="33"/>
        <v>1069</v>
      </c>
      <c r="D134" s="15">
        <f t="shared" si="45"/>
        <v>1412</v>
      </c>
      <c r="E134" s="14">
        <f t="shared" ca="1" si="25"/>
        <v>581</v>
      </c>
      <c r="F134" s="14">
        <f t="shared" ca="1" si="26"/>
        <v>594</v>
      </c>
      <c r="G134" s="14">
        <f t="shared" ca="1" si="27"/>
        <v>647</v>
      </c>
      <c r="H134" s="10">
        <f t="shared" ca="1" si="28"/>
        <v>1900</v>
      </c>
      <c r="I134" s="10">
        <f t="shared" ca="1" si="29"/>
        <v>1887</v>
      </c>
      <c r="J134" s="10">
        <f t="shared" ca="1" si="30"/>
        <v>1834</v>
      </c>
      <c r="K134" s="10">
        <f t="shared" si="35"/>
        <v>2000</v>
      </c>
      <c r="L134" s="10">
        <f t="shared" si="36"/>
        <v>2000</v>
      </c>
      <c r="M134" s="10">
        <f t="shared" si="37"/>
        <v>2000</v>
      </c>
      <c r="N134" s="10">
        <f t="shared" ca="1" si="38"/>
        <v>-100</v>
      </c>
      <c r="O134" s="10">
        <f t="shared" ca="1" si="39"/>
        <v>-113</v>
      </c>
      <c r="P134" s="10">
        <f t="shared" ca="1" si="40"/>
        <v>-166</v>
      </c>
      <c r="Q134" s="14">
        <v>0</v>
      </c>
      <c r="R134" s="14">
        <v>0</v>
      </c>
      <c r="S134" s="14">
        <v>0</v>
      </c>
      <c r="T134" s="13">
        <f t="shared" ca="1" si="31"/>
        <v>1584</v>
      </c>
      <c r="U134" s="12">
        <f t="shared" ca="1" si="42"/>
        <v>860</v>
      </c>
      <c r="V134" s="12">
        <f t="shared" ca="1" si="41"/>
        <v>897</v>
      </c>
      <c r="W134" s="12">
        <f t="shared" ca="1" si="43"/>
        <v>874</v>
      </c>
      <c r="X134" s="13"/>
      <c r="Y134" s="10"/>
      <c r="Z134" s="10"/>
      <c r="AA134" s="10"/>
      <c r="AB134" s="9"/>
    </row>
    <row r="135" spans="1:28" ht="13.15" customHeight="1">
      <c r="A135" s="36">
        <v>121</v>
      </c>
      <c r="B135" s="35">
        <f t="shared" si="32"/>
        <v>45193</v>
      </c>
      <c r="C135" s="16">
        <f t="shared" si="33"/>
        <v>1069</v>
      </c>
      <c r="D135" s="15">
        <f t="shared" si="45"/>
        <v>1414</v>
      </c>
      <c r="E135" s="14">
        <f t="shared" ca="1" si="25"/>
        <v>583</v>
      </c>
      <c r="F135" s="14">
        <f t="shared" ca="1" si="26"/>
        <v>596</v>
      </c>
      <c r="G135" s="14">
        <f t="shared" ca="1" si="27"/>
        <v>649</v>
      </c>
      <c r="H135" s="10">
        <f t="shared" ca="1" si="28"/>
        <v>1900</v>
      </c>
      <c r="I135" s="10">
        <f t="shared" ca="1" si="29"/>
        <v>1887</v>
      </c>
      <c r="J135" s="10">
        <f t="shared" ca="1" si="30"/>
        <v>1834</v>
      </c>
      <c r="K135" s="10">
        <f t="shared" si="35"/>
        <v>2000</v>
      </c>
      <c r="L135" s="10">
        <f t="shared" si="36"/>
        <v>2000</v>
      </c>
      <c r="M135" s="10">
        <f t="shared" si="37"/>
        <v>2000</v>
      </c>
      <c r="N135" s="10">
        <f t="shared" ca="1" si="38"/>
        <v>-100</v>
      </c>
      <c r="O135" s="10">
        <f t="shared" ca="1" si="39"/>
        <v>-113</v>
      </c>
      <c r="P135" s="10">
        <f t="shared" ca="1" si="40"/>
        <v>-166</v>
      </c>
      <c r="Q135" s="14">
        <v>0</v>
      </c>
      <c r="R135" s="14">
        <v>0</v>
      </c>
      <c r="S135" s="14">
        <v>0</v>
      </c>
      <c r="T135" s="13">
        <f t="shared" ca="1" si="31"/>
        <v>1586</v>
      </c>
      <c r="U135" s="12">
        <f t="shared" ca="1" si="42"/>
        <v>860</v>
      </c>
      <c r="V135" s="12">
        <f t="shared" ca="1" si="41"/>
        <v>897</v>
      </c>
      <c r="W135" s="12">
        <f t="shared" ca="1" si="43"/>
        <v>874</v>
      </c>
      <c r="X135" s="13"/>
      <c r="Y135" s="10"/>
      <c r="Z135" s="10"/>
      <c r="AA135" s="10"/>
      <c r="AB135" s="9"/>
    </row>
    <row r="136" spans="1:28" ht="13.15" customHeight="1">
      <c r="A136" s="36">
        <v>122</v>
      </c>
      <c r="B136" s="35">
        <f t="shared" si="32"/>
        <v>45194</v>
      </c>
      <c r="C136" s="16">
        <f t="shared" si="33"/>
        <v>1069</v>
      </c>
      <c r="D136" s="15">
        <f t="shared" si="45"/>
        <v>1416</v>
      </c>
      <c r="E136" s="14">
        <f t="shared" ca="1" si="25"/>
        <v>585</v>
      </c>
      <c r="F136" s="14">
        <f t="shared" ca="1" si="26"/>
        <v>598</v>
      </c>
      <c r="G136" s="14">
        <f t="shared" ca="1" si="27"/>
        <v>651</v>
      </c>
      <c r="H136" s="10">
        <f t="shared" ca="1" si="28"/>
        <v>1900</v>
      </c>
      <c r="I136" s="10">
        <f t="shared" ca="1" si="29"/>
        <v>1887</v>
      </c>
      <c r="J136" s="10">
        <f t="shared" ca="1" si="30"/>
        <v>1834</v>
      </c>
      <c r="K136" s="10">
        <f t="shared" si="35"/>
        <v>2000</v>
      </c>
      <c r="L136" s="10">
        <f t="shared" si="36"/>
        <v>2000</v>
      </c>
      <c r="M136" s="10">
        <f t="shared" si="37"/>
        <v>2000</v>
      </c>
      <c r="N136" s="10">
        <f t="shared" ca="1" si="38"/>
        <v>-100</v>
      </c>
      <c r="O136" s="10">
        <f t="shared" ca="1" si="39"/>
        <v>-113</v>
      </c>
      <c r="P136" s="10">
        <f t="shared" ca="1" si="40"/>
        <v>-166</v>
      </c>
      <c r="Q136" s="14">
        <v>0</v>
      </c>
      <c r="R136" s="14">
        <v>0</v>
      </c>
      <c r="S136" s="14">
        <v>0</v>
      </c>
      <c r="T136" s="13">
        <f t="shared" ca="1" si="31"/>
        <v>1588</v>
      </c>
      <c r="U136" s="12">
        <f t="shared" ca="1" si="42"/>
        <v>860</v>
      </c>
      <c r="V136" s="12">
        <f t="shared" ca="1" si="41"/>
        <v>897</v>
      </c>
      <c r="W136" s="12">
        <f t="shared" ca="1" si="43"/>
        <v>874</v>
      </c>
      <c r="X136" s="13"/>
      <c r="Y136" s="10"/>
      <c r="Z136" s="10"/>
      <c r="AA136" s="10"/>
      <c r="AB136" s="9"/>
    </row>
    <row r="137" spans="1:28" ht="13.15" customHeight="1">
      <c r="A137" s="36">
        <v>123</v>
      </c>
      <c r="B137" s="35">
        <f t="shared" si="32"/>
        <v>45195</v>
      </c>
      <c r="C137" s="16">
        <f t="shared" si="33"/>
        <v>1069</v>
      </c>
      <c r="D137" s="15">
        <f t="shared" si="45"/>
        <v>1418</v>
      </c>
      <c r="E137" s="14">
        <f t="shared" ca="1" si="25"/>
        <v>587</v>
      </c>
      <c r="F137" s="14">
        <f t="shared" ca="1" si="26"/>
        <v>600</v>
      </c>
      <c r="G137" s="14">
        <f t="shared" ca="1" si="27"/>
        <v>653</v>
      </c>
      <c r="H137" s="10">
        <f t="shared" ca="1" si="28"/>
        <v>1900</v>
      </c>
      <c r="I137" s="10">
        <f t="shared" ca="1" si="29"/>
        <v>1887</v>
      </c>
      <c r="J137" s="10">
        <f t="shared" ca="1" si="30"/>
        <v>1834</v>
      </c>
      <c r="K137" s="10">
        <f t="shared" si="35"/>
        <v>2000</v>
      </c>
      <c r="L137" s="10">
        <f t="shared" si="36"/>
        <v>2000</v>
      </c>
      <c r="M137" s="10">
        <f t="shared" si="37"/>
        <v>2000</v>
      </c>
      <c r="N137" s="10">
        <f t="shared" ca="1" si="38"/>
        <v>-100</v>
      </c>
      <c r="O137" s="10">
        <f t="shared" ca="1" si="39"/>
        <v>-113</v>
      </c>
      <c r="P137" s="10">
        <f t="shared" ca="1" si="40"/>
        <v>-166</v>
      </c>
      <c r="Q137" s="14">
        <v>0</v>
      </c>
      <c r="R137" s="14">
        <v>0</v>
      </c>
      <c r="S137" s="14">
        <v>0</v>
      </c>
      <c r="T137" s="13">
        <f t="shared" ca="1" si="31"/>
        <v>1590</v>
      </c>
      <c r="U137" s="12">
        <f t="shared" ca="1" si="42"/>
        <v>860</v>
      </c>
      <c r="V137" s="12">
        <f t="shared" ca="1" si="41"/>
        <v>897</v>
      </c>
      <c r="W137" s="12">
        <f t="shared" ca="1" si="43"/>
        <v>874</v>
      </c>
      <c r="X137" s="13"/>
      <c r="Y137" s="10"/>
      <c r="Z137" s="10"/>
      <c r="AA137" s="10"/>
      <c r="AB137" s="9"/>
    </row>
    <row r="138" spans="1:28" ht="13.15" customHeight="1">
      <c r="A138" s="36">
        <v>124</v>
      </c>
      <c r="B138" s="35">
        <f t="shared" si="32"/>
        <v>45196</v>
      </c>
      <c r="C138" s="16">
        <f t="shared" si="33"/>
        <v>1069</v>
      </c>
      <c r="D138" s="15">
        <f t="shared" si="45"/>
        <v>1420</v>
      </c>
      <c r="E138" s="14">
        <f t="shared" ca="1" si="25"/>
        <v>589</v>
      </c>
      <c r="F138" s="14">
        <f t="shared" ca="1" si="26"/>
        <v>602</v>
      </c>
      <c r="G138" s="14">
        <f t="shared" ca="1" si="27"/>
        <v>655</v>
      </c>
      <c r="H138" s="10">
        <f t="shared" ca="1" si="28"/>
        <v>1900</v>
      </c>
      <c r="I138" s="10">
        <f t="shared" ca="1" si="29"/>
        <v>1887</v>
      </c>
      <c r="J138" s="10">
        <f t="shared" ca="1" si="30"/>
        <v>1834</v>
      </c>
      <c r="K138" s="10">
        <f t="shared" si="35"/>
        <v>2000</v>
      </c>
      <c r="L138" s="10">
        <f t="shared" si="36"/>
        <v>2000</v>
      </c>
      <c r="M138" s="10">
        <f t="shared" si="37"/>
        <v>2000</v>
      </c>
      <c r="N138" s="10">
        <f t="shared" ca="1" si="38"/>
        <v>-100</v>
      </c>
      <c r="O138" s="10">
        <f t="shared" ca="1" si="39"/>
        <v>-113</v>
      </c>
      <c r="P138" s="10">
        <f t="shared" ca="1" si="40"/>
        <v>-166</v>
      </c>
      <c r="Q138" s="14">
        <v>0</v>
      </c>
      <c r="R138" s="14">
        <v>0</v>
      </c>
      <c r="S138" s="14">
        <v>0</v>
      </c>
      <c r="T138" s="13">
        <f t="shared" ca="1" si="31"/>
        <v>1592</v>
      </c>
      <c r="U138" s="12">
        <f t="shared" ca="1" si="42"/>
        <v>860</v>
      </c>
      <c r="V138" s="12">
        <f t="shared" ca="1" si="41"/>
        <v>897</v>
      </c>
      <c r="W138" s="12">
        <f t="shared" ca="1" si="43"/>
        <v>874</v>
      </c>
      <c r="X138" s="13"/>
      <c r="Y138" s="10"/>
      <c r="Z138" s="10"/>
      <c r="AA138" s="10"/>
      <c r="AB138" s="9"/>
    </row>
    <row r="139" spans="1:28" ht="13.15" customHeight="1">
      <c r="A139" s="36">
        <v>125</v>
      </c>
      <c r="B139" s="35">
        <f t="shared" si="32"/>
        <v>45197</v>
      </c>
      <c r="C139" s="16">
        <f t="shared" si="33"/>
        <v>1069</v>
      </c>
      <c r="D139" s="15">
        <f t="shared" si="45"/>
        <v>1422</v>
      </c>
      <c r="E139" s="14">
        <f t="shared" ca="1" si="25"/>
        <v>591</v>
      </c>
      <c r="F139" s="14">
        <f t="shared" ca="1" si="26"/>
        <v>604</v>
      </c>
      <c r="G139" s="14">
        <f t="shared" ca="1" si="27"/>
        <v>657</v>
      </c>
      <c r="H139" s="10">
        <f t="shared" ca="1" si="28"/>
        <v>1900</v>
      </c>
      <c r="I139" s="10">
        <f t="shared" ca="1" si="29"/>
        <v>1887</v>
      </c>
      <c r="J139" s="10">
        <f t="shared" ca="1" si="30"/>
        <v>1834</v>
      </c>
      <c r="K139" s="10">
        <f t="shared" si="35"/>
        <v>2000</v>
      </c>
      <c r="L139" s="10">
        <f t="shared" si="36"/>
        <v>2000</v>
      </c>
      <c r="M139" s="10">
        <f t="shared" si="37"/>
        <v>2000</v>
      </c>
      <c r="N139" s="10">
        <f t="shared" ca="1" si="38"/>
        <v>-100</v>
      </c>
      <c r="O139" s="10">
        <f t="shared" ca="1" si="39"/>
        <v>-113</v>
      </c>
      <c r="P139" s="10">
        <f t="shared" ca="1" si="40"/>
        <v>-166</v>
      </c>
      <c r="Q139" s="14">
        <v>0</v>
      </c>
      <c r="R139" s="14">
        <v>0</v>
      </c>
      <c r="S139" s="14">
        <v>0</v>
      </c>
      <c r="T139" s="13">
        <f t="shared" ca="1" si="31"/>
        <v>1594</v>
      </c>
      <c r="U139" s="12">
        <f t="shared" ca="1" si="42"/>
        <v>860</v>
      </c>
      <c r="V139" s="12">
        <f t="shared" ca="1" si="41"/>
        <v>897</v>
      </c>
      <c r="W139" s="12">
        <f t="shared" ca="1" si="43"/>
        <v>874</v>
      </c>
      <c r="X139" s="13"/>
      <c r="Y139" s="10"/>
      <c r="Z139" s="10"/>
      <c r="AA139" s="10"/>
      <c r="AB139" s="9"/>
    </row>
    <row r="140" spans="1:28" ht="13.15" customHeight="1">
      <c r="A140" s="36">
        <v>126</v>
      </c>
      <c r="B140" s="35">
        <f t="shared" si="32"/>
        <v>45198</v>
      </c>
      <c r="C140" s="16">
        <f t="shared" si="33"/>
        <v>1069</v>
      </c>
      <c r="D140" s="15">
        <f t="shared" si="45"/>
        <v>1424</v>
      </c>
      <c r="E140" s="14">
        <f t="shared" ca="1" si="25"/>
        <v>593</v>
      </c>
      <c r="F140" s="14">
        <f t="shared" ca="1" si="26"/>
        <v>606</v>
      </c>
      <c r="G140" s="14">
        <f t="shared" ca="1" si="27"/>
        <v>659</v>
      </c>
      <c r="H140" s="10">
        <f t="shared" ca="1" si="28"/>
        <v>1900</v>
      </c>
      <c r="I140" s="10">
        <f t="shared" ca="1" si="29"/>
        <v>1887</v>
      </c>
      <c r="J140" s="10">
        <f t="shared" ca="1" si="30"/>
        <v>1834</v>
      </c>
      <c r="K140" s="10">
        <f t="shared" si="35"/>
        <v>2000</v>
      </c>
      <c r="L140" s="10">
        <f t="shared" si="36"/>
        <v>2000</v>
      </c>
      <c r="M140" s="10">
        <f t="shared" si="37"/>
        <v>2000</v>
      </c>
      <c r="N140" s="10">
        <f t="shared" ca="1" si="38"/>
        <v>-100</v>
      </c>
      <c r="O140" s="10">
        <f t="shared" ca="1" si="39"/>
        <v>-113</v>
      </c>
      <c r="P140" s="10">
        <f t="shared" ca="1" si="40"/>
        <v>-166</v>
      </c>
      <c r="Q140" s="14">
        <v>0</v>
      </c>
      <c r="R140" s="14">
        <v>0</v>
      </c>
      <c r="S140" s="14">
        <v>0</v>
      </c>
      <c r="T140" s="13">
        <f t="shared" ca="1" si="31"/>
        <v>1596</v>
      </c>
      <c r="U140" s="12">
        <f t="shared" ca="1" si="42"/>
        <v>860</v>
      </c>
      <c r="V140" s="12">
        <f t="shared" ca="1" si="41"/>
        <v>897</v>
      </c>
      <c r="W140" s="12">
        <f t="shared" ca="1" si="43"/>
        <v>874</v>
      </c>
      <c r="X140" s="13"/>
      <c r="Y140" s="10"/>
      <c r="Z140" s="10"/>
      <c r="AA140" s="10"/>
      <c r="AB140" s="9"/>
    </row>
    <row r="141" spans="1:28" ht="13.15" customHeight="1">
      <c r="A141" s="36">
        <v>127</v>
      </c>
      <c r="B141" s="35">
        <f t="shared" si="32"/>
        <v>45199</v>
      </c>
      <c r="C141" s="16">
        <f t="shared" si="33"/>
        <v>1069</v>
      </c>
      <c r="D141" s="15">
        <f t="shared" si="45"/>
        <v>1426</v>
      </c>
      <c r="E141" s="14">
        <f t="shared" ca="1" si="25"/>
        <v>595</v>
      </c>
      <c r="F141" s="14">
        <f t="shared" ca="1" si="26"/>
        <v>608</v>
      </c>
      <c r="G141" s="14">
        <f t="shared" ca="1" si="27"/>
        <v>661</v>
      </c>
      <c r="H141" s="10">
        <f t="shared" ca="1" si="28"/>
        <v>1900</v>
      </c>
      <c r="I141" s="10">
        <f t="shared" ca="1" si="29"/>
        <v>1887</v>
      </c>
      <c r="J141" s="10">
        <f t="shared" ca="1" si="30"/>
        <v>1834</v>
      </c>
      <c r="K141" s="10">
        <f t="shared" si="35"/>
        <v>2000</v>
      </c>
      <c r="L141" s="10">
        <f t="shared" si="36"/>
        <v>2000</v>
      </c>
      <c r="M141" s="10">
        <f t="shared" si="37"/>
        <v>2000</v>
      </c>
      <c r="N141" s="10">
        <f t="shared" ca="1" si="38"/>
        <v>-100</v>
      </c>
      <c r="O141" s="10">
        <f t="shared" ca="1" si="39"/>
        <v>-113</v>
      </c>
      <c r="P141" s="10">
        <f t="shared" ca="1" si="40"/>
        <v>-166</v>
      </c>
      <c r="Q141" s="14">
        <v>0</v>
      </c>
      <c r="R141" s="14">
        <v>0</v>
      </c>
      <c r="S141" s="14">
        <v>0</v>
      </c>
      <c r="T141" s="13">
        <f t="shared" ca="1" si="31"/>
        <v>1598</v>
      </c>
      <c r="U141" s="12">
        <f t="shared" ca="1" si="42"/>
        <v>860</v>
      </c>
      <c r="V141" s="12">
        <f t="shared" ca="1" si="41"/>
        <v>897</v>
      </c>
      <c r="W141" s="12">
        <f t="shared" ca="1" si="43"/>
        <v>874</v>
      </c>
      <c r="X141" s="13"/>
      <c r="Y141" s="10"/>
      <c r="Z141" s="10"/>
      <c r="AA141" s="10"/>
      <c r="AB141" s="9"/>
    </row>
    <row r="142" spans="1:28" ht="13.15" customHeight="1">
      <c r="A142" s="36">
        <v>128</v>
      </c>
      <c r="B142" s="35">
        <f t="shared" si="32"/>
        <v>45200</v>
      </c>
      <c r="C142" s="16">
        <f t="shared" si="33"/>
        <v>1069</v>
      </c>
      <c r="D142" s="15">
        <f t="shared" si="45"/>
        <v>1428</v>
      </c>
      <c r="E142" s="14">
        <f t="shared" ref="E142:E205" ca="1" si="46">C142+D142-H142</f>
        <v>597</v>
      </c>
      <c r="F142" s="14">
        <f t="shared" ref="F142:F205" ca="1" si="47">C142+D142-I142</f>
        <v>610</v>
      </c>
      <c r="G142" s="14">
        <f t="shared" ref="G142:G205" ca="1" si="48">D142+C142-J142</f>
        <v>663</v>
      </c>
      <c r="H142" s="10">
        <f t="shared" ref="H142:H205" ca="1" si="49">K142+N142</f>
        <v>1900</v>
      </c>
      <c r="I142" s="10">
        <f t="shared" ref="I142:I205" ca="1" si="50">L142+O142</f>
        <v>1887</v>
      </c>
      <c r="J142" s="10">
        <f t="shared" ref="J142:J205" ca="1" si="51">M142+P142</f>
        <v>1834</v>
      </c>
      <c r="K142" s="10">
        <f t="shared" si="35"/>
        <v>2000</v>
      </c>
      <c r="L142" s="10">
        <f t="shared" si="36"/>
        <v>2000</v>
      </c>
      <c r="M142" s="10">
        <f t="shared" si="37"/>
        <v>2000</v>
      </c>
      <c r="N142" s="10">
        <f t="shared" ca="1" si="38"/>
        <v>-100</v>
      </c>
      <c r="O142" s="10">
        <f t="shared" ca="1" si="39"/>
        <v>-113</v>
      </c>
      <c r="P142" s="10">
        <f t="shared" ca="1" si="40"/>
        <v>-166</v>
      </c>
      <c r="Q142" s="14">
        <v>0</v>
      </c>
      <c r="R142" s="14">
        <v>0</v>
      </c>
      <c r="S142" s="14">
        <v>0</v>
      </c>
      <c r="T142" s="13">
        <f t="shared" ref="T142:T205" ca="1" si="52">D142+C142-V142</f>
        <v>1600</v>
      </c>
      <c r="U142" s="12">
        <f t="shared" ca="1" si="42"/>
        <v>860</v>
      </c>
      <c r="V142" s="12">
        <f t="shared" ca="1" si="41"/>
        <v>897</v>
      </c>
      <c r="W142" s="12">
        <f t="shared" ca="1" si="43"/>
        <v>874</v>
      </c>
      <c r="X142" s="13"/>
      <c r="Y142" s="10"/>
      <c r="Z142" s="10"/>
      <c r="AA142" s="10"/>
      <c r="AB142" s="9"/>
    </row>
    <row r="143" spans="1:28" ht="13.15" customHeight="1">
      <c r="A143" s="36">
        <v>129</v>
      </c>
      <c r="B143" s="35">
        <f t="shared" ref="B143:B206" si="53">B142+1</f>
        <v>45201</v>
      </c>
      <c r="C143" s="16">
        <f t="shared" ref="C143:C206" si="54">C142</f>
        <v>1069</v>
      </c>
      <c r="D143" s="15">
        <f t="shared" si="45"/>
        <v>1430</v>
      </c>
      <c r="E143" s="14">
        <f t="shared" ca="1" si="46"/>
        <v>599</v>
      </c>
      <c r="F143" s="14">
        <f t="shared" ca="1" si="47"/>
        <v>612</v>
      </c>
      <c r="G143" s="14">
        <f t="shared" ca="1" si="48"/>
        <v>665</v>
      </c>
      <c r="H143" s="10">
        <f t="shared" ca="1" si="49"/>
        <v>1900</v>
      </c>
      <c r="I143" s="10">
        <f t="shared" ca="1" si="50"/>
        <v>1887</v>
      </c>
      <c r="J143" s="10">
        <f t="shared" ca="1" si="51"/>
        <v>1834</v>
      </c>
      <c r="K143" s="10">
        <f t="shared" ref="K143:K206" si="55">K142</f>
        <v>2000</v>
      </c>
      <c r="L143" s="10">
        <f t="shared" ref="L143:L206" si="56">L142</f>
        <v>2000</v>
      </c>
      <c r="M143" s="10">
        <f t="shared" ref="M143:M206" si="57">M142</f>
        <v>2000</v>
      </c>
      <c r="N143" s="10">
        <f t="shared" ref="N143:N206" ca="1" si="58">N142-Q143</f>
        <v>-100</v>
      </c>
      <c r="O143" s="10">
        <f t="shared" ref="O143:O206" ca="1" si="59">O142-R143</f>
        <v>-113</v>
      </c>
      <c r="P143" s="10">
        <f t="shared" ref="P143:P206" ca="1" si="60">P142-S143</f>
        <v>-166</v>
      </c>
      <c r="Q143" s="14">
        <v>0</v>
      </c>
      <c r="R143" s="14">
        <v>0</v>
      </c>
      <c r="S143" s="14">
        <v>0</v>
      </c>
      <c r="T143" s="13">
        <f t="shared" ca="1" si="52"/>
        <v>1602</v>
      </c>
      <c r="U143" s="12">
        <f t="shared" ca="1" si="42"/>
        <v>860</v>
      </c>
      <c r="V143" s="12">
        <f t="shared" ca="1" si="41"/>
        <v>897</v>
      </c>
      <c r="W143" s="12">
        <f t="shared" ca="1" si="43"/>
        <v>874</v>
      </c>
      <c r="X143" s="13"/>
      <c r="Y143" s="10"/>
      <c r="Z143" s="10"/>
      <c r="AA143" s="10"/>
      <c r="AB143" s="9"/>
    </row>
    <row r="144" spans="1:28" ht="13.15" customHeight="1">
      <c r="A144" s="36">
        <v>130</v>
      </c>
      <c r="B144" s="35">
        <f t="shared" si="53"/>
        <v>45202</v>
      </c>
      <c r="C144" s="16">
        <f t="shared" si="54"/>
        <v>1069</v>
      </c>
      <c r="D144" s="15">
        <f t="shared" si="45"/>
        <v>1432</v>
      </c>
      <c r="E144" s="14">
        <f t="shared" ca="1" si="46"/>
        <v>601</v>
      </c>
      <c r="F144" s="14">
        <f t="shared" ca="1" si="47"/>
        <v>614</v>
      </c>
      <c r="G144" s="14">
        <f t="shared" ca="1" si="48"/>
        <v>667</v>
      </c>
      <c r="H144" s="10">
        <f t="shared" ca="1" si="49"/>
        <v>1900</v>
      </c>
      <c r="I144" s="10">
        <f t="shared" ca="1" si="50"/>
        <v>1887</v>
      </c>
      <c r="J144" s="10">
        <f t="shared" ca="1" si="51"/>
        <v>1834</v>
      </c>
      <c r="K144" s="10">
        <f t="shared" si="55"/>
        <v>2000</v>
      </c>
      <c r="L144" s="10">
        <f t="shared" si="56"/>
        <v>2000</v>
      </c>
      <c r="M144" s="10">
        <f t="shared" si="57"/>
        <v>2000</v>
      </c>
      <c r="N144" s="10">
        <f t="shared" ca="1" si="58"/>
        <v>-100</v>
      </c>
      <c r="O144" s="10">
        <f t="shared" ca="1" si="59"/>
        <v>-113</v>
      </c>
      <c r="P144" s="10">
        <f t="shared" ca="1" si="60"/>
        <v>-166</v>
      </c>
      <c r="Q144" s="14">
        <v>0</v>
      </c>
      <c r="R144" s="14">
        <v>0</v>
      </c>
      <c r="S144" s="14">
        <v>0</v>
      </c>
      <c r="T144" s="13">
        <f t="shared" ca="1" si="52"/>
        <v>1604</v>
      </c>
      <c r="U144" s="12">
        <f t="shared" ca="1" si="42"/>
        <v>860</v>
      </c>
      <c r="V144" s="12">
        <f t="shared" ca="1" si="41"/>
        <v>897</v>
      </c>
      <c r="W144" s="12">
        <f t="shared" ca="1" si="43"/>
        <v>874</v>
      </c>
      <c r="X144" s="13"/>
      <c r="Y144" s="10"/>
      <c r="Z144" s="10"/>
      <c r="AA144" s="10"/>
      <c r="AB144" s="9"/>
    </row>
    <row r="145" spans="1:28" ht="13.15" customHeight="1">
      <c r="A145" s="36">
        <v>131</v>
      </c>
      <c r="B145" s="35">
        <f t="shared" si="53"/>
        <v>45203</v>
      </c>
      <c r="C145" s="16">
        <f t="shared" si="54"/>
        <v>1069</v>
      </c>
      <c r="D145" s="15">
        <f t="shared" si="45"/>
        <v>1434</v>
      </c>
      <c r="E145" s="14">
        <f t="shared" ca="1" si="46"/>
        <v>603</v>
      </c>
      <c r="F145" s="14">
        <f t="shared" ca="1" si="47"/>
        <v>616</v>
      </c>
      <c r="G145" s="14">
        <f t="shared" ca="1" si="48"/>
        <v>669</v>
      </c>
      <c r="H145" s="10">
        <f t="shared" ca="1" si="49"/>
        <v>1900</v>
      </c>
      <c r="I145" s="10">
        <f t="shared" ca="1" si="50"/>
        <v>1887</v>
      </c>
      <c r="J145" s="10">
        <f t="shared" ca="1" si="51"/>
        <v>1834</v>
      </c>
      <c r="K145" s="10">
        <f t="shared" si="55"/>
        <v>2000</v>
      </c>
      <c r="L145" s="10">
        <f t="shared" si="56"/>
        <v>2000</v>
      </c>
      <c r="M145" s="10">
        <f t="shared" si="57"/>
        <v>2000</v>
      </c>
      <c r="N145" s="10">
        <f t="shared" ca="1" si="58"/>
        <v>-100</v>
      </c>
      <c r="O145" s="10">
        <f t="shared" ca="1" si="59"/>
        <v>-113</v>
      </c>
      <c r="P145" s="10">
        <f t="shared" ca="1" si="60"/>
        <v>-166</v>
      </c>
      <c r="Q145" s="14">
        <v>0</v>
      </c>
      <c r="R145" s="14">
        <v>0</v>
      </c>
      <c r="S145" s="14">
        <v>0</v>
      </c>
      <c r="T145" s="13">
        <f t="shared" ca="1" si="52"/>
        <v>1606</v>
      </c>
      <c r="U145" s="12">
        <f t="shared" ca="1" si="42"/>
        <v>860</v>
      </c>
      <c r="V145" s="12">
        <f t="shared" ca="1" si="41"/>
        <v>897</v>
      </c>
      <c r="W145" s="12">
        <f t="shared" ca="1" si="43"/>
        <v>874</v>
      </c>
      <c r="X145" s="13"/>
      <c r="Y145" s="10"/>
      <c r="Z145" s="10"/>
      <c r="AA145" s="10"/>
      <c r="AB145" s="9"/>
    </row>
    <row r="146" spans="1:28" ht="13.15" customHeight="1">
      <c r="A146" s="36">
        <v>132</v>
      </c>
      <c r="B146" s="35">
        <f t="shared" si="53"/>
        <v>45204</v>
      </c>
      <c r="C146" s="16">
        <f t="shared" si="54"/>
        <v>1069</v>
      </c>
      <c r="D146" s="15">
        <f t="shared" si="45"/>
        <v>1436</v>
      </c>
      <c r="E146" s="14">
        <f t="shared" ca="1" si="46"/>
        <v>605</v>
      </c>
      <c r="F146" s="14">
        <f t="shared" ca="1" si="47"/>
        <v>618</v>
      </c>
      <c r="G146" s="14">
        <f t="shared" ca="1" si="48"/>
        <v>671</v>
      </c>
      <c r="H146" s="10">
        <f t="shared" ca="1" si="49"/>
        <v>1900</v>
      </c>
      <c r="I146" s="10">
        <f t="shared" ca="1" si="50"/>
        <v>1887</v>
      </c>
      <c r="J146" s="10">
        <f t="shared" ca="1" si="51"/>
        <v>1834</v>
      </c>
      <c r="K146" s="10">
        <f t="shared" si="55"/>
        <v>2000</v>
      </c>
      <c r="L146" s="10">
        <f t="shared" si="56"/>
        <v>2000</v>
      </c>
      <c r="M146" s="10">
        <f t="shared" si="57"/>
        <v>2000</v>
      </c>
      <c r="N146" s="10">
        <f t="shared" ca="1" si="58"/>
        <v>-100</v>
      </c>
      <c r="O146" s="10">
        <f t="shared" ca="1" si="59"/>
        <v>-113</v>
      </c>
      <c r="P146" s="10">
        <f t="shared" ca="1" si="60"/>
        <v>-166</v>
      </c>
      <c r="Q146" s="14">
        <v>0</v>
      </c>
      <c r="R146" s="14">
        <v>0</v>
      </c>
      <c r="S146" s="14">
        <v>0</v>
      </c>
      <c r="T146" s="13">
        <f t="shared" ca="1" si="52"/>
        <v>1608</v>
      </c>
      <c r="U146" s="12">
        <f t="shared" ca="1" si="42"/>
        <v>860</v>
      </c>
      <c r="V146" s="12">
        <f t="shared" ca="1" si="41"/>
        <v>897</v>
      </c>
      <c r="W146" s="12">
        <f t="shared" ca="1" si="43"/>
        <v>874</v>
      </c>
      <c r="X146" s="13"/>
      <c r="Y146" s="10"/>
      <c r="Z146" s="10"/>
      <c r="AA146" s="10"/>
      <c r="AB146" s="9"/>
    </row>
    <row r="147" spans="1:28" ht="13.15" customHeight="1">
      <c r="A147" s="36">
        <v>133</v>
      </c>
      <c r="B147" s="35">
        <f t="shared" si="53"/>
        <v>45205</v>
      </c>
      <c r="C147" s="16">
        <f t="shared" si="54"/>
        <v>1069</v>
      </c>
      <c r="D147" s="15">
        <f t="shared" si="45"/>
        <v>1438</v>
      </c>
      <c r="E147" s="14">
        <f t="shared" ca="1" si="46"/>
        <v>607</v>
      </c>
      <c r="F147" s="14">
        <f t="shared" ca="1" si="47"/>
        <v>620</v>
      </c>
      <c r="G147" s="14">
        <f t="shared" ca="1" si="48"/>
        <v>673</v>
      </c>
      <c r="H147" s="10">
        <f t="shared" ca="1" si="49"/>
        <v>1900</v>
      </c>
      <c r="I147" s="10">
        <f t="shared" ca="1" si="50"/>
        <v>1887</v>
      </c>
      <c r="J147" s="10">
        <f t="shared" ca="1" si="51"/>
        <v>1834</v>
      </c>
      <c r="K147" s="10">
        <f t="shared" si="55"/>
        <v>2000</v>
      </c>
      <c r="L147" s="10">
        <f t="shared" si="56"/>
        <v>2000</v>
      </c>
      <c r="M147" s="10">
        <f t="shared" si="57"/>
        <v>2000</v>
      </c>
      <c r="N147" s="10">
        <f t="shared" ca="1" si="58"/>
        <v>-100</v>
      </c>
      <c r="O147" s="10">
        <f t="shared" ca="1" si="59"/>
        <v>-113</v>
      </c>
      <c r="P147" s="10">
        <f t="shared" ca="1" si="60"/>
        <v>-166</v>
      </c>
      <c r="Q147" s="14">
        <v>0</v>
      </c>
      <c r="R147" s="14">
        <v>0</v>
      </c>
      <c r="S147" s="14">
        <v>0</v>
      </c>
      <c r="T147" s="13">
        <f t="shared" ca="1" si="52"/>
        <v>1610</v>
      </c>
      <c r="U147" s="12">
        <f t="shared" ca="1" si="42"/>
        <v>860</v>
      </c>
      <c r="V147" s="12">
        <f t="shared" ca="1" si="41"/>
        <v>897</v>
      </c>
      <c r="W147" s="12">
        <f t="shared" ca="1" si="43"/>
        <v>874</v>
      </c>
      <c r="X147" s="13"/>
      <c r="Y147" s="10"/>
      <c r="Z147" s="10"/>
      <c r="AA147" s="10"/>
      <c r="AB147" s="9"/>
    </row>
    <row r="148" spans="1:28" ht="13.15" customHeight="1">
      <c r="A148" s="36">
        <v>134</v>
      </c>
      <c r="B148" s="35">
        <f t="shared" si="53"/>
        <v>45206</v>
      </c>
      <c r="C148" s="16">
        <f t="shared" si="54"/>
        <v>1069</v>
      </c>
      <c r="D148" s="15">
        <f t="shared" si="45"/>
        <v>1440</v>
      </c>
      <c r="E148" s="14">
        <f t="shared" ca="1" si="46"/>
        <v>609</v>
      </c>
      <c r="F148" s="14">
        <f t="shared" ca="1" si="47"/>
        <v>622</v>
      </c>
      <c r="G148" s="14">
        <f t="shared" ca="1" si="48"/>
        <v>675</v>
      </c>
      <c r="H148" s="10">
        <f t="shared" ca="1" si="49"/>
        <v>1900</v>
      </c>
      <c r="I148" s="10">
        <f t="shared" ca="1" si="50"/>
        <v>1887</v>
      </c>
      <c r="J148" s="10">
        <f t="shared" ca="1" si="51"/>
        <v>1834</v>
      </c>
      <c r="K148" s="10">
        <f t="shared" si="55"/>
        <v>2000</v>
      </c>
      <c r="L148" s="10">
        <f t="shared" si="56"/>
        <v>2000</v>
      </c>
      <c r="M148" s="10">
        <f t="shared" si="57"/>
        <v>2000</v>
      </c>
      <c r="N148" s="10">
        <f t="shared" ca="1" si="58"/>
        <v>-100</v>
      </c>
      <c r="O148" s="10">
        <f t="shared" ca="1" si="59"/>
        <v>-113</v>
      </c>
      <c r="P148" s="10">
        <f t="shared" ca="1" si="60"/>
        <v>-166</v>
      </c>
      <c r="Q148" s="14">
        <v>0</v>
      </c>
      <c r="R148" s="14">
        <v>0</v>
      </c>
      <c r="S148" s="14">
        <v>0</v>
      </c>
      <c r="T148" s="13">
        <f t="shared" ca="1" si="52"/>
        <v>1612</v>
      </c>
      <c r="U148" s="12">
        <f t="shared" ca="1" si="42"/>
        <v>860</v>
      </c>
      <c r="V148" s="12">
        <f t="shared" ca="1" si="41"/>
        <v>897</v>
      </c>
      <c r="W148" s="12">
        <f t="shared" ca="1" si="43"/>
        <v>874</v>
      </c>
      <c r="X148" s="13"/>
      <c r="Y148" s="10"/>
      <c r="Z148" s="10"/>
      <c r="AA148" s="10"/>
      <c r="AB148" s="9"/>
    </row>
    <row r="149" spans="1:28" ht="13.15" customHeight="1">
      <c r="A149" s="36">
        <v>135</v>
      </c>
      <c r="B149" s="35">
        <f t="shared" si="53"/>
        <v>45207</v>
      </c>
      <c r="C149" s="16">
        <f t="shared" si="54"/>
        <v>1069</v>
      </c>
      <c r="D149" s="15">
        <f t="shared" si="45"/>
        <v>1442</v>
      </c>
      <c r="E149" s="14">
        <f t="shared" ca="1" si="46"/>
        <v>611</v>
      </c>
      <c r="F149" s="14">
        <f t="shared" ca="1" si="47"/>
        <v>624</v>
      </c>
      <c r="G149" s="14">
        <f t="shared" ca="1" si="48"/>
        <v>677</v>
      </c>
      <c r="H149" s="10">
        <f t="shared" ca="1" si="49"/>
        <v>1900</v>
      </c>
      <c r="I149" s="10">
        <f t="shared" ca="1" si="50"/>
        <v>1887</v>
      </c>
      <c r="J149" s="10">
        <f t="shared" ca="1" si="51"/>
        <v>1834</v>
      </c>
      <c r="K149" s="10">
        <f t="shared" si="55"/>
        <v>2000</v>
      </c>
      <c r="L149" s="10">
        <f t="shared" si="56"/>
        <v>2000</v>
      </c>
      <c r="M149" s="10">
        <f t="shared" si="57"/>
        <v>2000</v>
      </c>
      <c r="N149" s="10">
        <f t="shared" ca="1" si="58"/>
        <v>-100</v>
      </c>
      <c r="O149" s="10">
        <f t="shared" ca="1" si="59"/>
        <v>-113</v>
      </c>
      <c r="P149" s="10">
        <f t="shared" ca="1" si="60"/>
        <v>-166</v>
      </c>
      <c r="Q149" s="14">
        <v>0</v>
      </c>
      <c r="R149" s="14">
        <v>0</v>
      </c>
      <c r="S149" s="14">
        <v>0</v>
      </c>
      <c r="T149" s="13">
        <f t="shared" ca="1" si="52"/>
        <v>1614</v>
      </c>
      <c r="U149" s="12">
        <f t="shared" ca="1" si="42"/>
        <v>860</v>
      </c>
      <c r="V149" s="12">
        <f t="shared" ca="1" si="41"/>
        <v>897</v>
      </c>
      <c r="W149" s="12">
        <f t="shared" ca="1" si="43"/>
        <v>874</v>
      </c>
      <c r="X149" s="13"/>
      <c r="Y149" s="10"/>
      <c r="Z149" s="10"/>
      <c r="AA149" s="10"/>
      <c r="AB149" s="9"/>
    </row>
    <row r="150" spans="1:28" ht="13.15" customHeight="1">
      <c r="A150" s="36">
        <v>136</v>
      </c>
      <c r="B150" s="35">
        <f t="shared" si="53"/>
        <v>45208</v>
      </c>
      <c r="C150" s="16">
        <f t="shared" si="54"/>
        <v>1069</v>
      </c>
      <c r="D150" s="15">
        <f t="shared" si="45"/>
        <v>1444</v>
      </c>
      <c r="E150" s="14">
        <f t="shared" ca="1" si="46"/>
        <v>613</v>
      </c>
      <c r="F150" s="14">
        <f t="shared" ca="1" si="47"/>
        <v>626</v>
      </c>
      <c r="G150" s="14">
        <f t="shared" ca="1" si="48"/>
        <v>679</v>
      </c>
      <c r="H150" s="10">
        <f t="shared" ca="1" si="49"/>
        <v>1900</v>
      </c>
      <c r="I150" s="10">
        <f t="shared" ca="1" si="50"/>
        <v>1887</v>
      </c>
      <c r="J150" s="10">
        <f t="shared" ca="1" si="51"/>
        <v>1834</v>
      </c>
      <c r="K150" s="10">
        <f t="shared" si="55"/>
        <v>2000</v>
      </c>
      <c r="L150" s="10">
        <f t="shared" si="56"/>
        <v>2000</v>
      </c>
      <c r="M150" s="10">
        <f t="shared" si="57"/>
        <v>2000</v>
      </c>
      <c r="N150" s="10">
        <f t="shared" ca="1" si="58"/>
        <v>-100</v>
      </c>
      <c r="O150" s="10">
        <f t="shared" ca="1" si="59"/>
        <v>-113</v>
      </c>
      <c r="P150" s="10">
        <f t="shared" ca="1" si="60"/>
        <v>-166</v>
      </c>
      <c r="Q150" s="14">
        <v>0</v>
      </c>
      <c r="R150" s="14">
        <v>0</v>
      </c>
      <c r="S150" s="14">
        <v>0</v>
      </c>
      <c r="T150" s="13">
        <f t="shared" ca="1" si="52"/>
        <v>1616</v>
      </c>
      <c r="U150" s="12">
        <f t="shared" ca="1" si="42"/>
        <v>860</v>
      </c>
      <c r="V150" s="12">
        <f t="shared" ca="1" si="41"/>
        <v>897</v>
      </c>
      <c r="W150" s="12">
        <f t="shared" ca="1" si="43"/>
        <v>874</v>
      </c>
      <c r="X150" s="13"/>
      <c r="Y150" s="10"/>
      <c r="Z150" s="10"/>
      <c r="AA150" s="10"/>
      <c r="AB150" s="9"/>
    </row>
    <row r="151" spans="1:28" ht="13.15" customHeight="1">
      <c r="A151" s="36">
        <v>137</v>
      </c>
      <c r="B151" s="35">
        <f t="shared" si="53"/>
        <v>45209</v>
      </c>
      <c r="C151" s="16">
        <f t="shared" si="54"/>
        <v>1069</v>
      </c>
      <c r="D151" s="15">
        <f t="shared" si="45"/>
        <v>1446</v>
      </c>
      <c r="E151" s="14">
        <f t="shared" ca="1" si="46"/>
        <v>615</v>
      </c>
      <c r="F151" s="14">
        <f t="shared" ca="1" si="47"/>
        <v>628</v>
      </c>
      <c r="G151" s="14">
        <f t="shared" ca="1" si="48"/>
        <v>681</v>
      </c>
      <c r="H151" s="10">
        <f t="shared" ca="1" si="49"/>
        <v>1900</v>
      </c>
      <c r="I151" s="10">
        <f t="shared" ca="1" si="50"/>
        <v>1887</v>
      </c>
      <c r="J151" s="10">
        <f t="shared" ca="1" si="51"/>
        <v>1834</v>
      </c>
      <c r="K151" s="10">
        <f t="shared" si="55"/>
        <v>2000</v>
      </c>
      <c r="L151" s="10">
        <f t="shared" si="56"/>
        <v>2000</v>
      </c>
      <c r="M151" s="10">
        <f t="shared" si="57"/>
        <v>2000</v>
      </c>
      <c r="N151" s="10">
        <f t="shared" ca="1" si="58"/>
        <v>-100</v>
      </c>
      <c r="O151" s="10">
        <f t="shared" ca="1" si="59"/>
        <v>-113</v>
      </c>
      <c r="P151" s="10">
        <f t="shared" ca="1" si="60"/>
        <v>-166</v>
      </c>
      <c r="Q151" s="14">
        <v>0</v>
      </c>
      <c r="R151" s="14">
        <v>0</v>
      </c>
      <c r="S151" s="14">
        <v>0</v>
      </c>
      <c r="T151" s="13">
        <f t="shared" ca="1" si="52"/>
        <v>1618</v>
      </c>
      <c r="U151" s="12">
        <f t="shared" ca="1" si="42"/>
        <v>860</v>
      </c>
      <c r="V151" s="12">
        <f t="shared" ca="1" si="41"/>
        <v>897</v>
      </c>
      <c r="W151" s="12">
        <f t="shared" ca="1" si="43"/>
        <v>874</v>
      </c>
      <c r="X151" s="13"/>
      <c r="Y151" s="10"/>
      <c r="Z151" s="10"/>
      <c r="AA151" s="10"/>
      <c r="AB151" s="9"/>
    </row>
    <row r="152" spans="1:28" ht="13.15" customHeight="1">
      <c r="A152" s="36">
        <v>138</v>
      </c>
      <c r="B152" s="35">
        <f t="shared" si="53"/>
        <v>45210</v>
      </c>
      <c r="C152" s="16">
        <f t="shared" si="54"/>
        <v>1069</v>
      </c>
      <c r="D152" s="15">
        <f t="shared" si="45"/>
        <v>1448</v>
      </c>
      <c r="E152" s="14">
        <f t="shared" ca="1" si="46"/>
        <v>617</v>
      </c>
      <c r="F152" s="14">
        <f t="shared" ca="1" si="47"/>
        <v>630</v>
      </c>
      <c r="G152" s="14">
        <f t="shared" ca="1" si="48"/>
        <v>683</v>
      </c>
      <c r="H152" s="10">
        <f t="shared" ca="1" si="49"/>
        <v>1900</v>
      </c>
      <c r="I152" s="10">
        <f t="shared" ca="1" si="50"/>
        <v>1887</v>
      </c>
      <c r="J152" s="10">
        <f t="shared" ca="1" si="51"/>
        <v>1834</v>
      </c>
      <c r="K152" s="10">
        <f t="shared" si="55"/>
        <v>2000</v>
      </c>
      <c r="L152" s="10">
        <f t="shared" si="56"/>
        <v>2000</v>
      </c>
      <c r="M152" s="10">
        <f t="shared" si="57"/>
        <v>2000</v>
      </c>
      <c r="N152" s="10">
        <f t="shared" ca="1" si="58"/>
        <v>-100</v>
      </c>
      <c r="O152" s="10">
        <f t="shared" ca="1" si="59"/>
        <v>-113</v>
      </c>
      <c r="P152" s="10">
        <f t="shared" ca="1" si="60"/>
        <v>-166</v>
      </c>
      <c r="Q152" s="14">
        <v>0</v>
      </c>
      <c r="R152" s="14">
        <v>0</v>
      </c>
      <c r="S152" s="14">
        <v>0</v>
      </c>
      <c r="T152" s="13">
        <f t="shared" ca="1" si="52"/>
        <v>1620</v>
      </c>
      <c r="U152" s="12">
        <f t="shared" ca="1" si="42"/>
        <v>860</v>
      </c>
      <c r="V152" s="12">
        <f t="shared" ca="1" si="41"/>
        <v>897</v>
      </c>
      <c r="W152" s="12">
        <f t="shared" ca="1" si="43"/>
        <v>874</v>
      </c>
      <c r="X152" s="13"/>
      <c r="Y152" s="10"/>
      <c r="Z152" s="10"/>
      <c r="AA152" s="10"/>
      <c r="AB152" s="9"/>
    </row>
    <row r="153" spans="1:28" ht="13.15" customHeight="1">
      <c r="A153" s="36">
        <v>139</v>
      </c>
      <c r="B153" s="35">
        <f t="shared" si="53"/>
        <v>45211</v>
      </c>
      <c r="C153" s="16">
        <f t="shared" si="54"/>
        <v>1069</v>
      </c>
      <c r="D153" s="15">
        <f t="shared" si="45"/>
        <v>1450</v>
      </c>
      <c r="E153" s="14">
        <f t="shared" ca="1" si="46"/>
        <v>619</v>
      </c>
      <c r="F153" s="14">
        <f t="shared" ca="1" si="47"/>
        <v>632</v>
      </c>
      <c r="G153" s="14">
        <f t="shared" ca="1" si="48"/>
        <v>685</v>
      </c>
      <c r="H153" s="10">
        <f t="shared" ca="1" si="49"/>
        <v>1900</v>
      </c>
      <c r="I153" s="10">
        <f t="shared" ca="1" si="50"/>
        <v>1887</v>
      </c>
      <c r="J153" s="10">
        <f t="shared" ca="1" si="51"/>
        <v>1834</v>
      </c>
      <c r="K153" s="10">
        <f t="shared" si="55"/>
        <v>2000</v>
      </c>
      <c r="L153" s="10">
        <f t="shared" si="56"/>
        <v>2000</v>
      </c>
      <c r="M153" s="10">
        <f t="shared" si="57"/>
        <v>2000</v>
      </c>
      <c r="N153" s="10">
        <f t="shared" ca="1" si="58"/>
        <v>-100</v>
      </c>
      <c r="O153" s="10">
        <f t="shared" ca="1" si="59"/>
        <v>-113</v>
      </c>
      <c r="P153" s="10">
        <f t="shared" ca="1" si="60"/>
        <v>-166</v>
      </c>
      <c r="Q153" s="14">
        <v>0</v>
      </c>
      <c r="R153" s="14">
        <v>0</v>
      </c>
      <c r="S153" s="14">
        <v>0</v>
      </c>
      <c r="T153" s="13">
        <f t="shared" ca="1" si="52"/>
        <v>1622</v>
      </c>
      <c r="U153" s="12">
        <f t="shared" ca="1" si="42"/>
        <v>860</v>
      </c>
      <c r="V153" s="12">
        <f t="shared" ca="1" si="41"/>
        <v>897</v>
      </c>
      <c r="W153" s="12">
        <f t="shared" ca="1" si="43"/>
        <v>874</v>
      </c>
      <c r="X153" s="13"/>
      <c r="Y153" s="10"/>
      <c r="Z153" s="10"/>
      <c r="AA153" s="10"/>
      <c r="AB153" s="9"/>
    </row>
    <row r="154" spans="1:28" ht="13.15" customHeight="1">
      <c r="A154" s="36">
        <v>140</v>
      </c>
      <c r="B154" s="35">
        <f t="shared" si="53"/>
        <v>45212</v>
      </c>
      <c r="C154" s="16">
        <f t="shared" si="54"/>
        <v>1069</v>
      </c>
      <c r="D154" s="15">
        <f t="shared" si="45"/>
        <v>1452</v>
      </c>
      <c r="E154" s="14">
        <f t="shared" ca="1" si="46"/>
        <v>621</v>
      </c>
      <c r="F154" s="14">
        <f t="shared" ca="1" si="47"/>
        <v>634</v>
      </c>
      <c r="G154" s="14">
        <f t="shared" ca="1" si="48"/>
        <v>687</v>
      </c>
      <c r="H154" s="10">
        <f t="shared" ca="1" si="49"/>
        <v>1900</v>
      </c>
      <c r="I154" s="10">
        <f t="shared" ca="1" si="50"/>
        <v>1887</v>
      </c>
      <c r="J154" s="10">
        <f t="shared" ca="1" si="51"/>
        <v>1834</v>
      </c>
      <c r="K154" s="10">
        <f t="shared" si="55"/>
        <v>2000</v>
      </c>
      <c r="L154" s="10">
        <f t="shared" si="56"/>
        <v>2000</v>
      </c>
      <c r="M154" s="10">
        <f t="shared" si="57"/>
        <v>2000</v>
      </c>
      <c r="N154" s="10">
        <f t="shared" ca="1" si="58"/>
        <v>-100</v>
      </c>
      <c r="O154" s="10">
        <f t="shared" ca="1" si="59"/>
        <v>-113</v>
      </c>
      <c r="P154" s="10">
        <f t="shared" ca="1" si="60"/>
        <v>-166</v>
      </c>
      <c r="Q154" s="14">
        <v>0</v>
      </c>
      <c r="R154" s="14">
        <v>0</v>
      </c>
      <c r="S154" s="14">
        <v>0</v>
      </c>
      <c r="T154" s="13">
        <f t="shared" ca="1" si="52"/>
        <v>1624</v>
      </c>
      <c r="U154" s="12">
        <f t="shared" ca="1" si="42"/>
        <v>860</v>
      </c>
      <c r="V154" s="12">
        <f t="shared" ca="1" si="41"/>
        <v>897</v>
      </c>
      <c r="W154" s="12">
        <f t="shared" ca="1" si="43"/>
        <v>874</v>
      </c>
      <c r="X154" s="13"/>
      <c r="Y154" s="10"/>
      <c r="Z154" s="10"/>
      <c r="AA154" s="10"/>
      <c r="AB154" s="9"/>
    </row>
    <row r="155" spans="1:28" ht="13.15" customHeight="1">
      <c r="A155" s="36">
        <v>141</v>
      </c>
      <c r="B155" s="35">
        <f t="shared" si="53"/>
        <v>45213</v>
      </c>
      <c r="C155" s="16">
        <f t="shared" si="54"/>
        <v>1069</v>
      </c>
      <c r="D155" s="15">
        <f t="shared" si="45"/>
        <v>1454</v>
      </c>
      <c r="E155" s="14">
        <f t="shared" ca="1" si="46"/>
        <v>623</v>
      </c>
      <c r="F155" s="14">
        <f t="shared" ca="1" si="47"/>
        <v>636</v>
      </c>
      <c r="G155" s="14">
        <f t="shared" ca="1" si="48"/>
        <v>689</v>
      </c>
      <c r="H155" s="10">
        <f t="shared" ca="1" si="49"/>
        <v>1900</v>
      </c>
      <c r="I155" s="10">
        <f t="shared" ca="1" si="50"/>
        <v>1887</v>
      </c>
      <c r="J155" s="10">
        <f t="shared" ca="1" si="51"/>
        <v>1834</v>
      </c>
      <c r="K155" s="10">
        <f t="shared" si="55"/>
        <v>2000</v>
      </c>
      <c r="L155" s="10">
        <f t="shared" si="56"/>
        <v>2000</v>
      </c>
      <c r="M155" s="10">
        <f t="shared" si="57"/>
        <v>2000</v>
      </c>
      <c r="N155" s="10">
        <f t="shared" ca="1" si="58"/>
        <v>-100</v>
      </c>
      <c r="O155" s="10">
        <f t="shared" ca="1" si="59"/>
        <v>-113</v>
      </c>
      <c r="P155" s="10">
        <f t="shared" ca="1" si="60"/>
        <v>-166</v>
      </c>
      <c r="Q155" s="14">
        <v>0</v>
      </c>
      <c r="R155" s="14">
        <v>0</v>
      </c>
      <c r="S155" s="14">
        <v>0</v>
      </c>
      <c r="T155" s="13">
        <f t="shared" ca="1" si="52"/>
        <v>1626</v>
      </c>
      <c r="U155" s="12">
        <f t="shared" ca="1" si="42"/>
        <v>860</v>
      </c>
      <c r="V155" s="12">
        <f t="shared" ref="V155:V218" ca="1" si="61">V154+$X155*1000-R155</f>
        <v>897</v>
      </c>
      <c r="W155" s="12">
        <f t="shared" ca="1" si="43"/>
        <v>874</v>
      </c>
      <c r="X155" s="13"/>
      <c r="Y155" s="10"/>
      <c r="Z155" s="10"/>
      <c r="AA155" s="10"/>
      <c r="AB155" s="9"/>
    </row>
    <row r="156" spans="1:28" ht="13.15" customHeight="1">
      <c r="A156" s="36">
        <v>142</v>
      </c>
      <c r="B156" s="35">
        <f t="shared" si="53"/>
        <v>45214</v>
      </c>
      <c r="C156" s="16">
        <f t="shared" si="54"/>
        <v>1069</v>
      </c>
      <c r="D156" s="15">
        <f t="shared" si="45"/>
        <v>1456</v>
      </c>
      <c r="E156" s="14">
        <f t="shared" ca="1" si="46"/>
        <v>625</v>
      </c>
      <c r="F156" s="14">
        <f t="shared" ca="1" si="47"/>
        <v>638</v>
      </c>
      <c r="G156" s="14">
        <f t="shared" ca="1" si="48"/>
        <v>691</v>
      </c>
      <c r="H156" s="10">
        <f t="shared" ca="1" si="49"/>
        <v>1900</v>
      </c>
      <c r="I156" s="10">
        <f t="shared" ca="1" si="50"/>
        <v>1887</v>
      </c>
      <c r="J156" s="10">
        <f t="shared" ca="1" si="51"/>
        <v>1834</v>
      </c>
      <c r="K156" s="10">
        <f t="shared" si="55"/>
        <v>2000</v>
      </c>
      <c r="L156" s="10">
        <f t="shared" si="56"/>
        <v>2000</v>
      </c>
      <c r="M156" s="10">
        <f t="shared" si="57"/>
        <v>2000</v>
      </c>
      <c r="N156" s="10">
        <f t="shared" ca="1" si="58"/>
        <v>-100</v>
      </c>
      <c r="O156" s="10">
        <f t="shared" ca="1" si="59"/>
        <v>-113</v>
      </c>
      <c r="P156" s="10">
        <f t="shared" ca="1" si="60"/>
        <v>-166</v>
      </c>
      <c r="Q156" s="14">
        <v>0</v>
      </c>
      <c r="R156" s="14">
        <v>0</v>
      </c>
      <c r="S156" s="14">
        <v>0</v>
      </c>
      <c r="T156" s="13">
        <f t="shared" ca="1" si="52"/>
        <v>1628</v>
      </c>
      <c r="U156" s="12">
        <f t="shared" ref="U156:U219" ca="1" si="62">U155+$X156*1000-Q156</f>
        <v>860</v>
      </c>
      <c r="V156" s="12">
        <f t="shared" ca="1" si="61"/>
        <v>897</v>
      </c>
      <c r="W156" s="12">
        <f t="shared" ref="W156:W219" ca="1" si="63">W155+$X156*1000-S156</f>
        <v>874</v>
      </c>
      <c r="X156" s="13"/>
      <c r="Y156" s="10"/>
      <c r="Z156" s="10"/>
      <c r="AA156" s="10"/>
      <c r="AB156" s="9"/>
    </row>
    <row r="157" spans="1:28" ht="13.15" customHeight="1">
      <c r="A157" s="36">
        <v>143</v>
      </c>
      <c r="B157" s="35">
        <f t="shared" si="53"/>
        <v>45215</v>
      </c>
      <c r="C157" s="16">
        <f t="shared" si="54"/>
        <v>1069</v>
      </c>
      <c r="D157" s="15">
        <f t="shared" si="45"/>
        <v>1458</v>
      </c>
      <c r="E157" s="14">
        <f t="shared" ca="1" si="46"/>
        <v>627</v>
      </c>
      <c r="F157" s="14">
        <f t="shared" ca="1" si="47"/>
        <v>640</v>
      </c>
      <c r="G157" s="14">
        <f t="shared" ca="1" si="48"/>
        <v>693</v>
      </c>
      <c r="H157" s="10">
        <f t="shared" ca="1" si="49"/>
        <v>1900</v>
      </c>
      <c r="I157" s="10">
        <f t="shared" ca="1" si="50"/>
        <v>1887</v>
      </c>
      <c r="J157" s="10">
        <f t="shared" ca="1" si="51"/>
        <v>1834</v>
      </c>
      <c r="K157" s="10">
        <f t="shared" si="55"/>
        <v>2000</v>
      </c>
      <c r="L157" s="10">
        <f t="shared" si="56"/>
        <v>2000</v>
      </c>
      <c r="M157" s="10">
        <f t="shared" si="57"/>
        <v>2000</v>
      </c>
      <c r="N157" s="10">
        <f t="shared" ca="1" si="58"/>
        <v>-100</v>
      </c>
      <c r="O157" s="10">
        <f t="shared" ca="1" si="59"/>
        <v>-113</v>
      </c>
      <c r="P157" s="10">
        <f t="shared" ca="1" si="60"/>
        <v>-166</v>
      </c>
      <c r="Q157" s="14">
        <v>0</v>
      </c>
      <c r="R157" s="14">
        <v>0</v>
      </c>
      <c r="S157" s="14">
        <v>0</v>
      </c>
      <c r="T157" s="13">
        <f t="shared" ca="1" si="52"/>
        <v>1630</v>
      </c>
      <c r="U157" s="12">
        <f t="shared" ca="1" si="62"/>
        <v>860</v>
      </c>
      <c r="V157" s="12">
        <f t="shared" ca="1" si="61"/>
        <v>897</v>
      </c>
      <c r="W157" s="12">
        <f t="shared" ca="1" si="63"/>
        <v>874</v>
      </c>
      <c r="X157" s="13"/>
      <c r="Y157" s="10"/>
      <c r="Z157" s="10"/>
      <c r="AA157" s="10"/>
      <c r="AB157" s="9"/>
    </row>
    <row r="158" spans="1:28" ht="13.15" customHeight="1">
      <c r="A158" s="36">
        <v>144</v>
      </c>
      <c r="B158" s="35">
        <f t="shared" si="53"/>
        <v>45216</v>
      </c>
      <c r="C158" s="16">
        <f t="shared" si="54"/>
        <v>1069</v>
      </c>
      <c r="D158" s="15">
        <f t="shared" si="45"/>
        <v>1460</v>
      </c>
      <c r="E158" s="14">
        <f t="shared" ca="1" si="46"/>
        <v>629</v>
      </c>
      <c r="F158" s="14">
        <f t="shared" ca="1" si="47"/>
        <v>642</v>
      </c>
      <c r="G158" s="14">
        <f t="shared" ca="1" si="48"/>
        <v>695</v>
      </c>
      <c r="H158" s="10">
        <f t="shared" ca="1" si="49"/>
        <v>1900</v>
      </c>
      <c r="I158" s="10">
        <f t="shared" ca="1" si="50"/>
        <v>1887</v>
      </c>
      <c r="J158" s="10">
        <f t="shared" ca="1" si="51"/>
        <v>1834</v>
      </c>
      <c r="K158" s="10">
        <f t="shared" si="55"/>
        <v>2000</v>
      </c>
      <c r="L158" s="10">
        <f t="shared" si="56"/>
        <v>2000</v>
      </c>
      <c r="M158" s="10">
        <f t="shared" si="57"/>
        <v>2000</v>
      </c>
      <c r="N158" s="10">
        <f t="shared" ca="1" si="58"/>
        <v>-100</v>
      </c>
      <c r="O158" s="10">
        <f t="shared" ca="1" si="59"/>
        <v>-113</v>
      </c>
      <c r="P158" s="10">
        <f t="shared" ca="1" si="60"/>
        <v>-166</v>
      </c>
      <c r="Q158" s="14">
        <v>0</v>
      </c>
      <c r="R158" s="14">
        <v>0</v>
      </c>
      <c r="S158" s="14">
        <v>0</v>
      </c>
      <c r="T158" s="13">
        <f t="shared" ca="1" si="52"/>
        <v>1632</v>
      </c>
      <c r="U158" s="12">
        <f t="shared" ca="1" si="62"/>
        <v>860</v>
      </c>
      <c r="V158" s="12">
        <f t="shared" ca="1" si="61"/>
        <v>897</v>
      </c>
      <c r="W158" s="12">
        <f t="shared" ca="1" si="63"/>
        <v>874</v>
      </c>
      <c r="X158" s="13"/>
      <c r="Y158" s="10"/>
      <c r="Z158" s="10"/>
      <c r="AA158" s="10"/>
      <c r="AB158" s="9"/>
    </row>
    <row r="159" spans="1:28" ht="13.15" customHeight="1">
      <c r="A159" s="36">
        <v>145</v>
      </c>
      <c r="B159" s="35">
        <f t="shared" si="53"/>
        <v>45217</v>
      </c>
      <c r="C159" s="16">
        <f t="shared" si="54"/>
        <v>1069</v>
      </c>
      <c r="D159" s="15">
        <f t="shared" si="45"/>
        <v>1462</v>
      </c>
      <c r="E159" s="14">
        <f t="shared" ca="1" si="46"/>
        <v>631</v>
      </c>
      <c r="F159" s="14">
        <f t="shared" ca="1" si="47"/>
        <v>644</v>
      </c>
      <c r="G159" s="14">
        <f t="shared" ca="1" si="48"/>
        <v>697</v>
      </c>
      <c r="H159" s="10">
        <f t="shared" ca="1" si="49"/>
        <v>1900</v>
      </c>
      <c r="I159" s="10">
        <f t="shared" ca="1" si="50"/>
        <v>1887</v>
      </c>
      <c r="J159" s="10">
        <f t="shared" ca="1" si="51"/>
        <v>1834</v>
      </c>
      <c r="K159" s="10">
        <f t="shared" si="55"/>
        <v>2000</v>
      </c>
      <c r="L159" s="10">
        <f t="shared" si="56"/>
        <v>2000</v>
      </c>
      <c r="M159" s="10">
        <f t="shared" si="57"/>
        <v>2000</v>
      </c>
      <c r="N159" s="10">
        <f t="shared" ca="1" si="58"/>
        <v>-100</v>
      </c>
      <c r="O159" s="10">
        <f t="shared" ca="1" si="59"/>
        <v>-113</v>
      </c>
      <c r="P159" s="10">
        <f t="shared" ca="1" si="60"/>
        <v>-166</v>
      </c>
      <c r="Q159" s="14">
        <v>0</v>
      </c>
      <c r="R159" s="14">
        <v>0</v>
      </c>
      <c r="S159" s="14">
        <v>0</v>
      </c>
      <c r="T159" s="13">
        <f t="shared" ca="1" si="52"/>
        <v>1634</v>
      </c>
      <c r="U159" s="12">
        <f t="shared" ca="1" si="62"/>
        <v>860</v>
      </c>
      <c r="V159" s="12">
        <f t="shared" ca="1" si="61"/>
        <v>897</v>
      </c>
      <c r="W159" s="12">
        <f t="shared" ca="1" si="63"/>
        <v>874</v>
      </c>
      <c r="X159" s="13"/>
      <c r="Y159" s="10"/>
      <c r="Z159" s="10"/>
      <c r="AA159" s="10"/>
      <c r="AB159" s="9"/>
    </row>
    <row r="160" spans="1:28" ht="13.15" customHeight="1">
      <c r="A160" s="36">
        <v>146</v>
      </c>
      <c r="B160" s="35">
        <f t="shared" si="53"/>
        <v>45218</v>
      </c>
      <c r="C160" s="16">
        <f t="shared" si="54"/>
        <v>1069</v>
      </c>
      <c r="D160" s="15">
        <f t="shared" si="45"/>
        <v>1464</v>
      </c>
      <c r="E160" s="14">
        <f t="shared" ca="1" si="46"/>
        <v>633</v>
      </c>
      <c r="F160" s="14">
        <f t="shared" ca="1" si="47"/>
        <v>646</v>
      </c>
      <c r="G160" s="14">
        <f t="shared" ca="1" si="48"/>
        <v>699</v>
      </c>
      <c r="H160" s="10">
        <f t="shared" ca="1" si="49"/>
        <v>1900</v>
      </c>
      <c r="I160" s="10">
        <f t="shared" ca="1" si="50"/>
        <v>1887</v>
      </c>
      <c r="J160" s="10">
        <f t="shared" ca="1" si="51"/>
        <v>1834</v>
      </c>
      <c r="K160" s="10">
        <f t="shared" si="55"/>
        <v>2000</v>
      </c>
      <c r="L160" s="10">
        <f t="shared" si="56"/>
        <v>2000</v>
      </c>
      <c r="M160" s="10">
        <f t="shared" si="57"/>
        <v>2000</v>
      </c>
      <c r="N160" s="10">
        <f t="shared" ca="1" si="58"/>
        <v>-100</v>
      </c>
      <c r="O160" s="10">
        <f t="shared" ca="1" si="59"/>
        <v>-113</v>
      </c>
      <c r="P160" s="10">
        <f t="shared" ca="1" si="60"/>
        <v>-166</v>
      </c>
      <c r="Q160" s="14">
        <v>0</v>
      </c>
      <c r="R160" s="14">
        <v>0</v>
      </c>
      <c r="S160" s="14">
        <v>0</v>
      </c>
      <c r="T160" s="13">
        <f t="shared" ca="1" si="52"/>
        <v>1636</v>
      </c>
      <c r="U160" s="12">
        <f t="shared" ca="1" si="62"/>
        <v>860</v>
      </c>
      <c r="V160" s="12">
        <f t="shared" ca="1" si="61"/>
        <v>897</v>
      </c>
      <c r="W160" s="12">
        <f t="shared" ca="1" si="63"/>
        <v>874</v>
      </c>
      <c r="X160" s="13"/>
      <c r="Y160" s="10"/>
      <c r="Z160" s="10"/>
      <c r="AA160" s="10"/>
      <c r="AB160" s="9"/>
    </row>
    <row r="161" spans="1:28" ht="13.15" customHeight="1">
      <c r="A161" s="36">
        <v>147</v>
      </c>
      <c r="B161" s="35">
        <f t="shared" si="53"/>
        <v>45219</v>
      </c>
      <c r="C161" s="16">
        <f t="shared" si="54"/>
        <v>1069</v>
      </c>
      <c r="D161" s="15">
        <f t="shared" si="45"/>
        <v>1466</v>
      </c>
      <c r="E161" s="14">
        <f t="shared" ca="1" si="46"/>
        <v>635</v>
      </c>
      <c r="F161" s="14">
        <f t="shared" ca="1" si="47"/>
        <v>648</v>
      </c>
      <c r="G161" s="14">
        <f t="shared" ca="1" si="48"/>
        <v>701</v>
      </c>
      <c r="H161" s="10">
        <f t="shared" ca="1" si="49"/>
        <v>1900</v>
      </c>
      <c r="I161" s="10">
        <f t="shared" ca="1" si="50"/>
        <v>1887</v>
      </c>
      <c r="J161" s="10">
        <f t="shared" ca="1" si="51"/>
        <v>1834</v>
      </c>
      <c r="K161" s="10">
        <f t="shared" si="55"/>
        <v>2000</v>
      </c>
      <c r="L161" s="10">
        <f t="shared" si="56"/>
        <v>2000</v>
      </c>
      <c r="M161" s="10">
        <f t="shared" si="57"/>
        <v>2000</v>
      </c>
      <c r="N161" s="10">
        <f t="shared" ca="1" si="58"/>
        <v>-100</v>
      </c>
      <c r="O161" s="10">
        <f t="shared" ca="1" si="59"/>
        <v>-113</v>
      </c>
      <c r="P161" s="10">
        <f t="shared" ca="1" si="60"/>
        <v>-166</v>
      </c>
      <c r="Q161" s="14">
        <v>0</v>
      </c>
      <c r="R161" s="14">
        <v>0</v>
      </c>
      <c r="S161" s="14">
        <v>0</v>
      </c>
      <c r="T161" s="13">
        <f t="shared" ca="1" si="52"/>
        <v>1638</v>
      </c>
      <c r="U161" s="12">
        <f t="shared" ca="1" si="62"/>
        <v>860</v>
      </c>
      <c r="V161" s="12">
        <f t="shared" ca="1" si="61"/>
        <v>897</v>
      </c>
      <c r="W161" s="12">
        <f t="shared" ca="1" si="63"/>
        <v>874</v>
      </c>
      <c r="X161" s="13"/>
      <c r="Y161" s="10"/>
      <c r="Z161" s="10"/>
      <c r="AA161" s="10"/>
      <c r="AB161" s="9"/>
    </row>
    <row r="162" spans="1:28" ht="13.15" customHeight="1">
      <c r="A162" s="36">
        <v>148</v>
      </c>
      <c r="B162" s="35">
        <f t="shared" si="53"/>
        <v>45220</v>
      </c>
      <c r="C162" s="16">
        <f t="shared" si="54"/>
        <v>1069</v>
      </c>
      <c r="D162" s="15">
        <f t="shared" si="45"/>
        <v>1468</v>
      </c>
      <c r="E162" s="14">
        <f t="shared" ca="1" si="46"/>
        <v>637</v>
      </c>
      <c r="F162" s="14">
        <f t="shared" ca="1" si="47"/>
        <v>650</v>
      </c>
      <c r="G162" s="14">
        <f t="shared" ca="1" si="48"/>
        <v>703</v>
      </c>
      <c r="H162" s="10">
        <f t="shared" ca="1" si="49"/>
        <v>1900</v>
      </c>
      <c r="I162" s="10">
        <f t="shared" ca="1" si="50"/>
        <v>1887</v>
      </c>
      <c r="J162" s="10">
        <f t="shared" ca="1" si="51"/>
        <v>1834</v>
      </c>
      <c r="K162" s="10">
        <f t="shared" si="55"/>
        <v>2000</v>
      </c>
      <c r="L162" s="10">
        <f t="shared" si="56"/>
        <v>2000</v>
      </c>
      <c r="M162" s="10">
        <f t="shared" si="57"/>
        <v>2000</v>
      </c>
      <c r="N162" s="10">
        <f t="shared" ca="1" si="58"/>
        <v>-100</v>
      </c>
      <c r="O162" s="10">
        <f t="shared" ca="1" si="59"/>
        <v>-113</v>
      </c>
      <c r="P162" s="10">
        <f t="shared" ca="1" si="60"/>
        <v>-166</v>
      </c>
      <c r="Q162" s="14">
        <v>0</v>
      </c>
      <c r="R162" s="14">
        <v>0</v>
      </c>
      <c r="S162" s="14">
        <v>0</v>
      </c>
      <c r="T162" s="13">
        <f t="shared" ca="1" si="52"/>
        <v>1640</v>
      </c>
      <c r="U162" s="12">
        <f t="shared" ca="1" si="62"/>
        <v>860</v>
      </c>
      <c r="V162" s="12">
        <f t="shared" ca="1" si="61"/>
        <v>897</v>
      </c>
      <c r="W162" s="12">
        <f t="shared" ca="1" si="63"/>
        <v>874</v>
      </c>
      <c r="X162" s="13"/>
      <c r="Y162" s="10"/>
      <c r="Z162" s="10"/>
      <c r="AA162" s="10"/>
      <c r="AB162" s="9"/>
    </row>
    <row r="163" spans="1:28" ht="13.15" customHeight="1">
      <c r="A163" s="36">
        <v>149</v>
      </c>
      <c r="B163" s="35">
        <f t="shared" si="53"/>
        <v>45221</v>
      </c>
      <c r="C163" s="16">
        <f t="shared" si="54"/>
        <v>1069</v>
      </c>
      <c r="D163" s="15">
        <f t="shared" si="45"/>
        <v>1470</v>
      </c>
      <c r="E163" s="14">
        <f t="shared" ca="1" si="46"/>
        <v>639</v>
      </c>
      <c r="F163" s="14">
        <f t="shared" ca="1" si="47"/>
        <v>652</v>
      </c>
      <c r="G163" s="14">
        <f t="shared" ca="1" si="48"/>
        <v>705</v>
      </c>
      <c r="H163" s="10">
        <f t="shared" ca="1" si="49"/>
        <v>1900</v>
      </c>
      <c r="I163" s="10">
        <f t="shared" ca="1" si="50"/>
        <v>1887</v>
      </c>
      <c r="J163" s="10">
        <f t="shared" ca="1" si="51"/>
        <v>1834</v>
      </c>
      <c r="K163" s="10">
        <f t="shared" si="55"/>
        <v>2000</v>
      </c>
      <c r="L163" s="10">
        <f t="shared" si="56"/>
        <v>2000</v>
      </c>
      <c r="M163" s="10">
        <f t="shared" si="57"/>
        <v>2000</v>
      </c>
      <c r="N163" s="10">
        <f t="shared" ca="1" si="58"/>
        <v>-100</v>
      </c>
      <c r="O163" s="10">
        <f t="shared" ca="1" si="59"/>
        <v>-113</v>
      </c>
      <c r="P163" s="10">
        <f t="shared" ca="1" si="60"/>
        <v>-166</v>
      </c>
      <c r="Q163" s="14">
        <v>0</v>
      </c>
      <c r="R163" s="14">
        <v>0</v>
      </c>
      <c r="S163" s="14">
        <v>0</v>
      </c>
      <c r="T163" s="13">
        <f t="shared" ca="1" si="52"/>
        <v>1642</v>
      </c>
      <c r="U163" s="12">
        <f t="shared" ca="1" si="62"/>
        <v>860</v>
      </c>
      <c r="V163" s="12">
        <f t="shared" ca="1" si="61"/>
        <v>897</v>
      </c>
      <c r="W163" s="12">
        <f t="shared" ca="1" si="63"/>
        <v>874</v>
      </c>
      <c r="X163" s="13"/>
      <c r="Y163" s="10"/>
      <c r="Z163" s="10"/>
      <c r="AA163" s="10"/>
      <c r="AB163" s="9"/>
    </row>
    <row r="164" spans="1:28" ht="13.15" customHeight="1">
      <c r="A164" s="36">
        <v>150</v>
      </c>
      <c r="B164" s="35">
        <f t="shared" si="53"/>
        <v>45222</v>
      </c>
      <c r="C164" s="16">
        <f t="shared" si="54"/>
        <v>1069</v>
      </c>
      <c r="D164" s="15">
        <f t="shared" si="45"/>
        <v>1472</v>
      </c>
      <c r="E164" s="14">
        <f t="shared" ca="1" si="46"/>
        <v>641</v>
      </c>
      <c r="F164" s="14">
        <f t="shared" ca="1" si="47"/>
        <v>654</v>
      </c>
      <c r="G164" s="14">
        <f t="shared" ca="1" si="48"/>
        <v>707</v>
      </c>
      <c r="H164" s="10">
        <f t="shared" ca="1" si="49"/>
        <v>1900</v>
      </c>
      <c r="I164" s="10">
        <f t="shared" ca="1" si="50"/>
        <v>1887</v>
      </c>
      <c r="J164" s="10">
        <f t="shared" ca="1" si="51"/>
        <v>1834</v>
      </c>
      <c r="K164" s="10">
        <f t="shared" si="55"/>
        <v>2000</v>
      </c>
      <c r="L164" s="10">
        <f t="shared" si="56"/>
        <v>2000</v>
      </c>
      <c r="M164" s="10">
        <f t="shared" si="57"/>
        <v>2000</v>
      </c>
      <c r="N164" s="10">
        <f t="shared" ca="1" si="58"/>
        <v>-100</v>
      </c>
      <c r="O164" s="10">
        <f t="shared" ca="1" si="59"/>
        <v>-113</v>
      </c>
      <c r="P164" s="10">
        <f t="shared" ca="1" si="60"/>
        <v>-166</v>
      </c>
      <c r="Q164" s="14">
        <v>0</v>
      </c>
      <c r="R164" s="14">
        <v>0</v>
      </c>
      <c r="S164" s="14">
        <v>0</v>
      </c>
      <c r="T164" s="13">
        <f t="shared" ca="1" si="52"/>
        <v>1644</v>
      </c>
      <c r="U164" s="12">
        <f t="shared" ca="1" si="62"/>
        <v>860</v>
      </c>
      <c r="V164" s="12">
        <f t="shared" ca="1" si="61"/>
        <v>897</v>
      </c>
      <c r="W164" s="12">
        <f t="shared" ca="1" si="63"/>
        <v>874</v>
      </c>
      <c r="X164" s="13"/>
      <c r="Y164" s="10"/>
      <c r="Z164" s="10"/>
      <c r="AA164" s="10"/>
      <c r="AB164" s="9"/>
    </row>
    <row r="165" spans="1:28" ht="13.15" customHeight="1">
      <c r="A165" s="36">
        <v>151</v>
      </c>
      <c r="B165" s="35">
        <f t="shared" si="53"/>
        <v>45223</v>
      </c>
      <c r="C165" s="16">
        <f t="shared" si="54"/>
        <v>1069</v>
      </c>
      <c r="D165" s="15">
        <f t="shared" si="45"/>
        <v>1474</v>
      </c>
      <c r="E165" s="14">
        <f t="shared" ca="1" si="46"/>
        <v>643</v>
      </c>
      <c r="F165" s="14">
        <f t="shared" ca="1" si="47"/>
        <v>656</v>
      </c>
      <c r="G165" s="14">
        <f t="shared" ca="1" si="48"/>
        <v>709</v>
      </c>
      <c r="H165" s="10">
        <f t="shared" ca="1" si="49"/>
        <v>1900</v>
      </c>
      <c r="I165" s="10">
        <f t="shared" ca="1" si="50"/>
        <v>1887</v>
      </c>
      <c r="J165" s="10">
        <f t="shared" ca="1" si="51"/>
        <v>1834</v>
      </c>
      <c r="K165" s="10">
        <f t="shared" si="55"/>
        <v>2000</v>
      </c>
      <c r="L165" s="10">
        <f t="shared" si="56"/>
        <v>2000</v>
      </c>
      <c r="M165" s="10">
        <f t="shared" si="57"/>
        <v>2000</v>
      </c>
      <c r="N165" s="10">
        <f t="shared" ca="1" si="58"/>
        <v>-100</v>
      </c>
      <c r="O165" s="10">
        <f t="shared" ca="1" si="59"/>
        <v>-113</v>
      </c>
      <c r="P165" s="10">
        <f t="shared" ca="1" si="60"/>
        <v>-166</v>
      </c>
      <c r="Q165" s="14">
        <v>0</v>
      </c>
      <c r="R165" s="14">
        <v>0</v>
      </c>
      <c r="S165" s="14">
        <v>0</v>
      </c>
      <c r="T165" s="13">
        <f t="shared" ca="1" si="52"/>
        <v>1646</v>
      </c>
      <c r="U165" s="12">
        <f t="shared" ca="1" si="62"/>
        <v>860</v>
      </c>
      <c r="V165" s="12">
        <f t="shared" ca="1" si="61"/>
        <v>897</v>
      </c>
      <c r="W165" s="12">
        <f t="shared" ca="1" si="63"/>
        <v>874</v>
      </c>
      <c r="X165" s="13"/>
      <c r="Y165" s="10"/>
      <c r="Z165" s="10"/>
      <c r="AA165" s="10"/>
      <c r="AB165" s="9"/>
    </row>
    <row r="166" spans="1:28" ht="13.15" customHeight="1">
      <c r="A166" s="36">
        <v>152</v>
      </c>
      <c r="B166" s="35">
        <f t="shared" si="53"/>
        <v>45224</v>
      </c>
      <c r="C166" s="16">
        <f t="shared" si="54"/>
        <v>1069</v>
      </c>
      <c r="D166" s="15">
        <f t="shared" si="45"/>
        <v>1476</v>
      </c>
      <c r="E166" s="14">
        <f t="shared" ca="1" si="46"/>
        <v>645</v>
      </c>
      <c r="F166" s="14">
        <f t="shared" ca="1" si="47"/>
        <v>658</v>
      </c>
      <c r="G166" s="14">
        <f t="shared" ca="1" si="48"/>
        <v>711</v>
      </c>
      <c r="H166" s="10">
        <f t="shared" ca="1" si="49"/>
        <v>1900</v>
      </c>
      <c r="I166" s="10">
        <f t="shared" ca="1" si="50"/>
        <v>1887</v>
      </c>
      <c r="J166" s="10">
        <f t="shared" ca="1" si="51"/>
        <v>1834</v>
      </c>
      <c r="K166" s="10">
        <f t="shared" si="55"/>
        <v>2000</v>
      </c>
      <c r="L166" s="10">
        <f t="shared" si="56"/>
        <v>2000</v>
      </c>
      <c r="M166" s="10">
        <f t="shared" si="57"/>
        <v>2000</v>
      </c>
      <c r="N166" s="10">
        <f t="shared" ca="1" si="58"/>
        <v>-100</v>
      </c>
      <c r="O166" s="10">
        <f t="shared" ca="1" si="59"/>
        <v>-113</v>
      </c>
      <c r="P166" s="10">
        <f t="shared" ca="1" si="60"/>
        <v>-166</v>
      </c>
      <c r="Q166" s="14">
        <v>0</v>
      </c>
      <c r="R166" s="14">
        <v>0</v>
      </c>
      <c r="S166" s="14">
        <v>0</v>
      </c>
      <c r="T166" s="13">
        <f t="shared" ca="1" si="52"/>
        <v>1648</v>
      </c>
      <c r="U166" s="12">
        <f t="shared" ca="1" si="62"/>
        <v>860</v>
      </c>
      <c r="V166" s="12">
        <f t="shared" ca="1" si="61"/>
        <v>897</v>
      </c>
      <c r="W166" s="12">
        <f t="shared" ca="1" si="63"/>
        <v>874</v>
      </c>
      <c r="X166" s="13"/>
      <c r="Y166" s="10"/>
      <c r="Z166" s="10"/>
      <c r="AA166" s="10"/>
      <c r="AB166" s="9"/>
    </row>
    <row r="167" spans="1:28" ht="13.15" customHeight="1">
      <c r="A167" s="36">
        <v>153</v>
      </c>
      <c r="B167" s="35">
        <f t="shared" si="53"/>
        <v>45225</v>
      </c>
      <c r="C167" s="16">
        <f t="shared" si="54"/>
        <v>1069</v>
      </c>
      <c r="D167" s="15">
        <f t="shared" si="45"/>
        <v>1478</v>
      </c>
      <c r="E167" s="14">
        <f t="shared" ca="1" si="46"/>
        <v>647</v>
      </c>
      <c r="F167" s="14">
        <f t="shared" ca="1" si="47"/>
        <v>660</v>
      </c>
      <c r="G167" s="14">
        <f t="shared" ca="1" si="48"/>
        <v>713</v>
      </c>
      <c r="H167" s="10">
        <f t="shared" ca="1" si="49"/>
        <v>1900</v>
      </c>
      <c r="I167" s="10">
        <f t="shared" ca="1" si="50"/>
        <v>1887</v>
      </c>
      <c r="J167" s="10">
        <f t="shared" ca="1" si="51"/>
        <v>1834</v>
      </c>
      <c r="K167" s="10">
        <f t="shared" si="55"/>
        <v>2000</v>
      </c>
      <c r="L167" s="10">
        <f t="shared" si="56"/>
        <v>2000</v>
      </c>
      <c r="M167" s="10">
        <f t="shared" si="57"/>
        <v>2000</v>
      </c>
      <c r="N167" s="10">
        <f t="shared" ca="1" si="58"/>
        <v>-100</v>
      </c>
      <c r="O167" s="10">
        <f t="shared" ca="1" si="59"/>
        <v>-113</v>
      </c>
      <c r="P167" s="10">
        <f t="shared" ca="1" si="60"/>
        <v>-166</v>
      </c>
      <c r="Q167" s="14">
        <v>0</v>
      </c>
      <c r="R167" s="14">
        <v>0</v>
      </c>
      <c r="S167" s="14">
        <v>0</v>
      </c>
      <c r="T167" s="13">
        <f t="shared" ca="1" si="52"/>
        <v>1650</v>
      </c>
      <c r="U167" s="12">
        <f t="shared" ca="1" si="62"/>
        <v>860</v>
      </c>
      <c r="V167" s="12">
        <f t="shared" ca="1" si="61"/>
        <v>897</v>
      </c>
      <c r="W167" s="12">
        <f t="shared" ca="1" si="63"/>
        <v>874</v>
      </c>
      <c r="X167" s="13"/>
      <c r="Y167" s="10"/>
      <c r="Z167" s="10"/>
      <c r="AA167" s="10"/>
      <c r="AB167" s="9"/>
    </row>
    <row r="168" spans="1:28" ht="13.15" customHeight="1">
      <c r="A168" s="36">
        <v>154</v>
      </c>
      <c r="B168" s="35">
        <f t="shared" si="53"/>
        <v>45226</v>
      </c>
      <c r="C168" s="16">
        <f t="shared" si="54"/>
        <v>1069</v>
      </c>
      <c r="D168" s="15">
        <f t="shared" si="45"/>
        <v>1480</v>
      </c>
      <c r="E168" s="14">
        <f t="shared" ca="1" si="46"/>
        <v>649</v>
      </c>
      <c r="F168" s="14">
        <f t="shared" ca="1" si="47"/>
        <v>662</v>
      </c>
      <c r="G168" s="14">
        <f t="shared" ca="1" si="48"/>
        <v>715</v>
      </c>
      <c r="H168" s="10">
        <f t="shared" ca="1" si="49"/>
        <v>1900</v>
      </c>
      <c r="I168" s="10">
        <f t="shared" ca="1" si="50"/>
        <v>1887</v>
      </c>
      <c r="J168" s="10">
        <f t="shared" ca="1" si="51"/>
        <v>1834</v>
      </c>
      <c r="K168" s="10">
        <f t="shared" si="55"/>
        <v>2000</v>
      </c>
      <c r="L168" s="10">
        <f t="shared" si="56"/>
        <v>2000</v>
      </c>
      <c r="M168" s="10">
        <f t="shared" si="57"/>
        <v>2000</v>
      </c>
      <c r="N168" s="10">
        <f t="shared" ca="1" si="58"/>
        <v>-100</v>
      </c>
      <c r="O168" s="10">
        <f t="shared" ca="1" si="59"/>
        <v>-113</v>
      </c>
      <c r="P168" s="10">
        <f t="shared" ca="1" si="60"/>
        <v>-166</v>
      </c>
      <c r="Q168" s="14">
        <v>0</v>
      </c>
      <c r="R168" s="14">
        <v>0</v>
      </c>
      <c r="S168" s="14">
        <v>0</v>
      </c>
      <c r="T168" s="13">
        <f t="shared" ca="1" si="52"/>
        <v>1652</v>
      </c>
      <c r="U168" s="12">
        <f t="shared" ca="1" si="62"/>
        <v>860</v>
      </c>
      <c r="V168" s="12">
        <f t="shared" ca="1" si="61"/>
        <v>897</v>
      </c>
      <c r="W168" s="12">
        <f t="shared" ca="1" si="63"/>
        <v>874</v>
      </c>
      <c r="X168" s="13"/>
      <c r="Y168" s="10"/>
      <c r="Z168" s="10"/>
      <c r="AA168" s="10"/>
      <c r="AB168" s="9"/>
    </row>
    <row r="169" spans="1:28" ht="13.15" customHeight="1">
      <c r="A169" s="36">
        <v>155</v>
      </c>
      <c r="B169" s="35">
        <f t="shared" si="53"/>
        <v>45227</v>
      </c>
      <c r="C169" s="16">
        <f t="shared" si="54"/>
        <v>1069</v>
      </c>
      <c r="D169" s="15">
        <f t="shared" si="45"/>
        <v>1482</v>
      </c>
      <c r="E169" s="14">
        <f t="shared" ca="1" si="46"/>
        <v>651</v>
      </c>
      <c r="F169" s="14">
        <f t="shared" ca="1" si="47"/>
        <v>664</v>
      </c>
      <c r="G169" s="14">
        <f t="shared" ca="1" si="48"/>
        <v>717</v>
      </c>
      <c r="H169" s="10">
        <f t="shared" ca="1" si="49"/>
        <v>1900</v>
      </c>
      <c r="I169" s="10">
        <f t="shared" ca="1" si="50"/>
        <v>1887</v>
      </c>
      <c r="J169" s="10">
        <f t="shared" ca="1" si="51"/>
        <v>1834</v>
      </c>
      <c r="K169" s="10">
        <f t="shared" si="55"/>
        <v>2000</v>
      </c>
      <c r="L169" s="10">
        <f t="shared" si="56"/>
        <v>2000</v>
      </c>
      <c r="M169" s="10">
        <f t="shared" si="57"/>
        <v>2000</v>
      </c>
      <c r="N169" s="10">
        <f t="shared" ca="1" si="58"/>
        <v>-100</v>
      </c>
      <c r="O169" s="10">
        <f t="shared" ca="1" si="59"/>
        <v>-113</v>
      </c>
      <c r="P169" s="10">
        <f t="shared" ca="1" si="60"/>
        <v>-166</v>
      </c>
      <c r="Q169" s="14">
        <v>0</v>
      </c>
      <c r="R169" s="14">
        <v>0</v>
      </c>
      <c r="S169" s="14">
        <v>0</v>
      </c>
      <c r="T169" s="13">
        <f t="shared" ca="1" si="52"/>
        <v>1654</v>
      </c>
      <c r="U169" s="12">
        <f t="shared" ca="1" si="62"/>
        <v>860</v>
      </c>
      <c r="V169" s="12">
        <f t="shared" ca="1" si="61"/>
        <v>897</v>
      </c>
      <c r="W169" s="12">
        <f t="shared" ca="1" si="63"/>
        <v>874</v>
      </c>
      <c r="X169" s="13"/>
      <c r="Y169" s="10"/>
      <c r="Z169" s="10"/>
      <c r="AA169" s="10"/>
      <c r="AB169" s="9"/>
    </row>
    <row r="170" spans="1:28" ht="13.15" customHeight="1">
      <c r="A170" s="36">
        <v>156</v>
      </c>
      <c r="B170" s="35">
        <f t="shared" si="53"/>
        <v>45228</v>
      </c>
      <c r="C170" s="16">
        <f t="shared" si="54"/>
        <v>1069</v>
      </c>
      <c r="D170" s="15">
        <f t="shared" si="45"/>
        <v>1484</v>
      </c>
      <c r="E170" s="14">
        <f t="shared" ca="1" si="46"/>
        <v>653</v>
      </c>
      <c r="F170" s="14">
        <f t="shared" ca="1" si="47"/>
        <v>666</v>
      </c>
      <c r="G170" s="14">
        <f t="shared" ca="1" si="48"/>
        <v>719</v>
      </c>
      <c r="H170" s="10">
        <f t="shared" ca="1" si="49"/>
        <v>1900</v>
      </c>
      <c r="I170" s="10">
        <f t="shared" ca="1" si="50"/>
        <v>1887</v>
      </c>
      <c r="J170" s="10">
        <f t="shared" ca="1" si="51"/>
        <v>1834</v>
      </c>
      <c r="K170" s="10">
        <f t="shared" si="55"/>
        <v>2000</v>
      </c>
      <c r="L170" s="10">
        <f t="shared" si="56"/>
        <v>2000</v>
      </c>
      <c r="M170" s="10">
        <f t="shared" si="57"/>
        <v>2000</v>
      </c>
      <c r="N170" s="10">
        <f t="shared" ca="1" si="58"/>
        <v>-100</v>
      </c>
      <c r="O170" s="10">
        <f t="shared" ca="1" si="59"/>
        <v>-113</v>
      </c>
      <c r="P170" s="10">
        <f t="shared" ca="1" si="60"/>
        <v>-166</v>
      </c>
      <c r="Q170" s="14">
        <v>0</v>
      </c>
      <c r="R170" s="14">
        <v>0</v>
      </c>
      <c r="S170" s="14">
        <v>0</v>
      </c>
      <c r="T170" s="13">
        <f t="shared" ca="1" si="52"/>
        <v>1656</v>
      </c>
      <c r="U170" s="12">
        <f t="shared" ca="1" si="62"/>
        <v>860</v>
      </c>
      <c r="V170" s="12">
        <f t="shared" ca="1" si="61"/>
        <v>897</v>
      </c>
      <c r="W170" s="12">
        <f t="shared" ca="1" si="63"/>
        <v>874</v>
      </c>
      <c r="X170" s="13"/>
      <c r="Y170" s="10"/>
      <c r="Z170" s="10"/>
      <c r="AA170" s="10"/>
      <c r="AB170" s="9"/>
    </row>
    <row r="171" spans="1:28" ht="13.15" customHeight="1">
      <c r="A171" s="36">
        <v>157</v>
      </c>
      <c r="B171" s="35">
        <f t="shared" si="53"/>
        <v>45229</v>
      </c>
      <c r="C171" s="16">
        <f t="shared" si="54"/>
        <v>1069</v>
      </c>
      <c r="D171" s="15">
        <f t="shared" si="45"/>
        <v>1486</v>
      </c>
      <c r="E171" s="14">
        <f t="shared" ca="1" si="46"/>
        <v>655</v>
      </c>
      <c r="F171" s="14">
        <f t="shared" ca="1" si="47"/>
        <v>668</v>
      </c>
      <c r="G171" s="14">
        <f t="shared" ca="1" si="48"/>
        <v>721</v>
      </c>
      <c r="H171" s="10">
        <f t="shared" ca="1" si="49"/>
        <v>1900</v>
      </c>
      <c r="I171" s="10">
        <f t="shared" ca="1" si="50"/>
        <v>1887</v>
      </c>
      <c r="J171" s="10">
        <f t="shared" ca="1" si="51"/>
        <v>1834</v>
      </c>
      <c r="K171" s="10">
        <f t="shared" si="55"/>
        <v>2000</v>
      </c>
      <c r="L171" s="10">
        <f t="shared" si="56"/>
        <v>2000</v>
      </c>
      <c r="M171" s="10">
        <f t="shared" si="57"/>
        <v>2000</v>
      </c>
      <c r="N171" s="10">
        <f t="shared" ca="1" si="58"/>
        <v>-100</v>
      </c>
      <c r="O171" s="10">
        <f t="shared" ca="1" si="59"/>
        <v>-113</v>
      </c>
      <c r="P171" s="10">
        <f t="shared" ca="1" si="60"/>
        <v>-166</v>
      </c>
      <c r="Q171" s="14">
        <v>0</v>
      </c>
      <c r="R171" s="14">
        <v>0</v>
      </c>
      <c r="S171" s="14">
        <v>0</v>
      </c>
      <c r="T171" s="13">
        <f t="shared" ca="1" si="52"/>
        <v>1658</v>
      </c>
      <c r="U171" s="12">
        <f t="shared" ca="1" si="62"/>
        <v>860</v>
      </c>
      <c r="V171" s="12">
        <f t="shared" ca="1" si="61"/>
        <v>897</v>
      </c>
      <c r="W171" s="12">
        <f t="shared" ca="1" si="63"/>
        <v>874</v>
      </c>
      <c r="X171" s="13"/>
      <c r="Y171" s="10"/>
      <c r="Z171" s="10"/>
      <c r="AA171" s="10"/>
      <c r="AB171" s="9"/>
    </row>
    <row r="172" spans="1:28" ht="13.15" customHeight="1">
      <c r="A172" s="36">
        <v>158</v>
      </c>
      <c r="B172" s="35">
        <f t="shared" si="53"/>
        <v>45230</v>
      </c>
      <c r="C172" s="16">
        <f t="shared" si="54"/>
        <v>1069</v>
      </c>
      <c r="D172" s="15">
        <f t="shared" si="45"/>
        <v>1488</v>
      </c>
      <c r="E172" s="14">
        <f t="shared" ca="1" si="46"/>
        <v>657</v>
      </c>
      <c r="F172" s="14">
        <f t="shared" ca="1" si="47"/>
        <v>670</v>
      </c>
      <c r="G172" s="14">
        <f t="shared" ca="1" si="48"/>
        <v>723</v>
      </c>
      <c r="H172" s="10">
        <f t="shared" ca="1" si="49"/>
        <v>1900</v>
      </c>
      <c r="I172" s="10">
        <f t="shared" ca="1" si="50"/>
        <v>1887</v>
      </c>
      <c r="J172" s="10">
        <f t="shared" ca="1" si="51"/>
        <v>1834</v>
      </c>
      <c r="K172" s="10">
        <f t="shared" si="55"/>
        <v>2000</v>
      </c>
      <c r="L172" s="10">
        <f t="shared" si="56"/>
        <v>2000</v>
      </c>
      <c r="M172" s="10">
        <f t="shared" si="57"/>
        <v>2000</v>
      </c>
      <c r="N172" s="10">
        <f t="shared" ca="1" si="58"/>
        <v>-100</v>
      </c>
      <c r="O172" s="10">
        <f t="shared" ca="1" si="59"/>
        <v>-113</v>
      </c>
      <c r="P172" s="10">
        <f t="shared" ca="1" si="60"/>
        <v>-166</v>
      </c>
      <c r="Q172" s="14">
        <v>0</v>
      </c>
      <c r="R172" s="14">
        <v>0</v>
      </c>
      <c r="S172" s="14">
        <v>0</v>
      </c>
      <c r="T172" s="13">
        <f t="shared" ca="1" si="52"/>
        <v>1660</v>
      </c>
      <c r="U172" s="12">
        <f t="shared" ca="1" si="62"/>
        <v>860</v>
      </c>
      <c r="V172" s="12">
        <f t="shared" ca="1" si="61"/>
        <v>897</v>
      </c>
      <c r="W172" s="12">
        <f t="shared" ca="1" si="63"/>
        <v>874</v>
      </c>
      <c r="X172" s="13"/>
      <c r="Y172" s="10"/>
      <c r="Z172" s="10"/>
      <c r="AA172" s="10"/>
      <c r="AB172" s="9"/>
    </row>
    <row r="173" spans="1:28" ht="13.15" customHeight="1">
      <c r="A173" s="36">
        <v>159</v>
      </c>
      <c r="B173" s="35">
        <f t="shared" si="53"/>
        <v>45231</v>
      </c>
      <c r="C173" s="16">
        <f t="shared" si="54"/>
        <v>1069</v>
      </c>
      <c r="D173" s="15">
        <f t="shared" si="45"/>
        <v>1490</v>
      </c>
      <c r="E173" s="14">
        <f t="shared" ca="1" si="46"/>
        <v>659</v>
      </c>
      <c r="F173" s="14">
        <f t="shared" ca="1" si="47"/>
        <v>672</v>
      </c>
      <c r="G173" s="14">
        <f t="shared" ca="1" si="48"/>
        <v>725</v>
      </c>
      <c r="H173" s="10">
        <f t="shared" ca="1" si="49"/>
        <v>1900</v>
      </c>
      <c r="I173" s="10">
        <f t="shared" ca="1" si="50"/>
        <v>1887</v>
      </c>
      <c r="J173" s="10">
        <f t="shared" ca="1" si="51"/>
        <v>1834</v>
      </c>
      <c r="K173" s="10">
        <f t="shared" si="55"/>
        <v>2000</v>
      </c>
      <c r="L173" s="10">
        <f t="shared" si="56"/>
        <v>2000</v>
      </c>
      <c r="M173" s="10">
        <f t="shared" si="57"/>
        <v>2000</v>
      </c>
      <c r="N173" s="10">
        <f t="shared" ca="1" si="58"/>
        <v>-100</v>
      </c>
      <c r="O173" s="10">
        <f t="shared" ca="1" si="59"/>
        <v>-113</v>
      </c>
      <c r="P173" s="10">
        <f t="shared" ca="1" si="60"/>
        <v>-166</v>
      </c>
      <c r="Q173" s="14">
        <v>0</v>
      </c>
      <c r="R173" s="14">
        <v>0</v>
      </c>
      <c r="S173" s="14">
        <v>0</v>
      </c>
      <c r="T173" s="13">
        <f t="shared" ca="1" si="52"/>
        <v>1662</v>
      </c>
      <c r="U173" s="12">
        <f t="shared" ca="1" si="62"/>
        <v>860</v>
      </c>
      <c r="V173" s="12">
        <f t="shared" ca="1" si="61"/>
        <v>897</v>
      </c>
      <c r="W173" s="12">
        <f t="shared" ca="1" si="63"/>
        <v>874</v>
      </c>
      <c r="X173" s="13"/>
      <c r="Y173" s="10"/>
      <c r="Z173" s="10"/>
      <c r="AA173" s="10"/>
      <c r="AB173" s="9"/>
    </row>
    <row r="174" spans="1:28" ht="13.15" customHeight="1">
      <c r="A174" s="36">
        <v>160</v>
      </c>
      <c r="B174" s="35">
        <f t="shared" si="53"/>
        <v>45232</v>
      </c>
      <c r="C174" s="16">
        <f t="shared" si="54"/>
        <v>1069</v>
      </c>
      <c r="D174" s="15">
        <f t="shared" si="45"/>
        <v>1492</v>
      </c>
      <c r="E174" s="14">
        <f t="shared" ca="1" si="46"/>
        <v>661</v>
      </c>
      <c r="F174" s="14">
        <f t="shared" ca="1" si="47"/>
        <v>674</v>
      </c>
      <c r="G174" s="14">
        <f t="shared" ca="1" si="48"/>
        <v>727</v>
      </c>
      <c r="H174" s="10">
        <f t="shared" ca="1" si="49"/>
        <v>1900</v>
      </c>
      <c r="I174" s="10">
        <f t="shared" ca="1" si="50"/>
        <v>1887</v>
      </c>
      <c r="J174" s="10">
        <f t="shared" ca="1" si="51"/>
        <v>1834</v>
      </c>
      <c r="K174" s="10">
        <f t="shared" si="55"/>
        <v>2000</v>
      </c>
      <c r="L174" s="10">
        <f t="shared" si="56"/>
        <v>2000</v>
      </c>
      <c r="M174" s="10">
        <f t="shared" si="57"/>
        <v>2000</v>
      </c>
      <c r="N174" s="10">
        <f t="shared" ca="1" si="58"/>
        <v>-100</v>
      </c>
      <c r="O174" s="10">
        <f t="shared" ca="1" si="59"/>
        <v>-113</v>
      </c>
      <c r="P174" s="10">
        <f t="shared" ca="1" si="60"/>
        <v>-166</v>
      </c>
      <c r="Q174" s="14">
        <v>0</v>
      </c>
      <c r="R174" s="14">
        <v>0</v>
      </c>
      <c r="S174" s="14">
        <v>0</v>
      </c>
      <c r="T174" s="13">
        <f t="shared" ca="1" si="52"/>
        <v>1664</v>
      </c>
      <c r="U174" s="12">
        <f t="shared" ca="1" si="62"/>
        <v>860</v>
      </c>
      <c r="V174" s="12">
        <f t="shared" ca="1" si="61"/>
        <v>897</v>
      </c>
      <c r="W174" s="12">
        <f t="shared" ca="1" si="63"/>
        <v>874</v>
      </c>
      <c r="X174" s="13"/>
      <c r="Y174" s="10"/>
      <c r="Z174" s="10"/>
      <c r="AA174" s="10"/>
      <c r="AB174" s="9"/>
    </row>
    <row r="175" spans="1:28" ht="13.15" customHeight="1">
      <c r="A175" s="36">
        <v>161</v>
      </c>
      <c r="B175" s="35">
        <f t="shared" si="53"/>
        <v>45233</v>
      </c>
      <c r="C175" s="16">
        <f t="shared" si="54"/>
        <v>1069</v>
      </c>
      <c r="D175" s="15">
        <f t="shared" si="45"/>
        <v>1494</v>
      </c>
      <c r="E175" s="14">
        <f t="shared" ca="1" si="46"/>
        <v>663</v>
      </c>
      <c r="F175" s="14">
        <f t="shared" ca="1" si="47"/>
        <v>676</v>
      </c>
      <c r="G175" s="14">
        <f t="shared" ca="1" si="48"/>
        <v>729</v>
      </c>
      <c r="H175" s="10">
        <f t="shared" ca="1" si="49"/>
        <v>1900</v>
      </c>
      <c r="I175" s="10">
        <f t="shared" ca="1" si="50"/>
        <v>1887</v>
      </c>
      <c r="J175" s="10">
        <f t="shared" ca="1" si="51"/>
        <v>1834</v>
      </c>
      <c r="K175" s="10">
        <f t="shared" si="55"/>
        <v>2000</v>
      </c>
      <c r="L175" s="10">
        <f t="shared" si="56"/>
        <v>2000</v>
      </c>
      <c r="M175" s="10">
        <f t="shared" si="57"/>
        <v>2000</v>
      </c>
      <c r="N175" s="10">
        <f t="shared" ca="1" si="58"/>
        <v>-100</v>
      </c>
      <c r="O175" s="10">
        <f t="shared" ca="1" si="59"/>
        <v>-113</v>
      </c>
      <c r="P175" s="10">
        <f t="shared" ca="1" si="60"/>
        <v>-166</v>
      </c>
      <c r="Q175" s="14">
        <v>0</v>
      </c>
      <c r="R175" s="14">
        <v>0</v>
      </c>
      <c r="S175" s="14">
        <v>0</v>
      </c>
      <c r="T175" s="13">
        <f t="shared" ca="1" si="52"/>
        <v>1666</v>
      </c>
      <c r="U175" s="12">
        <f t="shared" ca="1" si="62"/>
        <v>860</v>
      </c>
      <c r="V175" s="12">
        <f t="shared" ca="1" si="61"/>
        <v>897</v>
      </c>
      <c r="W175" s="12">
        <f t="shared" ca="1" si="63"/>
        <v>874</v>
      </c>
      <c r="X175" s="13"/>
      <c r="Y175" s="10"/>
      <c r="Z175" s="10"/>
      <c r="AA175" s="10"/>
      <c r="AB175" s="9"/>
    </row>
    <row r="176" spans="1:28" ht="13.15" customHeight="1">
      <c r="A176" s="36">
        <v>162</v>
      </c>
      <c r="B176" s="35">
        <f t="shared" si="53"/>
        <v>45234</v>
      </c>
      <c r="C176" s="16">
        <f t="shared" si="54"/>
        <v>1069</v>
      </c>
      <c r="D176" s="15">
        <f t="shared" si="45"/>
        <v>1496</v>
      </c>
      <c r="E176" s="14">
        <f t="shared" ca="1" si="46"/>
        <v>665</v>
      </c>
      <c r="F176" s="14">
        <f t="shared" ca="1" si="47"/>
        <v>678</v>
      </c>
      <c r="G176" s="14">
        <f t="shared" ca="1" si="48"/>
        <v>731</v>
      </c>
      <c r="H176" s="10">
        <f t="shared" ca="1" si="49"/>
        <v>1900</v>
      </c>
      <c r="I176" s="10">
        <f t="shared" ca="1" si="50"/>
        <v>1887</v>
      </c>
      <c r="J176" s="10">
        <f t="shared" ca="1" si="51"/>
        <v>1834</v>
      </c>
      <c r="K176" s="10">
        <f t="shared" si="55"/>
        <v>2000</v>
      </c>
      <c r="L176" s="10">
        <f t="shared" si="56"/>
        <v>2000</v>
      </c>
      <c r="M176" s="10">
        <f t="shared" si="57"/>
        <v>2000</v>
      </c>
      <c r="N176" s="10">
        <f t="shared" ca="1" si="58"/>
        <v>-100</v>
      </c>
      <c r="O176" s="10">
        <f t="shared" ca="1" si="59"/>
        <v>-113</v>
      </c>
      <c r="P176" s="10">
        <f t="shared" ca="1" si="60"/>
        <v>-166</v>
      </c>
      <c r="Q176" s="14">
        <v>0</v>
      </c>
      <c r="R176" s="14">
        <v>0</v>
      </c>
      <c r="S176" s="14">
        <v>0</v>
      </c>
      <c r="T176" s="13">
        <f t="shared" ca="1" si="52"/>
        <v>1668</v>
      </c>
      <c r="U176" s="12">
        <f t="shared" ca="1" si="62"/>
        <v>860</v>
      </c>
      <c r="V176" s="12">
        <f t="shared" ca="1" si="61"/>
        <v>897</v>
      </c>
      <c r="W176" s="12">
        <f t="shared" ca="1" si="63"/>
        <v>874</v>
      </c>
      <c r="X176" s="13"/>
      <c r="Y176" s="10"/>
      <c r="Z176" s="10"/>
      <c r="AA176" s="10"/>
      <c r="AB176" s="9"/>
    </row>
    <row r="177" spans="1:28" ht="13.15" customHeight="1">
      <c r="A177" s="36">
        <v>163</v>
      </c>
      <c r="B177" s="35">
        <f t="shared" si="53"/>
        <v>45235</v>
      </c>
      <c r="C177" s="16">
        <f t="shared" si="54"/>
        <v>1069</v>
      </c>
      <c r="D177" s="15">
        <f t="shared" si="45"/>
        <v>1498</v>
      </c>
      <c r="E177" s="14">
        <f t="shared" ca="1" si="46"/>
        <v>667</v>
      </c>
      <c r="F177" s="14">
        <f t="shared" ca="1" si="47"/>
        <v>680</v>
      </c>
      <c r="G177" s="14">
        <f t="shared" ca="1" si="48"/>
        <v>733</v>
      </c>
      <c r="H177" s="10">
        <f t="shared" ca="1" si="49"/>
        <v>1900</v>
      </c>
      <c r="I177" s="10">
        <f t="shared" ca="1" si="50"/>
        <v>1887</v>
      </c>
      <c r="J177" s="10">
        <f t="shared" ca="1" si="51"/>
        <v>1834</v>
      </c>
      <c r="K177" s="10">
        <f t="shared" si="55"/>
        <v>2000</v>
      </c>
      <c r="L177" s="10">
        <f t="shared" si="56"/>
        <v>2000</v>
      </c>
      <c r="M177" s="10">
        <f t="shared" si="57"/>
        <v>2000</v>
      </c>
      <c r="N177" s="10">
        <f t="shared" ca="1" si="58"/>
        <v>-100</v>
      </c>
      <c r="O177" s="10">
        <f t="shared" ca="1" si="59"/>
        <v>-113</v>
      </c>
      <c r="P177" s="10">
        <f t="shared" ca="1" si="60"/>
        <v>-166</v>
      </c>
      <c r="Q177" s="14">
        <v>0</v>
      </c>
      <c r="R177" s="14">
        <v>0</v>
      </c>
      <c r="S177" s="14">
        <v>0</v>
      </c>
      <c r="T177" s="13">
        <f t="shared" ca="1" si="52"/>
        <v>1670</v>
      </c>
      <c r="U177" s="12">
        <f t="shared" ca="1" si="62"/>
        <v>860</v>
      </c>
      <c r="V177" s="12">
        <f t="shared" ca="1" si="61"/>
        <v>897</v>
      </c>
      <c r="W177" s="12">
        <f t="shared" ca="1" si="63"/>
        <v>874</v>
      </c>
      <c r="X177" s="13"/>
      <c r="Y177" s="10"/>
      <c r="Z177" s="10"/>
      <c r="AA177" s="10"/>
      <c r="AB177" s="9"/>
    </row>
    <row r="178" spans="1:28" ht="13.15" customHeight="1">
      <c r="A178" s="36">
        <v>164</v>
      </c>
      <c r="B178" s="35">
        <f t="shared" si="53"/>
        <v>45236</v>
      </c>
      <c r="C178" s="16">
        <f t="shared" si="54"/>
        <v>1069</v>
      </c>
      <c r="D178" s="15">
        <f t="shared" si="45"/>
        <v>1500</v>
      </c>
      <c r="E178" s="14">
        <f t="shared" ca="1" si="46"/>
        <v>669</v>
      </c>
      <c r="F178" s="14">
        <f t="shared" ca="1" si="47"/>
        <v>682</v>
      </c>
      <c r="G178" s="14">
        <f t="shared" ca="1" si="48"/>
        <v>735</v>
      </c>
      <c r="H178" s="10">
        <f t="shared" ca="1" si="49"/>
        <v>1900</v>
      </c>
      <c r="I178" s="10">
        <f t="shared" ca="1" si="50"/>
        <v>1887</v>
      </c>
      <c r="J178" s="10">
        <f t="shared" ca="1" si="51"/>
        <v>1834</v>
      </c>
      <c r="K178" s="10">
        <f t="shared" si="55"/>
        <v>2000</v>
      </c>
      <c r="L178" s="10">
        <f t="shared" si="56"/>
        <v>2000</v>
      </c>
      <c r="M178" s="10">
        <f t="shared" si="57"/>
        <v>2000</v>
      </c>
      <c r="N178" s="10">
        <f t="shared" ca="1" si="58"/>
        <v>-100</v>
      </c>
      <c r="O178" s="10">
        <f t="shared" ca="1" si="59"/>
        <v>-113</v>
      </c>
      <c r="P178" s="10">
        <f t="shared" ca="1" si="60"/>
        <v>-166</v>
      </c>
      <c r="Q178" s="14">
        <v>0</v>
      </c>
      <c r="R178" s="14">
        <v>0</v>
      </c>
      <c r="S178" s="14">
        <v>0</v>
      </c>
      <c r="T178" s="13">
        <f t="shared" ca="1" si="52"/>
        <v>1672</v>
      </c>
      <c r="U178" s="12">
        <f t="shared" ca="1" si="62"/>
        <v>860</v>
      </c>
      <c r="V178" s="12">
        <f t="shared" ca="1" si="61"/>
        <v>897</v>
      </c>
      <c r="W178" s="12">
        <f t="shared" ca="1" si="63"/>
        <v>874</v>
      </c>
      <c r="X178" s="13"/>
      <c r="Y178" s="10"/>
      <c r="Z178" s="10"/>
      <c r="AA178" s="10"/>
      <c r="AB178" s="9"/>
    </row>
    <row r="179" spans="1:28" ht="13.15" customHeight="1">
      <c r="A179" s="36">
        <v>165</v>
      </c>
      <c r="B179" s="35">
        <f t="shared" si="53"/>
        <v>45237</v>
      </c>
      <c r="C179" s="16">
        <f t="shared" si="54"/>
        <v>1069</v>
      </c>
      <c r="D179" s="15">
        <f t="shared" si="45"/>
        <v>1502</v>
      </c>
      <c r="E179" s="14">
        <f t="shared" ca="1" si="46"/>
        <v>671</v>
      </c>
      <c r="F179" s="14">
        <f t="shared" ca="1" si="47"/>
        <v>684</v>
      </c>
      <c r="G179" s="14">
        <f t="shared" ca="1" si="48"/>
        <v>737</v>
      </c>
      <c r="H179" s="10">
        <f t="shared" ca="1" si="49"/>
        <v>1900</v>
      </c>
      <c r="I179" s="10">
        <f t="shared" ca="1" si="50"/>
        <v>1887</v>
      </c>
      <c r="J179" s="10">
        <f t="shared" ca="1" si="51"/>
        <v>1834</v>
      </c>
      <c r="K179" s="10">
        <f t="shared" si="55"/>
        <v>2000</v>
      </c>
      <c r="L179" s="10">
        <f t="shared" si="56"/>
        <v>2000</v>
      </c>
      <c r="M179" s="10">
        <f t="shared" si="57"/>
        <v>2000</v>
      </c>
      <c r="N179" s="10">
        <f t="shared" ca="1" si="58"/>
        <v>-100</v>
      </c>
      <c r="O179" s="10">
        <f t="shared" ca="1" si="59"/>
        <v>-113</v>
      </c>
      <c r="P179" s="10">
        <f t="shared" ca="1" si="60"/>
        <v>-166</v>
      </c>
      <c r="Q179" s="14">
        <v>0</v>
      </c>
      <c r="R179" s="14">
        <v>0</v>
      </c>
      <c r="S179" s="14">
        <v>0</v>
      </c>
      <c r="T179" s="13">
        <f t="shared" ca="1" si="52"/>
        <v>1674</v>
      </c>
      <c r="U179" s="12">
        <f t="shared" ca="1" si="62"/>
        <v>860</v>
      </c>
      <c r="V179" s="12">
        <f t="shared" ca="1" si="61"/>
        <v>897</v>
      </c>
      <c r="W179" s="12">
        <f t="shared" ca="1" si="63"/>
        <v>874</v>
      </c>
      <c r="X179" s="13"/>
      <c r="Y179" s="10"/>
      <c r="Z179" s="10"/>
      <c r="AA179" s="10"/>
      <c r="AB179" s="9"/>
    </row>
    <row r="180" spans="1:28" ht="13.15" customHeight="1">
      <c r="A180" s="36">
        <v>166</v>
      </c>
      <c r="B180" s="35">
        <f t="shared" si="53"/>
        <v>45238</v>
      </c>
      <c r="C180" s="16">
        <f t="shared" si="54"/>
        <v>1069</v>
      </c>
      <c r="D180" s="15">
        <f t="shared" si="45"/>
        <v>1504</v>
      </c>
      <c r="E180" s="14">
        <f t="shared" ca="1" si="46"/>
        <v>673</v>
      </c>
      <c r="F180" s="14">
        <f t="shared" ca="1" si="47"/>
        <v>686</v>
      </c>
      <c r="G180" s="14">
        <f t="shared" ca="1" si="48"/>
        <v>739</v>
      </c>
      <c r="H180" s="10">
        <f t="shared" ca="1" si="49"/>
        <v>1900</v>
      </c>
      <c r="I180" s="10">
        <f t="shared" ca="1" si="50"/>
        <v>1887</v>
      </c>
      <c r="J180" s="10">
        <f t="shared" ca="1" si="51"/>
        <v>1834</v>
      </c>
      <c r="K180" s="10">
        <f t="shared" si="55"/>
        <v>2000</v>
      </c>
      <c r="L180" s="10">
        <f t="shared" si="56"/>
        <v>2000</v>
      </c>
      <c r="M180" s="10">
        <f t="shared" si="57"/>
        <v>2000</v>
      </c>
      <c r="N180" s="10">
        <f t="shared" ca="1" si="58"/>
        <v>-100</v>
      </c>
      <c r="O180" s="10">
        <f t="shared" ca="1" si="59"/>
        <v>-113</v>
      </c>
      <c r="P180" s="10">
        <f t="shared" ca="1" si="60"/>
        <v>-166</v>
      </c>
      <c r="Q180" s="14">
        <v>0</v>
      </c>
      <c r="R180" s="14">
        <v>0</v>
      </c>
      <c r="S180" s="14">
        <v>0</v>
      </c>
      <c r="T180" s="13">
        <f t="shared" ca="1" si="52"/>
        <v>1676</v>
      </c>
      <c r="U180" s="12">
        <f t="shared" ca="1" si="62"/>
        <v>860</v>
      </c>
      <c r="V180" s="12">
        <f t="shared" ca="1" si="61"/>
        <v>897</v>
      </c>
      <c r="W180" s="12">
        <f t="shared" ca="1" si="63"/>
        <v>874</v>
      </c>
      <c r="X180" s="13"/>
      <c r="Y180" s="10"/>
      <c r="Z180" s="10"/>
      <c r="AA180" s="10"/>
      <c r="AB180" s="9"/>
    </row>
    <row r="181" spans="1:28" ht="13.15" customHeight="1">
      <c r="A181" s="36">
        <v>167</v>
      </c>
      <c r="B181" s="35">
        <f t="shared" si="53"/>
        <v>45239</v>
      </c>
      <c r="C181" s="16">
        <f t="shared" si="54"/>
        <v>1069</v>
      </c>
      <c r="D181" s="15">
        <f t="shared" si="45"/>
        <v>1506</v>
      </c>
      <c r="E181" s="14">
        <f t="shared" ca="1" si="46"/>
        <v>675</v>
      </c>
      <c r="F181" s="14">
        <f t="shared" ca="1" si="47"/>
        <v>688</v>
      </c>
      <c r="G181" s="14">
        <f t="shared" ca="1" si="48"/>
        <v>741</v>
      </c>
      <c r="H181" s="10">
        <f t="shared" ca="1" si="49"/>
        <v>1900</v>
      </c>
      <c r="I181" s="10">
        <f t="shared" ca="1" si="50"/>
        <v>1887</v>
      </c>
      <c r="J181" s="10">
        <f t="shared" ca="1" si="51"/>
        <v>1834</v>
      </c>
      <c r="K181" s="10">
        <f t="shared" si="55"/>
        <v>2000</v>
      </c>
      <c r="L181" s="10">
        <f t="shared" si="56"/>
        <v>2000</v>
      </c>
      <c r="M181" s="10">
        <f t="shared" si="57"/>
        <v>2000</v>
      </c>
      <c r="N181" s="10">
        <f t="shared" ca="1" si="58"/>
        <v>-100</v>
      </c>
      <c r="O181" s="10">
        <f t="shared" ca="1" si="59"/>
        <v>-113</v>
      </c>
      <c r="P181" s="10">
        <f t="shared" ca="1" si="60"/>
        <v>-166</v>
      </c>
      <c r="Q181" s="14">
        <v>0</v>
      </c>
      <c r="R181" s="14">
        <v>0</v>
      </c>
      <c r="S181" s="14">
        <v>0</v>
      </c>
      <c r="T181" s="13">
        <f t="shared" ca="1" si="52"/>
        <v>1678</v>
      </c>
      <c r="U181" s="12">
        <f t="shared" ca="1" si="62"/>
        <v>860</v>
      </c>
      <c r="V181" s="12">
        <f t="shared" ca="1" si="61"/>
        <v>897</v>
      </c>
      <c r="W181" s="12">
        <f t="shared" ca="1" si="63"/>
        <v>874</v>
      </c>
      <c r="X181" s="13"/>
      <c r="Y181" s="10"/>
      <c r="Z181" s="10"/>
      <c r="AA181" s="10"/>
      <c r="AB181" s="9"/>
    </row>
    <row r="182" spans="1:28" ht="13.15" customHeight="1">
      <c r="A182" s="36">
        <v>168</v>
      </c>
      <c r="B182" s="35">
        <f t="shared" si="53"/>
        <v>45240</v>
      </c>
      <c r="C182" s="16">
        <f t="shared" si="54"/>
        <v>1069</v>
      </c>
      <c r="D182" s="15">
        <f t="shared" si="45"/>
        <v>1508</v>
      </c>
      <c r="E182" s="14">
        <f t="shared" ca="1" si="46"/>
        <v>677</v>
      </c>
      <c r="F182" s="14">
        <f t="shared" ca="1" si="47"/>
        <v>690</v>
      </c>
      <c r="G182" s="14">
        <f t="shared" ca="1" si="48"/>
        <v>743</v>
      </c>
      <c r="H182" s="10">
        <f t="shared" ca="1" si="49"/>
        <v>1900</v>
      </c>
      <c r="I182" s="10">
        <f t="shared" ca="1" si="50"/>
        <v>1887</v>
      </c>
      <c r="J182" s="10">
        <f t="shared" ca="1" si="51"/>
        <v>1834</v>
      </c>
      <c r="K182" s="10">
        <f t="shared" si="55"/>
        <v>2000</v>
      </c>
      <c r="L182" s="10">
        <f t="shared" si="56"/>
        <v>2000</v>
      </c>
      <c r="M182" s="10">
        <f t="shared" si="57"/>
        <v>2000</v>
      </c>
      <c r="N182" s="10">
        <f t="shared" ca="1" si="58"/>
        <v>-100</v>
      </c>
      <c r="O182" s="10">
        <f t="shared" ca="1" si="59"/>
        <v>-113</v>
      </c>
      <c r="P182" s="10">
        <f t="shared" ca="1" si="60"/>
        <v>-166</v>
      </c>
      <c r="Q182" s="14">
        <v>0</v>
      </c>
      <c r="R182" s="14">
        <v>0</v>
      </c>
      <c r="S182" s="14">
        <v>0</v>
      </c>
      <c r="T182" s="13">
        <f t="shared" ca="1" si="52"/>
        <v>1680</v>
      </c>
      <c r="U182" s="12">
        <f t="shared" ca="1" si="62"/>
        <v>860</v>
      </c>
      <c r="V182" s="12">
        <f t="shared" ca="1" si="61"/>
        <v>897</v>
      </c>
      <c r="W182" s="12">
        <f t="shared" ca="1" si="63"/>
        <v>874</v>
      </c>
      <c r="X182" s="13"/>
      <c r="Y182" s="10"/>
      <c r="Z182" s="10"/>
      <c r="AA182" s="10"/>
      <c r="AB182" s="9"/>
    </row>
    <row r="183" spans="1:28" ht="13.15" customHeight="1">
      <c r="A183" s="36">
        <v>169</v>
      </c>
      <c r="B183" s="35">
        <f t="shared" si="53"/>
        <v>45241</v>
      </c>
      <c r="C183" s="16">
        <f t="shared" si="54"/>
        <v>1069</v>
      </c>
      <c r="D183" s="15">
        <f t="shared" si="45"/>
        <v>1510</v>
      </c>
      <c r="E183" s="14">
        <f t="shared" ca="1" si="46"/>
        <v>679</v>
      </c>
      <c r="F183" s="14">
        <f t="shared" ca="1" si="47"/>
        <v>692</v>
      </c>
      <c r="G183" s="14">
        <f t="shared" ca="1" si="48"/>
        <v>745</v>
      </c>
      <c r="H183" s="10">
        <f t="shared" ca="1" si="49"/>
        <v>1900</v>
      </c>
      <c r="I183" s="10">
        <f t="shared" ca="1" si="50"/>
        <v>1887</v>
      </c>
      <c r="J183" s="10">
        <f t="shared" ca="1" si="51"/>
        <v>1834</v>
      </c>
      <c r="K183" s="10">
        <f t="shared" si="55"/>
        <v>2000</v>
      </c>
      <c r="L183" s="10">
        <f t="shared" si="56"/>
        <v>2000</v>
      </c>
      <c r="M183" s="10">
        <f t="shared" si="57"/>
        <v>2000</v>
      </c>
      <c r="N183" s="10">
        <f t="shared" ca="1" si="58"/>
        <v>-100</v>
      </c>
      <c r="O183" s="10">
        <f t="shared" ca="1" si="59"/>
        <v>-113</v>
      </c>
      <c r="P183" s="10">
        <f t="shared" ca="1" si="60"/>
        <v>-166</v>
      </c>
      <c r="Q183" s="14">
        <v>0</v>
      </c>
      <c r="R183" s="14">
        <v>0</v>
      </c>
      <c r="S183" s="14">
        <v>0</v>
      </c>
      <c r="T183" s="13">
        <f t="shared" ca="1" si="52"/>
        <v>1682</v>
      </c>
      <c r="U183" s="12">
        <f t="shared" ca="1" si="62"/>
        <v>860</v>
      </c>
      <c r="V183" s="12">
        <f t="shared" ca="1" si="61"/>
        <v>897</v>
      </c>
      <c r="W183" s="12">
        <f t="shared" ca="1" si="63"/>
        <v>874</v>
      </c>
      <c r="X183" s="13"/>
      <c r="Y183" s="10"/>
      <c r="Z183" s="10"/>
      <c r="AA183" s="10"/>
      <c r="AB183" s="9"/>
    </row>
    <row r="184" spans="1:28" ht="13.15" customHeight="1">
      <c r="A184" s="36">
        <v>170</v>
      </c>
      <c r="B184" s="35">
        <f t="shared" si="53"/>
        <v>45242</v>
      </c>
      <c r="C184" s="16">
        <f t="shared" si="54"/>
        <v>1069</v>
      </c>
      <c r="D184" s="15">
        <f t="shared" si="45"/>
        <v>1512</v>
      </c>
      <c r="E184" s="14">
        <f t="shared" ca="1" si="46"/>
        <v>681</v>
      </c>
      <c r="F184" s="14">
        <f t="shared" ca="1" si="47"/>
        <v>694</v>
      </c>
      <c r="G184" s="14">
        <f t="shared" ca="1" si="48"/>
        <v>747</v>
      </c>
      <c r="H184" s="10">
        <f t="shared" ca="1" si="49"/>
        <v>1900</v>
      </c>
      <c r="I184" s="10">
        <f t="shared" ca="1" si="50"/>
        <v>1887</v>
      </c>
      <c r="J184" s="10">
        <f t="shared" ca="1" si="51"/>
        <v>1834</v>
      </c>
      <c r="K184" s="10">
        <f t="shared" si="55"/>
        <v>2000</v>
      </c>
      <c r="L184" s="10">
        <f t="shared" si="56"/>
        <v>2000</v>
      </c>
      <c r="M184" s="10">
        <f t="shared" si="57"/>
        <v>2000</v>
      </c>
      <c r="N184" s="10">
        <f t="shared" ca="1" si="58"/>
        <v>-100</v>
      </c>
      <c r="O184" s="10">
        <f t="shared" ca="1" si="59"/>
        <v>-113</v>
      </c>
      <c r="P184" s="10">
        <f t="shared" ca="1" si="60"/>
        <v>-166</v>
      </c>
      <c r="Q184" s="14">
        <v>0</v>
      </c>
      <c r="R184" s="14">
        <v>0</v>
      </c>
      <c r="S184" s="14">
        <v>0</v>
      </c>
      <c r="T184" s="13">
        <f t="shared" ca="1" si="52"/>
        <v>1684</v>
      </c>
      <c r="U184" s="12">
        <f t="shared" ca="1" si="62"/>
        <v>860</v>
      </c>
      <c r="V184" s="12">
        <f t="shared" ca="1" si="61"/>
        <v>897</v>
      </c>
      <c r="W184" s="12">
        <f t="shared" ca="1" si="63"/>
        <v>874</v>
      </c>
      <c r="X184" s="13"/>
      <c r="Y184" s="10"/>
      <c r="Z184" s="10"/>
      <c r="AA184" s="10"/>
      <c r="AB184" s="9"/>
    </row>
    <row r="185" spans="1:28" ht="13.15" customHeight="1">
      <c r="A185" s="36">
        <v>171</v>
      </c>
      <c r="B185" s="35">
        <f t="shared" si="53"/>
        <v>45243</v>
      </c>
      <c r="C185" s="16">
        <f t="shared" si="54"/>
        <v>1069</v>
      </c>
      <c r="D185" s="15">
        <f t="shared" si="45"/>
        <v>1514</v>
      </c>
      <c r="E185" s="14">
        <f t="shared" ca="1" si="46"/>
        <v>683</v>
      </c>
      <c r="F185" s="14">
        <f t="shared" ca="1" si="47"/>
        <v>696</v>
      </c>
      <c r="G185" s="14">
        <f t="shared" ca="1" si="48"/>
        <v>749</v>
      </c>
      <c r="H185" s="10">
        <f t="shared" ca="1" si="49"/>
        <v>1900</v>
      </c>
      <c r="I185" s="10">
        <f t="shared" ca="1" si="50"/>
        <v>1887</v>
      </c>
      <c r="J185" s="10">
        <f t="shared" ca="1" si="51"/>
        <v>1834</v>
      </c>
      <c r="K185" s="10">
        <f t="shared" si="55"/>
        <v>2000</v>
      </c>
      <c r="L185" s="10">
        <f t="shared" si="56"/>
        <v>2000</v>
      </c>
      <c r="M185" s="10">
        <f t="shared" si="57"/>
        <v>2000</v>
      </c>
      <c r="N185" s="10">
        <f t="shared" ca="1" si="58"/>
        <v>-100</v>
      </c>
      <c r="O185" s="10">
        <f t="shared" ca="1" si="59"/>
        <v>-113</v>
      </c>
      <c r="P185" s="10">
        <f t="shared" ca="1" si="60"/>
        <v>-166</v>
      </c>
      <c r="Q185" s="14">
        <v>0</v>
      </c>
      <c r="R185" s="14">
        <v>0</v>
      </c>
      <c r="S185" s="14">
        <v>0</v>
      </c>
      <c r="T185" s="13">
        <f t="shared" ca="1" si="52"/>
        <v>1686</v>
      </c>
      <c r="U185" s="12">
        <f t="shared" ca="1" si="62"/>
        <v>860</v>
      </c>
      <c r="V185" s="12">
        <f t="shared" ca="1" si="61"/>
        <v>897</v>
      </c>
      <c r="W185" s="12">
        <f t="shared" ca="1" si="63"/>
        <v>874</v>
      </c>
      <c r="X185" s="13"/>
      <c r="Y185" s="10"/>
      <c r="Z185" s="10"/>
      <c r="AA185" s="10"/>
      <c r="AB185" s="9"/>
    </row>
    <row r="186" spans="1:28" ht="13.15" customHeight="1">
      <c r="A186" s="36">
        <v>172</v>
      </c>
      <c r="B186" s="35">
        <f t="shared" si="53"/>
        <v>45244</v>
      </c>
      <c r="C186" s="16">
        <f t="shared" si="54"/>
        <v>1069</v>
      </c>
      <c r="D186" s="15">
        <f t="shared" si="45"/>
        <v>1516</v>
      </c>
      <c r="E186" s="14">
        <f t="shared" ca="1" si="46"/>
        <v>685</v>
      </c>
      <c r="F186" s="14">
        <f t="shared" ca="1" si="47"/>
        <v>698</v>
      </c>
      <c r="G186" s="14">
        <f t="shared" ca="1" si="48"/>
        <v>751</v>
      </c>
      <c r="H186" s="10">
        <f t="shared" ca="1" si="49"/>
        <v>1900</v>
      </c>
      <c r="I186" s="10">
        <f t="shared" ca="1" si="50"/>
        <v>1887</v>
      </c>
      <c r="J186" s="10">
        <f t="shared" ca="1" si="51"/>
        <v>1834</v>
      </c>
      <c r="K186" s="10">
        <f t="shared" si="55"/>
        <v>2000</v>
      </c>
      <c r="L186" s="10">
        <f t="shared" si="56"/>
        <v>2000</v>
      </c>
      <c r="M186" s="10">
        <f t="shared" si="57"/>
        <v>2000</v>
      </c>
      <c r="N186" s="10">
        <f t="shared" ca="1" si="58"/>
        <v>-100</v>
      </c>
      <c r="O186" s="10">
        <f t="shared" ca="1" si="59"/>
        <v>-113</v>
      </c>
      <c r="P186" s="10">
        <f t="shared" ca="1" si="60"/>
        <v>-166</v>
      </c>
      <c r="Q186" s="14">
        <v>0</v>
      </c>
      <c r="R186" s="14">
        <v>0</v>
      </c>
      <c r="S186" s="14">
        <v>0</v>
      </c>
      <c r="T186" s="13">
        <f t="shared" ca="1" si="52"/>
        <v>1688</v>
      </c>
      <c r="U186" s="12">
        <f t="shared" ca="1" si="62"/>
        <v>860</v>
      </c>
      <c r="V186" s="12">
        <f t="shared" ca="1" si="61"/>
        <v>897</v>
      </c>
      <c r="W186" s="12">
        <f t="shared" ca="1" si="63"/>
        <v>874</v>
      </c>
      <c r="X186" s="13"/>
      <c r="Y186" s="10"/>
      <c r="Z186" s="10"/>
      <c r="AA186" s="10"/>
      <c r="AB186" s="9"/>
    </row>
    <row r="187" spans="1:28" ht="13.15" customHeight="1">
      <c r="A187" s="36">
        <v>173</v>
      </c>
      <c r="B187" s="35">
        <f t="shared" si="53"/>
        <v>45245</v>
      </c>
      <c r="C187" s="16">
        <f t="shared" si="54"/>
        <v>1069</v>
      </c>
      <c r="D187" s="15">
        <f t="shared" si="45"/>
        <v>1518</v>
      </c>
      <c r="E187" s="14">
        <f t="shared" ca="1" si="46"/>
        <v>687</v>
      </c>
      <c r="F187" s="14">
        <f t="shared" ca="1" si="47"/>
        <v>700</v>
      </c>
      <c r="G187" s="14">
        <f t="shared" ca="1" si="48"/>
        <v>753</v>
      </c>
      <c r="H187" s="10">
        <f t="shared" ca="1" si="49"/>
        <v>1900</v>
      </c>
      <c r="I187" s="10">
        <f t="shared" ca="1" si="50"/>
        <v>1887</v>
      </c>
      <c r="J187" s="10">
        <f t="shared" ca="1" si="51"/>
        <v>1834</v>
      </c>
      <c r="K187" s="10">
        <f t="shared" si="55"/>
        <v>2000</v>
      </c>
      <c r="L187" s="10">
        <f t="shared" si="56"/>
        <v>2000</v>
      </c>
      <c r="M187" s="10">
        <f t="shared" si="57"/>
        <v>2000</v>
      </c>
      <c r="N187" s="10">
        <f t="shared" ca="1" si="58"/>
        <v>-100</v>
      </c>
      <c r="O187" s="10">
        <f t="shared" ca="1" si="59"/>
        <v>-113</v>
      </c>
      <c r="P187" s="10">
        <f t="shared" ca="1" si="60"/>
        <v>-166</v>
      </c>
      <c r="Q187" s="14">
        <v>0</v>
      </c>
      <c r="R187" s="14">
        <v>0</v>
      </c>
      <c r="S187" s="14">
        <v>0</v>
      </c>
      <c r="T187" s="13">
        <f t="shared" ca="1" si="52"/>
        <v>1690</v>
      </c>
      <c r="U187" s="12">
        <f t="shared" ca="1" si="62"/>
        <v>860</v>
      </c>
      <c r="V187" s="12">
        <f t="shared" ca="1" si="61"/>
        <v>897</v>
      </c>
      <c r="W187" s="12">
        <f t="shared" ca="1" si="63"/>
        <v>874</v>
      </c>
      <c r="X187" s="13"/>
      <c r="Y187" s="10"/>
      <c r="Z187" s="10"/>
      <c r="AA187" s="10"/>
      <c r="AB187" s="9"/>
    </row>
    <row r="188" spans="1:28" ht="13.15" customHeight="1">
      <c r="A188" s="36">
        <v>174</v>
      </c>
      <c r="B188" s="35">
        <f t="shared" si="53"/>
        <v>45246</v>
      </c>
      <c r="C188" s="16">
        <f t="shared" si="54"/>
        <v>1069</v>
      </c>
      <c r="D188" s="15">
        <f t="shared" si="45"/>
        <v>1520</v>
      </c>
      <c r="E188" s="14">
        <f t="shared" ca="1" si="46"/>
        <v>689</v>
      </c>
      <c r="F188" s="14">
        <f t="shared" ca="1" si="47"/>
        <v>702</v>
      </c>
      <c r="G188" s="14">
        <f t="shared" ca="1" si="48"/>
        <v>755</v>
      </c>
      <c r="H188" s="10">
        <f t="shared" ca="1" si="49"/>
        <v>1900</v>
      </c>
      <c r="I188" s="10">
        <f t="shared" ca="1" si="50"/>
        <v>1887</v>
      </c>
      <c r="J188" s="10">
        <f t="shared" ca="1" si="51"/>
        <v>1834</v>
      </c>
      <c r="K188" s="10">
        <f t="shared" si="55"/>
        <v>2000</v>
      </c>
      <c r="L188" s="10">
        <f t="shared" si="56"/>
        <v>2000</v>
      </c>
      <c r="M188" s="10">
        <f t="shared" si="57"/>
        <v>2000</v>
      </c>
      <c r="N188" s="10">
        <f t="shared" ca="1" si="58"/>
        <v>-100</v>
      </c>
      <c r="O188" s="10">
        <f t="shared" ca="1" si="59"/>
        <v>-113</v>
      </c>
      <c r="P188" s="10">
        <f t="shared" ca="1" si="60"/>
        <v>-166</v>
      </c>
      <c r="Q188" s="14">
        <v>0</v>
      </c>
      <c r="R188" s="14">
        <v>0</v>
      </c>
      <c r="S188" s="14">
        <v>0</v>
      </c>
      <c r="T188" s="13">
        <f t="shared" ca="1" si="52"/>
        <v>1692</v>
      </c>
      <c r="U188" s="12">
        <f t="shared" ca="1" si="62"/>
        <v>860</v>
      </c>
      <c r="V188" s="12">
        <f t="shared" ca="1" si="61"/>
        <v>897</v>
      </c>
      <c r="W188" s="12">
        <f t="shared" ca="1" si="63"/>
        <v>874</v>
      </c>
      <c r="X188" s="13"/>
      <c r="Y188" s="10"/>
      <c r="Z188" s="10"/>
      <c r="AA188" s="10"/>
      <c r="AB188" s="9"/>
    </row>
    <row r="189" spans="1:28" ht="13.15" customHeight="1">
      <c r="A189" s="36">
        <v>175</v>
      </c>
      <c r="B189" s="35">
        <f t="shared" si="53"/>
        <v>45247</v>
      </c>
      <c r="C189" s="16">
        <f t="shared" si="54"/>
        <v>1069</v>
      </c>
      <c r="D189" s="15">
        <f t="shared" si="45"/>
        <v>1522</v>
      </c>
      <c r="E189" s="14">
        <f t="shared" ca="1" si="46"/>
        <v>691</v>
      </c>
      <c r="F189" s="14">
        <f t="shared" ca="1" si="47"/>
        <v>704</v>
      </c>
      <c r="G189" s="14">
        <f t="shared" ca="1" si="48"/>
        <v>757</v>
      </c>
      <c r="H189" s="10">
        <f t="shared" ca="1" si="49"/>
        <v>1900</v>
      </c>
      <c r="I189" s="10">
        <f t="shared" ca="1" si="50"/>
        <v>1887</v>
      </c>
      <c r="J189" s="10">
        <f t="shared" ca="1" si="51"/>
        <v>1834</v>
      </c>
      <c r="K189" s="10">
        <f t="shared" si="55"/>
        <v>2000</v>
      </c>
      <c r="L189" s="10">
        <f t="shared" si="56"/>
        <v>2000</v>
      </c>
      <c r="M189" s="10">
        <f t="shared" si="57"/>
        <v>2000</v>
      </c>
      <c r="N189" s="10">
        <f t="shared" ca="1" si="58"/>
        <v>-100</v>
      </c>
      <c r="O189" s="10">
        <f t="shared" ca="1" si="59"/>
        <v>-113</v>
      </c>
      <c r="P189" s="10">
        <f t="shared" ca="1" si="60"/>
        <v>-166</v>
      </c>
      <c r="Q189" s="14">
        <v>0</v>
      </c>
      <c r="R189" s="14">
        <v>0</v>
      </c>
      <c r="S189" s="14">
        <v>0</v>
      </c>
      <c r="T189" s="13">
        <f t="shared" ca="1" si="52"/>
        <v>1694</v>
      </c>
      <c r="U189" s="12">
        <f t="shared" ca="1" si="62"/>
        <v>860</v>
      </c>
      <c r="V189" s="12">
        <f t="shared" ca="1" si="61"/>
        <v>897</v>
      </c>
      <c r="W189" s="12">
        <f t="shared" ca="1" si="63"/>
        <v>874</v>
      </c>
      <c r="X189" s="13"/>
      <c r="Y189" s="10"/>
      <c r="Z189" s="10"/>
      <c r="AA189" s="10"/>
      <c r="AB189" s="9"/>
    </row>
    <row r="190" spans="1:28" ht="13.15" customHeight="1">
      <c r="A190" s="36">
        <v>176</v>
      </c>
      <c r="B190" s="35">
        <f t="shared" si="53"/>
        <v>45248</v>
      </c>
      <c r="C190" s="16">
        <f t="shared" si="54"/>
        <v>1069</v>
      </c>
      <c r="D190" s="15">
        <f t="shared" si="45"/>
        <v>1524</v>
      </c>
      <c r="E190" s="14">
        <f t="shared" ca="1" si="46"/>
        <v>693</v>
      </c>
      <c r="F190" s="14">
        <f t="shared" ca="1" si="47"/>
        <v>706</v>
      </c>
      <c r="G190" s="14">
        <f t="shared" ca="1" si="48"/>
        <v>759</v>
      </c>
      <c r="H190" s="10">
        <f t="shared" ca="1" si="49"/>
        <v>1900</v>
      </c>
      <c r="I190" s="10">
        <f t="shared" ca="1" si="50"/>
        <v>1887</v>
      </c>
      <c r="J190" s="10">
        <f t="shared" ca="1" si="51"/>
        <v>1834</v>
      </c>
      <c r="K190" s="10">
        <f t="shared" si="55"/>
        <v>2000</v>
      </c>
      <c r="L190" s="10">
        <f t="shared" si="56"/>
        <v>2000</v>
      </c>
      <c r="M190" s="10">
        <f t="shared" si="57"/>
        <v>2000</v>
      </c>
      <c r="N190" s="10">
        <f t="shared" ca="1" si="58"/>
        <v>-100</v>
      </c>
      <c r="O190" s="10">
        <f t="shared" ca="1" si="59"/>
        <v>-113</v>
      </c>
      <c r="P190" s="10">
        <f t="shared" ca="1" si="60"/>
        <v>-166</v>
      </c>
      <c r="Q190" s="14">
        <v>0</v>
      </c>
      <c r="R190" s="14">
        <v>0</v>
      </c>
      <c r="S190" s="14">
        <v>0</v>
      </c>
      <c r="T190" s="13">
        <f t="shared" ca="1" si="52"/>
        <v>1696</v>
      </c>
      <c r="U190" s="12">
        <f t="shared" ca="1" si="62"/>
        <v>860</v>
      </c>
      <c r="V190" s="12">
        <f t="shared" ca="1" si="61"/>
        <v>897</v>
      </c>
      <c r="W190" s="12">
        <f t="shared" ca="1" si="63"/>
        <v>874</v>
      </c>
      <c r="X190" s="13"/>
      <c r="Y190" s="10"/>
      <c r="Z190" s="10"/>
      <c r="AA190" s="10"/>
      <c r="AB190" s="9"/>
    </row>
    <row r="191" spans="1:28" ht="13.15" customHeight="1">
      <c r="A191" s="36">
        <v>177</v>
      </c>
      <c r="B191" s="35">
        <f t="shared" si="53"/>
        <v>45249</v>
      </c>
      <c r="C191" s="16">
        <f t="shared" si="54"/>
        <v>1069</v>
      </c>
      <c r="D191" s="15">
        <f t="shared" ref="D191:D254" si="64">D190+2</f>
        <v>1526</v>
      </c>
      <c r="E191" s="14">
        <f t="shared" ca="1" si="46"/>
        <v>695</v>
      </c>
      <c r="F191" s="14">
        <f t="shared" ca="1" si="47"/>
        <v>708</v>
      </c>
      <c r="G191" s="14">
        <f t="shared" ca="1" si="48"/>
        <v>761</v>
      </c>
      <c r="H191" s="10">
        <f t="shared" ca="1" si="49"/>
        <v>1900</v>
      </c>
      <c r="I191" s="10">
        <f t="shared" ca="1" si="50"/>
        <v>1887</v>
      </c>
      <c r="J191" s="10">
        <f t="shared" ca="1" si="51"/>
        <v>1834</v>
      </c>
      <c r="K191" s="10">
        <f t="shared" si="55"/>
        <v>2000</v>
      </c>
      <c r="L191" s="10">
        <f t="shared" si="56"/>
        <v>2000</v>
      </c>
      <c r="M191" s="10">
        <f t="shared" si="57"/>
        <v>2000</v>
      </c>
      <c r="N191" s="10">
        <f t="shared" ca="1" si="58"/>
        <v>-100</v>
      </c>
      <c r="O191" s="10">
        <f t="shared" ca="1" si="59"/>
        <v>-113</v>
      </c>
      <c r="P191" s="10">
        <f t="shared" ca="1" si="60"/>
        <v>-166</v>
      </c>
      <c r="Q191" s="14">
        <v>0</v>
      </c>
      <c r="R191" s="14">
        <v>0</v>
      </c>
      <c r="S191" s="14">
        <v>0</v>
      </c>
      <c r="T191" s="13">
        <f t="shared" ca="1" si="52"/>
        <v>1698</v>
      </c>
      <c r="U191" s="12">
        <f t="shared" ca="1" si="62"/>
        <v>860</v>
      </c>
      <c r="V191" s="12">
        <f t="shared" ca="1" si="61"/>
        <v>897</v>
      </c>
      <c r="W191" s="12">
        <f t="shared" ca="1" si="63"/>
        <v>874</v>
      </c>
      <c r="X191" s="13"/>
      <c r="Y191" s="10"/>
      <c r="Z191" s="10"/>
      <c r="AA191" s="10"/>
      <c r="AB191" s="9"/>
    </row>
    <row r="192" spans="1:28" ht="13.15" customHeight="1">
      <c r="A192" s="36">
        <v>178</v>
      </c>
      <c r="B192" s="35">
        <f t="shared" si="53"/>
        <v>45250</v>
      </c>
      <c r="C192" s="16">
        <f t="shared" si="54"/>
        <v>1069</v>
      </c>
      <c r="D192" s="15">
        <f t="shared" si="64"/>
        <v>1528</v>
      </c>
      <c r="E192" s="14">
        <f t="shared" ca="1" si="46"/>
        <v>697</v>
      </c>
      <c r="F192" s="14">
        <f t="shared" ca="1" si="47"/>
        <v>710</v>
      </c>
      <c r="G192" s="14">
        <f t="shared" ca="1" si="48"/>
        <v>763</v>
      </c>
      <c r="H192" s="10">
        <f t="shared" ca="1" si="49"/>
        <v>1900</v>
      </c>
      <c r="I192" s="10">
        <f t="shared" ca="1" si="50"/>
        <v>1887</v>
      </c>
      <c r="J192" s="10">
        <f t="shared" ca="1" si="51"/>
        <v>1834</v>
      </c>
      <c r="K192" s="10">
        <f t="shared" si="55"/>
        <v>2000</v>
      </c>
      <c r="L192" s="10">
        <f t="shared" si="56"/>
        <v>2000</v>
      </c>
      <c r="M192" s="10">
        <f t="shared" si="57"/>
        <v>2000</v>
      </c>
      <c r="N192" s="10">
        <f t="shared" ca="1" si="58"/>
        <v>-100</v>
      </c>
      <c r="O192" s="10">
        <f t="shared" ca="1" si="59"/>
        <v>-113</v>
      </c>
      <c r="P192" s="10">
        <f t="shared" ca="1" si="60"/>
        <v>-166</v>
      </c>
      <c r="Q192" s="14">
        <v>0</v>
      </c>
      <c r="R192" s="14">
        <v>0</v>
      </c>
      <c r="S192" s="14">
        <v>0</v>
      </c>
      <c r="T192" s="13">
        <f t="shared" ca="1" si="52"/>
        <v>1700</v>
      </c>
      <c r="U192" s="12">
        <f t="shared" ca="1" si="62"/>
        <v>860</v>
      </c>
      <c r="V192" s="12">
        <f t="shared" ca="1" si="61"/>
        <v>897</v>
      </c>
      <c r="W192" s="12">
        <f t="shared" ca="1" si="63"/>
        <v>874</v>
      </c>
      <c r="X192" s="13"/>
      <c r="Y192" s="10"/>
      <c r="Z192" s="10"/>
      <c r="AA192" s="10"/>
      <c r="AB192" s="9"/>
    </row>
    <row r="193" spans="1:28" ht="13.15" customHeight="1">
      <c r="A193" s="36">
        <v>179</v>
      </c>
      <c r="B193" s="35">
        <f t="shared" si="53"/>
        <v>45251</v>
      </c>
      <c r="C193" s="16">
        <f t="shared" si="54"/>
        <v>1069</v>
      </c>
      <c r="D193" s="15">
        <f t="shared" si="64"/>
        <v>1530</v>
      </c>
      <c r="E193" s="14">
        <f t="shared" ca="1" si="46"/>
        <v>699</v>
      </c>
      <c r="F193" s="14">
        <f t="shared" ca="1" si="47"/>
        <v>712</v>
      </c>
      <c r="G193" s="14">
        <f t="shared" ca="1" si="48"/>
        <v>765</v>
      </c>
      <c r="H193" s="10">
        <f t="shared" ca="1" si="49"/>
        <v>1900</v>
      </c>
      <c r="I193" s="10">
        <f t="shared" ca="1" si="50"/>
        <v>1887</v>
      </c>
      <c r="J193" s="10">
        <f t="shared" ca="1" si="51"/>
        <v>1834</v>
      </c>
      <c r="K193" s="10">
        <f t="shared" si="55"/>
        <v>2000</v>
      </c>
      <c r="L193" s="10">
        <f t="shared" si="56"/>
        <v>2000</v>
      </c>
      <c r="M193" s="10">
        <f t="shared" si="57"/>
        <v>2000</v>
      </c>
      <c r="N193" s="10">
        <f t="shared" ca="1" si="58"/>
        <v>-100</v>
      </c>
      <c r="O193" s="10">
        <f t="shared" ca="1" si="59"/>
        <v>-113</v>
      </c>
      <c r="P193" s="10">
        <f t="shared" ca="1" si="60"/>
        <v>-166</v>
      </c>
      <c r="Q193" s="14">
        <v>0</v>
      </c>
      <c r="R193" s="14">
        <v>0</v>
      </c>
      <c r="S193" s="14">
        <v>0</v>
      </c>
      <c r="T193" s="13">
        <f t="shared" ca="1" si="52"/>
        <v>1702</v>
      </c>
      <c r="U193" s="12">
        <f t="shared" ca="1" si="62"/>
        <v>860</v>
      </c>
      <c r="V193" s="12">
        <f t="shared" ca="1" si="61"/>
        <v>897</v>
      </c>
      <c r="W193" s="12">
        <f t="shared" ca="1" si="63"/>
        <v>874</v>
      </c>
      <c r="X193" s="13"/>
      <c r="Y193" s="10"/>
      <c r="Z193" s="10"/>
      <c r="AA193" s="10"/>
      <c r="AB193" s="9"/>
    </row>
    <row r="194" spans="1:28" ht="13.15" customHeight="1">
      <c r="A194" s="36">
        <v>180</v>
      </c>
      <c r="B194" s="35">
        <f t="shared" si="53"/>
        <v>45252</v>
      </c>
      <c r="C194" s="16">
        <f t="shared" si="54"/>
        <v>1069</v>
      </c>
      <c r="D194" s="15">
        <f t="shared" si="64"/>
        <v>1532</v>
      </c>
      <c r="E194" s="14">
        <f t="shared" ca="1" si="46"/>
        <v>701</v>
      </c>
      <c r="F194" s="14">
        <f t="shared" ca="1" si="47"/>
        <v>714</v>
      </c>
      <c r="G194" s="14">
        <f t="shared" ca="1" si="48"/>
        <v>767</v>
      </c>
      <c r="H194" s="10">
        <f t="shared" ca="1" si="49"/>
        <v>1900</v>
      </c>
      <c r="I194" s="10">
        <f t="shared" ca="1" si="50"/>
        <v>1887</v>
      </c>
      <c r="J194" s="10">
        <f t="shared" ca="1" si="51"/>
        <v>1834</v>
      </c>
      <c r="K194" s="10">
        <f t="shared" si="55"/>
        <v>2000</v>
      </c>
      <c r="L194" s="10">
        <f t="shared" si="56"/>
        <v>2000</v>
      </c>
      <c r="M194" s="10">
        <f t="shared" si="57"/>
        <v>2000</v>
      </c>
      <c r="N194" s="10">
        <f t="shared" ca="1" si="58"/>
        <v>-100</v>
      </c>
      <c r="O194" s="10">
        <f t="shared" ca="1" si="59"/>
        <v>-113</v>
      </c>
      <c r="P194" s="10">
        <f t="shared" ca="1" si="60"/>
        <v>-166</v>
      </c>
      <c r="Q194" s="14">
        <v>0</v>
      </c>
      <c r="R194" s="14">
        <v>0</v>
      </c>
      <c r="S194" s="14">
        <v>0</v>
      </c>
      <c r="T194" s="13">
        <f t="shared" ca="1" si="52"/>
        <v>1704</v>
      </c>
      <c r="U194" s="12">
        <f t="shared" ca="1" si="62"/>
        <v>860</v>
      </c>
      <c r="V194" s="12">
        <f t="shared" ca="1" si="61"/>
        <v>897</v>
      </c>
      <c r="W194" s="12">
        <f t="shared" ca="1" si="63"/>
        <v>874</v>
      </c>
      <c r="X194" s="13"/>
      <c r="Y194" s="10"/>
      <c r="Z194" s="10"/>
      <c r="AA194" s="10"/>
      <c r="AB194" s="9"/>
    </row>
    <row r="195" spans="1:28" ht="13.15" customHeight="1">
      <c r="A195" s="36">
        <v>181</v>
      </c>
      <c r="B195" s="35">
        <f t="shared" si="53"/>
        <v>45253</v>
      </c>
      <c r="C195" s="16">
        <f t="shared" si="54"/>
        <v>1069</v>
      </c>
      <c r="D195" s="15">
        <f t="shared" si="64"/>
        <v>1534</v>
      </c>
      <c r="E195" s="14">
        <f t="shared" ca="1" si="46"/>
        <v>703</v>
      </c>
      <c r="F195" s="14">
        <f t="shared" ca="1" si="47"/>
        <v>716</v>
      </c>
      <c r="G195" s="14">
        <f t="shared" ca="1" si="48"/>
        <v>769</v>
      </c>
      <c r="H195" s="10">
        <f t="shared" ca="1" si="49"/>
        <v>1900</v>
      </c>
      <c r="I195" s="10">
        <f t="shared" ca="1" si="50"/>
        <v>1887</v>
      </c>
      <c r="J195" s="10">
        <f t="shared" ca="1" si="51"/>
        <v>1834</v>
      </c>
      <c r="K195" s="10">
        <f t="shared" si="55"/>
        <v>2000</v>
      </c>
      <c r="L195" s="10">
        <f t="shared" si="56"/>
        <v>2000</v>
      </c>
      <c r="M195" s="10">
        <f t="shared" si="57"/>
        <v>2000</v>
      </c>
      <c r="N195" s="10">
        <f t="shared" ca="1" si="58"/>
        <v>-100</v>
      </c>
      <c r="O195" s="10">
        <f t="shared" ca="1" si="59"/>
        <v>-113</v>
      </c>
      <c r="P195" s="10">
        <f t="shared" ca="1" si="60"/>
        <v>-166</v>
      </c>
      <c r="Q195" s="14">
        <v>0</v>
      </c>
      <c r="R195" s="14">
        <v>0</v>
      </c>
      <c r="S195" s="14">
        <v>0</v>
      </c>
      <c r="T195" s="13">
        <f t="shared" ca="1" si="52"/>
        <v>1706</v>
      </c>
      <c r="U195" s="12">
        <f t="shared" ca="1" si="62"/>
        <v>860</v>
      </c>
      <c r="V195" s="12">
        <f t="shared" ca="1" si="61"/>
        <v>897</v>
      </c>
      <c r="W195" s="12">
        <f t="shared" ca="1" si="63"/>
        <v>874</v>
      </c>
      <c r="X195" s="13"/>
      <c r="Y195" s="10"/>
      <c r="Z195" s="10"/>
      <c r="AA195" s="10"/>
      <c r="AB195" s="9"/>
    </row>
    <row r="196" spans="1:28" ht="13.15" customHeight="1">
      <c r="A196" s="36">
        <v>182</v>
      </c>
      <c r="B196" s="35">
        <f t="shared" si="53"/>
        <v>45254</v>
      </c>
      <c r="C196" s="16">
        <f t="shared" si="54"/>
        <v>1069</v>
      </c>
      <c r="D196" s="15">
        <f t="shared" si="64"/>
        <v>1536</v>
      </c>
      <c r="E196" s="14">
        <f t="shared" ca="1" si="46"/>
        <v>705</v>
      </c>
      <c r="F196" s="14">
        <f t="shared" ca="1" si="47"/>
        <v>718</v>
      </c>
      <c r="G196" s="14">
        <f t="shared" ca="1" si="48"/>
        <v>771</v>
      </c>
      <c r="H196" s="10">
        <f t="shared" ca="1" si="49"/>
        <v>1900</v>
      </c>
      <c r="I196" s="10">
        <f t="shared" ca="1" si="50"/>
        <v>1887</v>
      </c>
      <c r="J196" s="10">
        <f t="shared" ca="1" si="51"/>
        <v>1834</v>
      </c>
      <c r="K196" s="10">
        <f t="shared" si="55"/>
        <v>2000</v>
      </c>
      <c r="L196" s="10">
        <f t="shared" si="56"/>
        <v>2000</v>
      </c>
      <c r="M196" s="10">
        <f t="shared" si="57"/>
        <v>2000</v>
      </c>
      <c r="N196" s="10">
        <f t="shared" ca="1" si="58"/>
        <v>-100</v>
      </c>
      <c r="O196" s="10">
        <f t="shared" ca="1" si="59"/>
        <v>-113</v>
      </c>
      <c r="P196" s="10">
        <f t="shared" ca="1" si="60"/>
        <v>-166</v>
      </c>
      <c r="Q196" s="14">
        <v>0</v>
      </c>
      <c r="R196" s="14">
        <v>0</v>
      </c>
      <c r="S196" s="14">
        <v>0</v>
      </c>
      <c r="T196" s="13">
        <f t="shared" ca="1" si="52"/>
        <v>1708</v>
      </c>
      <c r="U196" s="12">
        <f t="shared" ca="1" si="62"/>
        <v>860</v>
      </c>
      <c r="V196" s="12">
        <f t="shared" ca="1" si="61"/>
        <v>897</v>
      </c>
      <c r="W196" s="12">
        <f t="shared" ca="1" si="63"/>
        <v>874</v>
      </c>
      <c r="X196" s="13"/>
      <c r="Y196" s="10"/>
      <c r="Z196" s="10"/>
      <c r="AA196" s="10"/>
      <c r="AB196" s="9"/>
    </row>
    <row r="197" spans="1:28" ht="13.15" customHeight="1">
      <c r="A197" s="36">
        <v>183</v>
      </c>
      <c r="B197" s="35">
        <f t="shared" si="53"/>
        <v>45255</v>
      </c>
      <c r="C197" s="16">
        <f t="shared" si="54"/>
        <v>1069</v>
      </c>
      <c r="D197" s="15">
        <f t="shared" si="64"/>
        <v>1538</v>
      </c>
      <c r="E197" s="14">
        <f t="shared" ca="1" si="46"/>
        <v>707</v>
      </c>
      <c r="F197" s="14">
        <f t="shared" ca="1" si="47"/>
        <v>720</v>
      </c>
      <c r="G197" s="14">
        <f t="shared" ca="1" si="48"/>
        <v>773</v>
      </c>
      <c r="H197" s="10">
        <f t="shared" ca="1" si="49"/>
        <v>1900</v>
      </c>
      <c r="I197" s="10">
        <f t="shared" ca="1" si="50"/>
        <v>1887</v>
      </c>
      <c r="J197" s="10">
        <f t="shared" ca="1" si="51"/>
        <v>1834</v>
      </c>
      <c r="K197" s="10">
        <f t="shared" si="55"/>
        <v>2000</v>
      </c>
      <c r="L197" s="10">
        <f t="shared" si="56"/>
        <v>2000</v>
      </c>
      <c r="M197" s="10">
        <f t="shared" si="57"/>
        <v>2000</v>
      </c>
      <c r="N197" s="10">
        <f t="shared" ca="1" si="58"/>
        <v>-100</v>
      </c>
      <c r="O197" s="10">
        <f t="shared" ca="1" si="59"/>
        <v>-113</v>
      </c>
      <c r="P197" s="10">
        <f t="shared" ca="1" si="60"/>
        <v>-166</v>
      </c>
      <c r="Q197" s="14">
        <v>0</v>
      </c>
      <c r="R197" s="14">
        <v>0</v>
      </c>
      <c r="S197" s="14">
        <v>0</v>
      </c>
      <c r="T197" s="13">
        <f t="shared" ca="1" si="52"/>
        <v>1710</v>
      </c>
      <c r="U197" s="12">
        <f t="shared" ca="1" si="62"/>
        <v>860</v>
      </c>
      <c r="V197" s="12">
        <f t="shared" ca="1" si="61"/>
        <v>897</v>
      </c>
      <c r="W197" s="12">
        <f t="shared" ca="1" si="63"/>
        <v>874</v>
      </c>
      <c r="X197" s="13"/>
      <c r="Y197" s="10"/>
      <c r="Z197" s="10"/>
      <c r="AA197" s="10"/>
      <c r="AB197" s="9"/>
    </row>
    <row r="198" spans="1:28" ht="13.15" customHeight="1">
      <c r="A198" s="36">
        <v>184</v>
      </c>
      <c r="B198" s="35">
        <f t="shared" si="53"/>
        <v>45256</v>
      </c>
      <c r="C198" s="16">
        <f t="shared" si="54"/>
        <v>1069</v>
      </c>
      <c r="D198" s="15">
        <f t="shared" si="64"/>
        <v>1540</v>
      </c>
      <c r="E198" s="14">
        <f t="shared" ca="1" si="46"/>
        <v>709</v>
      </c>
      <c r="F198" s="14">
        <f t="shared" ca="1" si="47"/>
        <v>722</v>
      </c>
      <c r="G198" s="14">
        <f t="shared" ca="1" si="48"/>
        <v>775</v>
      </c>
      <c r="H198" s="10">
        <f t="shared" ca="1" si="49"/>
        <v>1900</v>
      </c>
      <c r="I198" s="10">
        <f t="shared" ca="1" si="50"/>
        <v>1887</v>
      </c>
      <c r="J198" s="10">
        <f t="shared" ca="1" si="51"/>
        <v>1834</v>
      </c>
      <c r="K198" s="10">
        <f t="shared" si="55"/>
        <v>2000</v>
      </c>
      <c r="L198" s="10">
        <f t="shared" si="56"/>
        <v>2000</v>
      </c>
      <c r="M198" s="10">
        <f t="shared" si="57"/>
        <v>2000</v>
      </c>
      <c r="N198" s="10">
        <f t="shared" ca="1" si="58"/>
        <v>-100</v>
      </c>
      <c r="O198" s="10">
        <f t="shared" ca="1" si="59"/>
        <v>-113</v>
      </c>
      <c r="P198" s="10">
        <f t="shared" ca="1" si="60"/>
        <v>-166</v>
      </c>
      <c r="Q198" s="14">
        <v>0</v>
      </c>
      <c r="R198" s="14">
        <v>0</v>
      </c>
      <c r="S198" s="14">
        <v>0</v>
      </c>
      <c r="T198" s="13">
        <f t="shared" ca="1" si="52"/>
        <v>1712</v>
      </c>
      <c r="U198" s="12">
        <f t="shared" ca="1" si="62"/>
        <v>860</v>
      </c>
      <c r="V198" s="12">
        <f t="shared" ca="1" si="61"/>
        <v>897</v>
      </c>
      <c r="W198" s="12">
        <f t="shared" ca="1" si="63"/>
        <v>874</v>
      </c>
      <c r="X198" s="13"/>
      <c r="Y198" s="10"/>
      <c r="Z198" s="10"/>
      <c r="AA198" s="10"/>
      <c r="AB198" s="9"/>
    </row>
    <row r="199" spans="1:28" ht="13.15" customHeight="1">
      <c r="A199" s="36">
        <v>185</v>
      </c>
      <c r="B199" s="35">
        <f t="shared" si="53"/>
        <v>45257</v>
      </c>
      <c r="C199" s="16">
        <f t="shared" si="54"/>
        <v>1069</v>
      </c>
      <c r="D199" s="15">
        <f t="shared" si="64"/>
        <v>1542</v>
      </c>
      <c r="E199" s="14">
        <f t="shared" ca="1" si="46"/>
        <v>711</v>
      </c>
      <c r="F199" s="14">
        <f t="shared" ca="1" si="47"/>
        <v>724</v>
      </c>
      <c r="G199" s="14">
        <f t="shared" ca="1" si="48"/>
        <v>777</v>
      </c>
      <c r="H199" s="10">
        <f t="shared" ca="1" si="49"/>
        <v>1900</v>
      </c>
      <c r="I199" s="10">
        <f t="shared" ca="1" si="50"/>
        <v>1887</v>
      </c>
      <c r="J199" s="10">
        <f t="shared" ca="1" si="51"/>
        <v>1834</v>
      </c>
      <c r="K199" s="10">
        <f t="shared" si="55"/>
        <v>2000</v>
      </c>
      <c r="L199" s="10">
        <f t="shared" si="56"/>
        <v>2000</v>
      </c>
      <c r="M199" s="10">
        <f t="shared" si="57"/>
        <v>2000</v>
      </c>
      <c r="N199" s="10">
        <f t="shared" ca="1" si="58"/>
        <v>-100</v>
      </c>
      <c r="O199" s="10">
        <f t="shared" ca="1" si="59"/>
        <v>-113</v>
      </c>
      <c r="P199" s="10">
        <f t="shared" ca="1" si="60"/>
        <v>-166</v>
      </c>
      <c r="Q199" s="14">
        <v>0</v>
      </c>
      <c r="R199" s="14">
        <v>0</v>
      </c>
      <c r="S199" s="14">
        <v>0</v>
      </c>
      <c r="T199" s="13">
        <f t="shared" ca="1" si="52"/>
        <v>1714</v>
      </c>
      <c r="U199" s="12">
        <f t="shared" ca="1" si="62"/>
        <v>860</v>
      </c>
      <c r="V199" s="12">
        <f t="shared" ca="1" si="61"/>
        <v>897</v>
      </c>
      <c r="W199" s="12">
        <f t="shared" ca="1" si="63"/>
        <v>874</v>
      </c>
      <c r="X199" s="13"/>
      <c r="Y199" s="10"/>
      <c r="Z199" s="10"/>
      <c r="AA199" s="10"/>
      <c r="AB199" s="9"/>
    </row>
    <row r="200" spans="1:28" ht="13.15" customHeight="1">
      <c r="A200" s="36">
        <v>186</v>
      </c>
      <c r="B200" s="35">
        <f t="shared" si="53"/>
        <v>45258</v>
      </c>
      <c r="C200" s="16">
        <f t="shared" si="54"/>
        <v>1069</v>
      </c>
      <c r="D200" s="15">
        <f t="shared" si="64"/>
        <v>1544</v>
      </c>
      <c r="E200" s="14">
        <f t="shared" ca="1" si="46"/>
        <v>713</v>
      </c>
      <c r="F200" s="14">
        <f t="shared" ca="1" si="47"/>
        <v>726</v>
      </c>
      <c r="G200" s="14">
        <f t="shared" ca="1" si="48"/>
        <v>779</v>
      </c>
      <c r="H200" s="10">
        <f t="shared" ca="1" si="49"/>
        <v>1900</v>
      </c>
      <c r="I200" s="10">
        <f t="shared" ca="1" si="50"/>
        <v>1887</v>
      </c>
      <c r="J200" s="10">
        <f t="shared" ca="1" si="51"/>
        <v>1834</v>
      </c>
      <c r="K200" s="10">
        <f t="shared" si="55"/>
        <v>2000</v>
      </c>
      <c r="L200" s="10">
        <f t="shared" si="56"/>
        <v>2000</v>
      </c>
      <c r="M200" s="10">
        <f t="shared" si="57"/>
        <v>2000</v>
      </c>
      <c r="N200" s="10">
        <f t="shared" ca="1" si="58"/>
        <v>-100</v>
      </c>
      <c r="O200" s="10">
        <f t="shared" ca="1" si="59"/>
        <v>-113</v>
      </c>
      <c r="P200" s="10">
        <f t="shared" ca="1" si="60"/>
        <v>-166</v>
      </c>
      <c r="Q200" s="14">
        <v>0</v>
      </c>
      <c r="R200" s="14">
        <v>0</v>
      </c>
      <c r="S200" s="14">
        <v>0</v>
      </c>
      <c r="T200" s="13">
        <f t="shared" ca="1" si="52"/>
        <v>1716</v>
      </c>
      <c r="U200" s="12">
        <f t="shared" ca="1" si="62"/>
        <v>860</v>
      </c>
      <c r="V200" s="12">
        <f t="shared" ca="1" si="61"/>
        <v>897</v>
      </c>
      <c r="W200" s="12">
        <f t="shared" ca="1" si="63"/>
        <v>874</v>
      </c>
      <c r="X200" s="13"/>
      <c r="Y200" s="10"/>
      <c r="Z200" s="10"/>
      <c r="AA200" s="10"/>
      <c r="AB200" s="9"/>
    </row>
    <row r="201" spans="1:28" ht="13.15" customHeight="1">
      <c r="A201" s="36">
        <v>187</v>
      </c>
      <c r="B201" s="35">
        <f t="shared" si="53"/>
        <v>45259</v>
      </c>
      <c r="C201" s="16">
        <f t="shared" si="54"/>
        <v>1069</v>
      </c>
      <c r="D201" s="15">
        <f t="shared" si="64"/>
        <v>1546</v>
      </c>
      <c r="E201" s="14">
        <f t="shared" ca="1" si="46"/>
        <v>715</v>
      </c>
      <c r="F201" s="14">
        <f t="shared" ca="1" si="47"/>
        <v>728</v>
      </c>
      <c r="G201" s="14">
        <f t="shared" ca="1" si="48"/>
        <v>781</v>
      </c>
      <c r="H201" s="10">
        <f t="shared" ca="1" si="49"/>
        <v>1900</v>
      </c>
      <c r="I201" s="10">
        <f t="shared" ca="1" si="50"/>
        <v>1887</v>
      </c>
      <c r="J201" s="10">
        <f t="shared" ca="1" si="51"/>
        <v>1834</v>
      </c>
      <c r="K201" s="10">
        <f t="shared" si="55"/>
        <v>2000</v>
      </c>
      <c r="L201" s="10">
        <f t="shared" si="56"/>
        <v>2000</v>
      </c>
      <c r="M201" s="10">
        <f t="shared" si="57"/>
        <v>2000</v>
      </c>
      <c r="N201" s="10">
        <f t="shared" ca="1" si="58"/>
        <v>-100</v>
      </c>
      <c r="O201" s="10">
        <f t="shared" ca="1" si="59"/>
        <v>-113</v>
      </c>
      <c r="P201" s="10">
        <f t="shared" ca="1" si="60"/>
        <v>-166</v>
      </c>
      <c r="Q201" s="14">
        <v>0</v>
      </c>
      <c r="R201" s="14">
        <v>0</v>
      </c>
      <c r="S201" s="14">
        <v>0</v>
      </c>
      <c r="T201" s="13">
        <f t="shared" ca="1" si="52"/>
        <v>1718</v>
      </c>
      <c r="U201" s="12">
        <f t="shared" ca="1" si="62"/>
        <v>860</v>
      </c>
      <c r="V201" s="12">
        <f t="shared" ca="1" si="61"/>
        <v>897</v>
      </c>
      <c r="W201" s="12">
        <f t="shared" ca="1" si="63"/>
        <v>874</v>
      </c>
      <c r="X201" s="13"/>
      <c r="Y201" s="10"/>
      <c r="Z201" s="10"/>
      <c r="AA201" s="10"/>
      <c r="AB201" s="9"/>
    </row>
    <row r="202" spans="1:28" ht="13.15" customHeight="1">
      <c r="A202" s="36">
        <v>188</v>
      </c>
      <c r="B202" s="35">
        <f t="shared" si="53"/>
        <v>45260</v>
      </c>
      <c r="C202" s="16">
        <f t="shared" si="54"/>
        <v>1069</v>
      </c>
      <c r="D202" s="15">
        <f t="shared" si="64"/>
        <v>1548</v>
      </c>
      <c r="E202" s="14">
        <f t="shared" ca="1" si="46"/>
        <v>717</v>
      </c>
      <c r="F202" s="14">
        <f t="shared" ca="1" si="47"/>
        <v>730</v>
      </c>
      <c r="G202" s="14">
        <f t="shared" ca="1" si="48"/>
        <v>783</v>
      </c>
      <c r="H202" s="10">
        <f t="shared" ca="1" si="49"/>
        <v>1900</v>
      </c>
      <c r="I202" s="10">
        <f t="shared" ca="1" si="50"/>
        <v>1887</v>
      </c>
      <c r="J202" s="10">
        <f t="shared" ca="1" si="51"/>
        <v>1834</v>
      </c>
      <c r="K202" s="10">
        <f t="shared" si="55"/>
        <v>2000</v>
      </c>
      <c r="L202" s="10">
        <f t="shared" si="56"/>
        <v>2000</v>
      </c>
      <c r="M202" s="10">
        <f t="shared" si="57"/>
        <v>2000</v>
      </c>
      <c r="N202" s="10">
        <f t="shared" ca="1" si="58"/>
        <v>-100</v>
      </c>
      <c r="O202" s="10">
        <f t="shared" ca="1" si="59"/>
        <v>-113</v>
      </c>
      <c r="P202" s="10">
        <f t="shared" ca="1" si="60"/>
        <v>-166</v>
      </c>
      <c r="Q202" s="14">
        <v>0</v>
      </c>
      <c r="R202" s="14">
        <v>0</v>
      </c>
      <c r="S202" s="14">
        <v>0</v>
      </c>
      <c r="T202" s="13">
        <f t="shared" ca="1" si="52"/>
        <v>1720</v>
      </c>
      <c r="U202" s="12">
        <f t="shared" ca="1" si="62"/>
        <v>860</v>
      </c>
      <c r="V202" s="12">
        <f t="shared" ca="1" si="61"/>
        <v>897</v>
      </c>
      <c r="W202" s="12">
        <f t="shared" ca="1" si="63"/>
        <v>874</v>
      </c>
      <c r="X202" s="13"/>
      <c r="Y202" s="10"/>
      <c r="Z202" s="10"/>
      <c r="AA202" s="10"/>
      <c r="AB202" s="9"/>
    </row>
    <row r="203" spans="1:28" ht="13.15" customHeight="1">
      <c r="A203" s="36">
        <v>189</v>
      </c>
      <c r="B203" s="35">
        <f t="shared" si="53"/>
        <v>45261</v>
      </c>
      <c r="C203" s="16">
        <f t="shared" si="54"/>
        <v>1069</v>
      </c>
      <c r="D203" s="15">
        <f t="shared" si="64"/>
        <v>1550</v>
      </c>
      <c r="E203" s="14">
        <f t="shared" ca="1" si="46"/>
        <v>719</v>
      </c>
      <c r="F203" s="14">
        <f t="shared" ca="1" si="47"/>
        <v>732</v>
      </c>
      <c r="G203" s="14">
        <f t="shared" ca="1" si="48"/>
        <v>785</v>
      </c>
      <c r="H203" s="10">
        <f t="shared" ca="1" si="49"/>
        <v>1900</v>
      </c>
      <c r="I203" s="10">
        <f t="shared" ca="1" si="50"/>
        <v>1887</v>
      </c>
      <c r="J203" s="10">
        <f t="shared" ca="1" si="51"/>
        <v>1834</v>
      </c>
      <c r="K203" s="10">
        <f t="shared" si="55"/>
        <v>2000</v>
      </c>
      <c r="L203" s="10">
        <f t="shared" si="56"/>
        <v>2000</v>
      </c>
      <c r="M203" s="10">
        <f t="shared" si="57"/>
        <v>2000</v>
      </c>
      <c r="N203" s="10">
        <f t="shared" ca="1" si="58"/>
        <v>-100</v>
      </c>
      <c r="O203" s="10">
        <f t="shared" ca="1" si="59"/>
        <v>-113</v>
      </c>
      <c r="P203" s="10">
        <f t="shared" ca="1" si="60"/>
        <v>-166</v>
      </c>
      <c r="Q203" s="14">
        <v>0</v>
      </c>
      <c r="R203" s="14">
        <v>0</v>
      </c>
      <c r="S203" s="14">
        <v>0</v>
      </c>
      <c r="T203" s="13">
        <f t="shared" ca="1" si="52"/>
        <v>1722</v>
      </c>
      <c r="U203" s="12">
        <f t="shared" ca="1" si="62"/>
        <v>860</v>
      </c>
      <c r="V203" s="12">
        <f t="shared" ca="1" si="61"/>
        <v>897</v>
      </c>
      <c r="W203" s="12">
        <f t="shared" ca="1" si="63"/>
        <v>874</v>
      </c>
      <c r="X203" s="13"/>
      <c r="Y203" s="10"/>
      <c r="Z203" s="10"/>
      <c r="AA203" s="10"/>
      <c r="AB203" s="9"/>
    </row>
    <row r="204" spans="1:28" ht="13.15" customHeight="1">
      <c r="A204" s="36">
        <v>190</v>
      </c>
      <c r="B204" s="35">
        <f t="shared" si="53"/>
        <v>45262</v>
      </c>
      <c r="C204" s="16">
        <f t="shared" si="54"/>
        <v>1069</v>
      </c>
      <c r="D204" s="15">
        <f t="shared" si="64"/>
        <v>1552</v>
      </c>
      <c r="E204" s="14">
        <f t="shared" ca="1" si="46"/>
        <v>721</v>
      </c>
      <c r="F204" s="14">
        <f t="shared" ca="1" si="47"/>
        <v>734</v>
      </c>
      <c r="G204" s="14">
        <f t="shared" ca="1" si="48"/>
        <v>787</v>
      </c>
      <c r="H204" s="10">
        <f t="shared" ca="1" si="49"/>
        <v>1900</v>
      </c>
      <c r="I204" s="10">
        <f t="shared" ca="1" si="50"/>
        <v>1887</v>
      </c>
      <c r="J204" s="10">
        <f t="shared" ca="1" si="51"/>
        <v>1834</v>
      </c>
      <c r="K204" s="10">
        <f t="shared" si="55"/>
        <v>2000</v>
      </c>
      <c r="L204" s="10">
        <f t="shared" si="56"/>
        <v>2000</v>
      </c>
      <c r="M204" s="10">
        <f t="shared" si="57"/>
        <v>2000</v>
      </c>
      <c r="N204" s="10">
        <f t="shared" ca="1" si="58"/>
        <v>-100</v>
      </c>
      <c r="O204" s="10">
        <f t="shared" ca="1" si="59"/>
        <v>-113</v>
      </c>
      <c r="P204" s="10">
        <f t="shared" ca="1" si="60"/>
        <v>-166</v>
      </c>
      <c r="Q204" s="14">
        <v>0</v>
      </c>
      <c r="R204" s="14">
        <v>0</v>
      </c>
      <c r="S204" s="14">
        <v>0</v>
      </c>
      <c r="T204" s="13">
        <f t="shared" ca="1" si="52"/>
        <v>1724</v>
      </c>
      <c r="U204" s="12">
        <f t="shared" ca="1" si="62"/>
        <v>860</v>
      </c>
      <c r="V204" s="12">
        <f t="shared" ca="1" si="61"/>
        <v>897</v>
      </c>
      <c r="W204" s="12">
        <f t="shared" ca="1" si="63"/>
        <v>874</v>
      </c>
      <c r="X204" s="13"/>
      <c r="Y204" s="10"/>
      <c r="Z204" s="10"/>
      <c r="AA204" s="10"/>
      <c r="AB204" s="9"/>
    </row>
    <row r="205" spans="1:28" ht="13.15" customHeight="1">
      <c r="A205" s="36">
        <v>191</v>
      </c>
      <c r="B205" s="35">
        <f t="shared" si="53"/>
        <v>45263</v>
      </c>
      <c r="C205" s="16">
        <f t="shared" si="54"/>
        <v>1069</v>
      </c>
      <c r="D205" s="15">
        <f t="shared" si="64"/>
        <v>1554</v>
      </c>
      <c r="E205" s="14">
        <f t="shared" ca="1" si="46"/>
        <v>723</v>
      </c>
      <c r="F205" s="14">
        <f t="shared" ca="1" si="47"/>
        <v>736</v>
      </c>
      <c r="G205" s="14">
        <f t="shared" ca="1" si="48"/>
        <v>789</v>
      </c>
      <c r="H205" s="10">
        <f t="shared" ca="1" si="49"/>
        <v>1900</v>
      </c>
      <c r="I205" s="10">
        <f t="shared" ca="1" si="50"/>
        <v>1887</v>
      </c>
      <c r="J205" s="10">
        <f t="shared" ca="1" si="51"/>
        <v>1834</v>
      </c>
      <c r="K205" s="10">
        <f t="shared" si="55"/>
        <v>2000</v>
      </c>
      <c r="L205" s="10">
        <f t="shared" si="56"/>
        <v>2000</v>
      </c>
      <c r="M205" s="10">
        <f t="shared" si="57"/>
        <v>2000</v>
      </c>
      <c r="N205" s="10">
        <f t="shared" ca="1" si="58"/>
        <v>-100</v>
      </c>
      <c r="O205" s="10">
        <f t="shared" ca="1" si="59"/>
        <v>-113</v>
      </c>
      <c r="P205" s="10">
        <f t="shared" ca="1" si="60"/>
        <v>-166</v>
      </c>
      <c r="Q205" s="14">
        <v>0</v>
      </c>
      <c r="R205" s="14">
        <v>0</v>
      </c>
      <c r="S205" s="14">
        <v>0</v>
      </c>
      <c r="T205" s="13">
        <f t="shared" ca="1" si="52"/>
        <v>1726</v>
      </c>
      <c r="U205" s="12">
        <f t="shared" ca="1" si="62"/>
        <v>860</v>
      </c>
      <c r="V205" s="12">
        <f t="shared" ca="1" si="61"/>
        <v>897</v>
      </c>
      <c r="W205" s="12">
        <f t="shared" ca="1" si="63"/>
        <v>874</v>
      </c>
      <c r="X205" s="13"/>
      <c r="Y205" s="10"/>
      <c r="Z205" s="10"/>
      <c r="AA205" s="10"/>
      <c r="AB205" s="9"/>
    </row>
    <row r="206" spans="1:28" ht="13.15" customHeight="1">
      <c r="A206" s="36">
        <v>192</v>
      </c>
      <c r="B206" s="35">
        <f t="shared" si="53"/>
        <v>45264</v>
      </c>
      <c r="C206" s="16">
        <f t="shared" si="54"/>
        <v>1069</v>
      </c>
      <c r="D206" s="15">
        <f t="shared" si="64"/>
        <v>1556</v>
      </c>
      <c r="E206" s="14">
        <f t="shared" ref="E206:E269" ca="1" si="65">C206+D206-H206</f>
        <v>725</v>
      </c>
      <c r="F206" s="14">
        <f t="shared" ref="F206:F269" ca="1" si="66">C206+D206-I206</f>
        <v>738</v>
      </c>
      <c r="G206" s="14">
        <f t="shared" ref="G206:G269" ca="1" si="67">D206+C206-J206</f>
        <v>791</v>
      </c>
      <c r="H206" s="10">
        <f t="shared" ref="H206:H269" ca="1" si="68">K206+N206</f>
        <v>1900</v>
      </c>
      <c r="I206" s="10">
        <f t="shared" ref="I206:I269" ca="1" si="69">L206+O206</f>
        <v>1887</v>
      </c>
      <c r="J206" s="10">
        <f t="shared" ref="J206:J269" ca="1" si="70">M206+P206</f>
        <v>1834</v>
      </c>
      <c r="K206" s="10">
        <f t="shared" si="55"/>
        <v>2000</v>
      </c>
      <c r="L206" s="10">
        <f t="shared" si="56"/>
        <v>2000</v>
      </c>
      <c r="M206" s="10">
        <f t="shared" si="57"/>
        <v>2000</v>
      </c>
      <c r="N206" s="10">
        <f t="shared" ca="1" si="58"/>
        <v>-100</v>
      </c>
      <c r="O206" s="10">
        <f t="shared" ca="1" si="59"/>
        <v>-113</v>
      </c>
      <c r="P206" s="10">
        <f t="shared" ca="1" si="60"/>
        <v>-166</v>
      </c>
      <c r="Q206" s="14">
        <v>0</v>
      </c>
      <c r="R206" s="14">
        <v>0</v>
      </c>
      <c r="S206" s="14">
        <v>0</v>
      </c>
      <c r="T206" s="13">
        <f t="shared" ref="T206:T269" ca="1" si="71">D206+C206-V206</f>
        <v>1728</v>
      </c>
      <c r="U206" s="12">
        <f t="shared" ca="1" si="62"/>
        <v>860</v>
      </c>
      <c r="V206" s="12">
        <f t="shared" ca="1" si="61"/>
        <v>897</v>
      </c>
      <c r="W206" s="12">
        <f t="shared" ca="1" si="63"/>
        <v>874</v>
      </c>
      <c r="X206" s="13"/>
      <c r="Y206" s="10"/>
      <c r="Z206" s="10"/>
      <c r="AA206" s="10"/>
      <c r="AB206" s="9"/>
    </row>
    <row r="207" spans="1:28" ht="13.15" customHeight="1">
      <c r="A207" s="36">
        <v>193</v>
      </c>
      <c r="B207" s="35">
        <f t="shared" ref="B207:B270" si="72">B206+1</f>
        <v>45265</v>
      </c>
      <c r="C207" s="16">
        <f t="shared" ref="C207:C270" si="73">C206</f>
        <v>1069</v>
      </c>
      <c r="D207" s="15">
        <f t="shared" si="64"/>
        <v>1558</v>
      </c>
      <c r="E207" s="14">
        <f t="shared" ca="1" si="65"/>
        <v>727</v>
      </c>
      <c r="F207" s="14">
        <f t="shared" ca="1" si="66"/>
        <v>740</v>
      </c>
      <c r="G207" s="14">
        <f t="shared" ca="1" si="67"/>
        <v>793</v>
      </c>
      <c r="H207" s="10">
        <f t="shared" ca="1" si="68"/>
        <v>1900</v>
      </c>
      <c r="I207" s="10">
        <f t="shared" ca="1" si="69"/>
        <v>1887</v>
      </c>
      <c r="J207" s="10">
        <f t="shared" ca="1" si="70"/>
        <v>1834</v>
      </c>
      <c r="K207" s="10">
        <f t="shared" ref="K207:K270" si="74">K206</f>
        <v>2000</v>
      </c>
      <c r="L207" s="10">
        <f t="shared" ref="L207:L270" si="75">L206</f>
        <v>2000</v>
      </c>
      <c r="M207" s="10">
        <f t="shared" ref="M207:M270" si="76">M206</f>
        <v>2000</v>
      </c>
      <c r="N207" s="10">
        <f t="shared" ref="N207:N270" ca="1" si="77">N206-Q207</f>
        <v>-100</v>
      </c>
      <c r="O207" s="10">
        <f t="shared" ref="O207:O270" ca="1" si="78">O206-R207</f>
        <v>-113</v>
      </c>
      <c r="P207" s="10">
        <f t="shared" ref="P207:P270" ca="1" si="79">P206-S207</f>
        <v>-166</v>
      </c>
      <c r="Q207" s="14">
        <v>0</v>
      </c>
      <c r="R207" s="14">
        <v>0</v>
      </c>
      <c r="S207" s="14">
        <v>0</v>
      </c>
      <c r="T207" s="13">
        <f t="shared" ca="1" si="71"/>
        <v>1730</v>
      </c>
      <c r="U207" s="12">
        <f t="shared" ca="1" si="62"/>
        <v>860</v>
      </c>
      <c r="V207" s="12">
        <f t="shared" ca="1" si="61"/>
        <v>897</v>
      </c>
      <c r="W207" s="12">
        <f t="shared" ca="1" si="63"/>
        <v>874</v>
      </c>
      <c r="X207" s="13"/>
      <c r="Y207" s="10"/>
      <c r="Z207" s="10"/>
      <c r="AA207" s="10"/>
      <c r="AB207" s="9"/>
    </row>
    <row r="208" spans="1:28" ht="13.15" customHeight="1">
      <c r="A208" s="36">
        <v>194</v>
      </c>
      <c r="B208" s="35">
        <f t="shared" si="72"/>
        <v>45266</v>
      </c>
      <c r="C208" s="16">
        <f t="shared" si="73"/>
        <v>1069</v>
      </c>
      <c r="D208" s="15">
        <f t="shared" si="64"/>
        <v>1560</v>
      </c>
      <c r="E208" s="14">
        <f t="shared" ca="1" si="65"/>
        <v>729</v>
      </c>
      <c r="F208" s="14">
        <f t="shared" ca="1" si="66"/>
        <v>742</v>
      </c>
      <c r="G208" s="14">
        <f t="shared" ca="1" si="67"/>
        <v>795</v>
      </c>
      <c r="H208" s="10">
        <f t="shared" ca="1" si="68"/>
        <v>1900</v>
      </c>
      <c r="I208" s="10">
        <f t="shared" ca="1" si="69"/>
        <v>1887</v>
      </c>
      <c r="J208" s="10">
        <f t="shared" ca="1" si="70"/>
        <v>1834</v>
      </c>
      <c r="K208" s="10">
        <f t="shared" si="74"/>
        <v>2000</v>
      </c>
      <c r="L208" s="10">
        <f t="shared" si="75"/>
        <v>2000</v>
      </c>
      <c r="M208" s="10">
        <f t="shared" si="76"/>
        <v>2000</v>
      </c>
      <c r="N208" s="10">
        <f t="shared" ca="1" si="77"/>
        <v>-100</v>
      </c>
      <c r="O208" s="10">
        <f t="shared" ca="1" si="78"/>
        <v>-113</v>
      </c>
      <c r="P208" s="10">
        <f t="shared" ca="1" si="79"/>
        <v>-166</v>
      </c>
      <c r="Q208" s="14">
        <v>0</v>
      </c>
      <c r="R208" s="14">
        <v>0</v>
      </c>
      <c r="S208" s="14">
        <v>0</v>
      </c>
      <c r="T208" s="13">
        <f t="shared" ca="1" si="71"/>
        <v>1732</v>
      </c>
      <c r="U208" s="12">
        <f t="shared" ca="1" si="62"/>
        <v>860</v>
      </c>
      <c r="V208" s="12">
        <f t="shared" ca="1" si="61"/>
        <v>897</v>
      </c>
      <c r="W208" s="12">
        <f t="shared" ca="1" si="63"/>
        <v>874</v>
      </c>
      <c r="X208" s="13"/>
      <c r="Y208" s="10"/>
      <c r="Z208" s="10"/>
      <c r="AA208" s="10"/>
      <c r="AB208" s="9"/>
    </row>
    <row r="209" spans="1:28" ht="13.15" customHeight="1">
      <c r="A209" s="36">
        <v>195</v>
      </c>
      <c r="B209" s="35">
        <f t="shared" si="72"/>
        <v>45267</v>
      </c>
      <c r="C209" s="16">
        <f t="shared" si="73"/>
        <v>1069</v>
      </c>
      <c r="D209" s="15">
        <f t="shared" si="64"/>
        <v>1562</v>
      </c>
      <c r="E209" s="14">
        <f t="shared" ca="1" si="65"/>
        <v>731</v>
      </c>
      <c r="F209" s="14">
        <f t="shared" ca="1" si="66"/>
        <v>744</v>
      </c>
      <c r="G209" s="14">
        <f t="shared" ca="1" si="67"/>
        <v>797</v>
      </c>
      <c r="H209" s="10">
        <f t="shared" ca="1" si="68"/>
        <v>1900</v>
      </c>
      <c r="I209" s="10">
        <f t="shared" ca="1" si="69"/>
        <v>1887</v>
      </c>
      <c r="J209" s="10">
        <f t="shared" ca="1" si="70"/>
        <v>1834</v>
      </c>
      <c r="K209" s="10">
        <f t="shared" si="74"/>
        <v>2000</v>
      </c>
      <c r="L209" s="10">
        <f t="shared" si="75"/>
        <v>2000</v>
      </c>
      <c r="M209" s="10">
        <f t="shared" si="76"/>
        <v>2000</v>
      </c>
      <c r="N209" s="10">
        <f t="shared" ca="1" si="77"/>
        <v>-100</v>
      </c>
      <c r="O209" s="10">
        <f t="shared" ca="1" si="78"/>
        <v>-113</v>
      </c>
      <c r="P209" s="10">
        <f t="shared" ca="1" si="79"/>
        <v>-166</v>
      </c>
      <c r="Q209" s="14">
        <v>0</v>
      </c>
      <c r="R209" s="14">
        <v>0</v>
      </c>
      <c r="S209" s="14">
        <v>0</v>
      </c>
      <c r="T209" s="13">
        <f t="shared" ca="1" si="71"/>
        <v>1734</v>
      </c>
      <c r="U209" s="12">
        <f t="shared" ca="1" si="62"/>
        <v>860</v>
      </c>
      <c r="V209" s="12">
        <f t="shared" ca="1" si="61"/>
        <v>897</v>
      </c>
      <c r="W209" s="12">
        <f t="shared" ca="1" si="63"/>
        <v>874</v>
      </c>
      <c r="X209" s="13"/>
      <c r="Y209" s="10"/>
      <c r="Z209" s="10"/>
      <c r="AA209" s="10"/>
      <c r="AB209" s="9"/>
    </row>
    <row r="210" spans="1:28" ht="13.15" customHeight="1">
      <c r="A210" s="36">
        <v>196</v>
      </c>
      <c r="B210" s="35">
        <f t="shared" si="72"/>
        <v>45268</v>
      </c>
      <c r="C210" s="16">
        <f t="shared" si="73"/>
        <v>1069</v>
      </c>
      <c r="D210" s="15">
        <f t="shared" si="64"/>
        <v>1564</v>
      </c>
      <c r="E210" s="14">
        <f t="shared" ca="1" si="65"/>
        <v>733</v>
      </c>
      <c r="F210" s="14">
        <f t="shared" ca="1" si="66"/>
        <v>746</v>
      </c>
      <c r="G210" s="14">
        <f t="shared" ca="1" si="67"/>
        <v>799</v>
      </c>
      <c r="H210" s="10">
        <f t="shared" ca="1" si="68"/>
        <v>1900</v>
      </c>
      <c r="I210" s="10">
        <f t="shared" ca="1" si="69"/>
        <v>1887</v>
      </c>
      <c r="J210" s="10">
        <f t="shared" ca="1" si="70"/>
        <v>1834</v>
      </c>
      <c r="K210" s="10">
        <f t="shared" si="74"/>
        <v>2000</v>
      </c>
      <c r="L210" s="10">
        <f t="shared" si="75"/>
        <v>2000</v>
      </c>
      <c r="M210" s="10">
        <f t="shared" si="76"/>
        <v>2000</v>
      </c>
      <c r="N210" s="10">
        <f t="shared" ca="1" si="77"/>
        <v>-100</v>
      </c>
      <c r="O210" s="10">
        <f t="shared" ca="1" si="78"/>
        <v>-113</v>
      </c>
      <c r="P210" s="10">
        <f t="shared" ca="1" si="79"/>
        <v>-166</v>
      </c>
      <c r="Q210" s="14">
        <v>0</v>
      </c>
      <c r="R210" s="14">
        <v>0</v>
      </c>
      <c r="S210" s="14">
        <v>0</v>
      </c>
      <c r="T210" s="13">
        <f t="shared" ca="1" si="71"/>
        <v>1736</v>
      </c>
      <c r="U210" s="12">
        <f t="shared" ca="1" si="62"/>
        <v>860</v>
      </c>
      <c r="V210" s="12">
        <f t="shared" ca="1" si="61"/>
        <v>897</v>
      </c>
      <c r="W210" s="12">
        <f t="shared" ca="1" si="63"/>
        <v>874</v>
      </c>
      <c r="X210" s="13"/>
      <c r="Y210" s="10"/>
      <c r="Z210" s="10"/>
      <c r="AA210" s="10"/>
      <c r="AB210" s="9"/>
    </row>
    <row r="211" spans="1:28" ht="13.15" customHeight="1">
      <c r="A211" s="36">
        <v>197</v>
      </c>
      <c r="B211" s="35">
        <f t="shared" si="72"/>
        <v>45269</v>
      </c>
      <c r="C211" s="16">
        <f t="shared" si="73"/>
        <v>1069</v>
      </c>
      <c r="D211" s="15">
        <f t="shared" si="64"/>
        <v>1566</v>
      </c>
      <c r="E211" s="14">
        <f t="shared" ca="1" si="65"/>
        <v>735</v>
      </c>
      <c r="F211" s="14">
        <f t="shared" ca="1" si="66"/>
        <v>748</v>
      </c>
      <c r="G211" s="14">
        <f t="shared" ca="1" si="67"/>
        <v>801</v>
      </c>
      <c r="H211" s="10">
        <f t="shared" ca="1" si="68"/>
        <v>1900</v>
      </c>
      <c r="I211" s="10">
        <f t="shared" ca="1" si="69"/>
        <v>1887</v>
      </c>
      <c r="J211" s="10">
        <f t="shared" ca="1" si="70"/>
        <v>1834</v>
      </c>
      <c r="K211" s="10">
        <f t="shared" si="74"/>
        <v>2000</v>
      </c>
      <c r="L211" s="10">
        <f t="shared" si="75"/>
        <v>2000</v>
      </c>
      <c r="M211" s="10">
        <f t="shared" si="76"/>
        <v>2000</v>
      </c>
      <c r="N211" s="10">
        <f t="shared" ca="1" si="77"/>
        <v>-100</v>
      </c>
      <c r="O211" s="10">
        <f t="shared" ca="1" si="78"/>
        <v>-113</v>
      </c>
      <c r="P211" s="10">
        <f t="shared" ca="1" si="79"/>
        <v>-166</v>
      </c>
      <c r="Q211" s="14">
        <v>0</v>
      </c>
      <c r="R211" s="14">
        <v>0</v>
      </c>
      <c r="S211" s="14">
        <v>0</v>
      </c>
      <c r="T211" s="13">
        <f t="shared" ca="1" si="71"/>
        <v>1738</v>
      </c>
      <c r="U211" s="12">
        <f t="shared" ca="1" si="62"/>
        <v>860</v>
      </c>
      <c r="V211" s="12">
        <f t="shared" ca="1" si="61"/>
        <v>897</v>
      </c>
      <c r="W211" s="12">
        <f t="shared" ca="1" si="63"/>
        <v>874</v>
      </c>
      <c r="X211" s="13"/>
      <c r="Y211" s="10"/>
      <c r="Z211" s="10"/>
      <c r="AA211" s="10"/>
      <c r="AB211" s="9"/>
    </row>
    <row r="212" spans="1:28" ht="13.15" customHeight="1">
      <c r="A212" s="36">
        <v>198</v>
      </c>
      <c r="B212" s="35">
        <f t="shared" si="72"/>
        <v>45270</v>
      </c>
      <c r="C212" s="16">
        <f t="shared" si="73"/>
        <v>1069</v>
      </c>
      <c r="D212" s="15">
        <f t="shared" si="64"/>
        <v>1568</v>
      </c>
      <c r="E212" s="14">
        <f t="shared" ca="1" si="65"/>
        <v>737</v>
      </c>
      <c r="F212" s="14">
        <f t="shared" ca="1" si="66"/>
        <v>750</v>
      </c>
      <c r="G212" s="14">
        <f t="shared" ca="1" si="67"/>
        <v>803</v>
      </c>
      <c r="H212" s="10">
        <f t="shared" ca="1" si="68"/>
        <v>1900</v>
      </c>
      <c r="I212" s="10">
        <f t="shared" ca="1" si="69"/>
        <v>1887</v>
      </c>
      <c r="J212" s="10">
        <f t="shared" ca="1" si="70"/>
        <v>1834</v>
      </c>
      <c r="K212" s="10">
        <f t="shared" si="74"/>
        <v>2000</v>
      </c>
      <c r="L212" s="10">
        <f t="shared" si="75"/>
        <v>2000</v>
      </c>
      <c r="M212" s="10">
        <f t="shared" si="76"/>
        <v>2000</v>
      </c>
      <c r="N212" s="10">
        <f t="shared" ca="1" si="77"/>
        <v>-100</v>
      </c>
      <c r="O212" s="10">
        <f t="shared" ca="1" si="78"/>
        <v>-113</v>
      </c>
      <c r="P212" s="10">
        <f t="shared" ca="1" si="79"/>
        <v>-166</v>
      </c>
      <c r="Q212" s="14">
        <v>0</v>
      </c>
      <c r="R212" s="14">
        <v>0</v>
      </c>
      <c r="S212" s="14">
        <v>0</v>
      </c>
      <c r="T212" s="13">
        <f t="shared" ca="1" si="71"/>
        <v>1740</v>
      </c>
      <c r="U212" s="12">
        <f t="shared" ca="1" si="62"/>
        <v>860</v>
      </c>
      <c r="V212" s="12">
        <f t="shared" ca="1" si="61"/>
        <v>897</v>
      </c>
      <c r="W212" s="12">
        <f t="shared" ca="1" si="63"/>
        <v>874</v>
      </c>
      <c r="X212" s="13"/>
      <c r="Y212" s="10"/>
      <c r="Z212" s="10"/>
      <c r="AA212" s="10"/>
      <c r="AB212" s="9"/>
    </row>
    <row r="213" spans="1:28" ht="13.15" customHeight="1">
      <c r="A213" s="36">
        <v>199</v>
      </c>
      <c r="B213" s="35">
        <f t="shared" si="72"/>
        <v>45271</v>
      </c>
      <c r="C213" s="16">
        <f t="shared" si="73"/>
        <v>1069</v>
      </c>
      <c r="D213" s="15">
        <f t="shared" si="64"/>
        <v>1570</v>
      </c>
      <c r="E213" s="14">
        <f t="shared" ca="1" si="65"/>
        <v>739</v>
      </c>
      <c r="F213" s="14">
        <f t="shared" ca="1" si="66"/>
        <v>752</v>
      </c>
      <c r="G213" s="14">
        <f t="shared" ca="1" si="67"/>
        <v>805</v>
      </c>
      <c r="H213" s="10">
        <f t="shared" ca="1" si="68"/>
        <v>1900</v>
      </c>
      <c r="I213" s="10">
        <f t="shared" ca="1" si="69"/>
        <v>1887</v>
      </c>
      <c r="J213" s="10">
        <f t="shared" ca="1" si="70"/>
        <v>1834</v>
      </c>
      <c r="K213" s="10">
        <f t="shared" si="74"/>
        <v>2000</v>
      </c>
      <c r="L213" s="10">
        <f t="shared" si="75"/>
        <v>2000</v>
      </c>
      <c r="M213" s="10">
        <f t="shared" si="76"/>
        <v>2000</v>
      </c>
      <c r="N213" s="10">
        <f t="shared" ca="1" si="77"/>
        <v>-100</v>
      </c>
      <c r="O213" s="10">
        <f t="shared" ca="1" si="78"/>
        <v>-113</v>
      </c>
      <c r="P213" s="10">
        <f t="shared" ca="1" si="79"/>
        <v>-166</v>
      </c>
      <c r="Q213" s="14">
        <v>0</v>
      </c>
      <c r="R213" s="14">
        <v>0</v>
      </c>
      <c r="S213" s="14">
        <v>0</v>
      </c>
      <c r="T213" s="13">
        <f t="shared" ca="1" si="71"/>
        <v>1742</v>
      </c>
      <c r="U213" s="12">
        <f t="shared" ca="1" si="62"/>
        <v>860</v>
      </c>
      <c r="V213" s="12">
        <f t="shared" ca="1" si="61"/>
        <v>897</v>
      </c>
      <c r="W213" s="12">
        <f t="shared" ca="1" si="63"/>
        <v>874</v>
      </c>
      <c r="X213" s="13"/>
      <c r="Y213" s="10"/>
      <c r="Z213" s="10"/>
      <c r="AA213" s="10"/>
      <c r="AB213" s="9"/>
    </row>
    <row r="214" spans="1:28" ht="13.15" customHeight="1">
      <c r="A214" s="36">
        <v>200</v>
      </c>
      <c r="B214" s="35">
        <f t="shared" si="72"/>
        <v>45272</v>
      </c>
      <c r="C214" s="16">
        <f t="shared" si="73"/>
        <v>1069</v>
      </c>
      <c r="D214" s="15">
        <f t="shared" si="64"/>
        <v>1572</v>
      </c>
      <c r="E214" s="14">
        <f t="shared" ca="1" si="65"/>
        <v>741</v>
      </c>
      <c r="F214" s="14">
        <f t="shared" ca="1" si="66"/>
        <v>754</v>
      </c>
      <c r="G214" s="14">
        <f t="shared" ca="1" si="67"/>
        <v>807</v>
      </c>
      <c r="H214" s="10">
        <f t="shared" ca="1" si="68"/>
        <v>1900</v>
      </c>
      <c r="I214" s="10">
        <f t="shared" ca="1" si="69"/>
        <v>1887</v>
      </c>
      <c r="J214" s="10">
        <f t="shared" ca="1" si="70"/>
        <v>1834</v>
      </c>
      <c r="K214" s="10">
        <f t="shared" si="74"/>
        <v>2000</v>
      </c>
      <c r="L214" s="10">
        <f t="shared" si="75"/>
        <v>2000</v>
      </c>
      <c r="M214" s="10">
        <f t="shared" si="76"/>
        <v>2000</v>
      </c>
      <c r="N214" s="10">
        <f t="shared" ca="1" si="77"/>
        <v>-100</v>
      </c>
      <c r="O214" s="10">
        <f t="shared" ca="1" si="78"/>
        <v>-113</v>
      </c>
      <c r="P214" s="10">
        <f t="shared" ca="1" si="79"/>
        <v>-166</v>
      </c>
      <c r="Q214" s="14">
        <v>0</v>
      </c>
      <c r="R214" s="14">
        <v>0</v>
      </c>
      <c r="S214" s="14">
        <v>0</v>
      </c>
      <c r="T214" s="13">
        <f t="shared" ca="1" si="71"/>
        <v>1744</v>
      </c>
      <c r="U214" s="12">
        <f t="shared" ca="1" si="62"/>
        <v>860</v>
      </c>
      <c r="V214" s="12">
        <f t="shared" ca="1" si="61"/>
        <v>897</v>
      </c>
      <c r="W214" s="12">
        <f t="shared" ca="1" si="63"/>
        <v>874</v>
      </c>
      <c r="X214" s="13"/>
      <c r="Y214" s="10"/>
      <c r="Z214" s="10"/>
      <c r="AA214" s="10"/>
      <c r="AB214" s="9"/>
    </row>
    <row r="215" spans="1:28" ht="13.15" customHeight="1">
      <c r="A215" s="36">
        <v>201</v>
      </c>
      <c r="B215" s="35">
        <f t="shared" si="72"/>
        <v>45273</v>
      </c>
      <c r="C215" s="16">
        <f t="shared" si="73"/>
        <v>1069</v>
      </c>
      <c r="D215" s="15">
        <f t="shared" si="64"/>
        <v>1574</v>
      </c>
      <c r="E215" s="14">
        <f t="shared" ca="1" si="65"/>
        <v>743</v>
      </c>
      <c r="F215" s="14">
        <f t="shared" ca="1" si="66"/>
        <v>756</v>
      </c>
      <c r="G215" s="14">
        <f t="shared" ca="1" si="67"/>
        <v>809</v>
      </c>
      <c r="H215" s="10">
        <f t="shared" ca="1" si="68"/>
        <v>1900</v>
      </c>
      <c r="I215" s="10">
        <f t="shared" ca="1" si="69"/>
        <v>1887</v>
      </c>
      <c r="J215" s="10">
        <f t="shared" ca="1" si="70"/>
        <v>1834</v>
      </c>
      <c r="K215" s="10">
        <f t="shared" si="74"/>
        <v>2000</v>
      </c>
      <c r="L215" s="10">
        <f t="shared" si="75"/>
        <v>2000</v>
      </c>
      <c r="M215" s="10">
        <f t="shared" si="76"/>
        <v>2000</v>
      </c>
      <c r="N215" s="10">
        <f t="shared" ca="1" si="77"/>
        <v>-100</v>
      </c>
      <c r="O215" s="10">
        <f t="shared" ca="1" si="78"/>
        <v>-113</v>
      </c>
      <c r="P215" s="10">
        <f t="shared" ca="1" si="79"/>
        <v>-166</v>
      </c>
      <c r="Q215" s="14">
        <v>0</v>
      </c>
      <c r="R215" s="14">
        <v>0</v>
      </c>
      <c r="S215" s="14">
        <v>0</v>
      </c>
      <c r="T215" s="13">
        <f t="shared" ca="1" si="71"/>
        <v>1746</v>
      </c>
      <c r="U215" s="12">
        <f t="shared" ca="1" si="62"/>
        <v>860</v>
      </c>
      <c r="V215" s="12">
        <f t="shared" ca="1" si="61"/>
        <v>897</v>
      </c>
      <c r="W215" s="12">
        <f t="shared" ca="1" si="63"/>
        <v>874</v>
      </c>
      <c r="X215" s="13"/>
      <c r="Y215" s="10"/>
      <c r="Z215" s="10"/>
      <c r="AA215" s="10"/>
      <c r="AB215" s="9"/>
    </row>
    <row r="216" spans="1:28" ht="13.15" customHeight="1">
      <c r="A216" s="36">
        <v>202</v>
      </c>
      <c r="B216" s="35">
        <f t="shared" si="72"/>
        <v>45274</v>
      </c>
      <c r="C216" s="16">
        <f t="shared" si="73"/>
        <v>1069</v>
      </c>
      <c r="D216" s="15">
        <f t="shared" si="64"/>
        <v>1576</v>
      </c>
      <c r="E216" s="14">
        <f t="shared" ca="1" si="65"/>
        <v>745</v>
      </c>
      <c r="F216" s="14">
        <f t="shared" ca="1" si="66"/>
        <v>758</v>
      </c>
      <c r="G216" s="14">
        <f t="shared" ca="1" si="67"/>
        <v>811</v>
      </c>
      <c r="H216" s="10">
        <f t="shared" ca="1" si="68"/>
        <v>1900</v>
      </c>
      <c r="I216" s="10">
        <f t="shared" ca="1" si="69"/>
        <v>1887</v>
      </c>
      <c r="J216" s="10">
        <f t="shared" ca="1" si="70"/>
        <v>1834</v>
      </c>
      <c r="K216" s="10">
        <f t="shared" si="74"/>
        <v>2000</v>
      </c>
      <c r="L216" s="10">
        <f t="shared" si="75"/>
        <v>2000</v>
      </c>
      <c r="M216" s="10">
        <f t="shared" si="76"/>
        <v>2000</v>
      </c>
      <c r="N216" s="10">
        <f t="shared" ca="1" si="77"/>
        <v>-100</v>
      </c>
      <c r="O216" s="10">
        <f t="shared" ca="1" si="78"/>
        <v>-113</v>
      </c>
      <c r="P216" s="10">
        <f t="shared" ca="1" si="79"/>
        <v>-166</v>
      </c>
      <c r="Q216" s="14">
        <v>0</v>
      </c>
      <c r="R216" s="14">
        <v>0</v>
      </c>
      <c r="S216" s="14">
        <v>0</v>
      </c>
      <c r="T216" s="13">
        <f t="shared" ca="1" si="71"/>
        <v>1748</v>
      </c>
      <c r="U216" s="12">
        <f t="shared" ca="1" si="62"/>
        <v>860</v>
      </c>
      <c r="V216" s="12">
        <f t="shared" ca="1" si="61"/>
        <v>897</v>
      </c>
      <c r="W216" s="12">
        <f t="shared" ca="1" si="63"/>
        <v>874</v>
      </c>
      <c r="X216" s="13"/>
      <c r="Y216" s="10"/>
      <c r="Z216" s="10"/>
      <c r="AA216" s="10"/>
      <c r="AB216" s="9"/>
    </row>
    <row r="217" spans="1:28" ht="13.15" customHeight="1">
      <c r="A217" s="36">
        <v>203</v>
      </c>
      <c r="B217" s="35">
        <f t="shared" si="72"/>
        <v>45275</v>
      </c>
      <c r="C217" s="16">
        <f t="shared" si="73"/>
        <v>1069</v>
      </c>
      <c r="D217" s="15">
        <f t="shared" si="64"/>
        <v>1578</v>
      </c>
      <c r="E217" s="14">
        <f t="shared" ca="1" si="65"/>
        <v>747</v>
      </c>
      <c r="F217" s="14">
        <f t="shared" ca="1" si="66"/>
        <v>760</v>
      </c>
      <c r="G217" s="14">
        <f t="shared" ca="1" si="67"/>
        <v>813</v>
      </c>
      <c r="H217" s="10">
        <f t="shared" ca="1" si="68"/>
        <v>1900</v>
      </c>
      <c r="I217" s="10">
        <f t="shared" ca="1" si="69"/>
        <v>1887</v>
      </c>
      <c r="J217" s="10">
        <f t="shared" ca="1" si="70"/>
        <v>1834</v>
      </c>
      <c r="K217" s="10">
        <f t="shared" si="74"/>
        <v>2000</v>
      </c>
      <c r="L217" s="10">
        <f t="shared" si="75"/>
        <v>2000</v>
      </c>
      <c r="M217" s="10">
        <f t="shared" si="76"/>
        <v>2000</v>
      </c>
      <c r="N217" s="10">
        <f t="shared" ca="1" si="77"/>
        <v>-100</v>
      </c>
      <c r="O217" s="10">
        <f t="shared" ca="1" si="78"/>
        <v>-113</v>
      </c>
      <c r="P217" s="10">
        <f t="shared" ca="1" si="79"/>
        <v>-166</v>
      </c>
      <c r="Q217" s="14">
        <v>0</v>
      </c>
      <c r="R217" s="14">
        <v>0</v>
      </c>
      <c r="S217" s="14">
        <v>0</v>
      </c>
      <c r="T217" s="13">
        <f t="shared" ca="1" si="71"/>
        <v>1750</v>
      </c>
      <c r="U217" s="12">
        <f t="shared" ca="1" si="62"/>
        <v>860</v>
      </c>
      <c r="V217" s="12">
        <f t="shared" ca="1" si="61"/>
        <v>897</v>
      </c>
      <c r="W217" s="12">
        <f t="shared" ca="1" si="63"/>
        <v>874</v>
      </c>
      <c r="X217" s="13"/>
      <c r="Y217" s="10"/>
      <c r="Z217" s="10"/>
      <c r="AA217" s="10"/>
      <c r="AB217" s="9"/>
    </row>
    <row r="218" spans="1:28" ht="13.15" customHeight="1">
      <c r="A218" s="36">
        <v>204</v>
      </c>
      <c r="B218" s="35">
        <f t="shared" si="72"/>
        <v>45276</v>
      </c>
      <c r="C218" s="16">
        <f t="shared" si="73"/>
        <v>1069</v>
      </c>
      <c r="D218" s="15">
        <f t="shared" si="64"/>
        <v>1580</v>
      </c>
      <c r="E218" s="14">
        <f t="shared" ca="1" si="65"/>
        <v>749</v>
      </c>
      <c r="F218" s="14">
        <f t="shared" ca="1" si="66"/>
        <v>762</v>
      </c>
      <c r="G218" s="14">
        <f t="shared" ca="1" si="67"/>
        <v>815</v>
      </c>
      <c r="H218" s="10">
        <f t="shared" ca="1" si="68"/>
        <v>1900</v>
      </c>
      <c r="I218" s="10">
        <f t="shared" ca="1" si="69"/>
        <v>1887</v>
      </c>
      <c r="J218" s="10">
        <f t="shared" ca="1" si="70"/>
        <v>1834</v>
      </c>
      <c r="K218" s="10">
        <f t="shared" si="74"/>
        <v>2000</v>
      </c>
      <c r="L218" s="10">
        <f t="shared" si="75"/>
        <v>2000</v>
      </c>
      <c r="M218" s="10">
        <f t="shared" si="76"/>
        <v>2000</v>
      </c>
      <c r="N218" s="10">
        <f t="shared" ca="1" si="77"/>
        <v>-100</v>
      </c>
      <c r="O218" s="10">
        <f t="shared" ca="1" si="78"/>
        <v>-113</v>
      </c>
      <c r="P218" s="10">
        <f t="shared" ca="1" si="79"/>
        <v>-166</v>
      </c>
      <c r="Q218" s="14">
        <v>0</v>
      </c>
      <c r="R218" s="14">
        <v>0</v>
      </c>
      <c r="S218" s="14">
        <v>0</v>
      </c>
      <c r="T218" s="13">
        <f t="shared" ca="1" si="71"/>
        <v>1752</v>
      </c>
      <c r="U218" s="12">
        <f t="shared" ca="1" si="62"/>
        <v>860</v>
      </c>
      <c r="V218" s="12">
        <f t="shared" ca="1" si="61"/>
        <v>897</v>
      </c>
      <c r="W218" s="12">
        <f t="shared" ca="1" si="63"/>
        <v>874</v>
      </c>
      <c r="X218" s="13"/>
      <c r="Y218" s="10"/>
      <c r="Z218" s="10"/>
      <c r="AA218" s="10"/>
      <c r="AB218" s="9"/>
    </row>
    <row r="219" spans="1:28" ht="13.15" customHeight="1">
      <c r="A219" s="36">
        <v>205</v>
      </c>
      <c r="B219" s="35">
        <f t="shared" si="72"/>
        <v>45277</v>
      </c>
      <c r="C219" s="16">
        <f t="shared" si="73"/>
        <v>1069</v>
      </c>
      <c r="D219" s="15">
        <f t="shared" si="64"/>
        <v>1582</v>
      </c>
      <c r="E219" s="14">
        <f t="shared" ca="1" si="65"/>
        <v>751</v>
      </c>
      <c r="F219" s="14">
        <f t="shared" ca="1" si="66"/>
        <v>764</v>
      </c>
      <c r="G219" s="14">
        <f t="shared" ca="1" si="67"/>
        <v>817</v>
      </c>
      <c r="H219" s="10">
        <f t="shared" ca="1" si="68"/>
        <v>1900</v>
      </c>
      <c r="I219" s="10">
        <f t="shared" ca="1" si="69"/>
        <v>1887</v>
      </c>
      <c r="J219" s="10">
        <f t="shared" ca="1" si="70"/>
        <v>1834</v>
      </c>
      <c r="K219" s="10">
        <f t="shared" si="74"/>
        <v>2000</v>
      </c>
      <c r="L219" s="10">
        <f t="shared" si="75"/>
        <v>2000</v>
      </c>
      <c r="M219" s="10">
        <f t="shared" si="76"/>
        <v>2000</v>
      </c>
      <c r="N219" s="10">
        <f t="shared" ca="1" si="77"/>
        <v>-100</v>
      </c>
      <c r="O219" s="10">
        <f t="shared" ca="1" si="78"/>
        <v>-113</v>
      </c>
      <c r="P219" s="10">
        <f t="shared" ca="1" si="79"/>
        <v>-166</v>
      </c>
      <c r="Q219" s="14">
        <v>0</v>
      </c>
      <c r="R219" s="14">
        <v>0</v>
      </c>
      <c r="S219" s="14">
        <v>0</v>
      </c>
      <c r="T219" s="13">
        <f t="shared" ca="1" si="71"/>
        <v>1754</v>
      </c>
      <c r="U219" s="12">
        <f t="shared" ca="1" si="62"/>
        <v>860</v>
      </c>
      <c r="V219" s="12">
        <f t="shared" ref="V219:V282" ca="1" si="80">V218+$X219*1000-R219</f>
        <v>897</v>
      </c>
      <c r="W219" s="12">
        <f t="shared" ca="1" si="63"/>
        <v>874</v>
      </c>
      <c r="X219" s="13"/>
      <c r="Y219" s="10"/>
      <c r="Z219" s="10"/>
      <c r="AA219" s="10"/>
      <c r="AB219" s="9"/>
    </row>
    <row r="220" spans="1:28" ht="13.15" customHeight="1">
      <c r="A220" s="36">
        <v>206</v>
      </c>
      <c r="B220" s="35">
        <f t="shared" si="72"/>
        <v>45278</v>
      </c>
      <c r="C220" s="16">
        <f t="shared" si="73"/>
        <v>1069</v>
      </c>
      <c r="D220" s="15">
        <f t="shared" si="64"/>
        <v>1584</v>
      </c>
      <c r="E220" s="14">
        <f t="shared" ca="1" si="65"/>
        <v>753</v>
      </c>
      <c r="F220" s="14">
        <f t="shared" ca="1" si="66"/>
        <v>766</v>
      </c>
      <c r="G220" s="14">
        <f t="shared" ca="1" si="67"/>
        <v>819</v>
      </c>
      <c r="H220" s="10">
        <f t="shared" ca="1" si="68"/>
        <v>1900</v>
      </c>
      <c r="I220" s="10">
        <f t="shared" ca="1" si="69"/>
        <v>1887</v>
      </c>
      <c r="J220" s="10">
        <f t="shared" ca="1" si="70"/>
        <v>1834</v>
      </c>
      <c r="K220" s="10">
        <f t="shared" si="74"/>
        <v>2000</v>
      </c>
      <c r="L220" s="10">
        <f t="shared" si="75"/>
        <v>2000</v>
      </c>
      <c r="M220" s="10">
        <f t="shared" si="76"/>
        <v>2000</v>
      </c>
      <c r="N220" s="10">
        <f t="shared" ca="1" si="77"/>
        <v>-100</v>
      </c>
      <c r="O220" s="10">
        <f t="shared" ca="1" si="78"/>
        <v>-113</v>
      </c>
      <c r="P220" s="10">
        <f t="shared" ca="1" si="79"/>
        <v>-166</v>
      </c>
      <c r="Q220" s="14">
        <v>0</v>
      </c>
      <c r="R220" s="14">
        <v>0</v>
      </c>
      <c r="S220" s="14">
        <v>0</v>
      </c>
      <c r="T220" s="13">
        <f t="shared" ca="1" si="71"/>
        <v>1756</v>
      </c>
      <c r="U220" s="12">
        <f t="shared" ref="U220:U283" ca="1" si="81">U219+$X220*1000-Q220</f>
        <v>860</v>
      </c>
      <c r="V220" s="12">
        <f t="shared" ca="1" si="80"/>
        <v>897</v>
      </c>
      <c r="W220" s="12">
        <f t="shared" ref="W220:W283" ca="1" si="82">W219+$X220*1000-S220</f>
        <v>874</v>
      </c>
      <c r="X220" s="13"/>
      <c r="Y220" s="10"/>
      <c r="Z220" s="10"/>
      <c r="AA220" s="10"/>
      <c r="AB220" s="9"/>
    </row>
    <row r="221" spans="1:28" ht="13.15" customHeight="1">
      <c r="A221" s="36">
        <v>207</v>
      </c>
      <c r="B221" s="35">
        <f t="shared" si="72"/>
        <v>45279</v>
      </c>
      <c r="C221" s="16">
        <f t="shared" si="73"/>
        <v>1069</v>
      </c>
      <c r="D221" s="15">
        <f t="shared" si="64"/>
        <v>1586</v>
      </c>
      <c r="E221" s="14">
        <f t="shared" ca="1" si="65"/>
        <v>755</v>
      </c>
      <c r="F221" s="14">
        <f t="shared" ca="1" si="66"/>
        <v>768</v>
      </c>
      <c r="G221" s="14">
        <f t="shared" ca="1" si="67"/>
        <v>821</v>
      </c>
      <c r="H221" s="10">
        <f t="shared" ca="1" si="68"/>
        <v>1900</v>
      </c>
      <c r="I221" s="10">
        <f t="shared" ca="1" si="69"/>
        <v>1887</v>
      </c>
      <c r="J221" s="10">
        <f t="shared" ca="1" si="70"/>
        <v>1834</v>
      </c>
      <c r="K221" s="10">
        <f t="shared" si="74"/>
        <v>2000</v>
      </c>
      <c r="L221" s="10">
        <f t="shared" si="75"/>
        <v>2000</v>
      </c>
      <c r="M221" s="10">
        <f t="shared" si="76"/>
        <v>2000</v>
      </c>
      <c r="N221" s="10">
        <f t="shared" ca="1" si="77"/>
        <v>-100</v>
      </c>
      <c r="O221" s="10">
        <f t="shared" ca="1" si="78"/>
        <v>-113</v>
      </c>
      <c r="P221" s="10">
        <f t="shared" ca="1" si="79"/>
        <v>-166</v>
      </c>
      <c r="Q221" s="14">
        <v>0</v>
      </c>
      <c r="R221" s="14">
        <v>0</v>
      </c>
      <c r="S221" s="14">
        <v>0</v>
      </c>
      <c r="T221" s="13">
        <f t="shared" ca="1" si="71"/>
        <v>1758</v>
      </c>
      <c r="U221" s="12">
        <f t="shared" ca="1" si="81"/>
        <v>860</v>
      </c>
      <c r="V221" s="12">
        <f t="shared" ca="1" si="80"/>
        <v>897</v>
      </c>
      <c r="W221" s="12">
        <f t="shared" ca="1" si="82"/>
        <v>874</v>
      </c>
      <c r="X221" s="13"/>
      <c r="Y221" s="10"/>
      <c r="Z221" s="10"/>
      <c r="AA221" s="10"/>
      <c r="AB221" s="9"/>
    </row>
    <row r="222" spans="1:28" ht="13.15" customHeight="1">
      <c r="A222" s="36">
        <v>208</v>
      </c>
      <c r="B222" s="35">
        <f t="shared" si="72"/>
        <v>45280</v>
      </c>
      <c r="C222" s="16">
        <f t="shared" si="73"/>
        <v>1069</v>
      </c>
      <c r="D222" s="15">
        <f t="shared" si="64"/>
        <v>1588</v>
      </c>
      <c r="E222" s="14">
        <f t="shared" ca="1" si="65"/>
        <v>757</v>
      </c>
      <c r="F222" s="14">
        <f t="shared" ca="1" si="66"/>
        <v>770</v>
      </c>
      <c r="G222" s="14">
        <f t="shared" ca="1" si="67"/>
        <v>823</v>
      </c>
      <c r="H222" s="10">
        <f t="shared" ca="1" si="68"/>
        <v>1900</v>
      </c>
      <c r="I222" s="10">
        <f t="shared" ca="1" si="69"/>
        <v>1887</v>
      </c>
      <c r="J222" s="10">
        <f t="shared" ca="1" si="70"/>
        <v>1834</v>
      </c>
      <c r="K222" s="10">
        <f t="shared" si="74"/>
        <v>2000</v>
      </c>
      <c r="L222" s="10">
        <f t="shared" si="75"/>
        <v>2000</v>
      </c>
      <c r="M222" s="10">
        <f t="shared" si="76"/>
        <v>2000</v>
      </c>
      <c r="N222" s="10">
        <f t="shared" ca="1" si="77"/>
        <v>-100</v>
      </c>
      <c r="O222" s="10">
        <f t="shared" ca="1" si="78"/>
        <v>-113</v>
      </c>
      <c r="P222" s="10">
        <f t="shared" ca="1" si="79"/>
        <v>-166</v>
      </c>
      <c r="Q222" s="14">
        <v>0</v>
      </c>
      <c r="R222" s="14">
        <v>0</v>
      </c>
      <c r="S222" s="14">
        <v>0</v>
      </c>
      <c r="T222" s="13">
        <f t="shared" ca="1" si="71"/>
        <v>1760</v>
      </c>
      <c r="U222" s="12">
        <f t="shared" ca="1" si="81"/>
        <v>860</v>
      </c>
      <c r="V222" s="12">
        <f t="shared" ca="1" si="80"/>
        <v>897</v>
      </c>
      <c r="W222" s="12">
        <f t="shared" ca="1" si="82"/>
        <v>874</v>
      </c>
      <c r="X222" s="13"/>
      <c r="Y222" s="10"/>
      <c r="Z222" s="10"/>
      <c r="AA222" s="10"/>
      <c r="AB222" s="9"/>
    </row>
    <row r="223" spans="1:28" ht="13.15" customHeight="1">
      <c r="A223" s="36">
        <v>209</v>
      </c>
      <c r="B223" s="35">
        <f t="shared" si="72"/>
        <v>45281</v>
      </c>
      <c r="C223" s="16">
        <f t="shared" si="73"/>
        <v>1069</v>
      </c>
      <c r="D223" s="15">
        <f t="shared" si="64"/>
        <v>1590</v>
      </c>
      <c r="E223" s="14">
        <f t="shared" ca="1" si="65"/>
        <v>759</v>
      </c>
      <c r="F223" s="14">
        <f t="shared" ca="1" si="66"/>
        <v>772</v>
      </c>
      <c r="G223" s="14">
        <f t="shared" ca="1" si="67"/>
        <v>825</v>
      </c>
      <c r="H223" s="10">
        <f t="shared" ca="1" si="68"/>
        <v>1900</v>
      </c>
      <c r="I223" s="10">
        <f t="shared" ca="1" si="69"/>
        <v>1887</v>
      </c>
      <c r="J223" s="10">
        <f t="shared" ca="1" si="70"/>
        <v>1834</v>
      </c>
      <c r="K223" s="10">
        <f t="shared" si="74"/>
        <v>2000</v>
      </c>
      <c r="L223" s="10">
        <f t="shared" si="75"/>
        <v>2000</v>
      </c>
      <c r="M223" s="10">
        <f t="shared" si="76"/>
        <v>2000</v>
      </c>
      <c r="N223" s="10">
        <f t="shared" ca="1" si="77"/>
        <v>-100</v>
      </c>
      <c r="O223" s="10">
        <f t="shared" ca="1" si="78"/>
        <v>-113</v>
      </c>
      <c r="P223" s="10">
        <f t="shared" ca="1" si="79"/>
        <v>-166</v>
      </c>
      <c r="Q223" s="14">
        <v>0</v>
      </c>
      <c r="R223" s="14">
        <v>0</v>
      </c>
      <c r="S223" s="14">
        <v>0</v>
      </c>
      <c r="T223" s="13">
        <f t="shared" ca="1" si="71"/>
        <v>1762</v>
      </c>
      <c r="U223" s="12">
        <f t="shared" ca="1" si="81"/>
        <v>860</v>
      </c>
      <c r="V223" s="12">
        <f t="shared" ca="1" si="80"/>
        <v>897</v>
      </c>
      <c r="W223" s="12">
        <f t="shared" ca="1" si="82"/>
        <v>874</v>
      </c>
      <c r="X223" s="13"/>
      <c r="Y223" s="10"/>
      <c r="Z223" s="10"/>
      <c r="AA223" s="10"/>
      <c r="AB223" s="9"/>
    </row>
    <row r="224" spans="1:28" ht="13.15" customHeight="1">
      <c r="A224" s="36">
        <v>210</v>
      </c>
      <c r="B224" s="35">
        <f t="shared" si="72"/>
        <v>45282</v>
      </c>
      <c r="C224" s="16">
        <f t="shared" si="73"/>
        <v>1069</v>
      </c>
      <c r="D224" s="15">
        <f t="shared" si="64"/>
        <v>1592</v>
      </c>
      <c r="E224" s="14">
        <f t="shared" ca="1" si="65"/>
        <v>761</v>
      </c>
      <c r="F224" s="14">
        <f t="shared" ca="1" si="66"/>
        <v>774</v>
      </c>
      <c r="G224" s="14">
        <f t="shared" ca="1" si="67"/>
        <v>827</v>
      </c>
      <c r="H224" s="10">
        <f t="shared" ca="1" si="68"/>
        <v>1900</v>
      </c>
      <c r="I224" s="10">
        <f t="shared" ca="1" si="69"/>
        <v>1887</v>
      </c>
      <c r="J224" s="10">
        <f t="shared" ca="1" si="70"/>
        <v>1834</v>
      </c>
      <c r="K224" s="10">
        <f t="shared" si="74"/>
        <v>2000</v>
      </c>
      <c r="L224" s="10">
        <f t="shared" si="75"/>
        <v>2000</v>
      </c>
      <c r="M224" s="10">
        <f t="shared" si="76"/>
        <v>2000</v>
      </c>
      <c r="N224" s="10">
        <f t="shared" ca="1" si="77"/>
        <v>-100</v>
      </c>
      <c r="O224" s="10">
        <f t="shared" ca="1" si="78"/>
        <v>-113</v>
      </c>
      <c r="P224" s="10">
        <f t="shared" ca="1" si="79"/>
        <v>-166</v>
      </c>
      <c r="Q224" s="14">
        <v>0</v>
      </c>
      <c r="R224" s="14">
        <v>0</v>
      </c>
      <c r="S224" s="14">
        <v>0</v>
      </c>
      <c r="T224" s="13">
        <f t="shared" ca="1" si="71"/>
        <v>1764</v>
      </c>
      <c r="U224" s="12">
        <f t="shared" ca="1" si="81"/>
        <v>860</v>
      </c>
      <c r="V224" s="12">
        <f t="shared" ca="1" si="80"/>
        <v>897</v>
      </c>
      <c r="W224" s="12">
        <f t="shared" ca="1" si="82"/>
        <v>874</v>
      </c>
      <c r="X224" s="13"/>
      <c r="Y224" s="10"/>
      <c r="Z224" s="10"/>
      <c r="AA224" s="10"/>
      <c r="AB224" s="9"/>
    </row>
    <row r="225" spans="1:28" ht="13.15" customHeight="1">
      <c r="A225" s="36">
        <v>211</v>
      </c>
      <c r="B225" s="35">
        <f t="shared" si="72"/>
        <v>45283</v>
      </c>
      <c r="C225" s="16">
        <f t="shared" si="73"/>
        <v>1069</v>
      </c>
      <c r="D225" s="15">
        <f t="shared" si="64"/>
        <v>1594</v>
      </c>
      <c r="E225" s="14">
        <f t="shared" ca="1" si="65"/>
        <v>763</v>
      </c>
      <c r="F225" s="14">
        <f t="shared" ca="1" si="66"/>
        <v>776</v>
      </c>
      <c r="G225" s="14">
        <f t="shared" ca="1" si="67"/>
        <v>829</v>
      </c>
      <c r="H225" s="10">
        <f t="shared" ca="1" si="68"/>
        <v>1900</v>
      </c>
      <c r="I225" s="10">
        <f t="shared" ca="1" si="69"/>
        <v>1887</v>
      </c>
      <c r="J225" s="10">
        <f t="shared" ca="1" si="70"/>
        <v>1834</v>
      </c>
      <c r="K225" s="10">
        <f t="shared" si="74"/>
        <v>2000</v>
      </c>
      <c r="L225" s="10">
        <f t="shared" si="75"/>
        <v>2000</v>
      </c>
      <c r="M225" s="10">
        <f t="shared" si="76"/>
        <v>2000</v>
      </c>
      <c r="N225" s="10">
        <f t="shared" ca="1" si="77"/>
        <v>-100</v>
      </c>
      <c r="O225" s="10">
        <f t="shared" ca="1" si="78"/>
        <v>-113</v>
      </c>
      <c r="P225" s="10">
        <f t="shared" ca="1" si="79"/>
        <v>-166</v>
      </c>
      <c r="Q225" s="14">
        <v>0</v>
      </c>
      <c r="R225" s="14">
        <v>0</v>
      </c>
      <c r="S225" s="14">
        <v>0</v>
      </c>
      <c r="T225" s="13">
        <f t="shared" ca="1" si="71"/>
        <v>1766</v>
      </c>
      <c r="U225" s="12">
        <f t="shared" ca="1" si="81"/>
        <v>860</v>
      </c>
      <c r="V225" s="12">
        <f t="shared" ca="1" si="80"/>
        <v>897</v>
      </c>
      <c r="W225" s="12">
        <f t="shared" ca="1" si="82"/>
        <v>874</v>
      </c>
      <c r="X225" s="13"/>
      <c r="Y225" s="10"/>
      <c r="Z225" s="10"/>
      <c r="AA225" s="10"/>
      <c r="AB225" s="9"/>
    </row>
    <row r="226" spans="1:28" ht="13.15" customHeight="1">
      <c r="A226" s="36">
        <v>212</v>
      </c>
      <c r="B226" s="35">
        <f t="shared" si="72"/>
        <v>45284</v>
      </c>
      <c r="C226" s="16">
        <f t="shared" si="73"/>
        <v>1069</v>
      </c>
      <c r="D226" s="15">
        <f t="shared" si="64"/>
        <v>1596</v>
      </c>
      <c r="E226" s="14">
        <f t="shared" ca="1" si="65"/>
        <v>765</v>
      </c>
      <c r="F226" s="14">
        <f t="shared" ca="1" si="66"/>
        <v>778</v>
      </c>
      <c r="G226" s="14">
        <f t="shared" ca="1" si="67"/>
        <v>831</v>
      </c>
      <c r="H226" s="10">
        <f t="shared" ca="1" si="68"/>
        <v>1900</v>
      </c>
      <c r="I226" s="10">
        <f t="shared" ca="1" si="69"/>
        <v>1887</v>
      </c>
      <c r="J226" s="10">
        <f t="shared" ca="1" si="70"/>
        <v>1834</v>
      </c>
      <c r="K226" s="10">
        <f t="shared" si="74"/>
        <v>2000</v>
      </c>
      <c r="L226" s="10">
        <f t="shared" si="75"/>
        <v>2000</v>
      </c>
      <c r="M226" s="10">
        <f t="shared" si="76"/>
        <v>2000</v>
      </c>
      <c r="N226" s="10">
        <f t="shared" ca="1" si="77"/>
        <v>-100</v>
      </c>
      <c r="O226" s="10">
        <f t="shared" ca="1" si="78"/>
        <v>-113</v>
      </c>
      <c r="P226" s="10">
        <f t="shared" ca="1" si="79"/>
        <v>-166</v>
      </c>
      <c r="Q226" s="14">
        <v>0</v>
      </c>
      <c r="R226" s="14">
        <v>0</v>
      </c>
      <c r="S226" s="14">
        <v>0</v>
      </c>
      <c r="T226" s="13">
        <f t="shared" ca="1" si="71"/>
        <v>1768</v>
      </c>
      <c r="U226" s="12">
        <f t="shared" ca="1" si="81"/>
        <v>860</v>
      </c>
      <c r="V226" s="12">
        <f t="shared" ca="1" si="80"/>
        <v>897</v>
      </c>
      <c r="W226" s="12">
        <f t="shared" ca="1" si="82"/>
        <v>874</v>
      </c>
      <c r="X226" s="13"/>
      <c r="Y226" s="10"/>
      <c r="Z226" s="10"/>
      <c r="AA226" s="10"/>
      <c r="AB226" s="9"/>
    </row>
    <row r="227" spans="1:28" ht="13.15" customHeight="1">
      <c r="A227" s="36">
        <v>213</v>
      </c>
      <c r="B227" s="35">
        <f t="shared" si="72"/>
        <v>45285</v>
      </c>
      <c r="C227" s="16">
        <f t="shared" si="73"/>
        <v>1069</v>
      </c>
      <c r="D227" s="15">
        <f t="shared" si="64"/>
        <v>1598</v>
      </c>
      <c r="E227" s="14">
        <f t="shared" ca="1" si="65"/>
        <v>767</v>
      </c>
      <c r="F227" s="14">
        <f t="shared" ca="1" si="66"/>
        <v>780</v>
      </c>
      <c r="G227" s="14">
        <f t="shared" ca="1" si="67"/>
        <v>833</v>
      </c>
      <c r="H227" s="10">
        <f t="shared" ca="1" si="68"/>
        <v>1900</v>
      </c>
      <c r="I227" s="10">
        <f t="shared" ca="1" si="69"/>
        <v>1887</v>
      </c>
      <c r="J227" s="10">
        <f t="shared" ca="1" si="70"/>
        <v>1834</v>
      </c>
      <c r="K227" s="10">
        <f t="shared" si="74"/>
        <v>2000</v>
      </c>
      <c r="L227" s="10">
        <f t="shared" si="75"/>
        <v>2000</v>
      </c>
      <c r="M227" s="10">
        <f t="shared" si="76"/>
        <v>2000</v>
      </c>
      <c r="N227" s="10">
        <f t="shared" ca="1" si="77"/>
        <v>-100</v>
      </c>
      <c r="O227" s="10">
        <f t="shared" ca="1" si="78"/>
        <v>-113</v>
      </c>
      <c r="P227" s="10">
        <f t="shared" ca="1" si="79"/>
        <v>-166</v>
      </c>
      <c r="Q227" s="14">
        <v>0</v>
      </c>
      <c r="R227" s="14">
        <v>0</v>
      </c>
      <c r="S227" s="14">
        <v>0</v>
      </c>
      <c r="T227" s="13">
        <f t="shared" ca="1" si="71"/>
        <v>1770</v>
      </c>
      <c r="U227" s="12">
        <f t="shared" ca="1" si="81"/>
        <v>860</v>
      </c>
      <c r="V227" s="12">
        <f t="shared" ca="1" si="80"/>
        <v>897</v>
      </c>
      <c r="W227" s="12">
        <f t="shared" ca="1" si="82"/>
        <v>874</v>
      </c>
      <c r="X227" s="13"/>
      <c r="Y227" s="10"/>
      <c r="Z227" s="10"/>
      <c r="AA227" s="10"/>
      <c r="AB227" s="9"/>
    </row>
    <row r="228" spans="1:28" ht="13.15" customHeight="1">
      <c r="A228" s="36">
        <v>214</v>
      </c>
      <c r="B228" s="35">
        <f t="shared" si="72"/>
        <v>45286</v>
      </c>
      <c r="C228" s="16">
        <f t="shared" si="73"/>
        <v>1069</v>
      </c>
      <c r="D228" s="15">
        <f t="shared" si="64"/>
        <v>1600</v>
      </c>
      <c r="E228" s="14">
        <f t="shared" ca="1" si="65"/>
        <v>769</v>
      </c>
      <c r="F228" s="14">
        <f t="shared" ca="1" si="66"/>
        <v>782</v>
      </c>
      <c r="G228" s="14">
        <f t="shared" ca="1" si="67"/>
        <v>835</v>
      </c>
      <c r="H228" s="10">
        <f t="shared" ca="1" si="68"/>
        <v>1900</v>
      </c>
      <c r="I228" s="10">
        <f t="shared" ca="1" si="69"/>
        <v>1887</v>
      </c>
      <c r="J228" s="10">
        <f t="shared" ca="1" si="70"/>
        <v>1834</v>
      </c>
      <c r="K228" s="10">
        <f t="shared" si="74"/>
        <v>2000</v>
      </c>
      <c r="L228" s="10">
        <f t="shared" si="75"/>
        <v>2000</v>
      </c>
      <c r="M228" s="10">
        <f t="shared" si="76"/>
        <v>2000</v>
      </c>
      <c r="N228" s="10">
        <f t="shared" ca="1" si="77"/>
        <v>-100</v>
      </c>
      <c r="O228" s="10">
        <f t="shared" ca="1" si="78"/>
        <v>-113</v>
      </c>
      <c r="P228" s="10">
        <f t="shared" ca="1" si="79"/>
        <v>-166</v>
      </c>
      <c r="Q228" s="14">
        <v>0</v>
      </c>
      <c r="R228" s="14">
        <v>0</v>
      </c>
      <c r="S228" s="14">
        <v>0</v>
      </c>
      <c r="T228" s="13">
        <f t="shared" ca="1" si="71"/>
        <v>1772</v>
      </c>
      <c r="U228" s="12">
        <f t="shared" ca="1" si="81"/>
        <v>860</v>
      </c>
      <c r="V228" s="12">
        <f t="shared" ca="1" si="80"/>
        <v>897</v>
      </c>
      <c r="W228" s="12">
        <f t="shared" ca="1" si="82"/>
        <v>874</v>
      </c>
      <c r="X228" s="13"/>
      <c r="Y228" s="10"/>
      <c r="Z228" s="10"/>
      <c r="AA228" s="10"/>
      <c r="AB228" s="9"/>
    </row>
    <row r="229" spans="1:28" ht="13.15" customHeight="1">
      <c r="A229" s="36">
        <v>215</v>
      </c>
      <c r="B229" s="35">
        <f t="shared" si="72"/>
        <v>45287</v>
      </c>
      <c r="C229" s="16">
        <f t="shared" si="73"/>
        <v>1069</v>
      </c>
      <c r="D229" s="15">
        <f t="shared" si="64"/>
        <v>1602</v>
      </c>
      <c r="E229" s="14">
        <f t="shared" ca="1" si="65"/>
        <v>771</v>
      </c>
      <c r="F229" s="14">
        <f t="shared" ca="1" si="66"/>
        <v>784</v>
      </c>
      <c r="G229" s="14">
        <f t="shared" ca="1" si="67"/>
        <v>837</v>
      </c>
      <c r="H229" s="10">
        <f t="shared" ca="1" si="68"/>
        <v>1900</v>
      </c>
      <c r="I229" s="10">
        <f t="shared" ca="1" si="69"/>
        <v>1887</v>
      </c>
      <c r="J229" s="10">
        <f t="shared" ca="1" si="70"/>
        <v>1834</v>
      </c>
      <c r="K229" s="10">
        <f t="shared" si="74"/>
        <v>2000</v>
      </c>
      <c r="L229" s="10">
        <f t="shared" si="75"/>
        <v>2000</v>
      </c>
      <c r="M229" s="10">
        <f t="shared" si="76"/>
        <v>2000</v>
      </c>
      <c r="N229" s="10">
        <f t="shared" ca="1" si="77"/>
        <v>-100</v>
      </c>
      <c r="O229" s="10">
        <f t="shared" ca="1" si="78"/>
        <v>-113</v>
      </c>
      <c r="P229" s="10">
        <f t="shared" ca="1" si="79"/>
        <v>-166</v>
      </c>
      <c r="Q229" s="14">
        <v>0</v>
      </c>
      <c r="R229" s="14">
        <v>0</v>
      </c>
      <c r="S229" s="14">
        <v>0</v>
      </c>
      <c r="T229" s="13">
        <f t="shared" ca="1" si="71"/>
        <v>1774</v>
      </c>
      <c r="U229" s="12">
        <f t="shared" ca="1" si="81"/>
        <v>860</v>
      </c>
      <c r="V229" s="12">
        <f t="shared" ca="1" si="80"/>
        <v>897</v>
      </c>
      <c r="W229" s="12">
        <f t="shared" ca="1" si="82"/>
        <v>874</v>
      </c>
      <c r="X229" s="13"/>
      <c r="Y229" s="10"/>
      <c r="Z229" s="10"/>
      <c r="AA229" s="10"/>
      <c r="AB229" s="9"/>
    </row>
    <row r="230" spans="1:28" ht="13.15" customHeight="1">
      <c r="A230" s="36">
        <v>216</v>
      </c>
      <c r="B230" s="35">
        <f t="shared" si="72"/>
        <v>45288</v>
      </c>
      <c r="C230" s="16">
        <f t="shared" si="73"/>
        <v>1069</v>
      </c>
      <c r="D230" s="15">
        <f t="shared" si="64"/>
        <v>1604</v>
      </c>
      <c r="E230" s="14">
        <f t="shared" ca="1" si="65"/>
        <v>773</v>
      </c>
      <c r="F230" s="14">
        <f t="shared" ca="1" si="66"/>
        <v>786</v>
      </c>
      <c r="G230" s="14">
        <f t="shared" ca="1" si="67"/>
        <v>839</v>
      </c>
      <c r="H230" s="10">
        <f t="shared" ca="1" si="68"/>
        <v>1900</v>
      </c>
      <c r="I230" s="10">
        <f t="shared" ca="1" si="69"/>
        <v>1887</v>
      </c>
      <c r="J230" s="10">
        <f t="shared" ca="1" si="70"/>
        <v>1834</v>
      </c>
      <c r="K230" s="10">
        <f t="shared" si="74"/>
        <v>2000</v>
      </c>
      <c r="L230" s="10">
        <f t="shared" si="75"/>
        <v>2000</v>
      </c>
      <c r="M230" s="10">
        <f t="shared" si="76"/>
        <v>2000</v>
      </c>
      <c r="N230" s="10">
        <f t="shared" ca="1" si="77"/>
        <v>-100</v>
      </c>
      <c r="O230" s="10">
        <f t="shared" ca="1" si="78"/>
        <v>-113</v>
      </c>
      <c r="P230" s="10">
        <f t="shared" ca="1" si="79"/>
        <v>-166</v>
      </c>
      <c r="Q230" s="14">
        <v>0</v>
      </c>
      <c r="R230" s="14">
        <v>0</v>
      </c>
      <c r="S230" s="14">
        <v>0</v>
      </c>
      <c r="T230" s="13">
        <f t="shared" ca="1" si="71"/>
        <v>1776</v>
      </c>
      <c r="U230" s="12">
        <f t="shared" ca="1" si="81"/>
        <v>860</v>
      </c>
      <c r="V230" s="12">
        <f t="shared" ca="1" si="80"/>
        <v>897</v>
      </c>
      <c r="W230" s="12">
        <f t="shared" ca="1" si="82"/>
        <v>874</v>
      </c>
      <c r="X230" s="13"/>
      <c r="Y230" s="10"/>
      <c r="Z230" s="10"/>
      <c r="AA230" s="10"/>
      <c r="AB230" s="9"/>
    </row>
    <row r="231" spans="1:28" ht="13.15" customHeight="1">
      <c r="A231" s="36">
        <v>217</v>
      </c>
      <c r="B231" s="35">
        <f t="shared" si="72"/>
        <v>45289</v>
      </c>
      <c r="C231" s="16">
        <f t="shared" si="73"/>
        <v>1069</v>
      </c>
      <c r="D231" s="15">
        <f t="shared" si="64"/>
        <v>1606</v>
      </c>
      <c r="E231" s="14">
        <f t="shared" ca="1" si="65"/>
        <v>775</v>
      </c>
      <c r="F231" s="14">
        <f t="shared" ca="1" si="66"/>
        <v>788</v>
      </c>
      <c r="G231" s="14">
        <f t="shared" ca="1" si="67"/>
        <v>841</v>
      </c>
      <c r="H231" s="10">
        <f t="shared" ca="1" si="68"/>
        <v>1900</v>
      </c>
      <c r="I231" s="10">
        <f t="shared" ca="1" si="69"/>
        <v>1887</v>
      </c>
      <c r="J231" s="10">
        <f t="shared" ca="1" si="70"/>
        <v>1834</v>
      </c>
      <c r="K231" s="10">
        <f t="shared" si="74"/>
        <v>2000</v>
      </c>
      <c r="L231" s="10">
        <f t="shared" si="75"/>
        <v>2000</v>
      </c>
      <c r="M231" s="10">
        <f t="shared" si="76"/>
        <v>2000</v>
      </c>
      <c r="N231" s="10">
        <f t="shared" ca="1" si="77"/>
        <v>-100</v>
      </c>
      <c r="O231" s="10">
        <f t="shared" ca="1" si="78"/>
        <v>-113</v>
      </c>
      <c r="P231" s="10">
        <f t="shared" ca="1" si="79"/>
        <v>-166</v>
      </c>
      <c r="Q231" s="14">
        <v>0</v>
      </c>
      <c r="R231" s="14">
        <v>0</v>
      </c>
      <c r="S231" s="14">
        <v>0</v>
      </c>
      <c r="T231" s="13">
        <f t="shared" ca="1" si="71"/>
        <v>1778</v>
      </c>
      <c r="U231" s="12">
        <f t="shared" ca="1" si="81"/>
        <v>860</v>
      </c>
      <c r="V231" s="12">
        <f t="shared" ca="1" si="80"/>
        <v>897</v>
      </c>
      <c r="W231" s="12">
        <f t="shared" ca="1" si="82"/>
        <v>874</v>
      </c>
      <c r="X231" s="13"/>
      <c r="Y231" s="10"/>
      <c r="Z231" s="10"/>
      <c r="AA231" s="10"/>
      <c r="AB231" s="9"/>
    </row>
    <row r="232" spans="1:28" ht="13.15" customHeight="1">
      <c r="A232" s="36">
        <v>218</v>
      </c>
      <c r="B232" s="35">
        <f t="shared" si="72"/>
        <v>45290</v>
      </c>
      <c r="C232" s="16">
        <f t="shared" si="73"/>
        <v>1069</v>
      </c>
      <c r="D232" s="15">
        <f t="shared" si="64"/>
        <v>1608</v>
      </c>
      <c r="E232" s="14">
        <f t="shared" ca="1" si="65"/>
        <v>777</v>
      </c>
      <c r="F232" s="14">
        <f t="shared" ca="1" si="66"/>
        <v>790</v>
      </c>
      <c r="G232" s="14">
        <f t="shared" ca="1" si="67"/>
        <v>843</v>
      </c>
      <c r="H232" s="10">
        <f t="shared" ca="1" si="68"/>
        <v>1900</v>
      </c>
      <c r="I232" s="10">
        <f t="shared" ca="1" si="69"/>
        <v>1887</v>
      </c>
      <c r="J232" s="10">
        <f t="shared" ca="1" si="70"/>
        <v>1834</v>
      </c>
      <c r="K232" s="10">
        <f t="shared" si="74"/>
        <v>2000</v>
      </c>
      <c r="L232" s="10">
        <f t="shared" si="75"/>
        <v>2000</v>
      </c>
      <c r="M232" s="10">
        <f t="shared" si="76"/>
        <v>2000</v>
      </c>
      <c r="N232" s="10">
        <f t="shared" ca="1" si="77"/>
        <v>-100</v>
      </c>
      <c r="O232" s="10">
        <f t="shared" ca="1" si="78"/>
        <v>-113</v>
      </c>
      <c r="P232" s="10">
        <f t="shared" ca="1" si="79"/>
        <v>-166</v>
      </c>
      <c r="Q232" s="14">
        <v>0</v>
      </c>
      <c r="R232" s="14">
        <v>0</v>
      </c>
      <c r="S232" s="14">
        <v>0</v>
      </c>
      <c r="T232" s="13">
        <f t="shared" ca="1" si="71"/>
        <v>1780</v>
      </c>
      <c r="U232" s="12">
        <f t="shared" ca="1" si="81"/>
        <v>860</v>
      </c>
      <c r="V232" s="12">
        <f t="shared" ca="1" si="80"/>
        <v>897</v>
      </c>
      <c r="W232" s="12">
        <f t="shared" ca="1" si="82"/>
        <v>874</v>
      </c>
      <c r="X232" s="13"/>
      <c r="Y232" s="10"/>
      <c r="Z232" s="10"/>
      <c r="AA232" s="10"/>
      <c r="AB232" s="9"/>
    </row>
    <row r="233" spans="1:28" ht="13.15" customHeight="1">
      <c r="A233" s="36">
        <v>219</v>
      </c>
      <c r="B233" s="35">
        <f t="shared" si="72"/>
        <v>45291</v>
      </c>
      <c r="C233" s="16">
        <f t="shared" si="73"/>
        <v>1069</v>
      </c>
      <c r="D233" s="15">
        <f t="shared" si="64"/>
        <v>1610</v>
      </c>
      <c r="E233" s="14">
        <f t="shared" ca="1" si="65"/>
        <v>779</v>
      </c>
      <c r="F233" s="14">
        <f t="shared" ca="1" si="66"/>
        <v>792</v>
      </c>
      <c r="G233" s="14">
        <f t="shared" ca="1" si="67"/>
        <v>845</v>
      </c>
      <c r="H233" s="10">
        <f t="shared" ca="1" si="68"/>
        <v>1900</v>
      </c>
      <c r="I233" s="10">
        <f t="shared" ca="1" si="69"/>
        <v>1887</v>
      </c>
      <c r="J233" s="10">
        <f t="shared" ca="1" si="70"/>
        <v>1834</v>
      </c>
      <c r="K233" s="10">
        <f t="shared" si="74"/>
        <v>2000</v>
      </c>
      <c r="L233" s="10">
        <f t="shared" si="75"/>
        <v>2000</v>
      </c>
      <c r="M233" s="10">
        <f t="shared" si="76"/>
        <v>2000</v>
      </c>
      <c r="N233" s="10">
        <f t="shared" ca="1" si="77"/>
        <v>-100</v>
      </c>
      <c r="O233" s="10">
        <f t="shared" ca="1" si="78"/>
        <v>-113</v>
      </c>
      <c r="P233" s="10">
        <f t="shared" ca="1" si="79"/>
        <v>-166</v>
      </c>
      <c r="Q233" s="14">
        <v>0</v>
      </c>
      <c r="R233" s="14">
        <v>0</v>
      </c>
      <c r="S233" s="14">
        <v>0</v>
      </c>
      <c r="T233" s="13">
        <f t="shared" ca="1" si="71"/>
        <v>1782</v>
      </c>
      <c r="U233" s="12">
        <f t="shared" ca="1" si="81"/>
        <v>860</v>
      </c>
      <c r="V233" s="12">
        <f t="shared" ca="1" si="80"/>
        <v>897</v>
      </c>
      <c r="W233" s="12">
        <f t="shared" ca="1" si="82"/>
        <v>874</v>
      </c>
      <c r="X233" s="13"/>
      <c r="Y233" s="10"/>
      <c r="Z233" s="10"/>
      <c r="AA233" s="10"/>
      <c r="AB233" s="9"/>
    </row>
    <row r="234" spans="1:28" ht="13.15" customHeight="1">
      <c r="A234" s="36">
        <v>220</v>
      </c>
      <c r="B234" s="35">
        <f t="shared" si="72"/>
        <v>45292</v>
      </c>
      <c r="C234" s="16">
        <f t="shared" si="73"/>
        <v>1069</v>
      </c>
      <c r="D234" s="15">
        <f t="shared" si="64"/>
        <v>1612</v>
      </c>
      <c r="E234" s="14">
        <f t="shared" ca="1" si="65"/>
        <v>781</v>
      </c>
      <c r="F234" s="14">
        <f t="shared" ca="1" si="66"/>
        <v>794</v>
      </c>
      <c r="G234" s="14">
        <f t="shared" ca="1" si="67"/>
        <v>847</v>
      </c>
      <c r="H234" s="10">
        <f t="shared" ca="1" si="68"/>
        <v>1900</v>
      </c>
      <c r="I234" s="10">
        <f t="shared" ca="1" si="69"/>
        <v>1887</v>
      </c>
      <c r="J234" s="10">
        <f t="shared" ca="1" si="70"/>
        <v>1834</v>
      </c>
      <c r="K234" s="10">
        <f t="shared" si="74"/>
        <v>2000</v>
      </c>
      <c r="L234" s="10">
        <f t="shared" si="75"/>
        <v>2000</v>
      </c>
      <c r="M234" s="10">
        <f t="shared" si="76"/>
        <v>2000</v>
      </c>
      <c r="N234" s="10">
        <f t="shared" ca="1" si="77"/>
        <v>-100</v>
      </c>
      <c r="O234" s="10">
        <f t="shared" ca="1" si="78"/>
        <v>-113</v>
      </c>
      <c r="P234" s="10">
        <f t="shared" ca="1" si="79"/>
        <v>-166</v>
      </c>
      <c r="Q234" s="14">
        <v>0</v>
      </c>
      <c r="R234" s="14">
        <v>0</v>
      </c>
      <c r="S234" s="14">
        <v>0</v>
      </c>
      <c r="T234" s="13">
        <f t="shared" ca="1" si="71"/>
        <v>1784</v>
      </c>
      <c r="U234" s="12">
        <f t="shared" ca="1" si="81"/>
        <v>860</v>
      </c>
      <c r="V234" s="12">
        <f t="shared" ca="1" si="80"/>
        <v>897</v>
      </c>
      <c r="W234" s="12">
        <f t="shared" ca="1" si="82"/>
        <v>874</v>
      </c>
      <c r="X234" s="13"/>
      <c r="Y234" s="10"/>
      <c r="Z234" s="10"/>
      <c r="AA234" s="10"/>
      <c r="AB234" s="9"/>
    </row>
    <row r="235" spans="1:28" ht="13.15" customHeight="1">
      <c r="A235" s="36">
        <v>221</v>
      </c>
      <c r="B235" s="35">
        <f t="shared" si="72"/>
        <v>45293</v>
      </c>
      <c r="C235" s="16">
        <f t="shared" si="73"/>
        <v>1069</v>
      </c>
      <c r="D235" s="15">
        <f t="shared" si="64"/>
        <v>1614</v>
      </c>
      <c r="E235" s="14">
        <f t="shared" ca="1" si="65"/>
        <v>783</v>
      </c>
      <c r="F235" s="14">
        <f t="shared" ca="1" si="66"/>
        <v>796</v>
      </c>
      <c r="G235" s="14">
        <f t="shared" ca="1" si="67"/>
        <v>849</v>
      </c>
      <c r="H235" s="10">
        <f t="shared" ca="1" si="68"/>
        <v>1900</v>
      </c>
      <c r="I235" s="10">
        <f t="shared" ca="1" si="69"/>
        <v>1887</v>
      </c>
      <c r="J235" s="10">
        <f t="shared" ca="1" si="70"/>
        <v>1834</v>
      </c>
      <c r="K235" s="10">
        <f t="shared" si="74"/>
        <v>2000</v>
      </c>
      <c r="L235" s="10">
        <f t="shared" si="75"/>
        <v>2000</v>
      </c>
      <c r="M235" s="10">
        <f t="shared" si="76"/>
        <v>2000</v>
      </c>
      <c r="N235" s="10">
        <f t="shared" ca="1" si="77"/>
        <v>-100</v>
      </c>
      <c r="O235" s="10">
        <f t="shared" ca="1" si="78"/>
        <v>-113</v>
      </c>
      <c r="P235" s="10">
        <f t="shared" ca="1" si="79"/>
        <v>-166</v>
      </c>
      <c r="Q235" s="14">
        <v>0</v>
      </c>
      <c r="R235" s="14">
        <v>0</v>
      </c>
      <c r="S235" s="14">
        <v>0</v>
      </c>
      <c r="T235" s="13">
        <f t="shared" ca="1" si="71"/>
        <v>1786</v>
      </c>
      <c r="U235" s="12">
        <f t="shared" ca="1" si="81"/>
        <v>860</v>
      </c>
      <c r="V235" s="12">
        <f t="shared" ca="1" si="80"/>
        <v>897</v>
      </c>
      <c r="W235" s="12">
        <f t="shared" ca="1" si="82"/>
        <v>874</v>
      </c>
      <c r="X235" s="13"/>
      <c r="Y235" s="10"/>
      <c r="Z235" s="10"/>
      <c r="AA235" s="10"/>
      <c r="AB235" s="9"/>
    </row>
    <row r="236" spans="1:28" ht="13.15" customHeight="1">
      <c r="A236" s="36">
        <v>222</v>
      </c>
      <c r="B236" s="35">
        <f t="shared" si="72"/>
        <v>45294</v>
      </c>
      <c r="C236" s="16">
        <f t="shared" si="73"/>
        <v>1069</v>
      </c>
      <c r="D236" s="15">
        <f t="shared" si="64"/>
        <v>1616</v>
      </c>
      <c r="E236" s="14">
        <f t="shared" ca="1" si="65"/>
        <v>785</v>
      </c>
      <c r="F236" s="14">
        <f t="shared" ca="1" si="66"/>
        <v>798</v>
      </c>
      <c r="G236" s="14">
        <f t="shared" ca="1" si="67"/>
        <v>851</v>
      </c>
      <c r="H236" s="10">
        <f t="shared" ca="1" si="68"/>
        <v>1900</v>
      </c>
      <c r="I236" s="10">
        <f t="shared" ca="1" si="69"/>
        <v>1887</v>
      </c>
      <c r="J236" s="10">
        <f t="shared" ca="1" si="70"/>
        <v>1834</v>
      </c>
      <c r="K236" s="10">
        <f t="shared" si="74"/>
        <v>2000</v>
      </c>
      <c r="L236" s="10">
        <f t="shared" si="75"/>
        <v>2000</v>
      </c>
      <c r="M236" s="10">
        <f t="shared" si="76"/>
        <v>2000</v>
      </c>
      <c r="N236" s="10">
        <f t="shared" ca="1" si="77"/>
        <v>-100</v>
      </c>
      <c r="O236" s="10">
        <f t="shared" ca="1" si="78"/>
        <v>-113</v>
      </c>
      <c r="P236" s="10">
        <f t="shared" ca="1" si="79"/>
        <v>-166</v>
      </c>
      <c r="Q236" s="14">
        <v>0</v>
      </c>
      <c r="R236" s="14">
        <v>0</v>
      </c>
      <c r="S236" s="14">
        <v>0</v>
      </c>
      <c r="T236" s="13">
        <f t="shared" ca="1" si="71"/>
        <v>1788</v>
      </c>
      <c r="U236" s="12">
        <f t="shared" ca="1" si="81"/>
        <v>860</v>
      </c>
      <c r="V236" s="12">
        <f t="shared" ca="1" si="80"/>
        <v>897</v>
      </c>
      <c r="W236" s="12">
        <f t="shared" ca="1" si="82"/>
        <v>874</v>
      </c>
      <c r="X236" s="13"/>
      <c r="Y236" s="10"/>
      <c r="Z236" s="10"/>
      <c r="AA236" s="10"/>
      <c r="AB236" s="9"/>
    </row>
    <row r="237" spans="1:28" ht="13.15" customHeight="1">
      <c r="A237" s="36">
        <v>223</v>
      </c>
      <c r="B237" s="35">
        <f t="shared" si="72"/>
        <v>45295</v>
      </c>
      <c r="C237" s="16">
        <f t="shared" si="73"/>
        <v>1069</v>
      </c>
      <c r="D237" s="15">
        <f t="shared" si="64"/>
        <v>1618</v>
      </c>
      <c r="E237" s="14">
        <f t="shared" ca="1" si="65"/>
        <v>787</v>
      </c>
      <c r="F237" s="14">
        <f t="shared" ca="1" si="66"/>
        <v>800</v>
      </c>
      <c r="G237" s="14">
        <f t="shared" ca="1" si="67"/>
        <v>853</v>
      </c>
      <c r="H237" s="10">
        <f t="shared" ca="1" si="68"/>
        <v>1900</v>
      </c>
      <c r="I237" s="10">
        <f t="shared" ca="1" si="69"/>
        <v>1887</v>
      </c>
      <c r="J237" s="10">
        <f t="shared" ca="1" si="70"/>
        <v>1834</v>
      </c>
      <c r="K237" s="10">
        <f t="shared" si="74"/>
        <v>2000</v>
      </c>
      <c r="L237" s="10">
        <f t="shared" si="75"/>
        <v>2000</v>
      </c>
      <c r="M237" s="10">
        <f t="shared" si="76"/>
        <v>2000</v>
      </c>
      <c r="N237" s="10">
        <f t="shared" ca="1" si="77"/>
        <v>-100</v>
      </c>
      <c r="O237" s="10">
        <f t="shared" ca="1" si="78"/>
        <v>-113</v>
      </c>
      <c r="P237" s="10">
        <f t="shared" ca="1" si="79"/>
        <v>-166</v>
      </c>
      <c r="Q237" s="14">
        <v>0</v>
      </c>
      <c r="R237" s="14">
        <v>0</v>
      </c>
      <c r="S237" s="14">
        <v>0</v>
      </c>
      <c r="T237" s="13">
        <f t="shared" ca="1" si="71"/>
        <v>1790</v>
      </c>
      <c r="U237" s="12">
        <f t="shared" ca="1" si="81"/>
        <v>860</v>
      </c>
      <c r="V237" s="12">
        <f t="shared" ca="1" si="80"/>
        <v>897</v>
      </c>
      <c r="W237" s="12">
        <f t="shared" ca="1" si="82"/>
        <v>874</v>
      </c>
      <c r="X237" s="13"/>
      <c r="Y237" s="10"/>
      <c r="Z237" s="10"/>
      <c r="AA237" s="10"/>
      <c r="AB237" s="9"/>
    </row>
    <row r="238" spans="1:28" ht="13.15" customHeight="1">
      <c r="A238" s="36">
        <v>224</v>
      </c>
      <c r="B238" s="35">
        <f t="shared" si="72"/>
        <v>45296</v>
      </c>
      <c r="C238" s="16">
        <f t="shared" si="73"/>
        <v>1069</v>
      </c>
      <c r="D238" s="15">
        <f t="shared" si="64"/>
        <v>1620</v>
      </c>
      <c r="E238" s="14">
        <f t="shared" ca="1" si="65"/>
        <v>789</v>
      </c>
      <c r="F238" s="14">
        <f t="shared" ca="1" si="66"/>
        <v>802</v>
      </c>
      <c r="G238" s="14">
        <f t="shared" ca="1" si="67"/>
        <v>855</v>
      </c>
      <c r="H238" s="10">
        <f t="shared" ca="1" si="68"/>
        <v>1900</v>
      </c>
      <c r="I238" s="10">
        <f t="shared" ca="1" si="69"/>
        <v>1887</v>
      </c>
      <c r="J238" s="10">
        <f t="shared" ca="1" si="70"/>
        <v>1834</v>
      </c>
      <c r="K238" s="10">
        <f t="shared" si="74"/>
        <v>2000</v>
      </c>
      <c r="L238" s="10">
        <f t="shared" si="75"/>
        <v>2000</v>
      </c>
      <c r="M238" s="10">
        <f t="shared" si="76"/>
        <v>2000</v>
      </c>
      <c r="N238" s="10">
        <f t="shared" ca="1" si="77"/>
        <v>-100</v>
      </c>
      <c r="O238" s="10">
        <f t="shared" ca="1" si="78"/>
        <v>-113</v>
      </c>
      <c r="P238" s="10">
        <f t="shared" ca="1" si="79"/>
        <v>-166</v>
      </c>
      <c r="Q238" s="14">
        <v>0</v>
      </c>
      <c r="R238" s="14">
        <v>0</v>
      </c>
      <c r="S238" s="14">
        <v>0</v>
      </c>
      <c r="T238" s="13">
        <f t="shared" ca="1" si="71"/>
        <v>1792</v>
      </c>
      <c r="U238" s="12">
        <f t="shared" ca="1" si="81"/>
        <v>860</v>
      </c>
      <c r="V238" s="12">
        <f t="shared" ca="1" si="80"/>
        <v>897</v>
      </c>
      <c r="W238" s="12">
        <f t="shared" ca="1" si="82"/>
        <v>874</v>
      </c>
      <c r="X238" s="13"/>
      <c r="Y238" s="10"/>
      <c r="Z238" s="10"/>
      <c r="AA238" s="10"/>
      <c r="AB238" s="9"/>
    </row>
    <row r="239" spans="1:28" ht="13.15" customHeight="1">
      <c r="A239" s="36">
        <v>225</v>
      </c>
      <c r="B239" s="35">
        <f t="shared" si="72"/>
        <v>45297</v>
      </c>
      <c r="C239" s="16">
        <f t="shared" si="73"/>
        <v>1069</v>
      </c>
      <c r="D239" s="15">
        <f t="shared" si="64"/>
        <v>1622</v>
      </c>
      <c r="E239" s="14">
        <f t="shared" ca="1" si="65"/>
        <v>791</v>
      </c>
      <c r="F239" s="14">
        <f t="shared" ca="1" si="66"/>
        <v>804</v>
      </c>
      <c r="G239" s="14">
        <f t="shared" ca="1" si="67"/>
        <v>857</v>
      </c>
      <c r="H239" s="10">
        <f t="shared" ca="1" si="68"/>
        <v>1900</v>
      </c>
      <c r="I239" s="10">
        <f t="shared" ca="1" si="69"/>
        <v>1887</v>
      </c>
      <c r="J239" s="10">
        <f t="shared" ca="1" si="70"/>
        <v>1834</v>
      </c>
      <c r="K239" s="10">
        <f t="shared" si="74"/>
        <v>2000</v>
      </c>
      <c r="L239" s="10">
        <f t="shared" si="75"/>
        <v>2000</v>
      </c>
      <c r="M239" s="10">
        <f t="shared" si="76"/>
        <v>2000</v>
      </c>
      <c r="N239" s="10">
        <f t="shared" ca="1" si="77"/>
        <v>-100</v>
      </c>
      <c r="O239" s="10">
        <f t="shared" ca="1" si="78"/>
        <v>-113</v>
      </c>
      <c r="P239" s="10">
        <f t="shared" ca="1" si="79"/>
        <v>-166</v>
      </c>
      <c r="Q239" s="14">
        <v>0</v>
      </c>
      <c r="R239" s="14">
        <v>0</v>
      </c>
      <c r="S239" s="14">
        <v>0</v>
      </c>
      <c r="T239" s="13">
        <f t="shared" ca="1" si="71"/>
        <v>1794</v>
      </c>
      <c r="U239" s="12">
        <f t="shared" ca="1" si="81"/>
        <v>860</v>
      </c>
      <c r="V239" s="12">
        <f t="shared" ca="1" si="80"/>
        <v>897</v>
      </c>
      <c r="W239" s="12">
        <f t="shared" ca="1" si="82"/>
        <v>874</v>
      </c>
      <c r="X239" s="13"/>
      <c r="Y239" s="10"/>
      <c r="Z239" s="10"/>
      <c r="AA239" s="10"/>
      <c r="AB239" s="9"/>
    </row>
    <row r="240" spans="1:28" ht="13.15" customHeight="1">
      <c r="A240" s="36">
        <v>226</v>
      </c>
      <c r="B240" s="35">
        <f t="shared" si="72"/>
        <v>45298</v>
      </c>
      <c r="C240" s="16">
        <f t="shared" si="73"/>
        <v>1069</v>
      </c>
      <c r="D240" s="15">
        <f t="shared" si="64"/>
        <v>1624</v>
      </c>
      <c r="E240" s="14">
        <f t="shared" ca="1" si="65"/>
        <v>793</v>
      </c>
      <c r="F240" s="14">
        <f t="shared" ca="1" si="66"/>
        <v>806</v>
      </c>
      <c r="G240" s="14">
        <f t="shared" ca="1" si="67"/>
        <v>859</v>
      </c>
      <c r="H240" s="10">
        <f t="shared" ca="1" si="68"/>
        <v>1900</v>
      </c>
      <c r="I240" s="10">
        <f t="shared" ca="1" si="69"/>
        <v>1887</v>
      </c>
      <c r="J240" s="10">
        <f t="shared" ca="1" si="70"/>
        <v>1834</v>
      </c>
      <c r="K240" s="10">
        <f t="shared" si="74"/>
        <v>2000</v>
      </c>
      <c r="L240" s="10">
        <f t="shared" si="75"/>
        <v>2000</v>
      </c>
      <c r="M240" s="10">
        <f t="shared" si="76"/>
        <v>2000</v>
      </c>
      <c r="N240" s="10">
        <f t="shared" ca="1" si="77"/>
        <v>-100</v>
      </c>
      <c r="O240" s="10">
        <f t="shared" ca="1" si="78"/>
        <v>-113</v>
      </c>
      <c r="P240" s="10">
        <f t="shared" ca="1" si="79"/>
        <v>-166</v>
      </c>
      <c r="Q240" s="14">
        <v>0</v>
      </c>
      <c r="R240" s="14">
        <v>0</v>
      </c>
      <c r="S240" s="14">
        <v>0</v>
      </c>
      <c r="T240" s="13">
        <f t="shared" ca="1" si="71"/>
        <v>1796</v>
      </c>
      <c r="U240" s="12">
        <f t="shared" ca="1" si="81"/>
        <v>860</v>
      </c>
      <c r="V240" s="12">
        <f t="shared" ca="1" si="80"/>
        <v>897</v>
      </c>
      <c r="W240" s="12">
        <f t="shared" ca="1" si="82"/>
        <v>874</v>
      </c>
      <c r="X240" s="13"/>
      <c r="Y240" s="10"/>
      <c r="Z240" s="10"/>
      <c r="AA240" s="10"/>
      <c r="AB240" s="9"/>
    </row>
    <row r="241" spans="1:28" ht="13.15" customHeight="1">
      <c r="A241" s="36">
        <v>227</v>
      </c>
      <c r="B241" s="35">
        <f t="shared" si="72"/>
        <v>45299</v>
      </c>
      <c r="C241" s="16">
        <f t="shared" si="73"/>
        <v>1069</v>
      </c>
      <c r="D241" s="15">
        <f t="shared" si="64"/>
        <v>1626</v>
      </c>
      <c r="E241" s="14">
        <f t="shared" ca="1" si="65"/>
        <v>795</v>
      </c>
      <c r="F241" s="14">
        <f t="shared" ca="1" si="66"/>
        <v>808</v>
      </c>
      <c r="G241" s="14">
        <f t="shared" ca="1" si="67"/>
        <v>861</v>
      </c>
      <c r="H241" s="10">
        <f t="shared" ca="1" si="68"/>
        <v>1900</v>
      </c>
      <c r="I241" s="10">
        <f t="shared" ca="1" si="69"/>
        <v>1887</v>
      </c>
      <c r="J241" s="10">
        <f t="shared" ca="1" si="70"/>
        <v>1834</v>
      </c>
      <c r="K241" s="10">
        <f t="shared" si="74"/>
        <v>2000</v>
      </c>
      <c r="L241" s="10">
        <f t="shared" si="75"/>
        <v>2000</v>
      </c>
      <c r="M241" s="10">
        <f t="shared" si="76"/>
        <v>2000</v>
      </c>
      <c r="N241" s="10">
        <f t="shared" ca="1" si="77"/>
        <v>-100</v>
      </c>
      <c r="O241" s="10">
        <f t="shared" ca="1" si="78"/>
        <v>-113</v>
      </c>
      <c r="P241" s="10">
        <f t="shared" ca="1" si="79"/>
        <v>-166</v>
      </c>
      <c r="Q241" s="14">
        <v>0</v>
      </c>
      <c r="R241" s="14">
        <v>0</v>
      </c>
      <c r="S241" s="14">
        <v>0</v>
      </c>
      <c r="T241" s="13">
        <f t="shared" ca="1" si="71"/>
        <v>1798</v>
      </c>
      <c r="U241" s="12">
        <f t="shared" ca="1" si="81"/>
        <v>860</v>
      </c>
      <c r="V241" s="12">
        <f t="shared" ca="1" si="80"/>
        <v>897</v>
      </c>
      <c r="W241" s="12">
        <f t="shared" ca="1" si="82"/>
        <v>874</v>
      </c>
      <c r="X241" s="13"/>
      <c r="Y241" s="10"/>
      <c r="Z241" s="10"/>
      <c r="AA241" s="10"/>
      <c r="AB241" s="9"/>
    </row>
    <row r="242" spans="1:28" ht="13.15" customHeight="1">
      <c r="A242" s="36">
        <v>228</v>
      </c>
      <c r="B242" s="35">
        <f t="shared" si="72"/>
        <v>45300</v>
      </c>
      <c r="C242" s="16">
        <f t="shared" si="73"/>
        <v>1069</v>
      </c>
      <c r="D242" s="15">
        <f t="shared" si="64"/>
        <v>1628</v>
      </c>
      <c r="E242" s="14">
        <f t="shared" ca="1" si="65"/>
        <v>797</v>
      </c>
      <c r="F242" s="14">
        <f t="shared" ca="1" si="66"/>
        <v>810</v>
      </c>
      <c r="G242" s="14">
        <f t="shared" ca="1" si="67"/>
        <v>863</v>
      </c>
      <c r="H242" s="10">
        <f t="shared" ca="1" si="68"/>
        <v>1900</v>
      </c>
      <c r="I242" s="10">
        <f t="shared" ca="1" si="69"/>
        <v>1887</v>
      </c>
      <c r="J242" s="10">
        <f t="shared" ca="1" si="70"/>
        <v>1834</v>
      </c>
      <c r="K242" s="10">
        <f t="shared" si="74"/>
        <v>2000</v>
      </c>
      <c r="L242" s="10">
        <f t="shared" si="75"/>
        <v>2000</v>
      </c>
      <c r="M242" s="10">
        <f t="shared" si="76"/>
        <v>2000</v>
      </c>
      <c r="N242" s="10">
        <f t="shared" ca="1" si="77"/>
        <v>-100</v>
      </c>
      <c r="O242" s="10">
        <f t="shared" ca="1" si="78"/>
        <v>-113</v>
      </c>
      <c r="P242" s="10">
        <f t="shared" ca="1" si="79"/>
        <v>-166</v>
      </c>
      <c r="Q242" s="14">
        <v>0</v>
      </c>
      <c r="R242" s="14">
        <v>0</v>
      </c>
      <c r="S242" s="14">
        <v>0</v>
      </c>
      <c r="T242" s="13">
        <f t="shared" ca="1" si="71"/>
        <v>1800</v>
      </c>
      <c r="U242" s="12">
        <f t="shared" ca="1" si="81"/>
        <v>860</v>
      </c>
      <c r="V242" s="12">
        <f t="shared" ca="1" si="80"/>
        <v>897</v>
      </c>
      <c r="W242" s="12">
        <f t="shared" ca="1" si="82"/>
        <v>874</v>
      </c>
      <c r="X242" s="13"/>
      <c r="Y242" s="10"/>
      <c r="Z242" s="10"/>
      <c r="AA242" s="10"/>
      <c r="AB242" s="9"/>
    </row>
    <row r="243" spans="1:28" ht="13.15" customHeight="1">
      <c r="A243" s="36">
        <v>229</v>
      </c>
      <c r="B243" s="35">
        <f t="shared" si="72"/>
        <v>45301</v>
      </c>
      <c r="C243" s="16">
        <f t="shared" si="73"/>
        <v>1069</v>
      </c>
      <c r="D243" s="15">
        <f t="shared" si="64"/>
        <v>1630</v>
      </c>
      <c r="E243" s="14">
        <f t="shared" ca="1" si="65"/>
        <v>799</v>
      </c>
      <c r="F243" s="14">
        <f t="shared" ca="1" si="66"/>
        <v>812</v>
      </c>
      <c r="G243" s="14">
        <f t="shared" ca="1" si="67"/>
        <v>865</v>
      </c>
      <c r="H243" s="10">
        <f t="shared" ca="1" si="68"/>
        <v>1900</v>
      </c>
      <c r="I243" s="10">
        <f t="shared" ca="1" si="69"/>
        <v>1887</v>
      </c>
      <c r="J243" s="10">
        <f t="shared" ca="1" si="70"/>
        <v>1834</v>
      </c>
      <c r="K243" s="10">
        <f t="shared" si="74"/>
        <v>2000</v>
      </c>
      <c r="L243" s="10">
        <f t="shared" si="75"/>
        <v>2000</v>
      </c>
      <c r="M243" s="10">
        <f t="shared" si="76"/>
        <v>2000</v>
      </c>
      <c r="N243" s="10">
        <f t="shared" ca="1" si="77"/>
        <v>-100</v>
      </c>
      <c r="O243" s="10">
        <f t="shared" ca="1" si="78"/>
        <v>-113</v>
      </c>
      <c r="P243" s="10">
        <f t="shared" ca="1" si="79"/>
        <v>-166</v>
      </c>
      <c r="Q243" s="14">
        <v>0</v>
      </c>
      <c r="R243" s="14">
        <v>0</v>
      </c>
      <c r="S243" s="14">
        <v>0</v>
      </c>
      <c r="T243" s="13">
        <f t="shared" ca="1" si="71"/>
        <v>1802</v>
      </c>
      <c r="U243" s="12">
        <f t="shared" ca="1" si="81"/>
        <v>860</v>
      </c>
      <c r="V243" s="12">
        <f t="shared" ca="1" si="80"/>
        <v>897</v>
      </c>
      <c r="W243" s="12">
        <f t="shared" ca="1" si="82"/>
        <v>874</v>
      </c>
      <c r="X243" s="13"/>
      <c r="Y243" s="10"/>
      <c r="Z243" s="10"/>
      <c r="AA243" s="10"/>
      <c r="AB243" s="9"/>
    </row>
    <row r="244" spans="1:28" ht="13.15" customHeight="1">
      <c r="A244" s="36">
        <v>230</v>
      </c>
      <c r="B244" s="35">
        <f t="shared" si="72"/>
        <v>45302</v>
      </c>
      <c r="C244" s="16">
        <f t="shared" si="73"/>
        <v>1069</v>
      </c>
      <c r="D244" s="15">
        <f t="shared" si="64"/>
        <v>1632</v>
      </c>
      <c r="E244" s="14">
        <f t="shared" ca="1" si="65"/>
        <v>801</v>
      </c>
      <c r="F244" s="14">
        <f t="shared" ca="1" si="66"/>
        <v>814</v>
      </c>
      <c r="G244" s="14">
        <f t="shared" ca="1" si="67"/>
        <v>867</v>
      </c>
      <c r="H244" s="10">
        <f t="shared" ca="1" si="68"/>
        <v>1900</v>
      </c>
      <c r="I244" s="10">
        <f t="shared" ca="1" si="69"/>
        <v>1887</v>
      </c>
      <c r="J244" s="10">
        <f t="shared" ca="1" si="70"/>
        <v>1834</v>
      </c>
      <c r="K244" s="10">
        <f t="shared" si="74"/>
        <v>2000</v>
      </c>
      <c r="L244" s="10">
        <f t="shared" si="75"/>
        <v>2000</v>
      </c>
      <c r="M244" s="10">
        <f t="shared" si="76"/>
        <v>2000</v>
      </c>
      <c r="N244" s="10">
        <f t="shared" ca="1" si="77"/>
        <v>-100</v>
      </c>
      <c r="O244" s="10">
        <f t="shared" ca="1" si="78"/>
        <v>-113</v>
      </c>
      <c r="P244" s="10">
        <f t="shared" ca="1" si="79"/>
        <v>-166</v>
      </c>
      <c r="Q244" s="14">
        <v>0</v>
      </c>
      <c r="R244" s="14">
        <v>0</v>
      </c>
      <c r="S244" s="14">
        <v>0</v>
      </c>
      <c r="T244" s="13">
        <f t="shared" ca="1" si="71"/>
        <v>1804</v>
      </c>
      <c r="U244" s="12">
        <f t="shared" ca="1" si="81"/>
        <v>860</v>
      </c>
      <c r="V244" s="12">
        <f t="shared" ca="1" si="80"/>
        <v>897</v>
      </c>
      <c r="W244" s="12">
        <f t="shared" ca="1" si="82"/>
        <v>874</v>
      </c>
      <c r="X244" s="13"/>
      <c r="Y244" s="10"/>
      <c r="Z244" s="10"/>
      <c r="AA244" s="10"/>
      <c r="AB244" s="9"/>
    </row>
    <row r="245" spans="1:28" ht="13.15" customHeight="1">
      <c r="A245" s="36">
        <v>231</v>
      </c>
      <c r="B245" s="35">
        <f t="shared" si="72"/>
        <v>45303</v>
      </c>
      <c r="C245" s="16">
        <f t="shared" si="73"/>
        <v>1069</v>
      </c>
      <c r="D245" s="15">
        <f t="shared" si="64"/>
        <v>1634</v>
      </c>
      <c r="E245" s="14">
        <f t="shared" ca="1" si="65"/>
        <v>803</v>
      </c>
      <c r="F245" s="14">
        <f t="shared" ca="1" si="66"/>
        <v>816</v>
      </c>
      <c r="G245" s="14">
        <f t="shared" ca="1" si="67"/>
        <v>869</v>
      </c>
      <c r="H245" s="10">
        <f t="shared" ca="1" si="68"/>
        <v>1900</v>
      </c>
      <c r="I245" s="10">
        <f t="shared" ca="1" si="69"/>
        <v>1887</v>
      </c>
      <c r="J245" s="10">
        <f t="shared" ca="1" si="70"/>
        <v>1834</v>
      </c>
      <c r="K245" s="10">
        <f t="shared" si="74"/>
        <v>2000</v>
      </c>
      <c r="L245" s="10">
        <f t="shared" si="75"/>
        <v>2000</v>
      </c>
      <c r="M245" s="10">
        <f t="shared" si="76"/>
        <v>2000</v>
      </c>
      <c r="N245" s="10">
        <f t="shared" ca="1" si="77"/>
        <v>-100</v>
      </c>
      <c r="O245" s="10">
        <f t="shared" ca="1" si="78"/>
        <v>-113</v>
      </c>
      <c r="P245" s="10">
        <f t="shared" ca="1" si="79"/>
        <v>-166</v>
      </c>
      <c r="Q245" s="14">
        <v>0</v>
      </c>
      <c r="R245" s="14">
        <v>0</v>
      </c>
      <c r="S245" s="14">
        <v>0</v>
      </c>
      <c r="T245" s="13">
        <f t="shared" ca="1" si="71"/>
        <v>1806</v>
      </c>
      <c r="U245" s="12">
        <f t="shared" ca="1" si="81"/>
        <v>860</v>
      </c>
      <c r="V245" s="12">
        <f t="shared" ca="1" si="80"/>
        <v>897</v>
      </c>
      <c r="W245" s="12">
        <f t="shared" ca="1" si="82"/>
        <v>874</v>
      </c>
      <c r="X245" s="13"/>
      <c r="Y245" s="10"/>
      <c r="Z245" s="10"/>
      <c r="AA245" s="10"/>
      <c r="AB245" s="9"/>
    </row>
    <row r="246" spans="1:28" ht="13.15" customHeight="1">
      <c r="A246" s="36">
        <v>232</v>
      </c>
      <c r="B246" s="35">
        <f t="shared" si="72"/>
        <v>45304</v>
      </c>
      <c r="C246" s="16">
        <f t="shared" si="73"/>
        <v>1069</v>
      </c>
      <c r="D246" s="15">
        <f t="shared" si="64"/>
        <v>1636</v>
      </c>
      <c r="E246" s="14">
        <f t="shared" ca="1" si="65"/>
        <v>805</v>
      </c>
      <c r="F246" s="14">
        <f t="shared" ca="1" si="66"/>
        <v>818</v>
      </c>
      <c r="G246" s="14">
        <f t="shared" ca="1" si="67"/>
        <v>871</v>
      </c>
      <c r="H246" s="10">
        <f t="shared" ca="1" si="68"/>
        <v>1900</v>
      </c>
      <c r="I246" s="10">
        <f t="shared" ca="1" si="69"/>
        <v>1887</v>
      </c>
      <c r="J246" s="10">
        <f t="shared" ca="1" si="70"/>
        <v>1834</v>
      </c>
      <c r="K246" s="10">
        <f t="shared" si="74"/>
        <v>2000</v>
      </c>
      <c r="L246" s="10">
        <f t="shared" si="75"/>
        <v>2000</v>
      </c>
      <c r="M246" s="10">
        <f t="shared" si="76"/>
        <v>2000</v>
      </c>
      <c r="N246" s="10">
        <f t="shared" ca="1" si="77"/>
        <v>-100</v>
      </c>
      <c r="O246" s="10">
        <f t="shared" ca="1" si="78"/>
        <v>-113</v>
      </c>
      <c r="P246" s="10">
        <f t="shared" ca="1" si="79"/>
        <v>-166</v>
      </c>
      <c r="Q246" s="14">
        <v>0</v>
      </c>
      <c r="R246" s="14">
        <v>0</v>
      </c>
      <c r="S246" s="14">
        <v>0</v>
      </c>
      <c r="T246" s="13">
        <f t="shared" ca="1" si="71"/>
        <v>1808</v>
      </c>
      <c r="U246" s="12">
        <f t="shared" ca="1" si="81"/>
        <v>860</v>
      </c>
      <c r="V246" s="12">
        <f t="shared" ca="1" si="80"/>
        <v>897</v>
      </c>
      <c r="W246" s="12">
        <f t="shared" ca="1" si="82"/>
        <v>874</v>
      </c>
      <c r="X246" s="13"/>
      <c r="Y246" s="10"/>
      <c r="Z246" s="10"/>
      <c r="AA246" s="10"/>
      <c r="AB246" s="9"/>
    </row>
    <row r="247" spans="1:28" ht="13.15" customHeight="1">
      <c r="A247" s="36">
        <v>233</v>
      </c>
      <c r="B247" s="35">
        <f t="shared" si="72"/>
        <v>45305</v>
      </c>
      <c r="C247" s="16">
        <f t="shared" si="73"/>
        <v>1069</v>
      </c>
      <c r="D247" s="15">
        <f t="shared" si="64"/>
        <v>1638</v>
      </c>
      <c r="E247" s="14">
        <f t="shared" ca="1" si="65"/>
        <v>807</v>
      </c>
      <c r="F247" s="14">
        <f t="shared" ca="1" si="66"/>
        <v>820</v>
      </c>
      <c r="G247" s="14">
        <f t="shared" ca="1" si="67"/>
        <v>873</v>
      </c>
      <c r="H247" s="10">
        <f t="shared" ca="1" si="68"/>
        <v>1900</v>
      </c>
      <c r="I247" s="10">
        <f t="shared" ca="1" si="69"/>
        <v>1887</v>
      </c>
      <c r="J247" s="10">
        <f t="shared" ca="1" si="70"/>
        <v>1834</v>
      </c>
      <c r="K247" s="10">
        <f t="shared" si="74"/>
        <v>2000</v>
      </c>
      <c r="L247" s="10">
        <f t="shared" si="75"/>
        <v>2000</v>
      </c>
      <c r="M247" s="10">
        <f t="shared" si="76"/>
        <v>2000</v>
      </c>
      <c r="N247" s="10">
        <f t="shared" ca="1" si="77"/>
        <v>-100</v>
      </c>
      <c r="O247" s="10">
        <f t="shared" ca="1" si="78"/>
        <v>-113</v>
      </c>
      <c r="P247" s="10">
        <f t="shared" ca="1" si="79"/>
        <v>-166</v>
      </c>
      <c r="Q247" s="14">
        <v>0</v>
      </c>
      <c r="R247" s="14">
        <v>0</v>
      </c>
      <c r="S247" s="14">
        <v>0</v>
      </c>
      <c r="T247" s="13">
        <f t="shared" ca="1" si="71"/>
        <v>1810</v>
      </c>
      <c r="U247" s="12">
        <f t="shared" ca="1" si="81"/>
        <v>860</v>
      </c>
      <c r="V247" s="12">
        <f t="shared" ca="1" si="80"/>
        <v>897</v>
      </c>
      <c r="W247" s="12">
        <f t="shared" ca="1" si="82"/>
        <v>874</v>
      </c>
      <c r="X247" s="13"/>
      <c r="Y247" s="10"/>
      <c r="Z247" s="10"/>
      <c r="AA247" s="10"/>
      <c r="AB247" s="9"/>
    </row>
    <row r="248" spans="1:28" ht="13.15" customHeight="1">
      <c r="A248" s="36">
        <v>234</v>
      </c>
      <c r="B248" s="35">
        <f t="shared" si="72"/>
        <v>45306</v>
      </c>
      <c r="C248" s="16">
        <f t="shared" si="73"/>
        <v>1069</v>
      </c>
      <c r="D248" s="15">
        <f t="shared" si="64"/>
        <v>1640</v>
      </c>
      <c r="E248" s="14">
        <f t="shared" ca="1" si="65"/>
        <v>809</v>
      </c>
      <c r="F248" s="14">
        <f t="shared" ca="1" si="66"/>
        <v>822</v>
      </c>
      <c r="G248" s="14">
        <f t="shared" ca="1" si="67"/>
        <v>875</v>
      </c>
      <c r="H248" s="10">
        <f t="shared" ca="1" si="68"/>
        <v>1900</v>
      </c>
      <c r="I248" s="10">
        <f t="shared" ca="1" si="69"/>
        <v>1887</v>
      </c>
      <c r="J248" s="10">
        <f t="shared" ca="1" si="70"/>
        <v>1834</v>
      </c>
      <c r="K248" s="10">
        <f t="shared" si="74"/>
        <v>2000</v>
      </c>
      <c r="L248" s="10">
        <f t="shared" si="75"/>
        <v>2000</v>
      </c>
      <c r="M248" s="10">
        <f t="shared" si="76"/>
        <v>2000</v>
      </c>
      <c r="N248" s="10">
        <f t="shared" ca="1" si="77"/>
        <v>-100</v>
      </c>
      <c r="O248" s="10">
        <f t="shared" ca="1" si="78"/>
        <v>-113</v>
      </c>
      <c r="P248" s="10">
        <f t="shared" ca="1" si="79"/>
        <v>-166</v>
      </c>
      <c r="Q248" s="14">
        <v>0</v>
      </c>
      <c r="R248" s="14">
        <v>0</v>
      </c>
      <c r="S248" s="14">
        <v>0</v>
      </c>
      <c r="T248" s="13">
        <f t="shared" ca="1" si="71"/>
        <v>1812</v>
      </c>
      <c r="U248" s="12">
        <f t="shared" ca="1" si="81"/>
        <v>860</v>
      </c>
      <c r="V248" s="12">
        <f t="shared" ca="1" si="80"/>
        <v>897</v>
      </c>
      <c r="W248" s="12">
        <f t="shared" ca="1" si="82"/>
        <v>874</v>
      </c>
      <c r="X248" s="13"/>
      <c r="Y248" s="10"/>
      <c r="Z248" s="10"/>
      <c r="AA248" s="10"/>
      <c r="AB248" s="9"/>
    </row>
    <row r="249" spans="1:28" ht="13.15" customHeight="1">
      <c r="A249" s="36">
        <v>235</v>
      </c>
      <c r="B249" s="35">
        <f t="shared" si="72"/>
        <v>45307</v>
      </c>
      <c r="C249" s="16">
        <f t="shared" si="73"/>
        <v>1069</v>
      </c>
      <c r="D249" s="15">
        <f t="shared" si="64"/>
        <v>1642</v>
      </c>
      <c r="E249" s="14">
        <f t="shared" ca="1" si="65"/>
        <v>811</v>
      </c>
      <c r="F249" s="14">
        <f t="shared" ca="1" si="66"/>
        <v>824</v>
      </c>
      <c r="G249" s="14">
        <f t="shared" ca="1" si="67"/>
        <v>877</v>
      </c>
      <c r="H249" s="10">
        <f t="shared" ca="1" si="68"/>
        <v>1900</v>
      </c>
      <c r="I249" s="10">
        <f t="shared" ca="1" si="69"/>
        <v>1887</v>
      </c>
      <c r="J249" s="10">
        <f t="shared" ca="1" si="70"/>
        <v>1834</v>
      </c>
      <c r="K249" s="10">
        <f t="shared" si="74"/>
        <v>2000</v>
      </c>
      <c r="L249" s="10">
        <f t="shared" si="75"/>
        <v>2000</v>
      </c>
      <c r="M249" s="10">
        <f t="shared" si="76"/>
        <v>2000</v>
      </c>
      <c r="N249" s="10">
        <f t="shared" ca="1" si="77"/>
        <v>-100</v>
      </c>
      <c r="O249" s="10">
        <f t="shared" ca="1" si="78"/>
        <v>-113</v>
      </c>
      <c r="P249" s="10">
        <f t="shared" ca="1" si="79"/>
        <v>-166</v>
      </c>
      <c r="Q249" s="14">
        <v>0</v>
      </c>
      <c r="R249" s="14">
        <v>0</v>
      </c>
      <c r="S249" s="14">
        <v>0</v>
      </c>
      <c r="T249" s="13">
        <f t="shared" ca="1" si="71"/>
        <v>1814</v>
      </c>
      <c r="U249" s="12">
        <f t="shared" ca="1" si="81"/>
        <v>860</v>
      </c>
      <c r="V249" s="12">
        <f t="shared" ca="1" si="80"/>
        <v>897</v>
      </c>
      <c r="W249" s="12">
        <f t="shared" ca="1" si="82"/>
        <v>874</v>
      </c>
      <c r="X249" s="13"/>
      <c r="Y249" s="10"/>
      <c r="Z249" s="10"/>
      <c r="AA249" s="10"/>
      <c r="AB249" s="9"/>
    </row>
    <row r="250" spans="1:28" ht="13.15" customHeight="1">
      <c r="A250" s="36">
        <v>236</v>
      </c>
      <c r="B250" s="35">
        <f t="shared" si="72"/>
        <v>45308</v>
      </c>
      <c r="C250" s="16">
        <f t="shared" si="73"/>
        <v>1069</v>
      </c>
      <c r="D250" s="15">
        <f t="shared" si="64"/>
        <v>1644</v>
      </c>
      <c r="E250" s="14">
        <f t="shared" ca="1" si="65"/>
        <v>813</v>
      </c>
      <c r="F250" s="14">
        <f t="shared" ca="1" si="66"/>
        <v>826</v>
      </c>
      <c r="G250" s="14">
        <f t="shared" ca="1" si="67"/>
        <v>879</v>
      </c>
      <c r="H250" s="10">
        <f t="shared" ca="1" si="68"/>
        <v>1900</v>
      </c>
      <c r="I250" s="10">
        <f t="shared" ca="1" si="69"/>
        <v>1887</v>
      </c>
      <c r="J250" s="10">
        <f t="shared" ca="1" si="70"/>
        <v>1834</v>
      </c>
      <c r="K250" s="10">
        <f t="shared" si="74"/>
        <v>2000</v>
      </c>
      <c r="L250" s="10">
        <f t="shared" si="75"/>
        <v>2000</v>
      </c>
      <c r="M250" s="10">
        <f t="shared" si="76"/>
        <v>2000</v>
      </c>
      <c r="N250" s="10">
        <f t="shared" ca="1" si="77"/>
        <v>-100</v>
      </c>
      <c r="O250" s="10">
        <f t="shared" ca="1" si="78"/>
        <v>-113</v>
      </c>
      <c r="P250" s="10">
        <f t="shared" ca="1" si="79"/>
        <v>-166</v>
      </c>
      <c r="Q250" s="14">
        <v>0</v>
      </c>
      <c r="R250" s="14">
        <v>0</v>
      </c>
      <c r="S250" s="14">
        <v>0</v>
      </c>
      <c r="T250" s="13">
        <f t="shared" ca="1" si="71"/>
        <v>1816</v>
      </c>
      <c r="U250" s="12">
        <f t="shared" ca="1" si="81"/>
        <v>860</v>
      </c>
      <c r="V250" s="12">
        <f t="shared" ca="1" si="80"/>
        <v>897</v>
      </c>
      <c r="W250" s="12">
        <f t="shared" ca="1" si="82"/>
        <v>874</v>
      </c>
      <c r="X250" s="13"/>
      <c r="Y250" s="10"/>
      <c r="Z250" s="10"/>
      <c r="AA250" s="10"/>
      <c r="AB250" s="9"/>
    </row>
    <row r="251" spans="1:28" ht="13.15" customHeight="1">
      <c r="A251" s="36">
        <v>237</v>
      </c>
      <c r="B251" s="35">
        <f t="shared" si="72"/>
        <v>45309</v>
      </c>
      <c r="C251" s="16">
        <f t="shared" si="73"/>
        <v>1069</v>
      </c>
      <c r="D251" s="15">
        <f t="shared" si="64"/>
        <v>1646</v>
      </c>
      <c r="E251" s="14">
        <f t="shared" ca="1" si="65"/>
        <v>815</v>
      </c>
      <c r="F251" s="14">
        <f t="shared" ca="1" si="66"/>
        <v>828</v>
      </c>
      <c r="G251" s="14">
        <f t="shared" ca="1" si="67"/>
        <v>881</v>
      </c>
      <c r="H251" s="10">
        <f t="shared" ca="1" si="68"/>
        <v>1900</v>
      </c>
      <c r="I251" s="10">
        <f t="shared" ca="1" si="69"/>
        <v>1887</v>
      </c>
      <c r="J251" s="10">
        <f t="shared" ca="1" si="70"/>
        <v>1834</v>
      </c>
      <c r="K251" s="10">
        <f t="shared" si="74"/>
        <v>2000</v>
      </c>
      <c r="L251" s="10">
        <f t="shared" si="75"/>
        <v>2000</v>
      </c>
      <c r="M251" s="10">
        <f t="shared" si="76"/>
        <v>2000</v>
      </c>
      <c r="N251" s="10">
        <f t="shared" ca="1" si="77"/>
        <v>-100</v>
      </c>
      <c r="O251" s="10">
        <f t="shared" ca="1" si="78"/>
        <v>-113</v>
      </c>
      <c r="P251" s="10">
        <f t="shared" ca="1" si="79"/>
        <v>-166</v>
      </c>
      <c r="Q251" s="14">
        <v>0</v>
      </c>
      <c r="R251" s="14">
        <v>0</v>
      </c>
      <c r="S251" s="14">
        <v>0</v>
      </c>
      <c r="T251" s="13">
        <f t="shared" ca="1" si="71"/>
        <v>1818</v>
      </c>
      <c r="U251" s="12">
        <f t="shared" ca="1" si="81"/>
        <v>860</v>
      </c>
      <c r="V251" s="12">
        <f t="shared" ca="1" si="80"/>
        <v>897</v>
      </c>
      <c r="W251" s="12">
        <f t="shared" ca="1" si="82"/>
        <v>874</v>
      </c>
      <c r="X251" s="13"/>
      <c r="Y251" s="10"/>
      <c r="Z251" s="10"/>
      <c r="AA251" s="10"/>
      <c r="AB251" s="9"/>
    </row>
    <row r="252" spans="1:28" ht="13.15" customHeight="1">
      <c r="A252" s="36">
        <v>238</v>
      </c>
      <c r="B252" s="35">
        <f t="shared" si="72"/>
        <v>45310</v>
      </c>
      <c r="C252" s="16">
        <f t="shared" si="73"/>
        <v>1069</v>
      </c>
      <c r="D252" s="15">
        <f t="shared" si="64"/>
        <v>1648</v>
      </c>
      <c r="E252" s="14">
        <f t="shared" ca="1" si="65"/>
        <v>817</v>
      </c>
      <c r="F252" s="14">
        <f t="shared" ca="1" si="66"/>
        <v>830</v>
      </c>
      <c r="G252" s="14">
        <f t="shared" ca="1" si="67"/>
        <v>883</v>
      </c>
      <c r="H252" s="10">
        <f t="shared" ca="1" si="68"/>
        <v>1900</v>
      </c>
      <c r="I252" s="10">
        <f t="shared" ca="1" si="69"/>
        <v>1887</v>
      </c>
      <c r="J252" s="10">
        <f t="shared" ca="1" si="70"/>
        <v>1834</v>
      </c>
      <c r="K252" s="10">
        <f t="shared" si="74"/>
        <v>2000</v>
      </c>
      <c r="L252" s="10">
        <f t="shared" si="75"/>
        <v>2000</v>
      </c>
      <c r="M252" s="10">
        <f t="shared" si="76"/>
        <v>2000</v>
      </c>
      <c r="N252" s="10">
        <f t="shared" ca="1" si="77"/>
        <v>-100</v>
      </c>
      <c r="O252" s="10">
        <f t="shared" ca="1" si="78"/>
        <v>-113</v>
      </c>
      <c r="P252" s="10">
        <f t="shared" ca="1" si="79"/>
        <v>-166</v>
      </c>
      <c r="Q252" s="14">
        <v>0</v>
      </c>
      <c r="R252" s="14">
        <v>0</v>
      </c>
      <c r="S252" s="14">
        <v>0</v>
      </c>
      <c r="T252" s="13">
        <f t="shared" ca="1" si="71"/>
        <v>1820</v>
      </c>
      <c r="U252" s="12">
        <f t="shared" ca="1" si="81"/>
        <v>860</v>
      </c>
      <c r="V252" s="12">
        <f t="shared" ca="1" si="80"/>
        <v>897</v>
      </c>
      <c r="W252" s="12">
        <f t="shared" ca="1" si="82"/>
        <v>874</v>
      </c>
      <c r="X252" s="13"/>
      <c r="Y252" s="10"/>
      <c r="Z252" s="10"/>
      <c r="AA252" s="10"/>
      <c r="AB252" s="9"/>
    </row>
    <row r="253" spans="1:28" ht="13.15" customHeight="1">
      <c r="A253" s="36">
        <v>239</v>
      </c>
      <c r="B253" s="35">
        <f t="shared" si="72"/>
        <v>45311</v>
      </c>
      <c r="C253" s="16">
        <f t="shared" si="73"/>
        <v>1069</v>
      </c>
      <c r="D253" s="15">
        <f t="shared" si="64"/>
        <v>1650</v>
      </c>
      <c r="E253" s="14">
        <f t="shared" ca="1" si="65"/>
        <v>819</v>
      </c>
      <c r="F253" s="14">
        <f t="shared" ca="1" si="66"/>
        <v>832</v>
      </c>
      <c r="G253" s="14">
        <f t="shared" ca="1" si="67"/>
        <v>885</v>
      </c>
      <c r="H253" s="10">
        <f t="shared" ca="1" si="68"/>
        <v>1900</v>
      </c>
      <c r="I253" s="10">
        <f t="shared" ca="1" si="69"/>
        <v>1887</v>
      </c>
      <c r="J253" s="10">
        <f t="shared" ca="1" si="70"/>
        <v>1834</v>
      </c>
      <c r="K253" s="10">
        <f t="shared" si="74"/>
        <v>2000</v>
      </c>
      <c r="L253" s="10">
        <f t="shared" si="75"/>
        <v>2000</v>
      </c>
      <c r="M253" s="10">
        <f t="shared" si="76"/>
        <v>2000</v>
      </c>
      <c r="N253" s="10">
        <f t="shared" ca="1" si="77"/>
        <v>-100</v>
      </c>
      <c r="O253" s="10">
        <f t="shared" ca="1" si="78"/>
        <v>-113</v>
      </c>
      <c r="P253" s="10">
        <f t="shared" ca="1" si="79"/>
        <v>-166</v>
      </c>
      <c r="Q253" s="14">
        <v>0</v>
      </c>
      <c r="R253" s="14">
        <v>0</v>
      </c>
      <c r="S253" s="14">
        <v>0</v>
      </c>
      <c r="T253" s="13">
        <f t="shared" ca="1" si="71"/>
        <v>1822</v>
      </c>
      <c r="U253" s="12">
        <f t="shared" ca="1" si="81"/>
        <v>860</v>
      </c>
      <c r="V253" s="12">
        <f t="shared" ca="1" si="80"/>
        <v>897</v>
      </c>
      <c r="W253" s="12">
        <f t="shared" ca="1" si="82"/>
        <v>874</v>
      </c>
      <c r="X253" s="13"/>
      <c r="Y253" s="10"/>
      <c r="Z253" s="10"/>
      <c r="AA253" s="10"/>
      <c r="AB253" s="9"/>
    </row>
    <row r="254" spans="1:28" ht="13.15" customHeight="1">
      <c r="A254" s="36">
        <v>240</v>
      </c>
      <c r="B254" s="35">
        <f t="shared" si="72"/>
        <v>45312</v>
      </c>
      <c r="C254" s="16">
        <f t="shared" si="73"/>
        <v>1069</v>
      </c>
      <c r="D254" s="15">
        <f t="shared" si="64"/>
        <v>1652</v>
      </c>
      <c r="E254" s="14">
        <f t="shared" ca="1" si="65"/>
        <v>821</v>
      </c>
      <c r="F254" s="14">
        <f t="shared" ca="1" si="66"/>
        <v>834</v>
      </c>
      <c r="G254" s="14">
        <f t="shared" ca="1" si="67"/>
        <v>887</v>
      </c>
      <c r="H254" s="10">
        <f t="shared" ca="1" si="68"/>
        <v>1900</v>
      </c>
      <c r="I254" s="10">
        <f t="shared" ca="1" si="69"/>
        <v>1887</v>
      </c>
      <c r="J254" s="10">
        <f t="shared" ca="1" si="70"/>
        <v>1834</v>
      </c>
      <c r="K254" s="10">
        <f t="shared" si="74"/>
        <v>2000</v>
      </c>
      <c r="L254" s="10">
        <f t="shared" si="75"/>
        <v>2000</v>
      </c>
      <c r="M254" s="10">
        <f t="shared" si="76"/>
        <v>2000</v>
      </c>
      <c r="N254" s="10">
        <f t="shared" ca="1" si="77"/>
        <v>-100</v>
      </c>
      <c r="O254" s="10">
        <f t="shared" ca="1" si="78"/>
        <v>-113</v>
      </c>
      <c r="P254" s="10">
        <f t="shared" ca="1" si="79"/>
        <v>-166</v>
      </c>
      <c r="Q254" s="14">
        <v>0</v>
      </c>
      <c r="R254" s="14">
        <v>0</v>
      </c>
      <c r="S254" s="14">
        <v>0</v>
      </c>
      <c r="T254" s="13">
        <f t="shared" ca="1" si="71"/>
        <v>1824</v>
      </c>
      <c r="U254" s="12">
        <f t="shared" ca="1" si="81"/>
        <v>860</v>
      </c>
      <c r="V254" s="12">
        <f t="shared" ca="1" si="80"/>
        <v>897</v>
      </c>
      <c r="W254" s="12">
        <f t="shared" ca="1" si="82"/>
        <v>874</v>
      </c>
      <c r="X254" s="13"/>
      <c r="Y254" s="10"/>
      <c r="Z254" s="10"/>
      <c r="AA254" s="10"/>
      <c r="AB254" s="9"/>
    </row>
    <row r="255" spans="1:28" ht="13.15" customHeight="1">
      <c r="A255" s="36">
        <v>241</v>
      </c>
      <c r="B255" s="35">
        <f t="shared" si="72"/>
        <v>45313</v>
      </c>
      <c r="C255" s="16">
        <f t="shared" si="73"/>
        <v>1069</v>
      </c>
      <c r="D255" s="15">
        <f t="shared" ref="D255:D318" si="83">D254+2</f>
        <v>1654</v>
      </c>
      <c r="E255" s="14">
        <f t="shared" ca="1" si="65"/>
        <v>823</v>
      </c>
      <c r="F255" s="14">
        <f t="shared" ca="1" si="66"/>
        <v>836</v>
      </c>
      <c r="G255" s="14">
        <f t="shared" ca="1" si="67"/>
        <v>889</v>
      </c>
      <c r="H255" s="10">
        <f t="shared" ca="1" si="68"/>
        <v>1900</v>
      </c>
      <c r="I255" s="10">
        <f t="shared" ca="1" si="69"/>
        <v>1887</v>
      </c>
      <c r="J255" s="10">
        <f t="shared" ca="1" si="70"/>
        <v>1834</v>
      </c>
      <c r="K255" s="10">
        <f t="shared" si="74"/>
        <v>2000</v>
      </c>
      <c r="L255" s="10">
        <f t="shared" si="75"/>
        <v>2000</v>
      </c>
      <c r="M255" s="10">
        <f t="shared" si="76"/>
        <v>2000</v>
      </c>
      <c r="N255" s="10">
        <f t="shared" ca="1" si="77"/>
        <v>-100</v>
      </c>
      <c r="O255" s="10">
        <f t="shared" ca="1" si="78"/>
        <v>-113</v>
      </c>
      <c r="P255" s="10">
        <f t="shared" ca="1" si="79"/>
        <v>-166</v>
      </c>
      <c r="Q255" s="14">
        <v>0</v>
      </c>
      <c r="R255" s="14">
        <v>0</v>
      </c>
      <c r="S255" s="14">
        <v>0</v>
      </c>
      <c r="T255" s="13">
        <f t="shared" ca="1" si="71"/>
        <v>1826</v>
      </c>
      <c r="U255" s="12">
        <f t="shared" ca="1" si="81"/>
        <v>860</v>
      </c>
      <c r="V255" s="12">
        <f t="shared" ca="1" si="80"/>
        <v>897</v>
      </c>
      <c r="W255" s="12">
        <f t="shared" ca="1" si="82"/>
        <v>874</v>
      </c>
      <c r="X255" s="13"/>
      <c r="Y255" s="10"/>
      <c r="Z255" s="10"/>
      <c r="AA255" s="10"/>
      <c r="AB255" s="9"/>
    </row>
    <row r="256" spans="1:28" ht="13.15" customHeight="1">
      <c r="A256" s="36">
        <v>242</v>
      </c>
      <c r="B256" s="35">
        <f t="shared" si="72"/>
        <v>45314</v>
      </c>
      <c r="C256" s="16">
        <f t="shared" si="73"/>
        <v>1069</v>
      </c>
      <c r="D256" s="15">
        <f t="shared" si="83"/>
        <v>1656</v>
      </c>
      <c r="E256" s="14">
        <f t="shared" ca="1" si="65"/>
        <v>825</v>
      </c>
      <c r="F256" s="14">
        <f t="shared" ca="1" si="66"/>
        <v>838</v>
      </c>
      <c r="G256" s="14">
        <f t="shared" ca="1" si="67"/>
        <v>891</v>
      </c>
      <c r="H256" s="10">
        <f t="shared" ca="1" si="68"/>
        <v>1900</v>
      </c>
      <c r="I256" s="10">
        <f t="shared" ca="1" si="69"/>
        <v>1887</v>
      </c>
      <c r="J256" s="10">
        <f t="shared" ca="1" si="70"/>
        <v>1834</v>
      </c>
      <c r="K256" s="10">
        <f t="shared" si="74"/>
        <v>2000</v>
      </c>
      <c r="L256" s="10">
        <f t="shared" si="75"/>
        <v>2000</v>
      </c>
      <c r="M256" s="10">
        <f t="shared" si="76"/>
        <v>2000</v>
      </c>
      <c r="N256" s="10">
        <f t="shared" ca="1" si="77"/>
        <v>-100</v>
      </c>
      <c r="O256" s="10">
        <f t="shared" ca="1" si="78"/>
        <v>-113</v>
      </c>
      <c r="P256" s="10">
        <f t="shared" ca="1" si="79"/>
        <v>-166</v>
      </c>
      <c r="Q256" s="14">
        <v>0</v>
      </c>
      <c r="R256" s="14">
        <v>0</v>
      </c>
      <c r="S256" s="14">
        <v>0</v>
      </c>
      <c r="T256" s="13">
        <f t="shared" ca="1" si="71"/>
        <v>1828</v>
      </c>
      <c r="U256" s="12">
        <f t="shared" ca="1" si="81"/>
        <v>860</v>
      </c>
      <c r="V256" s="12">
        <f t="shared" ca="1" si="80"/>
        <v>897</v>
      </c>
      <c r="W256" s="12">
        <f t="shared" ca="1" si="82"/>
        <v>874</v>
      </c>
      <c r="X256" s="13"/>
      <c r="Y256" s="10"/>
      <c r="Z256" s="10"/>
      <c r="AA256" s="10"/>
      <c r="AB256" s="9"/>
    </row>
    <row r="257" spans="1:28" ht="13.15" customHeight="1">
      <c r="A257" s="36">
        <v>243</v>
      </c>
      <c r="B257" s="35">
        <f t="shared" si="72"/>
        <v>45315</v>
      </c>
      <c r="C257" s="16">
        <f t="shared" si="73"/>
        <v>1069</v>
      </c>
      <c r="D257" s="15">
        <f t="shared" si="83"/>
        <v>1658</v>
      </c>
      <c r="E257" s="14">
        <f t="shared" ca="1" si="65"/>
        <v>827</v>
      </c>
      <c r="F257" s="14">
        <f t="shared" ca="1" si="66"/>
        <v>840</v>
      </c>
      <c r="G257" s="14">
        <f t="shared" ca="1" si="67"/>
        <v>893</v>
      </c>
      <c r="H257" s="10">
        <f t="shared" ca="1" si="68"/>
        <v>1900</v>
      </c>
      <c r="I257" s="10">
        <f t="shared" ca="1" si="69"/>
        <v>1887</v>
      </c>
      <c r="J257" s="10">
        <f t="shared" ca="1" si="70"/>
        <v>1834</v>
      </c>
      <c r="K257" s="10">
        <f t="shared" si="74"/>
        <v>2000</v>
      </c>
      <c r="L257" s="10">
        <f t="shared" si="75"/>
        <v>2000</v>
      </c>
      <c r="M257" s="10">
        <f t="shared" si="76"/>
        <v>2000</v>
      </c>
      <c r="N257" s="10">
        <f t="shared" ca="1" si="77"/>
        <v>-100</v>
      </c>
      <c r="O257" s="10">
        <f t="shared" ca="1" si="78"/>
        <v>-113</v>
      </c>
      <c r="P257" s="10">
        <f t="shared" ca="1" si="79"/>
        <v>-166</v>
      </c>
      <c r="Q257" s="14">
        <v>0</v>
      </c>
      <c r="R257" s="14">
        <v>0</v>
      </c>
      <c r="S257" s="14">
        <v>0</v>
      </c>
      <c r="T257" s="13">
        <f t="shared" ca="1" si="71"/>
        <v>1830</v>
      </c>
      <c r="U257" s="12">
        <f t="shared" ca="1" si="81"/>
        <v>860</v>
      </c>
      <c r="V257" s="12">
        <f t="shared" ca="1" si="80"/>
        <v>897</v>
      </c>
      <c r="W257" s="12">
        <f t="shared" ca="1" si="82"/>
        <v>874</v>
      </c>
      <c r="X257" s="13"/>
      <c r="Y257" s="10"/>
      <c r="Z257" s="10"/>
      <c r="AA257" s="10"/>
      <c r="AB257" s="9"/>
    </row>
    <row r="258" spans="1:28" ht="13.15" customHeight="1">
      <c r="A258" s="36">
        <v>244</v>
      </c>
      <c r="B258" s="35">
        <f t="shared" si="72"/>
        <v>45316</v>
      </c>
      <c r="C258" s="16">
        <f t="shared" si="73"/>
        <v>1069</v>
      </c>
      <c r="D258" s="15">
        <f t="shared" si="83"/>
        <v>1660</v>
      </c>
      <c r="E258" s="14">
        <f t="shared" ca="1" si="65"/>
        <v>829</v>
      </c>
      <c r="F258" s="14">
        <f t="shared" ca="1" si="66"/>
        <v>842</v>
      </c>
      <c r="G258" s="14">
        <f t="shared" ca="1" si="67"/>
        <v>895</v>
      </c>
      <c r="H258" s="10">
        <f t="shared" ca="1" si="68"/>
        <v>1900</v>
      </c>
      <c r="I258" s="10">
        <f t="shared" ca="1" si="69"/>
        <v>1887</v>
      </c>
      <c r="J258" s="10">
        <f t="shared" ca="1" si="70"/>
        <v>1834</v>
      </c>
      <c r="K258" s="10">
        <f t="shared" si="74"/>
        <v>2000</v>
      </c>
      <c r="L258" s="10">
        <f t="shared" si="75"/>
        <v>2000</v>
      </c>
      <c r="M258" s="10">
        <f t="shared" si="76"/>
        <v>2000</v>
      </c>
      <c r="N258" s="10">
        <f t="shared" ca="1" si="77"/>
        <v>-100</v>
      </c>
      <c r="O258" s="10">
        <f t="shared" ca="1" si="78"/>
        <v>-113</v>
      </c>
      <c r="P258" s="10">
        <f t="shared" ca="1" si="79"/>
        <v>-166</v>
      </c>
      <c r="Q258" s="14">
        <v>0</v>
      </c>
      <c r="R258" s="14">
        <v>0</v>
      </c>
      <c r="S258" s="14">
        <v>0</v>
      </c>
      <c r="T258" s="13">
        <f t="shared" ca="1" si="71"/>
        <v>1832</v>
      </c>
      <c r="U258" s="12">
        <f t="shared" ca="1" si="81"/>
        <v>860</v>
      </c>
      <c r="V258" s="12">
        <f t="shared" ca="1" si="80"/>
        <v>897</v>
      </c>
      <c r="W258" s="12">
        <f t="shared" ca="1" si="82"/>
        <v>874</v>
      </c>
      <c r="X258" s="13"/>
      <c r="Y258" s="10"/>
      <c r="Z258" s="10"/>
      <c r="AA258" s="10"/>
      <c r="AB258" s="9"/>
    </row>
    <row r="259" spans="1:28" ht="13.15" customHeight="1">
      <c r="A259" s="36">
        <v>245</v>
      </c>
      <c r="B259" s="35">
        <f t="shared" si="72"/>
        <v>45317</v>
      </c>
      <c r="C259" s="16">
        <f t="shared" si="73"/>
        <v>1069</v>
      </c>
      <c r="D259" s="15">
        <f t="shared" si="83"/>
        <v>1662</v>
      </c>
      <c r="E259" s="14">
        <f t="shared" ca="1" si="65"/>
        <v>831</v>
      </c>
      <c r="F259" s="14">
        <f t="shared" ca="1" si="66"/>
        <v>844</v>
      </c>
      <c r="G259" s="14">
        <f t="shared" ca="1" si="67"/>
        <v>897</v>
      </c>
      <c r="H259" s="10">
        <f t="shared" ca="1" si="68"/>
        <v>1900</v>
      </c>
      <c r="I259" s="10">
        <f t="shared" ca="1" si="69"/>
        <v>1887</v>
      </c>
      <c r="J259" s="10">
        <f t="shared" ca="1" si="70"/>
        <v>1834</v>
      </c>
      <c r="K259" s="10">
        <f t="shared" si="74"/>
        <v>2000</v>
      </c>
      <c r="L259" s="10">
        <f t="shared" si="75"/>
        <v>2000</v>
      </c>
      <c r="M259" s="10">
        <f t="shared" si="76"/>
        <v>2000</v>
      </c>
      <c r="N259" s="10">
        <f t="shared" ca="1" si="77"/>
        <v>-100</v>
      </c>
      <c r="O259" s="10">
        <f t="shared" ca="1" si="78"/>
        <v>-113</v>
      </c>
      <c r="P259" s="10">
        <f t="shared" ca="1" si="79"/>
        <v>-166</v>
      </c>
      <c r="Q259" s="14">
        <v>0</v>
      </c>
      <c r="R259" s="14">
        <v>0</v>
      </c>
      <c r="S259" s="14">
        <v>0</v>
      </c>
      <c r="T259" s="13">
        <f t="shared" ca="1" si="71"/>
        <v>1834</v>
      </c>
      <c r="U259" s="12">
        <f t="shared" ca="1" si="81"/>
        <v>860</v>
      </c>
      <c r="V259" s="12">
        <f t="shared" ca="1" si="80"/>
        <v>897</v>
      </c>
      <c r="W259" s="12">
        <f t="shared" ca="1" si="82"/>
        <v>874</v>
      </c>
      <c r="X259" s="13"/>
      <c r="Y259" s="10"/>
      <c r="Z259" s="10"/>
      <c r="AA259" s="10"/>
      <c r="AB259" s="9"/>
    </row>
    <row r="260" spans="1:28" ht="13.15" customHeight="1">
      <c r="A260" s="36">
        <v>246</v>
      </c>
      <c r="B260" s="35">
        <f t="shared" si="72"/>
        <v>45318</v>
      </c>
      <c r="C260" s="16">
        <f t="shared" si="73"/>
        <v>1069</v>
      </c>
      <c r="D260" s="15">
        <f t="shared" si="83"/>
        <v>1664</v>
      </c>
      <c r="E260" s="14">
        <f t="shared" ca="1" si="65"/>
        <v>833</v>
      </c>
      <c r="F260" s="14">
        <f t="shared" ca="1" si="66"/>
        <v>846</v>
      </c>
      <c r="G260" s="14">
        <f t="shared" ca="1" si="67"/>
        <v>899</v>
      </c>
      <c r="H260" s="10">
        <f t="shared" ca="1" si="68"/>
        <v>1900</v>
      </c>
      <c r="I260" s="10">
        <f t="shared" ca="1" si="69"/>
        <v>1887</v>
      </c>
      <c r="J260" s="10">
        <f t="shared" ca="1" si="70"/>
        <v>1834</v>
      </c>
      <c r="K260" s="10">
        <f t="shared" si="74"/>
        <v>2000</v>
      </c>
      <c r="L260" s="10">
        <f t="shared" si="75"/>
        <v>2000</v>
      </c>
      <c r="M260" s="10">
        <f t="shared" si="76"/>
        <v>2000</v>
      </c>
      <c r="N260" s="10">
        <f t="shared" ca="1" si="77"/>
        <v>-100</v>
      </c>
      <c r="O260" s="10">
        <f t="shared" ca="1" si="78"/>
        <v>-113</v>
      </c>
      <c r="P260" s="10">
        <f t="shared" ca="1" si="79"/>
        <v>-166</v>
      </c>
      <c r="Q260" s="14">
        <v>0</v>
      </c>
      <c r="R260" s="14">
        <v>0</v>
      </c>
      <c r="S260" s="14">
        <v>0</v>
      </c>
      <c r="T260" s="13">
        <f t="shared" ca="1" si="71"/>
        <v>1836</v>
      </c>
      <c r="U260" s="12">
        <f t="shared" ca="1" si="81"/>
        <v>860</v>
      </c>
      <c r="V260" s="12">
        <f t="shared" ca="1" si="80"/>
        <v>897</v>
      </c>
      <c r="W260" s="12">
        <f t="shared" ca="1" si="82"/>
        <v>874</v>
      </c>
      <c r="X260" s="13"/>
      <c r="Y260" s="10"/>
      <c r="Z260" s="10"/>
      <c r="AA260" s="10"/>
      <c r="AB260" s="9"/>
    </row>
    <row r="261" spans="1:28" ht="13.15" customHeight="1">
      <c r="A261" s="36">
        <v>247</v>
      </c>
      <c r="B261" s="35">
        <f t="shared" si="72"/>
        <v>45319</v>
      </c>
      <c r="C261" s="16">
        <f t="shared" si="73"/>
        <v>1069</v>
      </c>
      <c r="D261" s="15">
        <f t="shared" si="83"/>
        <v>1666</v>
      </c>
      <c r="E261" s="14">
        <f t="shared" ca="1" si="65"/>
        <v>835</v>
      </c>
      <c r="F261" s="14">
        <f t="shared" ca="1" si="66"/>
        <v>848</v>
      </c>
      <c r="G261" s="14">
        <f t="shared" ca="1" si="67"/>
        <v>901</v>
      </c>
      <c r="H261" s="10">
        <f t="shared" ca="1" si="68"/>
        <v>1900</v>
      </c>
      <c r="I261" s="10">
        <f t="shared" ca="1" si="69"/>
        <v>1887</v>
      </c>
      <c r="J261" s="10">
        <f t="shared" ca="1" si="70"/>
        <v>1834</v>
      </c>
      <c r="K261" s="10">
        <f t="shared" si="74"/>
        <v>2000</v>
      </c>
      <c r="L261" s="10">
        <f t="shared" si="75"/>
        <v>2000</v>
      </c>
      <c r="M261" s="10">
        <f t="shared" si="76"/>
        <v>2000</v>
      </c>
      <c r="N261" s="10">
        <f t="shared" ca="1" si="77"/>
        <v>-100</v>
      </c>
      <c r="O261" s="10">
        <f t="shared" ca="1" si="78"/>
        <v>-113</v>
      </c>
      <c r="P261" s="10">
        <f t="shared" ca="1" si="79"/>
        <v>-166</v>
      </c>
      <c r="Q261" s="14">
        <v>0</v>
      </c>
      <c r="R261" s="14">
        <v>0</v>
      </c>
      <c r="S261" s="14">
        <v>0</v>
      </c>
      <c r="T261" s="13">
        <f t="shared" ca="1" si="71"/>
        <v>1838</v>
      </c>
      <c r="U261" s="12">
        <f t="shared" ca="1" si="81"/>
        <v>860</v>
      </c>
      <c r="V261" s="12">
        <f t="shared" ca="1" si="80"/>
        <v>897</v>
      </c>
      <c r="W261" s="12">
        <f t="shared" ca="1" si="82"/>
        <v>874</v>
      </c>
      <c r="X261" s="13"/>
      <c r="Y261" s="10"/>
      <c r="Z261" s="10"/>
      <c r="AA261" s="10"/>
      <c r="AB261" s="9"/>
    </row>
    <row r="262" spans="1:28" ht="13.15" customHeight="1">
      <c r="A262" s="36">
        <v>248</v>
      </c>
      <c r="B262" s="35">
        <f t="shared" si="72"/>
        <v>45320</v>
      </c>
      <c r="C262" s="16">
        <f t="shared" si="73"/>
        <v>1069</v>
      </c>
      <c r="D262" s="15">
        <f t="shared" si="83"/>
        <v>1668</v>
      </c>
      <c r="E262" s="14">
        <f t="shared" ca="1" si="65"/>
        <v>837</v>
      </c>
      <c r="F262" s="14">
        <f t="shared" ca="1" si="66"/>
        <v>850</v>
      </c>
      <c r="G262" s="14">
        <f t="shared" ca="1" si="67"/>
        <v>903</v>
      </c>
      <c r="H262" s="10">
        <f t="shared" ca="1" si="68"/>
        <v>1900</v>
      </c>
      <c r="I262" s="10">
        <f t="shared" ca="1" si="69"/>
        <v>1887</v>
      </c>
      <c r="J262" s="10">
        <f t="shared" ca="1" si="70"/>
        <v>1834</v>
      </c>
      <c r="K262" s="10">
        <f t="shared" si="74"/>
        <v>2000</v>
      </c>
      <c r="L262" s="10">
        <f t="shared" si="75"/>
        <v>2000</v>
      </c>
      <c r="M262" s="10">
        <f t="shared" si="76"/>
        <v>2000</v>
      </c>
      <c r="N262" s="10">
        <f t="shared" ca="1" si="77"/>
        <v>-100</v>
      </c>
      <c r="O262" s="10">
        <f t="shared" ca="1" si="78"/>
        <v>-113</v>
      </c>
      <c r="P262" s="10">
        <f t="shared" ca="1" si="79"/>
        <v>-166</v>
      </c>
      <c r="Q262" s="14">
        <v>0</v>
      </c>
      <c r="R262" s="14">
        <v>0</v>
      </c>
      <c r="S262" s="14">
        <v>0</v>
      </c>
      <c r="T262" s="13">
        <f t="shared" ca="1" si="71"/>
        <v>1840</v>
      </c>
      <c r="U262" s="12">
        <f t="shared" ca="1" si="81"/>
        <v>860</v>
      </c>
      <c r="V262" s="12">
        <f t="shared" ca="1" si="80"/>
        <v>897</v>
      </c>
      <c r="W262" s="12">
        <f t="shared" ca="1" si="82"/>
        <v>874</v>
      </c>
      <c r="X262" s="13"/>
      <c r="Y262" s="10"/>
      <c r="Z262" s="10"/>
      <c r="AA262" s="10"/>
      <c r="AB262" s="9"/>
    </row>
    <row r="263" spans="1:28" ht="13.15" customHeight="1">
      <c r="A263" s="36">
        <v>249</v>
      </c>
      <c r="B263" s="35">
        <f t="shared" si="72"/>
        <v>45321</v>
      </c>
      <c r="C263" s="16">
        <f t="shared" si="73"/>
        <v>1069</v>
      </c>
      <c r="D263" s="15">
        <f t="shared" si="83"/>
        <v>1670</v>
      </c>
      <c r="E263" s="14">
        <f t="shared" ca="1" si="65"/>
        <v>839</v>
      </c>
      <c r="F263" s="14">
        <f t="shared" ca="1" si="66"/>
        <v>852</v>
      </c>
      <c r="G263" s="14">
        <f t="shared" ca="1" si="67"/>
        <v>905</v>
      </c>
      <c r="H263" s="10">
        <f t="shared" ca="1" si="68"/>
        <v>1900</v>
      </c>
      <c r="I263" s="10">
        <f t="shared" ca="1" si="69"/>
        <v>1887</v>
      </c>
      <c r="J263" s="10">
        <f t="shared" ca="1" si="70"/>
        <v>1834</v>
      </c>
      <c r="K263" s="10">
        <f t="shared" si="74"/>
        <v>2000</v>
      </c>
      <c r="L263" s="10">
        <f t="shared" si="75"/>
        <v>2000</v>
      </c>
      <c r="M263" s="10">
        <f t="shared" si="76"/>
        <v>2000</v>
      </c>
      <c r="N263" s="10">
        <f t="shared" ca="1" si="77"/>
        <v>-100</v>
      </c>
      <c r="O263" s="10">
        <f t="shared" ca="1" si="78"/>
        <v>-113</v>
      </c>
      <c r="P263" s="10">
        <f t="shared" ca="1" si="79"/>
        <v>-166</v>
      </c>
      <c r="Q263" s="14">
        <v>0</v>
      </c>
      <c r="R263" s="14">
        <v>0</v>
      </c>
      <c r="S263" s="14">
        <v>0</v>
      </c>
      <c r="T263" s="13">
        <f t="shared" ca="1" si="71"/>
        <v>1842</v>
      </c>
      <c r="U263" s="12">
        <f t="shared" ca="1" si="81"/>
        <v>860</v>
      </c>
      <c r="V263" s="12">
        <f t="shared" ca="1" si="80"/>
        <v>897</v>
      </c>
      <c r="W263" s="12">
        <f t="shared" ca="1" si="82"/>
        <v>874</v>
      </c>
      <c r="X263" s="13"/>
      <c r="Y263" s="10"/>
      <c r="Z263" s="10"/>
      <c r="AA263" s="10"/>
      <c r="AB263" s="9"/>
    </row>
    <row r="264" spans="1:28" ht="13.15" customHeight="1">
      <c r="A264" s="36">
        <v>250</v>
      </c>
      <c r="B264" s="35">
        <f t="shared" si="72"/>
        <v>45322</v>
      </c>
      <c r="C264" s="16">
        <f t="shared" si="73"/>
        <v>1069</v>
      </c>
      <c r="D264" s="15">
        <f t="shared" si="83"/>
        <v>1672</v>
      </c>
      <c r="E264" s="14">
        <f t="shared" ca="1" si="65"/>
        <v>841</v>
      </c>
      <c r="F264" s="14">
        <f t="shared" ca="1" si="66"/>
        <v>854</v>
      </c>
      <c r="G264" s="14">
        <f t="shared" ca="1" si="67"/>
        <v>907</v>
      </c>
      <c r="H264" s="10">
        <f t="shared" ca="1" si="68"/>
        <v>1900</v>
      </c>
      <c r="I264" s="10">
        <f t="shared" ca="1" si="69"/>
        <v>1887</v>
      </c>
      <c r="J264" s="10">
        <f t="shared" ca="1" si="70"/>
        <v>1834</v>
      </c>
      <c r="K264" s="10">
        <f t="shared" si="74"/>
        <v>2000</v>
      </c>
      <c r="L264" s="10">
        <f t="shared" si="75"/>
        <v>2000</v>
      </c>
      <c r="M264" s="10">
        <f t="shared" si="76"/>
        <v>2000</v>
      </c>
      <c r="N264" s="10">
        <f t="shared" ca="1" si="77"/>
        <v>-100</v>
      </c>
      <c r="O264" s="10">
        <f t="shared" ca="1" si="78"/>
        <v>-113</v>
      </c>
      <c r="P264" s="10">
        <f t="shared" ca="1" si="79"/>
        <v>-166</v>
      </c>
      <c r="Q264" s="14">
        <v>0</v>
      </c>
      <c r="R264" s="14">
        <v>0</v>
      </c>
      <c r="S264" s="14">
        <v>0</v>
      </c>
      <c r="T264" s="13">
        <f t="shared" ca="1" si="71"/>
        <v>1844</v>
      </c>
      <c r="U264" s="12">
        <f t="shared" ca="1" si="81"/>
        <v>860</v>
      </c>
      <c r="V264" s="12">
        <f t="shared" ca="1" si="80"/>
        <v>897</v>
      </c>
      <c r="W264" s="12">
        <f t="shared" ca="1" si="82"/>
        <v>874</v>
      </c>
      <c r="X264" s="13"/>
      <c r="Y264" s="10"/>
      <c r="Z264" s="10"/>
      <c r="AA264" s="10"/>
      <c r="AB264" s="9"/>
    </row>
    <row r="265" spans="1:28" ht="13.15" customHeight="1">
      <c r="A265" s="36">
        <v>251</v>
      </c>
      <c r="B265" s="35">
        <f t="shared" si="72"/>
        <v>45323</v>
      </c>
      <c r="C265" s="16">
        <f t="shared" si="73"/>
        <v>1069</v>
      </c>
      <c r="D265" s="15">
        <f t="shared" si="83"/>
        <v>1674</v>
      </c>
      <c r="E265" s="14">
        <f t="shared" ca="1" si="65"/>
        <v>843</v>
      </c>
      <c r="F265" s="14">
        <f t="shared" ca="1" si="66"/>
        <v>856</v>
      </c>
      <c r="G265" s="14">
        <f t="shared" ca="1" si="67"/>
        <v>909</v>
      </c>
      <c r="H265" s="10">
        <f t="shared" ca="1" si="68"/>
        <v>1900</v>
      </c>
      <c r="I265" s="10">
        <f t="shared" ca="1" si="69"/>
        <v>1887</v>
      </c>
      <c r="J265" s="10">
        <f t="shared" ca="1" si="70"/>
        <v>1834</v>
      </c>
      <c r="K265" s="10">
        <f t="shared" si="74"/>
        <v>2000</v>
      </c>
      <c r="L265" s="10">
        <f t="shared" si="75"/>
        <v>2000</v>
      </c>
      <c r="M265" s="10">
        <f t="shared" si="76"/>
        <v>2000</v>
      </c>
      <c r="N265" s="10">
        <f t="shared" ca="1" si="77"/>
        <v>-100</v>
      </c>
      <c r="O265" s="10">
        <f t="shared" ca="1" si="78"/>
        <v>-113</v>
      </c>
      <c r="P265" s="10">
        <f t="shared" ca="1" si="79"/>
        <v>-166</v>
      </c>
      <c r="Q265" s="14">
        <v>0</v>
      </c>
      <c r="R265" s="14">
        <v>0</v>
      </c>
      <c r="S265" s="14">
        <v>0</v>
      </c>
      <c r="T265" s="13">
        <f t="shared" ca="1" si="71"/>
        <v>1846</v>
      </c>
      <c r="U265" s="12">
        <f t="shared" ca="1" si="81"/>
        <v>860</v>
      </c>
      <c r="V265" s="12">
        <f t="shared" ca="1" si="80"/>
        <v>897</v>
      </c>
      <c r="W265" s="12">
        <f t="shared" ca="1" si="82"/>
        <v>874</v>
      </c>
      <c r="X265" s="13"/>
      <c r="Y265" s="10"/>
      <c r="Z265" s="10"/>
      <c r="AA265" s="10"/>
      <c r="AB265" s="9"/>
    </row>
    <row r="266" spans="1:28" ht="13.15" customHeight="1">
      <c r="A266" s="36">
        <v>252</v>
      </c>
      <c r="B266" s="35">
        <f t="shared" si="72"/>
        <v>45324</v>
      </c>
      <c r="C266" s="16">
        <f t="shared" si="73"/>
        <v>1069</v>
      </c>
      <c r="D266" s="15">
        <f t="shared" si="83"/>
        <v>1676</v>
      </c>
      <c r="E266" s="14">
        <f t="shared" ca="1" si="65"/>
        <v>845</v>
      </c>
      <c r="F266" s="14">
        <f t="shared" ca="1" si="66"/>
        <v>858</v>
      </c>
      <c r="G266" s="14">
        <f t="shared" ca="1" si="67"/>
        <v>911</v>
      </c>
      <c r="H266" s="10">
        <f t="shared" ca="1" si="68"/>
        <v>1900</v>
      </c>
      <c r="I266" s="10">
        <f t="shared" ca="1" si="69"/>
        <v>1887</v>
      </c>
      <c r="J266" s="10">
        <f t="shared" ca="1" si="70"/>
        <v>1834</v>
      </c>
      <c r="K266" s="10">
        <f t="shared" si="74"/>
        <v>2000</v>
      </c>
      <c r="L266" s="10">
        <f t="shared" si="75"/>
        <v>2000</v>
      </c>
      <c r="M266" s="10">
        <f t="shared" si="76"/>
        <v>2000</v>
      </c>
      <c r="N266" s="10">
        <f t="shared" ca="1" si="77"/>
        <v>-100</v>
      </c>
      <c r="O266" s="10">
        <f t="shared" ca="1" si="78"/>
        <v>-113</v>
      </c>
      <c r="P266" s="10">
        <f t="shared" ca="1" si="79"/>
        <v>-166</v>
      </c>
      <c r="Q266" s="14">
        <v>0</v>
      </c>
      <c r="R266" s="14">
        <v>0</v>
      </c>
      <c r="S266" s="14">
        <v>0</v>
      </c>
      <c r="T266" s="13">
        <f t="shared" ca="1" si="71"/>
        <v>1848</v>
      </c>
      <c r="U266" s="12">
        <f t="shared" ca="1" si="81"/>
        <v>860</v>
      </c>
      <c r="V266" s="12">
        <f t="shared" ca="1" si="80"/>
        <v>897</v>
      </c>
      <c r="W266" s="12">
        <f t="shared" ca="1" si="82"/>
        <v>874</v>
      </c>
      <c r="X266" s="13"/>
      <c r="Y266" s="10"/>
      <c r="Z266" s="10"/>
      <c r="AA266" s="10"/>
      <c r="AB266" s="9"/>
    </row>
    <row r="267" spans="1:28" ht="13.15" customHeight="1">
      <c r="A267" s="36">
        <v>253</v>
      </c>
      <c r="B267" s="35">
        <f t="shared" si="72"/>
        <v>45325</v>
      </c>
      <c r="C267" s="16">
        <f t="shared" si="73"/>
        <v>1069</v>
      </c>
      <c r="D267" s="15">
        <f t="shared" si="83"/>
        <v>1678</v>
      </c>
      <c r="E267" s="14">
        <f t="shared" ca="1" si="65"/>
        <v>847</v>
      </c>
      <c r="F267" s="14">
        <f t="shared" ca="1" si="66"/>
        <v>860</v>
      </c>
      <c r="G267" s="14">
        <f t="shared" ca="1" si="67"/>
        <v>913</v>
      </c>
      <c r="H267" s="10">
        <f t="shared" ca="1" si="68"/>
        <v>1900</v>
      </c>
      <c r="I267" s="10">
        <f t="shared" ca="1" si="69"/>
        <v>1887</v>
      </c>
      <c r="J267" s="10">
        <f t="shared" ca="1" si="70"/>
        <v>1834</v>
      </c>
      <c r="K267" s="10">
        <f t="shared" si="74"/>
        <v>2000</v>
      </c>
      <c r="L267" s="10">
        <f t="shared" si="75"/>
        <v>2000</v>
      </c>
      <c r="M267" s="10">
        <f t="shared" si="76"/>
        <v>2000</v>
      </c>
      <c r="N267" s="10">
        <f t="shared" ca="1" si="77"/>
        <v>-100</v>
      </c>
      <c r="O267" s="10">
        <f t="shared" ca="1" si="78"/>
        <v>-113</v>
      </c>
      <c r="P267" s="10">
        <f t="shared" ca="1" si="79"/>
        <v>-166</v>
      </c>
      <c r="Q267" s="14">
        <v>0</v>
      </c>
      <c r="R267" s="14">
        <v>0</v>
      </c>
      <c r="S267" s="14">
        <v>0</v>
      </c>
      <c r="T267" s="13">
        <f t="shared" ca="1" si="71"/>
        <v>1850</v>
      </c>
      <c r="U267" s="12">
        <f t="shared" ca="1" si="81"/>
        <v>860</v>
      </c>
      <c r="V267" s="12">
        <f t="shared" ca="1" si="80"/>
        <v>897</v>
      </c>
      <c r="W267" s="12">
        <f t="shared" ca="1" si="82"/>
        <v>874</v>
      </c>
      <c r="X267" s="13"/>
      <c r="Y267" s="10"/>
      <c r="Z267" s="10"/>
      <c r="AA267" s="10"/>
      <c r="AB267" s="9"/>
    </row>
    <row r="268" spans="1:28" ht="13.15" customHeight="1">
      <c r="A268" s="36">
        <v>254</v>
      </c>
      <c r="B268" s="35">
        <f t="shared" si="72"/>
        <v>45326</v>
      </c>
      <c r="C268" s="16">
        <f t="shared" si="73"/>
        <v>1069</v>
      </c>
      <c r="D268" s="15">
        <f t="shared" si="83"/>
        <v>1680</v>
      </c>
      <c r="E268" s="14">
        <f t="shared" ca="1" si="65"/>
        <v>849</v>
      </c>
      <c r="F268" s="14">
        <f t="shared" ca="1" si="66"/>
        <v>862</v>
      </c>
      <c r="G268" s="14">
        <f t="shared" ca="1" si="67"/>
        <v>915</v>
      </c>
      <c r="H268" s="10">
        <f t="shared" ca="1" si="68"/>
        <v>1900</v>
      </c>
      <c r="I268" s="10">
        <f t="shared" ca="1" si="69"/>
        <v>1887</v>
      </c>
      <c r="J268" s="10">
        <f t="shared" ca="1" si="70"/>
        <v>1834</v>
      </c>
      <c r="K268" s="10">
        <f t="shared" si="74"/>
        <v>2000</v>
      </c>
      <c r="L268" s="10">
        <f t="shared" si="75"/>
        <v>2000</v>
      </c>
      <c r="M268" s="10">
        <f t="shared" si="76"/>
        <v>2000</v>
      </c>
      <c r="N268" s="10">
        <f t="shared" ca="1" si="77"/>
        <v>-100</v>
      </c>
      <c r="O268" s="10">
        <f t="shared" ca="1" si="78"/>
        <v>-113</v>
      </c>
      <c r="P268" s="10">
        <f t="shared" ca="1" si="79"/>
        <v>-166</v>
      </c>
      <c r="Q268" s="14">
        <v>0</v>
      </c>
      <c r="R268" s="14">
        <v>0</v>
      </c>
      <c r="S268" s="14">
        <v>0</v>
      </c>
      <c r="T268" s="13">
        <f t="shared" ca="1" si="71"/>
        <v>1852</v>
      </c>
      <c r="U268" s="12">
        <f t="shared" ca="1" si="81"/>
        <v>860</v>
      </c>
      <c r="V268" s="12">
        <f t="shared" ca="1" si="80"/>
        <v>897</v>
      </c>
      <c r="W268" s="12">
        <f t="shared" ca="1" si="82"/>
        <v>874</v>
      </c>
      <c r="X268" s="13"/>
      <c r="Y268" s="10"/>
      <c r="Z268" s="10"/>
      <c r="AA268" s="10"/>
      <c r="AB268" s="9"/>
    </row>
    <row r="269" spans="1:28" ht="13.15" customHeight="1">
      <c r="A269" s="36">
        <v>255</v>
      </c>
      <c r="B269" s="35">
        <f t="shared" si="72"/>
        <v>45327</v>
      </c>
      <c r="C269" s="16">
        <f t="shared" si="73"/>
        <v>1069</v>
      </c>
      <c r="D269" s="15">
        <f t="shared" si="83"/>
        <v>1682</v>
      </c>
      <c r="E269" s="14">
        <f t="shared" ca="1" si="65"/>
        <v>851</v>
      </c>
      <c r="F269" s="14">
        <f t="shared" ca="1" si="66"/>
        <v>864</v>
      </c>
      <c r="G269" s="14">
        <f t="shared" ca="1" si="67"/>
        <v>917</v>
      </c>
      <c r="H269" s="10">
        <f t="shared" ca="1" si="68"/>
        <v>1900</v>
      </c>
      <c r="I269" s="10">
        <f t="shared" ca="1" si="69"/>
        <v>1887</v>
      </c>
      <c r="J269" s="10">
        <f t="shared" ca="1" si="70"/>
        <v>1834</v>
      </c>
      <c r="K269" s="10">
        <f t="shared" si="74"/>
        <v>2000</v>
      </c>
      <c r="L269" s="10">
        <f t="shared" si="75"/>
        <v>2000</v>
      </c>
      <c r="M269" s="10">
        <f t="shared" si="76"/>
        <v>2000</v>
      </c>
      <c r="N269" s="10">
        <f t="shared" ca="1" si="77"/>
        <v>-100</v>
      </c>
      <c r="O269" s="10">
        <f t="shared" ca="1" si="78"/>
        <v>-113</v>
      </c>
      <c r="P269" s="10">
        <f t="shared" ca="1" si="79"/>
        <v>-166</v>
      </c>
      <c r="Q269" s="14">
        <v>0</v>
      </c>
      <c r="R269" s="14">
        <v>0</v>
      </c>
      <c r="S269" s="14">
        <v>0</v>
      </c>
      <c r="T269" s="13">
        <f t="shared" ca="1" si="71"/>
        <v>1854</v>
      </c>
      <c r="U269" s="12">
        <f t="shared" ca="1" si="81"/>
        <v>860</v>
      </c>
      <c r="V269" s="12">
        <f t="shared" ca="1" si="80"/>
        <v>897</v>
      </c>
      <c r="W269" s="12">
        <f t="shared" ca="1" si="82"/>
        <v>874</v>
      </c>
      <c r="X269" s="13"/>
      <c r="Y269" s="10"/>
      <c r="Z269" s="10"/>
      <c r="AA269" s="10"/>
      <c r="AB269" s="9"/>
    </row>
    <row r="270" spans="1:28" ht="13.15" customHeight="1">
      <c r="A270" s="36">
        <v>256</v>
      </c>
      <c r="B270" s="35">
        <f t="shared" si="72"/>
        <v>45328</v>
      </c>
      <c r="C270" s="16">
        <f t="shared" si="73"/>
        <v>1069</v>
      </c>
      <c r="D270" s="15">
        <f t="shared" si="83"/>
        <v>1684</v>
      </c>
      <c r="E270" s="14">
        <f t="shared" ref="E270:E333" ca="1" si="84">C270+D270-H270</f>
        <v>853</v>
      </c>
      <c r="F270" s="14">
        <f t="shared" ref="F270:F333" ca="1" si="85">C270+D270-I270</f>
        <v>866</v>
      </c>
      <c r="G270" s="14">
        <f t="shared" ref="G270:G333" ca="1" si="86">D270+C270-J270</f>
        <v>919</v>
      </c>
      <c r="H270" s="10">
        <f t="shared" ref="H270:H333" ca="1" si="87">K270+N270</f>
        <v>1900</v>
      </c>
      <c r="I270" s="10">
        <f t="shared" ref="I270:I333" ca="1" si="88">L270+O270</f>
        <v>1887</v>
      </c>
      <c r="J270" s="10">
        <f t="shared" ref="J270:J333" ca="1" si="89">M270+P270</f>
        <v>1834</v>
      </c>
      <c r="K270" s="10">
        <f t="shared" si="74"/>
        <v>2000</v>
      </c>
      <c r="L270" s="10">
        <f t="shared" si="75"/>
        <v>2000</v>
      </c>
      <c r="M270" s="10">
        <f t="shared" si="76"/>
        <v>2000</v>
      </c>
      <c r="N270" s="10">
        <f t="shared" ca="1" si="77"/>
        <v>-100</v>
      </c>
      <c r="O270" s="10">
        <f t="shared" ca="1" si="78"/>
        <v>-113</v>
      </c>
      <c r="P270" s="10">
        <f t="shared" ca="1" si="79"/>
        <v>-166</v>
      </c>
      <c r="Q270" s="14">
        <v>0</v>
      </c>
      <c r="R270" s="14">
        <v>0</v>
      </c>
      <c r="S270" s="14">
        <v>0</v>
      </c>
      <c r="T270" s="13">
        <f t="shared" ref="T270:T333" ca="1" si="90">D270+C270-V270</f>
        <v>1856</v>
      </c>
      <c r="U270" s="12">
        <f t="shared" ca="1" si="81"/>
        <v>860</v>
      </c>
      <c r="V270" s="12">
        <f t="shared" ca="1" si="80"/>
        <v>897</v>
      </c>
      <c r="W270" s="12">
        <f t="shared" ca="1" si="82"/>
        <v>874</v>
      </c>
      <c r="X270" s="13"/>
      <c r="Y270" s="10"/>
      <c r="Z270" s="10"/>
      <c r="AA270" s="10"/>
      <c r="AB270" s="9"/>
    </row>
    <row r="271" spans="1:28" ht="13.15" customHeight="1">
      <c r="A271" s="36">
        <v>257</v>
      </c>
      <c r="B271" s="35">
        <f t="shared" ref="B271:B334" si="91">B270+1</f>
        <v>45329</v>
      </c>
      <c r="C271" s="16">
        <f t="shared" ref="C271:C334" si="92">C270</f>
        <v>1069</v>
      </c>
      <c r="D271" s="15">
        <f t="shared" si="83"/>
        <v>1686</v>
      </c>
      <c r="E271" s="14">
        <f t="shared" ca="1" si="84"/>
        <v>855</v>
      </c>
      <c r="F271" s="14">
        <f t="shared" ca="1" si="85"/>
        <v>868</v>
      </c>
      <c r="G271" s="14">
        <f t="shared" ca="1" si="86"/>
        <v>921</v>
      </c>
      <c r="H271" s="10">
        <f t="shared" ca="1" si="87"/>
        <v>1900</v>
      </c>
      <c r="I271" s="10">
        <f t="shared" ca="1" si="88"/>
        <v>1887</v>
      </c>
      <c r="J271" s="10">
        <f t="shared" ca="1" si="89"/>
        <v>1834</v>
      </c>
      <c r="K271" s="10">
        <f t="shared" ref="K271:K323" si="93">K270</f>
        <v>2000</v>
      </c>
      <c r="L271" s="10">
        <f t="shared" ref="L271:L323" si="94">L270</f>
        <v>2000</v>
      </c>
      <c r="M271" s="10">
        <f t="shared" ref="M271:M323" si="95">M270</f>
        <v>2000</v>
      </c>
      <c r="N271" s="10">
        <f t="shared" ref="N271:N334" ca="1" si="96">N270-Q271</f>
        <v>-100</v>
      </c>
      <c r="O271" s="10">
        <f t="shared" ref="O271:O334" ca="1" si="97">O270-R271</f>
        <v>-113</v>
      </c>
      <c r="P271" s="10">
        <f t="shared" ref="P271:P334" ca="1" si="98">P270-S271</f>
        <v>-166</v>
      </c>
      <c r="Q271" s="14">
        <v>0</v>
      </c>
      <c r="R271" s="14">
        <v>0</v>
      </c>
      <c r="S271" s="14">
        <v>0</v>
      </c>
      <c r="T271" s="13">
        <f t="shared" ca="1" si="90"/>
        <v>1858</v>
      </c>
      <c r="U271" s="12">
        <f t="shared" ca="1" si="81"/>
        <v>860</v>
      </c>
      <c r="V271" s="12">
        <f t="shared" ca="1" si="80"/>
        <v>897</v>
      </c>
      <c r="W271" s="12">
        <f t="shared" ca="1" si="82"/>
        <v>874</v>
      </c>
      <c r="X271" s="13"/>
      <c r="Y271" s="10"/>
      <c r="Z271" s="10"/>
      <c r="AA271" s="10"/>
      <c r="AB271" s="9"/>
    </row>
    <row r="272" spans="1:28" ht="13.15" customHeight="1">
      <c r="A272" s="36">
        <v>258</v>
      </c>
      <c r="B272" s="35">
        <f t="shared" si="91"/>
        <v>45330</v>
      </c>
      <c r="C272" s="16">
        <f t="shared" si="92"/>
        <v>1069</v>
      </c>
      <c r="D272" s="15">
        <f t="shared" si="83"/>
        <v>1688</v>
      </c>
      <c r="E272" s="14">
        <f t="shared" ca="1" si="84"/>
        <v>857</v>
      </c>
      <c r="F272" s="14">
        <f t="shared" ca="1" si="85"/>
        <v>870</v>
      </c>
      <c r="G272" s="14">
        <f t="shared" ca="1" si="86"/>
        <v>923</v>
      </c>
      <c r="H272" s="10">
        <f t="shared" ca="1" si="87"/>
        <v>1900</v>
      </c>
      <c r="I272" s="10">
        <f t="shared" ca="1" si="88"/>
        <v>1887</v>
      </c>
      <c r="J272" s="10">
        <f t="shared" ca="1" si="89"/>
        <v>1834</v>
      </c>
      <c r="K272" s="10">
        <f t="shared" si="93"/>
        <v>2000</v>
      </c>
      <c r="L272" s="10">
        <f t="shared" si="94"/>
        <v>2000</v>
      </c>
      <c r="M272" s="10">
        <f t="shared" si="95"/>
        <v>2000</v>
      </c>
      <c r="N272" s="10">
        <f t="shared" ca="1" si="96"/>
        <v>-100</v>
      </c>
      <c r="O272" s="10">
        <f t="shared" ca="1" si="97"/>
        <v>-113</v>
      </c>
      <c r="P272" s="10">
        <f t="shared" ca="1" si="98"/>
        <v>-166</v>
      </c>
      <c r="Q272" s="14">
        <v>0</v>
      </c>
      <c r="R272" s="14">
        <v>0</v>
      </c>
      <c r="S272" s="14">
        <v>0</v>
      </c>
      <c r="T272" s="13">
        <f t="shared" ca="1" si="90"/>
        <v>1860</v>
      </c>
      <c r="U272" s="12">
        <f t="shared" ca="1" si="81"/>
        <v>860</v>
      </c>
      <c r="V272" s="12">
        <f t="shared" ca="1" si="80"/>
        <v>897</v>
      </c>
      <c r="W272" s="12">
        <f t="shared" ca="1" si="82"/>
        <v>874</v>
      </c>
      <c r="X272" s="13"/>
      <c r="Y272" s="10"/>
      <c r="Z272" s="10"/>
      <c r="AA272" s="10"/>
      <c r="AB272" s="9"/>
    </row>
    <row r="273" spans="1:28" ht="13.15" customHeight="1">
      <c r="A273" s="36">
        <v>259</v>
      </c>
      <c r="B273" s="35">
        <f t="shared" si="91"/>
        <v>45331</v>
      </c>
      <c r="C273" s="16">
        <f t="shared" si="92"/>
        <v>1069</v>
      </c>
      <c r="D273" s="15">
        <f t="shared" si="83"/>
        <v>1690</v>
      </c>
      <c r="E273" s="14">
        <f t="shared" ca="1" si="84"/>
        <v>859</v>
      </c>
      <c r="F273" s="14">
        <f t="shared" ca="1" si="85"/>
        <v>872</v>
      </c>
      <c r="G273" s="14">
        <f t="shared" ca="1" si="86"/>
        <v>925</v>
      </c>
      <c r="H273" s="10">
        <f t="shared" ca="1" si="87"/>
        <v>1900</v>
      </c>
      <c r="I273" s="10">
        <f t="shared" ca="1" si="88"/>
        <v>1887</v>
      </c>
      <c r="J273" s="10">
        <f t="shared" ca="1" si="89"/>
        <v>1834</v>
      </c>
      <c r="K273" s="10">
        <f t="shared" si="93"/>
        <v>2000</v>
      </c>
      <c r="L273" s="10">
        <f t="shared" si="94"/>
        <v>2000</v>
      </c>
      <c r="M273" s="10">
        <f t="shared" si="95"/>
        <v>2000</v>
      </c>
      <c r="N273" s="10">
        <f t="shared" ca="1" si="96"/>
        <v>-100</v>
      </c>
      <c r="O273" s="10">
        <f t="shared" ca="1" si="97"/>
        <v>-113</v>
      </c>
      <c r="P273" s="10">
        <f t="shared" ca="1" si="98"/>
        <v>-166</v>
      </c>
      <c r="Q273" s="14">
        <v>0</v>
      </c>
      <c r="R273" s="14">
        <v>0</v>
      </c>
      <c r="S273" s="14">
        <v>0</v>
      </c>
      <c r="T273" s="13">
        <f t="shared" ca="1" si="90"/>
        <v>1862</v>
      </c>
      <c r="U273" s="12">
        <f t="shared" ca="1" si="81"/>
        <v>860</v>
      </c>
      <c r="V273" s="12">
        <f t="shared" ca="1" si="80"/>
        <v>897</v>
      </c>
      <c r="W273" s="12">
        <f t="shared" ca="1" si="82"/>
        <v>874</v>
      </c>
      <c r="X273" s="13"/>
      <c r="Y273" s="10"/>
      <c r="Z273" s="10"/>
      <c r="AA273" s="10"/>
      <c r="AB273" s="9"/>
    </row>
    <row r="274" spans="1:28" ht="13.15" customHeight="1">
      <c r="A274" s="36">
        <v>260</v>
      </c>
      <c r="B274" s="35">
        <f t="shared" si="91"/>
        <v>45332</v>
      </c>
      <c r="C274" s="16">
        <f t="shared" si="92"/>
        <v>1069</v>
      </c>
      <c r="D274" s="15">
        <f t="shared" si="83"/>
        <v>1692</v>
      </c>
      <c r="E274" s="14">
        <f t="shared" ca="1" si="84"/>
        <v>861</v>
      </c>
      <c r="F274" s="14">
        <f t="shared" ca="1" si="85"/>
        <v>874</v>
      </c>
      <c r="G274" s="14">
        <f t="shared" ca="1" si="86"/>
        <v>927</v>
      </c>
      <c r="H274" s="10">
        <f t="shared" ca="1" si="87"/>
        <v>1900</v>
      </c>
      <c r="I274" s="10">
        <f t="shared" ca="1" si="88"/>
        <v>1887</v>
      </c>
      <c r="J274" s="10">
        <f t="shared" ca="1" si="89"/>
        <v>1834</v>
      </c>
      <c r="K274" s="10">
        <f t="shared" si="93"/>
        <v>2000</v>
      </c>
      <c r="L274" s="10">
        <f t="shared" si="94"/>
        <v>2000</v>
      </c>
      <c r="M274" s="10">
        <f t="shared" si="95"/>
        <v>2000</v>
      </c>
      <c r="N274" s="10">
        <f t="shared" ca="1" si="96"/>
        <v>-100</v>
      </c>
      <c r="O274" s="10">
        <f t="shared" ca="1" si="97"/>
        <v>-113</v>
      </c>
      <c r="P274" s="10">
        <f t="shared" ca="1" si="98"/>
        <v>-166</v>
      </c>
      <c r="Q274" s="14">
        <v>0</v>
      </c>
      <c r="R274" s="14">
        <v>0</v>
      </c>
      <c r="S274" s="14">
        <v>0</v>
      </c>
      <c r="T274" s="13">
        <f t="shared" ca="1" si="90"/>
        <v>1864</v>
      </c>
      <c r="U274" s="12">
        <f t="shared" ca="1" si="81"/>
        <v>860</v>
      </c>
      <c r="V274" s="12">
        <f t="shared" ca="1" si="80"/>
        <v>897</v>
      </c>
      <c r="W274" s="12">
        <f t="shared" ca="1" si="82"/>
        <v>874</v>
      </c>
      <c r="X274" s="13"/>
      <c r="Y274" s="10"/>
      <c r="Z274" s="10"/>
      <c r="AA274" s="10"/>
      <c r="AB274" s="9"/>
    </row>
    <row r="275" spans="1:28" ht="13.15" customHeight="1">
      <c r="A275" s="36">
        <v>261</v>
      </c>
      <c r="B275" s="35">
        <f t="shared" si="91"/>
        <v>45333</v>
      </c>
      <c r="C275" s="16">
        <f t="shared" si="92"/>
        <v>1069</v>
      </c>
      <c r="D275" s="15">
        <f t="shared" si="83"/>
        <v>1694</v>
      </c>
      <c r="E275" s="14">
        <f t="shared" ca="1" si="84"/>
        <v>863</v>
      </c>
      <c r="F275" s="14">
        <f t="shared" ca="1" si="85"/>
        <v>876</v>
      </c>
      <c r="G275" s="14">
        <f t="shared" ca="1" si="86"/>
        <v>929</v>
      </c>
      <c r="H275" s="10">
        <f t="shared" ca="1" si="87"/>
        <v>1900</v>
      </c>
      <c r="I275" s="10">
        <f t="shared" ca="1" si="88"/>
        <v>1887</v>
      </c>
      <c r="J275" s="10">
        <f t="shared" ca="1" si="89"/>
        <v>1834</v>
      </c>
      <c r="K275" s="10">
        <f t="shared" si="93"/>
        <v>2000</v>
      </c>
      <c r="L275" s="10">
        <f t="shared" si="94"/>
        <v>2000</v>
      </c>
      <c r="M275" s="10">
        <f t="shared" si="95"/>
        <v>2000</v>
      </c>
      <c r="N275" s="10">
        <f t="shared" ca="1" si="96"/>
        <v>-100</v>
      </c>
      <c r="O275" s="10">
        <f t="shared" ca="1" si="97"/>
        <v>-113</v>
      </c>
      <c r="P275" s="10">
        <f t="shared" ca="1" si="98"/>
        <v>-166</v>
      </c>
      <c r="Q275" s="14">
        <v>0</v>
      </c>
      <c r="R275" s="14">
        <v>0</v>
      </c>
      <c r="S275" s="14">
        <v>0</v>
      </c>
      <c r="T275" s="13">
        <f t="shared" ca="1" si="90"/>
        <v>1866</v>
      </c>
      <c r="U275" s="12">
        <f t="shared" ca="1" si="81"/>
        <v>860</v>
      </c>
      <c r="V275" s="12">
        <f t="shared" ca="1" si="80"/>
        <v>897</v>
      </c>
      <c r="W275" s="12">
        <f t="shared" ca="1" si="82"/>
        <v>874</v>
      </c>
      <c r="X275" s="13"/>
      <c r="Y275" s="10"/>
      <c r="Z275" s="10"/>
      <c r="AA275" s="10"/>
      <c r="AB275" s="9"/>
    </row>
    <row r="276" spans="1:28" ht="13.15" customHeight="1">
      <c r="A276" s="36">
        <v>262</v>
      </c>
      <c r="B276" s="35">
        <f t="shared" si="91"/>
        <v>45334</v>
      </c>
      <c r="C276" s="16">
        <f t="shared" si="92"/>
        <v>1069</v>
      </c>
      <c r="D276" s="15">
        <f t="shared" si="83"/>
        <v>1696</v>
      </c>
      <c r="E276" s="14">
        <f t="shared" ca="1" si="84"/>
        <v>865</v>
      </c>
      <c r="F276" s="14">
        <f t="shared" ca="1" si="85"/>
        <v>878</v>
      </c>
      <c r="G276" s="14">
        <f t="shared" ca="1" si="86"/>
        <v>931</v>
      </c>
      <c r="H276" s="10">
        <f t="shared" ca="1" si="87"/>
        <v>1900</v>
      </c>
      <c r="I276" s="10">
        <f t="shared" ca="1" si="88"/>
        <v>1887</v>
      </c>
      <c r="J276" s="10">
        <f t="shared" ca="1" si="89"/>
        <v>1834</v>
      </c>
      <c r="K276" s="10">
        <f t="shared" si="93"/>
        <v>2000</v>
      </c>
      <c r="L276" s="10">
        <f t="shared" si="94"/>
        <v>2000</v>
      </c>
      <c r="M276" s="10">
        <f t="shared" si="95"/>
        <v>2000</v>
      </c>
      <c r="N276" s="10">
        <f t="shared" ca="1" si="96"/>
        <v>-100</v>
      </c>
      <c r="O276" s="10">
        <f t="shared" ca="1" si="97"/>
        <v>-113</v>
      </c>
      <c r="P276" s="10">
        <f t="shared" ca="1" si="98"/>
        <v>-166</v>
      </c>
      <c r="Q276" s="14">
        <v>0</v>
      </c>
      <c r="R276" s="14">
        <v>0</v>
      </c>
      <c r="S276" s="14">
        <v>0</v>
      </c>
      <c r="T276" s="13">
        <f t="shared" ca="1" si="90"/>
        <v>1868</v>
      </c>
      <c r="U276" s="12">
        <f t="shared" ca="1" si="81"/>
        <v>860</v>
      </c>
      <c r="V276" s="12">
        <f t="shared" ca="1" si="80"/>
        <v>897</v>
      </c>
      <c r="W276" s="12">
        <f t="shared" ca="1" si="82"/>
        <v>874</v>
      </c>
      <c r="X276" s="13"/>
      <c r="Y276" s="10"/>
      <c r="Z276" s="10"/>
      <c r="AA276" s="10"/>
      <c r="AB276" s="9"/>
    </row>
    <row r="277" spans="1:28" ht="13.15" customHeight="1">
      <c r="A277" s="36">
        <v>263</v>
      </c>
      <c r="B277" s="35">
        <f t="shared" si="91"/>
        <v>45335</v>
      </c>
      <c r="C277" s="16">
        <f t="shared" si="92"/>
        <v>1069</v>
      </c>
      <c r="D277" s="15">
        <f t="shared" si="83"/>
        <v>1698</v>
      </c>
      <c r="E277" s="14">
        <f t="shared" ca="1" si="84"/>
        <v>867</v>
      </c>
      <c r="F277" s="14">
        <f t="shared" ca="1" si="85"/>
        <v>880</v>
      </c>
      <c r="G277" s="14">
        <f t="shared" ca="1" si="86"/>
        <v>933</v>
      </c>
      <c r="H277" s="10">
        <f t="shared" ca="1" si="87"/>
        <v>1900</v>
      </c>
      <c r="I277" s="10">
        <f t="shared" ca="1" si="88"/>
        <v>1887</v>
      </c>
      <c r="J277" s="10">
        <f t="shared" ca="1" si="89"/>
        <v>1834</v>
      </c>
      <c r="K277" s="10">
        <f t="shared" si="93"/>
        <v>2000</v>
      </c>
      <c r="L277" s="10">
        <f t="shared" si="94"/>
        <v>2000</v>
      </c>
      <c r="M277" s="10">
        <f t="shared" si="95"/>
        <v>2000</v>
      </c>
      <c r="N277" s="10">
        <f t="shared" ca="1" si="96"/>
        <v>-100</v>
      </c>
      <c r="O277" s="10">
        <f t="shared" ca="1" si="97"/>
        <v>-113</v>
      </c>
      <c r="P277" s="10">
        <f t="shared" ca="1" si="98"/>
        <v>-166</v>
      </c>
      <c r="Q277" s="14">
        <v>0</v>
      </c>
      <c r="R277" s="14">
        <v>0</v>
      </c>
      <c r="S277" s="14">
        <v>0</v>
      </c>
      <c r="T277" s="13">
        <f t="shared" ca="1" si="90"/>
        <v>1870</v>
      </c>
      <c r="U277" s="12">
        <f t="shared" ca="1" si="81"/>
        <v>860</v>
      </c>
      <c r="V277" s="12">
        <f t="shared" ca="1" si="80"/>
        <v>897</v>
      </c>
      <c r="W277" s="12">
        <f t="shared" ca="1" si="82"/>
        <v>874</v>
      </c>
      <c r="X277" s="13"/>
      <c r="Y277" s="10"/>
      <c r="Z277" s="10"/>
      <c r="AA277" s="10"/>
      <c r="AB277" s="9"/>
    </row>
    <row r="278" spans="1:28" ht="13.15" customHeight="1">
      <c r="A278" s="36">
        <v>264</v>
      </c>
      <c r="B278" s="35">
        <f t="shared" si="91"/>
        <v>45336</v>
      </c>
      <c r="C278" s="16">
        <f t="shared" si="92"/>
        <v>1069</v>
      </c>
      <c r="D278" s="15">
        <f t="shared" si="83"/>
        <v>1700</v>
      </c>
      <c r="E278" s="14">
        <f t="shared" ca="1" si="84"/>
        <v>869</v>
      </c>
      <c r="F278" s="14">
        <f t="shared" ca="1" si="85"/>
        <v>882</v>
      </c>
      <c r="G278" s="14">
        <f t="shared" ca="1" si="86"/>
        <v>935</v>
      </c>
      <c r="H278" s="10">
        <f t="shared" ca="1" si="87"/>
        <v>1900</v>
      </c>
      <c r="I278" s="10">
        <f t="shared" ca="1" si="88"/>
        <v>1887</v>
      </c>
      <c r="J278" s="10">
        <f t="shared" ca="1" si="89"/>
        <v>1834</v>
      </c>
      <c r="K278" s="10">
        <f t="shared" si="93"/>
        <v>2000</v>
      </c>
      <c r="L278" s="10">
        <f t="shared" si="94"/>
        <v>2000</v>
      </c>
      <c r="M278" s="10">
        <f t="shared" si="95"/>
        <v>2000</v>
      </c>
      <c r="N278" s="10">
        <f t="shared" ca="1" si="96"/>
        <v>-100</v>
      </c>
      <c r="O278" s="10">
        <f t="shared" ca="1" si="97"/>
        <v>-113</v>
      </c>
      <c r="P278" s="10">
        <f t="shared" ca="1" si="98"/>
        <v>-166</v>
      </c>
      <c r="Q278" s="14">
        <v>0</v>
      </c>
      <c r="R278" s="14">
        <v>0</v>
      </c>
      <c r="S278" s="14">
        <v>0</v>
      </c>
      <c r="T278" s="13">
        <f t="shared" ca="1" si="90"/>
        <v>1872</v>
      </c>
      <c r="U278" s="12">
        <f t="shared" ca="1" si="81"/>
        <v>860</v>
      </c>
      <c r="V278" s="12">
        <f t="shared" ca="1" si="80"/>
        <v>897</v>
      </c>
      <c r="W278" s="12">
        <f t="shared" ca="1" si="82"/>
        <v>874</v>
      </c>
      <c r="X278" s="13"/>
      <c r="Y278" s="10"/>
      <c r="Z278" s="10"/>
      <c r="AA278" s="10"/>
      <c r="AB278" s="9"/>
    </row>
    <row r="279" spans="1:28" ht="13.15" customHeight="1">
      <c r="A279" s="36">
        <v>265</v>
      </c>
      <c r="B279" s="35">
        <f t="shared" si="91"/>
        <v>45337</v>
      </c>
      <c r="C279" s="16">
        <f t="shared" si="92"/>
        <v>1069</v>
      </c>
      <c r="D279" s="15">
        <f t="shared" si="83"/>
        <v>1702</v>
      </c>
      <c r="E279" s="14">
        <f t="shared" ca="1" si="84"/>
        <v>871</v>
      </c>
      <c r="F279" s="14">
        <f t="shared" ca="1" si="85"/>
        <v>884</v>
      </c>
      <c r="G279" s="14">
        <f t="shared" ca="1" si="86"/>
        <v>937</v>
      </c>
      <c r="H279" s="10">
        <f t="shared" ca="1" si="87"/>
        <v>1900</v>
      </c>
      <c r="I279" s="10">
        <f t="shared" ca="1" si="88"/>
        <v>1887</v>
      </c>
      <c r="J279" s="10">
        <f t="shared" ca="1" si="89"/>
        <v>1834</v>
      </c>
      <c r="K279" s="10">
        <f t="shared" si="93"/>
        <v>2000</v>
      </c>
      <c r="L279" s="10">
        <f t="shared" si="94"/>
        <v>2000</v>
      </c>
      <c r="M279" s="10">
        <f t="shared" si="95"/>
        <v>2000</v>
      </c>
      <c r="N279" s="10">
        <f t="shared" ca="1" si="96"/>
        <v>-100</v>
      </c>
      <c r="O279" s="10">
        <f t="shared" ca="1" si="97"/>
        <v>-113</v>
      </c>
      <c r="P279" s="10">
        <f t="shared" ca="1" si="98"/>
        <v>-166</v>
      </c>
      <c r="Q279" s="14">
        <v>0</v>
      </c>
      <c r="R279" s="14">
        <v>0</v>
      </c>
      <c r="S279" s="14">
        <v>0</v>
      </c>
      <c r="T279" s="13">
        <f t="shared" ca="1" si="90"/>
        <v>1874</v>
      </c>
      <c r="U279" s="12">
        <f t="shared" ca="1" si="81"/>
        <v>860</v>
      </c>
      <c r="V279" s="12">
        <f t="shared" ca="1" si="80"/>
        <v>897</v>
      </c>
      <c r="W279" s="12">
        <f t="shared" ca="1" si="82"/>
        <v>874</v>
      </c>
      <c r="X279" s="13"/>
      <c r="Y279" s="10"/>
      <c r="Z279" s="10"/>
      <c r="AA279" s="10"/>
      <c r="AB279" s="9"/>
    </row>
    <row r="280" spans="1:28" ht="13.15" customHeight="1">
      <c r="A280" s="36">
        <v>266</v>
      </c>
      <c r="B280" s="35">
        <f t="shared" si="91"/>
        <v>45338</v>
      </c>
      <c r="C280" s="16">
        <f t="shared" si="92"/>
        <v>1069</v>
      </c>
      <c r="D280" s="15">
        <f t="shared" si="83"/>
        <v>1704</v>
      </c>
      <c r="E280" s="14">
        <f t="shared" ca="1" si="84"/>
        <v>873</v>
      </c>
      <c r="F280" s="14">
        <f t="shared" ca="1" si="85"/>
        <v>886</v>
      </c>
      <c r="G280" s="14">
        <f t="shared" ca="1" si="86"/>
        <v>939</v>
      </c>
      <c r="H280" s="10">
        <f t="shared" ca="1" si="87"/>
        <v>1900</v>
      </c>
      <c r="I280" s="10">
        <f t="shared" ca="1" si="88"/>
        <v>1887</v>
      </c>
      <c r="J280" s="10">
        <f t="shared" ca="1" si="89"/>
        <v>1834</v>
      </c>
      <c r="K280" s="10">
        <f t="shared" si="93"/>
        <v>2000</v>
      </c>
      <c r="L280" s="10">
        <f t="shared" si="94"/>
        <v>2000</v>
      </c>
      <c r="M280" s="10">
        <f t="shared" si="95"/>
        <v>2000</v>
      </c>
      <c r="N280" s="10">
        <f t="shared" ca="1" si="96"/>
        <v>-100</v>
      </c>
      <c r="O280" s="10">
        <f t="shared" ca="1" si="97"/>
        <v>-113</v>
      </c>
      <c r="P280" s="10">
        <f t="shared" ca="1" si="98"/>
        <v>-166</v>
      </c>
      <c r="Q280" s="14">
        <v>0</v>
      </c>
      <c r="R280" s="14">
        <v>0</v>
      </c>
      <c r="S280" s="14">
        <v>0</v>
      </c>
      <c r="T280" s="13">
        <f t="shared" ca="1" si="90"/>
        <v>1876</v>
      </c>
      <c r="U280" s="12">
        <f t="shared" ca="1" si="81"/>
        <v>860</v>
      </c>
      <c r="V280" s="12">
        <f t="shared" ca="1" si="80"/>
        <v>897</v>
      </c>
      <c r="W280" s="12">
        <f t="shared" ca="1" si="82"/>
        <v>874</v>
      </c>
      <c r="X280" s="13"/>
      <c r="Y280" s="10"/>
      <c r="Z280" s="10"/>
      <c r="AA280" s="10"/>
      <c r="AB280" s="9"/>
    </row>
    <row r="281" spans="1:28" ht="13.15" customHeight="1">
      <c r="A281" s="36">
        <v>267</v>
      </c>
      <c r="B281" s="35">
        <f t="shared" si="91"/>
        <v>45339</v>
      </c>
      <c r="C281" s="16">
        <f t="shared" si="92"/>
        <v>1069</v>
      </c>
      <c r="D281" s="15">
        <f t="shared" si="83"/>
        <v>1706</v>
      </c>
      <c r="E281" s="14">
        <f t="shared" ca="1" si="84"/>
        <v>875</v>
      </c>
      <c r="F281" s="14">
        <f t="shared" ca="1" si="85"/>
        <v>888</v>
      </c>
      <c r="G281" s="14">
        <f t="shared" ca="1" si="86"/>
        <v>941</v>
      </c>
      <c r="H281" s="10">
        <f t="shared" ca="1" si="87"/>
        <v>1900</v>
      </c>
      <c r="I281" s="10">
        <f t="shared" ca="1" si="88"/>
        <v>1887</v>
      </c>
      <c r="J281" s="10">
        <f t="shared" ca="1" si="89"/>
        <v>1834</v>
      </c>
      <c r="K281" s="10">
        <f t="shared" si="93"/>
        <v>2000</v>
      </c>
      <c r="L281" s="10">
        <f t="shared" si="94"/>
        <v>2000</v>
      </c>
      <c r="M281" s="10">
        <f t="shared" si="95"/>
        <v>2000</v>
      </c>
      <c r="N281" s="10">
        <f t="shared" ca="1" si="96"/>
        <v>-100</v>
      </c>
      <c r="O281" s="10">
        <f t="shared" ca="1" si="97"/>
        <v>-113</v>
      </c>
      <c r="P281" s="10">
        <f t="shared" ca="1" si="98"/>
        <v>-166</v>
      </c>
      <c r="Q281" s="14">
        <v>0</v>
      </c>
      <c r="R281" s="14">
        <v>0</v>
      </c>
      <c r="S281" s="14">
        <v>0</v>
      </c>
      <c r="T281" s="13">
        <f t="shared" ca="1" si="90"/>
        <v>1878</v>
      </c>
      <c r="U281" s="12">
        <f t="shared" ca="1" si="81"/>
        <v>860</v>
      </c>
      <c r="V281" s="12">
        <f t="shared" ca="1" si="80"/>
        <v>897</v>
      </c>
      <c r="W281" s="12">
        <f t="shared" ca="1" si="82"/>
        <v>874</v>
      </c>
      <c r="X281" s="13"/>
      <c r="Y281" s="10"/>
      <c r="Z281" s="10"/>
      <c r="AA281" s="10"/>
      <c r="AB281" s="9"/>
    </row>
    <row r="282" spans="1:28" ht="13.15" customHeight="1">
      <c r="A282" s="36">
        <v>268</v>
      </c>
      <c r="B282" s="35">
        <f t="shared" si="91"/>
        <v>45340</v>
      </c>
      <c r="C282" s="16">
        <f t="shared" si="92"/>
        <v>1069</v>
      </c>
      <c r="D282" s="15">
        <f t="shared" si="83"/>
        <v>1708</v>
      </c>
      <c r="E282" s="14">
        <f t="shared" ca="1" si="84"/>
        <v>877</v>
      </c>
      <c r="F282" s="14">
        <f t="shared" ca="1" si="85"/>
        <v>890</v>
      </c>
      <c r="G282" s="14">
        <f t="shared" ca="1" si="86"/>
        <v>943</v>
      </c>
      <c r="H282" s="10">
        <f t="shared" ca="1" si="87"/>
        <v>1900</v>
      </c>
      <c r="I282" s="10">
        <f t="shared" ca="1" si="88"/>
        <v>1887</v>
      </c>
      <c r="J282" s="10">
        <f t="shared" ca="1" si="89"/>
        <v>1834</v>
      </c>
      <c r="K282" s="10">
        <f t="shared" si="93"/>
        <v>2000</v>
      </c>
      <c r="L282" s="10">
        <f t="shared" si="94"/>
        <v>2000</v>
      </c>
      <c r="M282" s="10">
        <f t="shared" si="95"/>
        <v>2000</v>
      </c>
      <c r="N282" s="10">
        <f t="shared" ca="1" si="96"/>
        <v>-100</v>
      </c>
      <c r="O282" s="10">
        <f t="shared" ca="1" si="97"/>
        <v>-113</v>
      </c>
      <c r="P282" s="10">
        <f t="shared" ca="1" si="98"/>
        <v>-166</v>
      </c>
      <c r="Q282" s="14">
        <v>0</v>
      </c>
      <c r="R282" s="14">
        <v>0</v>
      </c>
      <c r="S282" s="14">
        <v>0</v>
      </c>
      <c r="T282" s="13">
        <f t="shared" ca="1" si="90"/>
        <v>1880</v>
      </c>
      <c r="U282" s="12">
        <f t="shared" ca="1" si="81"/>
        <v>860</v>
      </c>
      <c r="V282" s="12">
        <f t="shared" ca="1" si="80"/>
        <v>897</v>
      </c>
      <c r="W282" s="12">
        <f t="shared" ca="1" si="82"/>
        <v>874</v>
      </c>
      <c r="X282" s="13"/>
      <c r="Y282" s="10"/>
      <c r="Z282" s="10"/>
      <c r="AA282" s="10"/>
      <c r="AB282" s="9"/>
    </row>
    <row r="283" spans="1:28" ht="13.15" customHeight="1">
      <c r="A283" s="36">
        <v>269</v>
      </c>
      <c r="B283" s="35">
        <f t="shared" si="91"/>
        <v>45341</v>
      </c>
      <c r="C283" s="16">
        <f t="shared" si="92"/>
        <v>1069</v>
      </c>
      <c r="D283" s="15">
        <f t="shared" si="83"/>
        <v>1710</v>
      </c>
      <c r="E283" s="14">
        <f t="shared" ca="1" si="84"/>
        <v>879</v>
      </c>
      <c r="F283" s="14">
        <f t="shared" ca="1" si="85"/>
        <v>892</v>
      </c>
      <c r="G283" s="14">
        <f t="shared" ca="1" si="86"/>
        <v>945</v>
      </c>
      <c r="H283" s="10">
        <f t="shared" ca="1" si="87"/>
        <v>1900</v>
      </c>
      <c r="I283" s="10">
        <f t="shared" ca="1" si="88"/>
        <v>1887</v>
      </c>
      <c r="J283" s="10">
        <f t="shared" ca="1" si="89"/>
        <v>1834</v>
      </c>
      <c r="K283" s="10">
        <f t="shared" si="93"/>
        <v>2000</v>
      </c>
      <c r="L283" s="10">
        <f t="shared" si="94"/>
        <v>2000</v>
      </c>
      <c r="M283" s="10">
        <f t="shared" si="95"/>
        <v>2000</v>
      </c>
      <c r="N283" s="10">
        <f t="shared" ca="1" si="96"/>
        <v>-100</v>
      </c>
      <c r="O283" s="10">
        <f t="shared" ca="1" si="97"/>
        <v>-113</v>
      </c>
      <c r="P283" s="10">
        <f t="shared" ca="1" si="98"/>
        <v>-166</v>
      </c>
      <c r="Q283" s="14">
        <v>0</v>
      </c>
      <c r="R283" s="14">
        <v>0</v>
      </c>
      <c r="S283" s="14">
        <v>0</v>
      </c>
      <c r="T283" s="13">
        <f t="shared" ca="1" si="90"/>
        <v>1882</v>
      </c>
      <c r="U283" s="12">
        <f t="shared" ca="1" si="81"/>
        <v>860</v>
      </c>
      <c r="V283" s="12">
        <f t="shared" ref="V283:V346" ca="1" si="99">V282+$X283*1000-R283</f>
        <v>897</v>
      </c>
      <c r="W283" s="12">
        <f t="shared" ca="1" si="82"/>
        <v>874</v>
      </c>
      <c r="X283" s="13"/>
      <c r="Y283" s="10"/>
      <c r="Z283" s="10"/>
      <c r="AA283" s="10"/>
      <c r="AB283" s="9"/>
    </row>
    <row r="284" spans="1:28" ht="13.15" customHeight="1">
      <c r="A284" s="36">
        <v>270</v>
      </c>
      <c r="B284" s="35">
        <f t="shared" si="91"/>
        <v>45342</v>
      </c>
      <c r="C284" s="16">
        <f t="shared" si="92"/>
        <v>1069</v>
      </c>
      <c r="D284" s="15">
        <f t="shared" si="83"/>
        <v>1712</v>
      </c>
      <c r="E284" s="14">
        <f t="shared" ca="1" si="84"/>
        <v>881</v>
      </c>
      <c r="F284" s="14">
        <f t="shared" ca="1" si="85"/>
        <v>894</v>
      </c>
      <c r="G284" s="14">
        <f t="shared" ca="1" si="86"/>
        <v>947</v>
      </c>
      <c r="H284" s="10">
        <f t="shared" ca="1" si="87"/>
        <v>1900</v>
      </c>
      <c r="I284" s="10">
        <f t="shared" ca="1" si="88"/>
        <v>1887</v>
      </c>
      <c r="J284" s="10">
        <f t="shared" ca="1" si="89"/>
        <v>1834</v>
      </c>
      <c r="K284" s="10">
        <f t="shared" si="93"/>
        <v>2000</v>
      </c>
      <c r="L284" s="10">
        <f t="shared" si="94"/>
        <v>2000</v>
      </c>
      <c r="M284" s="10">
        <f t="shared" si="95"/>
        <v>2000</v>
      </c>
      <c r="N284" s="10">
        <f t="shared" ca="1" si="96"/>
        <v>-100</v>
      </c>
      <c r="O284" s="10">
        <f t="shared" ca="1" si="97"/>
        <v>-113</v>
      </c>
      <c r="P284" s="10">
        <f t="shared" ca="1" si="98"/>
        <v>-166</v>
      </c>
      <c r="Q284" s="14">
        <v>0</v>
      </c>
      <c r="R284" s="14">
        <v>0</v>
      </c>
      <c r="S284" s="14">
        <v>0</v>
      </c>
      <c r="T284" s="13">
        <f t="shared" ca="1" si="90"/>
        <v>1884</v>
      </c>
      <c r="U284" s="12">
        <f t="shared" ref="U284:U347" ca="1" si="100">U283+$X284*1000-Q284</f>
        <v>860</v>
      </c>
      <c r="V284" s="12">
        <f t="shared" ca="1" si="99"/>
        <v>897</v>
      </c>
      <c r="W284" s="12">
        <f t="shared" ref="W284:W347" ca="1" si="101">W283+$X284*1000-S284</f>
        <v>874</v>
      </c>
      <c r="X284" s="13"/>
      <c r="Y284" s="10"/>
      <c r="Z284" s="10"/>
      <c r="AA284" s="10"/>
      <c r="AB284" s="9"/>
    </row>
    <row r="285" spans="1:28" ht="13.15" customHeight="1">
      <c r="A285" s="36">
        <v>271</v>
      </c>
      <c r="B285" s="35">
        <f t="shared" si="91"/>
        <v>45343</v>
      </c>
      <c r="C285" s="16">
        <f t="shared" si="92"/>
        <v>1069</v>
      </c>
      <c r="D285" s="15">
        <f t="shared" si="83"/>
        <v>1714</v>
      </c>
      <c r="E285" s="14">
        <f t="shared" ca="1" si="84"/>
        <v>883</v>
      </c>
      <c r="F285" s="14">
        <f t="shared" ca="1" si="85"/>
        <v>896</v>
      </c>
      <c r="G285" s="14">
        <f t="shared" ca="1" si="86"/>
        <v>949</v>
      </c>
      <c r="H285" s="10">
        <f t="shared" ca="1" si="87"/>
        <v>1900</v>
      </c>
      <c r="I285" s="10">
        <f t="shared" ca="1" si="88"/>
        <v>1887</v>
      </c>
      <c r="J285" s="10">
        <f t="shared" ca="1" si="89"/>
        <v>1834</v>
      </c>
      <c r="K285" s="10">
        <f t="shared" si="93"/>
        <v>2000</v>
      </c>
      <c r="L285" s="10">
        <f t="shared" si="94"/>
        <v>2000</v>
      </c>
      <c r="M285" s="10">
        <f t="shared" si="95"/>
        <v>2000</v>
      </c>
      <c r="N285" s="10">
        <f t="shared" ca="1" si="96"/>
        <v>-100</v>
      </c>
      <c r="O285" s="10">
        <f t="shared" ca="1" si="97"/>
        <v>-113</v>
      </c>
      <c r="P285" s="10">
        <f t="shared" ca="1" si="98"/>
        <v>-166</v>
      </c>
      <c r="Q285" s="14">
        <v>0</v>
      </c>
      <c r="R285" s="14">
        <v>0</v>
      </c>
      <c r="S285" s="14">
        <v>0</v>
      </c>
      <c r="T285" s="13">
        <f t="shared" ca="1" si="90"/>
        <v>1886</v>
      </c>
      <c r="U285" s="12">
        <f t="shared" ca="1" si="100"/>
        <v>860</v>
      </c>
      <c r="V285" s="12">
        <f t="shared" ca="1" si="99"/>
        <v>897</v>
      </c>
      <c r="W285" s="12">
        <f t="shared" ca="1" si="101"/>
        <v>874</v>
      </c>
      <c r="X285" s="13"/>
      <c r="Y285" s="10"/>
      <c r="Z285" s="10"/>
      <c r="AA285" s="10"/>
      <c r="AB285" s="9"/>
    </row>
    <row r="286" spans="1:28" ht="13.15" customHeight="1">
      <c r="A286" s="36">
        <v>272</v>
      </c>
      <c r="B286" s="35">
        <f t="shared" si="91"/>
        <v>45344</v>
      </c>
      <c r="C286" s="16">
        <f t="shared" si="92"/>
        <v>1069</v>
      </c>
      <c r="D286" s="15">
        <f t="shared" si="83"/>
        <v>1716</v>
      </c>
      <c r="E286" s="14">
        <f t="shared" ca="1" si="84"/>
        <v>885</v>
      </c>
      <c r="F286" s="14">
        <f t="shared" ca="1" si="85"/>
        <v>898</v>
      </c>
      <c r="G286" s="14">
        <f t="shared" ca="1" si="86"/>
        <v>951</v>
      </c>
      <c r="H286" s="10">
        <f t="shared" ca="1" si="87"/>
        <v>1900</v>
      </c>
      <c r="I286" s="10">
        <f t="shared" ca="1" si="88"/>
        <v>1887</v>
      </c>
      <c r="J286" s="10">
        <f t="shared" ca="1" si="89"/>
        <v>1834</v>
      </c>
      <c r="K286" s="10">
        <f t="shared" si="93"/>
        <v>2000</v>
      </c>
      <c r="L286" s="10">
        <f t="shared" si="94"/>
        <v>2000</v>
      </c>
      <c r="M286" s="10">
        <f t="shared" si="95"/>
        <v>2000</v>
      </c>
      <c r="N286" s="10">
        <f t="shared" ca="1" si="96"/>
        <v>-100</v>
      </c>
      <c r="O286" s="10">
        <f t="shared" ca="1" si="97"/>
        <v>-113</v>
      </c>
      <c r="P286" s="10">
        <f t="shared" ca="1" si="98"/>
        <v>-166</v>
      </c>
      <c r="Q286" s="14">
        <v>0</v>
      </c>
      <c r="R286" s="14">
        <v>0</v>
      </c>
      <c r="S286" s="14">
        <v>0</v>
      </c>
      <c r="T286" s="13">
        <f t="shared" ca="1" si="90"/>
        <v>1888</v>
      </c>
      <c r="U286" s="12">
        <f t="shared" ca="1" si="100"/>
        <v>860</v>
      </c>
      <c r="V286" s="12">
        <f t="shared" ca="1" si="99"/>
        <v>897</v>
      </c>
      <c r="W286" s="12">
        <f t="shared" ca="1" si="101"/>
        <v>874</v>
      </c>
      <c r="X286" s="13"/>
      <c r="Y286" s="10"/>
      <c r="Z286" s="10"/>
      <c r="AA286" s="10"/>
      <c r="AB286" s="9"/>
    </row>
    <row r="287" spans="1:28" ht="13.15" customHeight="1">
      <c r="A287" s="36">
        <v>273</v>
      </c>
      <c r="B287" s="35">
        <f t="shared" si="91"/>
        <v>45345</v>
      </c>
      <c r="C287" s="16">
        <f t="shared" si="92"/>
        <v>1069</v>
      </c>
      <c r="D287" s="15">
        <f t="shared" si="83"/>
        <v>1718</v>
      </c>
      <c r="E287" s="14">
        <f t="shared" ca="1" si="84"/>
        <v>887</v>
      </c>
      <c r="F287" s="14">
        <f t="shared" ca="1" si="85"/>
        <v>900</v>
      </c>
      <c r="G287" s="14">
        <f t="shared" ca="1" si="86"/>
        <v>953</v>
      </c>
      <c r="H287" s="10">
        <f t="shared" ca="1" si="87"/>
        <v>1900</v>
      </c>
      <c r="I287" s="10">
        <f t="shared" ca="1" si="88"/>
        <v>1887</v>
      </c>
      <c r="J287" s="10">
        <f t="shared" ca="1" si="89"/>
        <v>1834</v>
      </c>
      <c r="K287" s="10">
        <f t="shared" si="93"/>
        <v>2000</v>
      </c>
      <c r="L287" s="10">
        <f t="shared" si="94"/>
        <v>2000</v>
      </c>
      <c r="M287" s="10">
        <f t="shared" si="95"/>
        <v>2000</v>
      </c>
      <c r="N287" s="10">
        <f t="shared" ca="1" si="96"/>
        <v>-100</v>
      </c>
      <c r="O287" s="10">
        <f t="shared" ca="1" si="97"/>
        <v>-113</v>
      </c>
      <c r="P287" s="10">
        <f t="shared" ca="1" si="98"/>
        <v>-166</v>
      </c>
      <c r="Q287" s="14">
        <v>0</v>
      </c>
      <c r="R287" s="14">
        <v>0</v>
      </c>
      <c r="S287" s="14">
        <v>0</v>
      </c>
      <c r="T287" s="13">
        <f t="shared" ca="1" si="90"/>
        <v>1890</v>
      </c>
      <c r="U287" s="12">
        <f t="shared" ca="1" si="100"/>
        <v>860</v>
      </c>
      <c r="V287" s="12">
        <f t="shared" ca="1" si="99"/>
        <v>897</v>
      </c>
      <c r="W287" s="12">
        <f t="shared" ca="1" si="101"/>
        <v>874</v>
      </c>
      <c r="X287" s="13"/>
      <c r="Y287" s="10"/>
      <c r="Z287" s="10"/>
      <c r="AA287" s="10"/>
      <c r="AB287" s="9"/>
    </row>
    <row r="288" spans="1:28" ht="13.15" customHeight="1">
      <c r="A288" s="36">
        <v>274</v>
      </c>
      <c r="B288" s="35">
        <f t="shared" si="91"/>
        <v>45346</v>
      </c>
      <c r="C288" s="16">
        <f t="shared" si="92"/>
        <v>1069</v>
      </c>
      <c r="D288" s="15">
        <f t="shared" si="83"/>
        <v>1720</v>
      </c>
      <c r="E288" s="14">
        <f t="shared" ca="1" si="84"/>
        <v>889</v>
      </c>
      <c r="F288" s="14">
        <f t="shared" ca="1" si="85"/>
        <v>902</v>
      </c>
      <c r="G288" s="14">
        <f t="shared" ca="1" si="86"/>
        <v>955</v>
      </c>
      <c r="H288" s="10">
        <f t="shared" ca="1" si="87"/>
        <v>1900</v>
      </c>
      <c r="I288" s="10">
        <f t="shared" ca="1" si="88"/>
        <v>1887</v>
      </c>
      <c r="J288" s="10">
        <f t="shared" ca="1" si="89"/>
        <v>1834</v>
      </c>
      <c r="K288" s="10">
        <f t="shared" si="93"/>
        <v>2000</v>
      </c>
      <c r="L288" s="10">
        <f t="shared" si="94"/>
        <v>2000</v>
      </c>
      <c r="M288" s="10">
        <f t="shared" si="95"/>
        <v>2000</v>
      </c>
      <c r="N288" s="10">
        <f t="shared" ca="1" si="96"/>
        <v>-100</v>
      </c>
      <c r="O288" s="10">
        <f t="shared" ca="1" si="97"/>
        <v>-113</v>
      </c>
      <c r="P288" s="10">
        <f t="shared" ca="1" si="98"/>
        <v>-166</v>
      </c>
      <c r="Q288" s="14">
        <v>0</v>
      </c>
      <c r="R288" s="14">
        <v>0</v>
      </c>
      <c r="S288" s="14">
        <v>0</v>
      </c>
      <c r="T288" s="13">
        <f t="shared" ca="1" si="90"/>
        <v>1892</v>
      </c>
      <c r="U288" s="12">
        <f t="shared" ca="1" si="100"/>
        <v>860</v>
      </c>
      <c r="V288" s="12">
        <f t="shared" ca="1" si="99"/>
        <v>897</v>
      </c>
      <c r="W288" s="12">
        <f t="shared" ca="1" si="101"/>
        <v>874</v>
      </c>
      <c r="X288" s="13"/>
      <c r="Y288" s="10"/>
      <c r="Z288" s="10"/>
      <c r="AA288" s="10"/>
      <c r="AB288" s="9"/>
    </row>
    <row r="289" spans="1:28" ht="13.15" customHeight="1">
      <c r="A289" s="36">
        <v>275</v>
      </c>
      <c r="B289" s="35">
        <f t="shared" si="91"/>
        <v>45347</v>
      </c>
      <c r="C289" s="16">
        <f t="shared" si="92"/>
        <v>1069</v>
      </c>
      <c r="D289" s="15">
        <f t="shared" si="83"/>
        <v>1722</v>
      </c>
      <c r="E289" s="14">
        <f t="shared" ca="1" si="84"/>
        <v>891</v>
      </c>
      <c r="F289" s="14">
        <f t="shared" ca="1" si="85"/>
        <v>904</v>
      </c>
      <c r="G289" s="14">
        <f t="shared" ca="1" si="86"/>
        <v>957</v>
      </c>
      <c r="H289" s="10">
        <f t="shared" ca="1" si="87"/>
        <v>1900</v>
      </c>
      <c r="I289" s="10">
        <f t="shared" ca="1" si="88"/>
        <v>1887</v>
      </c>
      <c r="J289" s="10">
        <f t="shared" ca="1" si="89"/>
        <v>1834</v>
      </c>
      <c r="K289" s="10">
        <f t="shared" si="93"/>
        <v>2000</v>
      </c>
      <c r="L289" s="10">
        <f t="shared" si="94"/>
        <v>2000</v>
      </c>
      <c r="M289" s="10">
        <f t="shared" si="95"/>
        <v>2000</v>
      </c>
      <c r="N289" s="10">
        <f t="shared" ca="1" si="96"/>
        <v>-100</v>
      </c>
      <c r="O289" s="10">
        <f t="shared" ca="1" si="97"/>
        <v>-113</v>
      </c>
      <c r="P289" s="10">
        <f t="shared" ca="1" si="98"/>
        <v>-166</v>
      </c>
      <c r="Q289" s="14">
        <v>0</v>
      </c>
      <c r="R289" s="14">
        <v>0</v>
      </c>
      <c r="S289" s="14">
        <v>0</v>
      </c>
      <c r="T289" s="13">
        <f t="shared" ca="1" si="90"/>
        <v>1894</v>
      </c>
      <c r="U289" s="12">
        <f t="shared" ca="1" si="100"/>
        <v>860</v>
      </c>
      <c r="V289" s="12">
        <f t="shared" ca="1" si="99"/>
        <v>897</v>
      </c>
      <c r="W289" s="12">
        <f t="shared" ca="1" si="101"/>
        <v>874</v>
      </c>
      <c r="X289" s="13"/>
      <c r="Y289" s="10"/>
      <c r="Z289" s="10"/>
      <c r="AA289" s="10"/>
      <c r="AB289" s="9"/>
    </row>
    <row r="290" spans="1:28" ht="13.15" customHeight="1">
      <c r="A290" s="36">
        <v>276</v>
      </c>
      <c r="B290" s="35">
        <f t="shared" si="91"/>
        <v>45348</v>
      </c>
      <c r="C290" s="16">
        <f t="shared" si="92"/>
        <v>1069</v>
      </c>
      <c r="D290" s="15">
        <f t="shared" si="83"/>
        <v>1724</v>
      </c>
      <c r="E290" s="14">
        <f t="shared" ca="1" si="84"/>
        <v>893</v>
      </c>
      <c r="F290" s="14">
        <f t="shared" ca="1" si="85"/>
        <v>906</v>
      </c>
      <c r="G290" s="14">
        <f t="shared" ca="1" si="86"/>
        <v>959</v>
      </c>
      <c r="H290" s="10">
        <f t="shared" ca="1" si="87"/>
        <v>1900</v>
      </c>
      <c r="I290" s="10">
        <f t="shared" ca="1" si="88"/>
        <v>1887</v>
      </c>
      <c r="J290" s="10">
        <f t="shared" ca="1" si="89"/>
        <v>1834</v>
      </c>
      <c r="K290" s="10">
        <f t="shared" si="93"/>
        <v>2000</v>
      </c>
      <c r="L290" s="10">
        <f t="shared" si="94"/>
        <v>2000</v>
      </c>
      <c r="M290" s="10">
        <f t="shared" si="95"/>
        <v>2000</v>
      </c>
      <c r="N290" s="10">
        <f t="shared" ca="1" si="96"/>
        <v>-100</v>
      </c>
      <c r="O290" s="10">
        <f t="shared" ca="1" si="97"/>
        <v>-113</v>
      </c>
      <c r="P290" s="10">
        <f t="shared" ca="1" si="98"/>
        <v>-166</v>
      </c>
      <c r="Q290" s="14">
        <v>0</v>
      </c>
      <c r="R290" s="14">
        <v>0</v>
      </c>
      <c r="S290" s="14">
        <v>0</v>
      </c>
      <c r="T290" s="13">
        <f t="shared" ca="1" si="90"/>
        <v>1896</v>
      </c>
      <c r="U290" s="12">
        <f t="shared" ca="1" si="100"/>
        <v>860</v>
      </c>
      <c r="V290" s="12">
        <f t="shared" ca="1" si="99"/>
        <v>897</v>
      </c>
      <c r="W290" s="12">
        <f t="shared" ca="1" si="101"/>
        <v>874</v>
      </c>
      <c r="X290" s="13"/>
      <c r="Y290" s="10"/>
      <c r="Z290" s="10"/>
      <c r="AA290" s="10"/>
      <c r="AB290" s="9"/>
    </row>
    <row r="291" spans="1:28" ht="13.15" customHeight="1">
      <c r="A291" s="36">
        <v>277</v>
      </c>
      <c r="B291" s="35">
        <f t="shared" si="91"/>
        <v>45349</v>
      </c>
      <c r="C291" s="16">
        <f t="shared" si="92"/>
        <v>1069</v>
      </c>
      <c r="D291" s="15">
        <f t="shared" si="83"/>
        <v>1726</v>
      </c>
      <c r="E291" s="14">
        <f t="shared" ca="1" si="84"/>
        <v>895</v>
      </c>
      <c r="F291" s="14">
        <f t="shared" ca="1" si="85"/>
        <v>908</v>
      </c>
      <c r="G291" s="14">
        <f t="shared" ca="1" si="86"/>
        <v>961</v>
      </c>
      <c r="H291" s="10">
        <f t="shared" ca="1" si="87"/>
        <v>1900</v>
      </c>
      <c r="I291" s="10">
        <f t="shared" ca="1" si="88"/>
        <v>1887</v>
      </c>
      <c r="J291" s="10">
        <f t="shared" ca="1" si="89"/>
        <v>1834</v>
      </c>
      <c r="K291" s="10">
        <f t="shared" si="93"/>
        <v>2000</v>
      </c>
      <c r="L291" s="10">
        <f t="shared" si="94"/>
        <v>2000</v>
      </c>
      <c r="M291" s="10">
        <f t="shared" si="95"/>
        <v>2000</v>
      </c>
      <c r="N291" s="10">
        <f t="shared" ca="1" si="96"/>
        <v>-100</v>
      </c>
      <c r="O291" s="10">
        <f t="shared" ca="1" si="97"/>
        <v>-113</v>
      </c>
      <c r="P291" s="10">
        <f t="shared" ca="1" si="98"/>
        <v>-166</v>
      </c>
      <c r="Q291" s="14">
        <v>0</v>
      </c>
      <c r="R291" s="14">
        <v>0</v>
      </c>
      <c r="S291" s="14">
        <v>0</v>
      </c>
      <c r="T291" s="13">
        <f t="shared" ca="1" si="90"/>
        <v>1898</v>
      </c>
      <c r="U291" s="12">
        <f t="shared" ca="1" si="100"/>
        <v>860</v>
      </c>
      <c r="V291" s="12">
        <f t="shared" ca="1" si="99"/>
        <v>897</v>
      </c>
      <c r="W291" s="12">
        <f t="shared" ca="1" si="101"/>
        <v>874</v>
      </c>
      <c r="X291" s="13"/>
      <c r="Y291" s="10"/>
      <c r="Z291" s="10"/>
      <c r="AA291" s="10"/>
      <c r="AB291" s="9"/>
    </row>
    <row r="292" spans="1:28" ht="13.15" customHeight="1">
      <c r="A292" s="36">
        <v>278</v>
      </c>
      <c r="B292" s="35">
        <f t="shared" si="91"/>
        <v>45350</v>
      </c>
      <c r="C292" s="16">
        <f t="shared" si="92"/>
        <v>1069</v>
      </c>
      <c r="D292" s="15">
        <f t="shared" si="83"/>
        <v>1728</v>
      </c>
      <c r="E292" s="14">
        <f t="shared" ca="1" si="84"/>
        <v>897</v>
      </c>
      <c r="F292" s="14">
        <f t="shared" ca="1" si="85"/>
        <v>910</v>
      </c>
      <c r="G292" s="14">
        <f t="shared" ca="1" si="86"/>
        <v>963</v>
      </c>
      <c r="H292" s="10">
        <f t="shared" ca="1" si="87"/>
        <v>1900</v>
      </c>
      <c r="I292" s="10">
        <f t="shared" ca="1" si="88"/>
        <v>1887</v>
      </c>
      <c r="J292" s="10">
        <f t="shared" ca="1" si="89"/>
        <v>1834</v>
      </c>
      <c r="K292" s="10">
        <f t="shared" si="93"/>
        <v>2000</v>
      </c>
      <c r="L292" s="10">
        <f t="shared" si="94"/>
        <v>2000</v>
      </c>
      <c r="M292" s="10">
        <f t="shared" si="95"/>
        <v>2000</v>
      </c>
      <c r="N292" s="10">
        <f t="shared" ca="1" si="96"/>
        <v>-100</v>
      </c>
      <c r="O292" s="10">
        <f t="shared" ca="1" si="97"/>
        <v>-113</v>
      </c>
      <c r="P292" s="10">
        <f t="shared" ca="1" si="98"/>
        <v>-166</v>
      </c>
      <c r="Q292" s="14">
        <v>0</v>
      </c>
      <c r="R292" s="14">
        <v>0</v>
      </c>
      <c r="S292" s="14">
        <v>0</v>
      </c>
      <c r="T292" s="13">
        <f t="shared" ca="1" si="90"/>
        <v>1900</v>
      </c>
      <c r="U292" s="12">
        <f t="shared" ca="1" si="100"/>
        <v>860</v>
      </c>
      <c r="V292" s="12">
        <f t="shared" ca="1" si="99"/>
        <v>897</v>
      </c>
      <c r="W292" s="12">
        <f t="shared" ca="1" si="101"/>
        <v>874</v>
      </c>
      <c r="X292" s="13"/>
      <c r="Y292" s="10"/>
      <c r="Z292" s="10"/>
      <c r="AA292" s="10"/>
      <c r="AB292" s="9"/>
    </row>
    <row r="293" spans="1:28" ht="13.15" customHeight="1">
      <c r="A293" s="36">
        <v>279</v>
      </c>
      <c r="B293" s="35">
        <f t="shared" si="91"/>
        <v>45351</v>
      </c>
      <c r="C293" s="16">
        <f t="shared" si="92"/>
        <v>1069</v>
      </c>
      <c r="D293" s="15">
        <f t="shared" si="83"/>
        <v>1730</v>
      </c>
      <c r="E293" s="14">
        <f t="shared" ca="1" si="84"/>
        <v>899</v>
      </c>
      <c r="F293" s="14">
        <f t="shared" ca="1" si="85"/>
        <v>912</v>
      </c>
      <c r="G293" s="14">
        <f t="shared" ca="1" si="86"/>
        <v>965</v>
      </c>
      <c r="H293" s="10">
        <f t="shared" ca="1" si="87"/>
        <v>1900</v>
      </c>
      <c r="I293" s="10">
        <f t="shared" ca="1" si="88"/>
        <v>1887</v>
      </c>
      <c r="J293" s="10">
        <f t="shared" ca="1" si="89"/>
        <v>1834</v>
      </c>
      <c r="K293" s="10">
        <f t="shared" si="93"/>
        <v>2000</v>
      </c>
      <c r="L293" s="10">
        <f t="shared" si="94"/>
        <v>2000</v>
      </c>
      <c r="M293" s="10">
        <f t="shared" si="95"/>
        <v>2000</v>
      </c>
      <c r="N293" s="10">
        <f t="shared" ca="1" si="96"/>
        <v>-100</v>
      </c>
      <c r="O293" s="10">
        <f t="shared" ca="1" si="97"/>
        <v>-113</v>
      </c>
      <c r="P293" s="10">
        <f t="shared" ca="1" si="98"/>
        <v>-166</v>
      </c>
      <c r="Q293" s="14">
        <v>0</v>
      </c>
      <c r="R293" s="14">
        <v>0</v>
      </c>
      <c r="S293" s="14">
        <v>0</v>
      </c>
      <c r="T293" s="13">
        <f t="shared" ca="1" si="90"/>
        <v>1902</v>
      </c>
      <c r="U293" s="12">
        <f t="shared" ca="1" si="100"/>
        <v>860</v>
      </c>
      <c r="V293" s="12">
        <f t="shared" ca="1" si="99"/>
        <v>897</v>
      </c>
      <c r="W293" s="12">
        <f t="shared" ca="1" si="101"/>
        <v>874</v>
      </c>
      <c r="X293" s="13"/>
      <c r="Y293" s="10"/>
      <c r="Z293" s="10"/>
      <c r="AA293" s="10"/>
      <c r="AB293" s="9"/>
    </row>
    <row r="294" spans="1:28" ht="13.15" customHeight="1">
      <c r="A294" s="36">
        <v>280</v>
      </c>
      <c r="B294" s="35">
        <f t="shared" si="91"/>
        <v>45352</v>
      </c>
      <c r="C294" s="16">
        <f t="shared" si="92"/>
        <v>1069</v>
      </c>
      <c r="D294" s="15">
        <f t="shared" si="83"/>
        <v>1732</v>
      </c>
      <c r="E294" s="14">
        <f t="shared" ca="1" si="84"/>
        <v>901</v>
      </c>
      <c r="F294" s="14">
        <f t="shared" ca="1" si="85"/>
        <v>914</v>
      </c>
      <c r="G294" s="14">
        <f t="shared" ca="1" si="86"/>
        <v>967</v>
      </c>
      <c r="H294" s="10">
        <f t="shared" ca="1" si="87"/>
        <v>1900</v>
      </c>
      <c r="I294" s="10">
        <f t="shared" ca="1" si="88"/>
        <v>1887</v>
      </c>
      <c r="J294" s="10">
        <f t="shared" ca="1" si="89"/>
        <v>1834</v>
      </c>
      <c r="K294" s="10">
        <f t="shared" si="93"/>
        <v>2000</v>
      </c>
      <c r="L294" s="10">
        <f t="shared" si="94"/>
        <v>2000</v>
      </c>
      <c r="M294" s="10">
        <f t="shared" si="95"/>
        <v>2000</v>
      </c>
      <c r="N294" s="10">
        <f t="shared" ca="1" si="96"/>
        <v>-100</v>
      </c>
      <c r="O294" s="10">
        <f t="shared" ca="1" si="97"/>
        <v>-113</v>
      </c>
      <c r="P294" s="10">
        <f t="shared" ca="1" si="98"/>
        <v>-166</v>
      </c>
      <c r="Q294" s="14">
        <v>0</v>
      </c>
      <c r="R294" s="14">
        <v>0</v>
      </c>
      <c r="S294" s="14">
        <v>0</v>
      </c>
      <c r="T294" s="13">
        <f t="shared" ca="1" si="90"/>
        <v>1904</v>
      </c>
      <c r="U294" s="12">
        <f t="shared" ca="1" si="100"/>
        <v>860</v>
      </c>
      <c r="V294" s="12">
        <f t="shared" ca="1" si="99"/>
        <v>897</v>
      </c>
      <c r="W294" s="12">
        <f t="shared" ca="1" si="101"/>
        <v>874</v>
      </c>
      <c r="X294" s="13"/>
      <c r="Y294" s="10"/>
      <c r="Z294" s="10"/>
      <c r="AA294" s="10"/>
      <c r="AB294" s="9"/>
    </row>
    <row r="295" spans="1:28" ht="13.15" customHeight="1">
      <c r="A295" s="36">
        <v>281</v>
      </c>
      <c r="B295" s="35">
        <f t="shared" si="91"/>
        <v>45353</v>
      </c>
      <c r="C295" s="16">
        <f t="shared" si="92"/>
        <v>1069</v>
      </c>
      <c r="D295" s="15">
        <f t="shared" si="83"/>
        <v>1734</v>
      </c>
      <c r="E295" s="14">
        <f t="shared" ca="1" si="84"/>
        <v>903</v>
      </c>
      <c r="F295" s="14">
        <f t="shared" ca="1" si="85"/>
        <v>916</v>
      </c>
      <c r="G295" s="14">
        <f t="shared" ca="1" si="86"/>
        <v>969</v>
      </c>
      <c r="H295" s="10">
        <f t="shared" ca="1" si="87"/>
        <v>1900</v>
      </c>
      <c r="I295" s="10">
        <f t="shared" ca="1" si="88"/>
        <v>1887</v>
      </c>
      <c r="J295" s="10">
        <f t="shared" ca="1" si="89"/>
        <v>1834</v>
      </c>
      <c r="K295" s="10">
        <f t="shared" si="93"/>
        <v>2000</v>
      </c>
      <c r="L295" s="10">
        <f t="shared" si="94"/>
        <v>2000</v>
      </c>
      <c r="M295" s="10">
        <f t="shared" si="95"/>
        <v>2000</v>
      </c>
      <c r="N295" s="10">
        <f t="shared" ca="1" si="96"/>
        <v>-100</v>
      </c>
      <c r="O295" s="10">
        <f t="shared" ca="1" si="97"/>
        <v>-113</v>
      </c>
      <c r="P295" s="10">
        <f t="shared" ca="1" si="98"/>
        <v>-166</v>
      </c>
      <c r="Q295" s="14">
        <v>0</v>
      </c>
      <c r="R295" s="14">
        <v>0</v>
      </c>
      <c r="S295" s="14">
        <v>0</v>
      </c>
      <c r="T295" s="13">
        <f t="shared" ca="1" si="90"/>
        <v>1906</v>
      </c>
      <c r="U295" s="12">
        <f t="shared" ca="1" si="100"/>
        <v>860</v>
      </c>
      <c r="V295" s="12">
        <f t="shared" ca="1" si="99"/>
        <v>897</v>
      </c>
      <c r="W295" s="12">
        <f t="shared" ca="1" si="101"/>
        <v>874</v>
      </c>
      <c r="X295" s="13"/>
      <c r="Y295" s="10"/>
      <c r="Z295" s="10"/>
      <c r="AA295" s="10"/>
      <c r="AB295" s="9"/>
    </row>
    <row r="296" spans="1:28" ht="13.15" customHeight="1">
      <c r="A296" s="36">
        <v>282</v>
      </c>
      <c r="B296" s="35">
        <f t="shared" si="91"/>
        <v>45354</v>
      </c>
      <c r="C296" s="16">
        <f t="shared" si="92"/>
        <v>1069</v>
      </c>
      <c r="D296" s="15">
        <f t="shared" si="83"/>
        <v>1736</v>
      </c>
      <c r="E296" s="14">
        <f t="shared" ca="1" si="84"/>
        <v>905</v>
      </c>
      <c r="F296" s="14">
        <f t="shared" ca="1" si="85"/>
        <v>918</v>
      </c>
      <c r="G296" s="14">
        <f t="shared" ca="1" si="86"/>
        <v>971</v>
      </c>
      <c r="H296" s="10">
        <f t="shared" ca="1" si="87"/>
        <v>1900</v>
      </c>
      <c r="I296" s="10">
        <f t="shared" ca="1" si="88"/>
        <v>1887</v>
      </c>
      <c r="J296" s="10">
        <f t="shared" ca="1" si="89"/>
        <v>1834</v>
      </c>
      <c r="K296" s="10">
        <f t="shared" si="93"/>
        <v>2000</v>
      </c>
      <c r="L296" s="10">
        <f t="shared" si="94"/>
        <v>2000</v>
      </c>
      <c r="M296" s="10">
        <f t="shared" si="95"/>
        <v>2000</v>
      </c>
      <c r="N296" s="10">
        <f t="shared" ca="1" si="96"/>
        <v>-100</v>
      </c>
      <c r="O296" s="10">
        <f t="shared" ca="1" si="97"/>
        <v>-113</v>
      </c>
      <c r="P296" s="10">
        <f t="shared" ca="1" si="98"/>
        <v>-166</v>
      </c>
      <c r="Q296" s="14">
        <v>0</v>
      </c>
      <c r="R296" s="14">
        <v>0</v>
      </c>
      <c r="S296" s="14">
        <v>0</v>
      </c>
      <c r="T296" s="13">
        <f t="shared" ca="1" si="90"/>
        <v>1908</v>
      </c>
      <c r="U296" s="12">
        <f t="shared" ca="1" si="100"/>
        <v>860</v>
      </c>
      <c r="V296" s="12">
        <f t="shared" ca="1" si="99"/>
        <v>897</v>
      </c>
      <c r="W296" s="12">
        <f t="shared" ca="1" si="101"/>
        <v>874</v>
      </c>
      <c r="X296" s="13"/>
      <c r="Y296" s="10"/>
      <c r="Z296" s="10"/>
      <c r="AA296" s="10"/>
      <c r="AB296" s="9"/>
    </row>
    <row r="297" spans="1:28" ht="13.15" customHeight="1">
      <c r="A297" s="36">
        <v>283</v>
      </c>
      <c r="B297" s="35">
        <f t="shared" si="91"/>
        <v>45355</v>
      </c>
      <c r="C297" s="16">
        <f t="shared" si="92"/>
        <v>1069</v>
      </c>
      <c r="D297" s="15">
        <f t="shared" si="83"/>
        <v>1738</v>
      </c>
      <c r="E297" s="14">
        <f t="shared" ca="1" si="84"/>
        <v>907</v>
      </c>
      <c r="F297" s="14">
        <f t="shared" ca="1" si="85"/>
        <v>920</v>
      </c>
      <c r="G297" s="14">
        <f t="shared" ca="1" si="86"/>
        <v>973</v>
      </c>
      <c r="H297" s="10">
        <f t="shared" ca="1" si="87"/>
        <v>1900</v>
      </c>
      <c r="I297" s="10">
        <f t="shared" ca="1" si="88"/>
        <v>1887</v>
      </c>
      <c r="J297" s="10">
        <f t="shared" ca="1" si="89"/>
        <v>1834</v>
      </c>
      <c r="K297" s="10">
        <f t="shared" si="93"/>
        <v>2000</v>
      </c>
      <c r="L297" s="10">
        <f t="shared" si="94"/>
        <v>2000</v>
      </c>
      <c r="M297" s="10">
        <f t="shared" si="95"/>
        <v>2000</v>
      </c>
      <c r="N297" s="10">
        <f t="shared" ca="1" si="96"/>
        <v>-100</v>
      </c>
      <c r="O297" s="10">
        <f t="shared" ca="1" si="97"/>
        <v>-113</v>
      </c>
      <c r="P297" s="10">
        <f t="shared" ca="1" si="98"/>
        <v>-166</v>
      </c>
      <c r="Q297" s="14">
        <v>0</v>
      </c>
      <c r="R297" s="14">
        <v>0</v>
      </c>
      <c r="S297" s="14">
        <v>0</v>
      </c>
      <c r="T297" s="13">
        <f t="shared" ca="1" si="90"/>
        <v>1910</v>
      </c>
      <c r="U297" s="12">
        <f t="shared" ca="1" si="100"/>
        <v>860</v>
      </c>
      <c r="V297" s="12">
        <f t="shared" ca="1" si="99"/>
        <v>897</v>
      </c>
      <c r="W297" s="12">
        <f t="shared" ca="1" si="101"/>
        <v>874</v>
      </c>
      <c r="X297" s="13"/>
      <c r="Y297" s="10"/>
      <c r="Z297" s="10"/>
      <c r="AA297" s="10"/>
      <c r="AB297" s="9"/>
    </row>
    <row r="298" spans="1:28" ht="13.15" customHeight="1">
      <c r="A298" s="36">
        <v>284</v>
      </c>
      <c r="B298" s="35">
        <f t="shared" si="91"/>
        <v>45356</v>
      </c>
      <c r="C298" s="16">
        <f t="shared" si="92"/>
        <v>1069</v>
      </c>
      <c r="D298" s="15">
        <f t="shared" si="83"/>
        <v>1740</v>
      </c>
      <c r="E298" s="14">
        <f t="shared" ca="1" si="84"/>
        <v>909</v>
      </c>
      <c r="F298" s="14">
        <f t="shared" ca="1" si="85"/>
        <v>922</v>
      </c>
      <c r="G298" s="14">
        <f t="shared" ca="1" si="86"/>
        <v>975</v>
      </c>
      <c r="H298" s="10">
        <f t="shared" ca="1" si="87"/>
        <v>1900</v>
      </c>
      <c r="I298" s="10">
        <f t="shared" ca="1" si="88"/>
        <v>1887</v>
      </c>
      <c r="J298" s="10">
        <f t="shared" ca="1" si="89"/>
        <v>1834</v>
      </c>
      <c r="K298" s="10">
        <f t="shared" si="93"/>
        <v>2000</v>
      </c>
      <c r="L298" s="10">
        <f t="shared" si="94"/>
        <v>2000</v>
      </c>
      <c r="M298" s="10">
        <f t="shared" si="95"/>
        <v>2000</v>
      </c>
      <c r="N298" s="10">
        <f t="shared" ca="1" si="96"/>
        <v>-100</v>
      </c>
      <c r="O298" s="10">
        <f t="shared" ca="1" si="97"/>
        <v>-113</v>
      </c>
      <c r="P298" s="10">
        <f t="shared" ca="1" si="98"/>
        <v>-166</v>
      </c>
      <c r="Q298" s="14">
        <v>0</v>
      </c>
      <c r="R298" s="14">
        <v>0</v>
      </c>
      <c r="S298" s="14">
        <v>0</v>
      </c>
      <c r="T298" s="13">
        <f t="shared" ca="1" si="90"/>
        <v>1912</v>
      </c>
      <c r="U298" s="12">
        <f t="shared" ca="1" si="100"/>
        <v>860</v>
      </c>
      <c r="V298" s="12">
        <f t="shared" ca="1" si="99"/>
        <v>897</v>
      </c>
      <c r="W298" s="12">
        <f t="shared" ca="1" si="101"/>
        <v>874</v>
      </c>
      <c r="X298" s="13"/>
      <c r="Y298" s="10"/>
      <c r="Z298" s="10"/>
      <c r="AA298" s="10"/>
      <c r="AB298" s="9"/>
    </row>
    <row r="299" spans="1:28" ht="13.15" customHeight="1">
      <c r="A299" s="36">
        <v>285</v>
      </c>
      <c r="B299" s="35">
        <f t="shared" si="91"/>
        <v>45357</v>
      </c>
      <c r="C299" s="16">
        <f t="shared" si="92"/>
        <v>1069</v>
      </c>
      <c r="D299" s="15">
        <f t="shared" si="83"/>
        <v>1742</v>
      </c>
      <c r="E299" s="14">
        <f t="shared" ca="1" si="84"/>
        <v>911</v>
      </c>
      <c r="F299" s="14">
        <f t="shared" ca="1" si="85"/>
        <v>924</v>
      </c>
      <c r="G299" s="14">
        <f t="shared" ca="1" si="86"/>
        <v>977</v>
      </c>
      <c r="H299" s="10">
        <f t="shared" ca="1" si="87"/>
        <v>1900</v>
      </c>
      <c r="I299" s="10">
        <f t="shared" ca="1" si="88"/>
        <v>1887</v>
      </c>
      <c r="J299" s="10">
        <f t="shared" ca="1" si="89"/>
        <v>1834</v>
      </c>
      <c r="K299" s="10">
        <f t="shared" si="93"/>
        <v>2000</v>
      </c>
      <c r="L299" s="10">
        <f t="shared" si="94"/>
        <v>2000</v>
      </c>
      <c r="M299" s="10">
        <f t="shared" si="95"/>
        <v>2000</v>
      </c>
      <c r="N299" s="10">
        <f t="shared" ca="1" si="96"/>
        <v>-100</v>
      </c>
      <c r="O299" s="10">
        <f t="shared" ca="1" si="97"/>
        <v>-113</v>
      </c>
      <c r="P299" s="10">
        <f t="shared" ca="1" si="98"/>
        <v>-166</v>
      </c>
      <c r="Q299" s="14">
        <v>0</v>
      </c>
      <c r="R299" s="14">
        <v>0</v>
      </c>
      <c r="S299" s="14">
        <v>0</v>
      </c>
      <c r="T299" s="13">
        <f t="shared" ca="1" si="90"/>
        <v>1914</v>
      </c>
      <c r="U299" s="12">
        <f t="shared" ca="1" si="100"/>
        <v>860</v>
      </c>
      <c r="V299" s="12">
        <f t="shared" ca="1" si="99"/>
        <v>897</v>
      </c>
      <c r="W299" s="12">
        <f t="shared" ca="1" si="101"/>
        <v>874</v>
      </c>
      <c r="X299" s="13"/>
      <c r="Y299" s="10"/>
      <c r="Z299" s="10"/>
      <c r="AA299" s="10"/>
      <c r="AB299" s="9"/>
    </row>
    <row r="300" spans="1:28" ht="13.15" customHeight="1">
      <c r="A300" s="36">
        <v>286</v>
      </c>
      <c r="B300" s="35">
        <f t="shared" si="91"/>
        <v>45358</v>
      </c>
      <c r="C300" s="16">
        <f t="shared" si="92"/>
        <v>1069</v>
      </c>
      <c r="D300" s="15">
        <f t="shared" si="83"/>
        <v>1744</v>
      </c>
      <c r="E300" s="14">
        <f t="shared" ca="1" si="84"/>
        <v>913</v>
      </c>
      <c r="F300" s="14">
        <f t="shared" ca="1" si="85"/>
        <v>926</v>
      </c>
      <c r="G300" s="14">
        <f t="shared" ca="1" si="86"/>
        <v>979</v>
      </c>
      <c r="H300" s="10">
        <f t="shared" ca="1" si="87"/>
        <v>1900</v>
      </c>
      <c r="I300" s="10">
        <f t="shared" ca="1" si="88"/>
        <v>1887</v>
      </c>
      <c r="J300" s="10">
        <f t="shared" ca="1" si="89"/>
        <v>1834</v>
      </c>
      <c r="K300" s="10">
        <f t="shared" si="93"/>
        <v>2000</v>
      </c>
      <c r="L300" s="10">
        <f t="shared" si="94"/>
        <v>2000</v>
      </c>
      <c r="M300" s="10">
        <f t="shared" si="95"/>
        <v>2000</v>
      </c>
      <c r="N300" s="10">
        <f t="shared" ca="1" si="96"/>
        <v>-100</v>
      </c>
      <c r="O300" s="10">
        <f t="shared" ca="1" si="97"/>
        <v>-113</v>
      </c>
      <c r="P300" s="10">
        <f t="shared" ca="1" si="98"/>
        <v>-166</v>
      </c>
      <c r="Q300" s="14">
        <v>0</v>
      </c>
      <c r="R300" s="14">
        <v>0</v>
      </c>
      <c r="S300" s="14">
        <v>0</v>
      </c>
      <c r="T300" s="13">
        <f t="shared" ca="1" si="90"/>
        <v>1916</v>
      </c>
      <c r="U300" s="12">
        <f t="shared" ca="1" si="100"/>
        <v>860</v>
      </c>
      <c r="V300" s="12">
        <f t="shared" ca="1" si="99"/>
        <v>897</v>
      </c>
      <c r="W300" s="12">
        <f t="shared" ca="1" si="101"/>
        <v>874</v>
      </c>
      <c r="X300" s="13"/>
      <c r="Y300" s="10"/>
      <c r="Z300" s="10"/>
      <c r="AA300" s="10"/>
      <c r="AB300" s="9"/>
    </row>
    <row r="301" spans="1:28" ht="13.15" customHeight="1">
      <c r="A301" s="36">
        <v>287</v>
      </c>
      <c r="B301" s="35">
        <f t="shared" si="91"/>
        <v>45359</v>
      </c>
      <c r="C301" s="16">
        <f t="shared" si="92"/>
        <v>1069</v>
      </c>
      <c r="D301" s="15">
        <f t="shared" si="83"/>
        <v>1746</v>
      </c>
      <c r="E301" s="14">
        <f t="shared" ca="1" si="84"/>
        <v>915</v>
      </c>
      <c r="F301" s="14">
        <f t="shared" ca="1" si="85"/>
        <v>928</v>
      </c>
      <c r="G301" s="14">
        <f t="shared" ca="1" si="86"/>
        <v>981</v>
      </c>
      <c r="H301" s="10">
        <f t="shared" ca="1" si="87"/>
        <v>1900</v>
      </c>
      <c r="I301" s="10">
        <f t="shared" ca="1" si="88"/>
        <v>1887</v>
      </c>
      <c r="J301" s="10">
        <f t="shared" ca="1" si="89"/>
        <v>1834</v>
      </c>
      <c r="K301" s="10">
        <f t="shared" si="93"/>
        <v>2000</v>
      </c>
      <c r="L301" s="10">
        <f t="shared" si="94"/>
        <v>2000</v>
      </c>
      <c r="M301" s="10">
        <f t="shared" si="95"/>
        <v>2000</v>
      </c>
      <c r="N301" s="10">
        <f t="shared" ca="1" si="96"/>
        <v>-100</v>
      </c>
      <c r="O301" s="10">
        <f t="shared" ca="1" si="97"/>
        <v>-113</v>
      </c>
      <c r="P301" s="10">
        <f t="shared" ca="1" si="98"/>
        <v>-166</v>
      </c>
      <c r="Q301" s="14">
        <v>0</v>
      </c>
      <c r="R301" s="14">
        <v>0</v>
      </c>
      <c r="S301" s="14">
        <v>0</v>
      </c>
      <c r="T301" s="13">
        <f t="shared" ca="1" si="90"/>
        <v>1918</v>
      </c>
      <c r="U301" s="12">
        <f t="shared" ca="1" si="100"/>
        <v>860</v>
      </c>
      <c r="V301" s="12">
        <f t="shared" ca="1" si="99"/>
        <v>897</v>
      </c>
      <c r="W301" s="12">
        <f t="shared" ca="1" si="101"/>
        <v>874</v>
      </c>
      <c r="X301" s="13"/>
      <c r="Y301" s="10"/>
      <c r="Z301" s="10"/>
      <c r="AA301" s="10"/>
      <c r="AB301" s="9"/>
    </row>
    <row r="302" spans="1:28" ht="13.15" customHeight="1">
      <c r="A302" s="36">
        <v>288</v>
      </c>
      <c r="B302" s="35">
        <f t="shared" si="91"/>
        <v>45360</v>
      </c>
      <c r="C302" s="16">
        <f t="shared" si="92"/>
        <v>1069</v>
      </c>
      <c r="D302" s="15">
        <f t="shared" si="83"/>
        <v>1748</v>
      </c>
      <c r="E302" s="14">
        <f t="shared" ca="1" si="84"/>
        <v>917</v>
      </c>
      <c r="F302" s="14">
        <f t="shared" ca="1" si="85"/>
        <v>930</v>
      </c>
      <c r="G302" s="14">
        <f t="shared" ca="1" si="86"/>
        <v>983</v>
      </c>
      <c r="H302" s="10">
        <f t="shared" ca="1" si="87"/>
        <v>1900</v>
      </c>
      <c r="I302" s="10">
        <f t="shared" ca="1" si="88"/>
        <v>1887</v>
      </c>
      <c r="J302" s="10">
        <f t="shared" ca="1" si="89"/>
        <v>1834</v>
      </c>
      <c r="K302" s="10">
        <f t="shared" si="93"/>
        <v>2000</v>
      </c>
      <c r="L302" s="10">
        <f t="shared" si="94"/>
        <v>2000</v>
      </c>
      <c r="M302" s="10">
        <f t="shared" si="95"/>
        <v>2000</v>
      </c>
      <c r="N302" s="10">
        <f t="shared" ca="1" si="96"/>
        <v>-100</v>
      </c>
      <c r="O302" s="10">
        <f t="shared" ca="1" si="97"/>
        <v>-113</v>
      </c>
      <c r="P302" s="10">
        <f t="shared" ca="1" si="98"/>
        <v>-166</v>
      </c>
      <c r="Q302" s="14">
        <v>0</v>
      </c>
      <c r="R302" s="14">
        <v>0</v>
      </c>
      <c r="S302" s="14">
        <v>0</v>
      </c>
      <c r="T302" s="13">
        <f t="shared" ca="1" si="90"/>
        <v>1920</v>
      </c>
      <c r="U302" s="12">
        <f t="shared" ca="1" si="100"/>
        <v>860</v>
      </c>
      <c r="V302" s="12">
        <f t="shared" ca="1" si="99"/>
        <v>897</v>
      </c>
      <c r="W302" s="12">
        <f t="shared" ca="1" si="101"/>
        <v>874</v>
      </c>
      <c r="X302" s="13"/>
      <c r="Y302" s="10"/>
      <c r="Z302" s="10"/>
      <c r="AA302" s="10"/>
      <c r="AB302" s="9"/>
    </row>
    <row r="303" spans="1:28" ht="13.15" customHeight="1">
      <c r="A303" s="36">
        <v>289</v>
      </c>
      <c r="B303" s="35">
        <f t="shared" si="91"/>
        <v>45361</v>
      </c>
      <c r="C303" s="16">
        <f t="shared" si="92"/>
        <v>1069</v>
      </c>
      <c r="D303" s="15">
        <f t="shared" si="83"/>
        <v>1750</v>
      </c>
      <c r="E303" s="14">
        <f t="shared" ca="1" si="84"/>
        <v>919</v>
      </c>
      <c r="F303" s="14">
        <f t="shared" ca="1" si="85"/>
        <v>932</v>
      </c>
      <c r="G303" s="14">
        <f t="shared" ca="1" si="86"/>
        <v>985</v>
      </c>
      <c r="H303" s="10">
        <f t="shared" ca="1" si="87"/>
        <v>1900</v>
      </c>
      <c r="I303" s="10">
        <f t="shared" ca="1" si="88"/>
        <v>1887</v>
      </c>
      <c r="J303" s="10">
        <f t="shared" ca="1" si="89"/>
        <v>1834</v>
      </c>
      <c r="K303" s="10">
        <f t="shared" si="93"/>
        <v>2000</v>
      </c>
      <c r="L303" s="10">
        <f t="shared" si="94"/>
        <v>2000</v>
      </c>
      <c r="M303" s="10">
        <f t="shared" si="95"/>
        <v>2000</v>
      </c>
      <c r="N303" s="10">
        <f t="shared" ca="1" si="96"/>
        <v>-100</v>
      </c>
      <c r="O303" s="10">
        <f t="shared" ca="1" si="97"/>
        <v>-113</v>
      </c>
      <c r="P303" s="10">
        <f t="shared" ca="1" si="98"/>
        <v>-166</v>
      </c>
      <c r="Q303" s="14">
        <v>0</v>
      </c>
      <c r="R303" s="14">
        <v>0</v>
      </c>
      <c r="S303" s="14">
        <v>0</v>
      </c>
      <c r="T303" s="13">
        <f t="shared" ca="1" si="90"/>
        <v>1922</v>
      </c>
      <c r="U303" s="12">
        <f t="shared" ca="1" si="100"/>
        <v>860</v>
      </c>
      <c r="V303" s="12">
        <f t="shared" ca="1" si="99"/>
        <v>897</v>
      </c>
      <c r="W303" s="12">
        <f t="shared" ca="1" si="101"/>
        <v>874</v>
      </c>
      <c r="X303" s="13"/>
      <c r="Y303" s="10"/>
      <c r="Z303" s="10"/>
      <c r="AA303" s="10"/>
      <c r="AB303" s="9"/>
    </row>
    <row r="304" spans="1:28" ht="13.15" customHeight="1">
      <c r="A304" s="36">
        <v>290</v>
      </c>
      <c r="B304" s="35">
        <f t="shared" si="91"/>
        <v>45362</v>
      </c>
      <c r="C304" s="16">
        <f t="shared" si="92"/>
        <v>1069</v>
      </c>
      <c r="D304" s="15">
        <f t="shared" si="83"/>
        <v>1752</v>
      </c>
      <c r="E304" s="14">
        <f t="shared" ca="1" si="84"/>
        <v>921</v>
      </c>
      <c r="F304" s="14">
        <f t="shared" ca="1" si="85"/>
        <v>934</v>
      </c>
      <c r="G304" s="14">
        <f t="shared" ca="1" si="86"/>
        <v>987</v>
      </c>
      <c r="H304" s="10">
        <f t="shared" ca="1" si="87"/>
        <v>1900</v>
      </c>
      <c r="I304" s="10">
        <f t="shared" ca="1" si="88"/>
        <v>1887</v>
      </c>
      <c r="J304" s="10">
        <f t="shared" ca="1" si="89"/>
        <v>1834</v>
      </c>
      <c r="K304" s="10">
        <f t="shared" si="93"/>
        <v>2000</v>
      </c>
      <c r="L304" s="10">
        <f t="shared" si="94"/>
        <v>2000</v>
      </c>
      <c r="M304" s="10">
        <f t="shared" si="95"/>
        <v>2000</v>
      </c>
      <c r="N304" s="10">
        <f t="shared" ca="1" si="96"/>
        <v>-100</v>
      </c>
      <c r="O304" s="10">
        <f t="shared" ca="1" si="97"/>
        <v>-113</v>
      </c>
      <c r="P304" s="10">
        <f t="shared" ca="1" si="98"/>
        <v>-166</v>
      </c>
      <c r="Q304" s="14">
        <v>0</v>
      </c>
      <c r="R304" s="14">
        <v>0</v>
      </c>
      <c r="S304" s="14">
        <v>0</v>
      </c>
      <c r="T304" s="13">
        <f t="shared" ca="1" si="90"/>
        <v>1924</v>
      </c>
      <c r="U304" s="12">
        <f t="shared" ca="1" si="100"/>
        <v>860</v>
      </c>
      <c r="V304" s="12">
        <f t="shared" ca="1" si="99"/>
        <v>897</v>
      </c>
      <c r="W304" s="12">
        <f t="shared" ca="1" si="101"/>
        <v>874</v>
      </c>
      <c r="X304" s="13"/>
      <c r="Y304" s="10"/>
      <c r="Z304" s="10"/>
      <c r="AA304" s="10"/>
      <c r="AB304" s="9"/>
    </row>
    <row r="305" spans="1:28" ht="13.15" customHeight="1">
      <c r="A305" s="36">
        <v>291</v>
      </c>
      <c r="B305" s="35">
        <f t="shared" si="91"/>
        <v>45363</v>
      </c>
      <c r="C305" s="16">
        <f t="shared" si="92"/>
        <v>1069</v>
      </c>
      <c r="D305" s="15">
        <f t="shared" si="83"/>
        <v>1754</v>
      </c>
      <c r="E305" s="14">
        <f t="shared" ca="1" si="84"/>
        <v>923</v>
      </c>
      <c r="F305" s="14">
        <f t="shared" ca="1" si="85"/>
        <v>936</v>
      </c>
      <c r="G305" s="14">
        <f t="shared" ca="1" si="86"/>
        <v>989</v>
      </c>
      <c r="H305" s="10">
        <f t="shared" ca="1" si="87"/>
        <v>1900</v>
      </c>
      <c r="I305" s="10">
        <f t="shared" ca="1" si="88"/>
        <v>1887</v>
      </c>
      <c r="J305" s="10">
        <f t="shared" ca="1" si="89"/>
        <v>1834</v>
      </c>
      <c r="K305" s="10">
        <f t="shared" si="93"/>
        <v>2000</v>
      </c>
      <c r="L305" s="10">
        <f t="shared" si="94"/>
        <v>2000</v>
      </c>
      <c r="M305" s="10">
        <f t="shared" si="95"/>
        <v>2000</v>
      </c>
      <c r="N305" s="10">
        <f t="shared" ca="1" si="96"/>
        <v>-100</v>
      </c>
      <c r="O305" s="10">
        <f t="shared" ca="1" si="97"/>
        <v>-113</v>
      </c>
      <c r="P305" s="10">
        <f t="shared" ca="1" si="98"/>
        <v>-166</v>
      </c>
      <c r="Q305" s="14">
        <v>0</v>
      </c>
      <c r="R305" s="14">
        <v>0</v>
      </c>
      <c r="S305" s="14">
        <v>0</v>
      </c>
      <c r="T305" s="13">
        <f t="shared" ca="1" si="90"/>
        <v>1926</v>
      </c>
      <c r="U305" s="12">
        <f t="shared" ca="1" si="100"/>
        <v>860</v>
      </c>
      <c r="V305" s="12">
        <f t="shared" ca="1" si="99"/>
        <v>897</v>
      </c>
      <c r="W305" s="12">
        <f t="shared" ca="1" si="101"/>
        <v>874</v>
      </c>
      <c r="X305" s="13"/>
      <c r="Y305" s="10"/>
      <c r="Z305" s="10"/>
      <c r="AA305" s="10"/>
      <c r="AB305" s="9"/>
    </row>
    <row r="306" spans="1:28" ht="13.15" customHeight="1">
      <c r="A306" s="36">
        <v>292</v>
      </c>
      <c r="B306" s="35">
        <f t="shared" si="91"/>
        <v>45364</v>
      </c>
      <c r="C306" s="16">
        <f t="shared" si="92"/>
        <v>1069</v>
      </c>
      <c r="D306" s="15">
        <f t="shared" si="83"/>
        <v>1756</v>
      </c>
      <c r="E306" s="14">
        <f t="shared" ca="1" si="84"/>
        <v>925</v>
      </c>
      <c r="F306" s="14">
        <f t="shared" ca="1" si="85"/>
        <v>938</v>
      </c>
      <c r="G306" s="14">
        <f t="shared" ca="1" si="86"/>
        <v>991</v>
      </c>
      <c r="H306" s="10">
        <f t="shared" ca="1" si="87"/>
        <v>1900</v>
      </c>
      <c r="I306" s="10">
        <f t="shared" ca="1" si="88"/>
        <v>1887</v>
      </c>
      <c r="J306" s="10">
        <f t="shared" ca="1" si="89"/>
        <v>1834</v>
      </c>
      <c r="K306" s="10">
        <f t="shared" si="93"/>
        <v>2000</v>
      </c>
      <c r="L306" s="10">
        <f t="shared" si="94"/>
        <v>2000</v>
      </c>
      <c r="M306" s="10">
        <f t="shared" si="95"/>
        <v>2000</v>
      </c>
      <c r="N306" s="10">
        <f t="shared" ca="1" si="96"/>
        <v>-100</v>
      </c>
      <c r="O306" s="10">
        <f t="shared" ca="1" si="97"/>
        <v>-113</v>
      </c>
      <c r="P306" s="10">
        <f t="shared" ca="1" si="98"/>
        <v>-166</v>
      </c>
      <c r="Q306" s="14">
        <v>0</v>
      </c>
      <c r="R306" s="14">
        <v>0</v>
      </c>
      <c r="S306" s="14">
        <v>0</v>
      </c>
      <c r="T306" s="13">
        <f t="shared" ca="1" si="90"/>
        <v>1928</v>
      </c>
      <c r="U306" s="12">
        <f t="shared" ca="1" si="100"/>
        <v>860</v>
      </c>
      <c r="V306" s="12">
        <f t="shared" ca="1" si="99"/>
        <v>897</v>
      </c>
      <c r="W306" s="12">
        <f t="shared" ca="1" si="101"/>
        <v>874</v>
      </c>
      <c r="X306" s="13"/>
      <c r="Y306" s="10"/>
      <c r="Z306" s="10"/>
      <c r="AA306" s="10"/>
      <c r="AB306" s="9"/>
    </row>
    <row r="307" spans="1:28" ht="13.15" customHeight="1">
      <c r="A307" s="36">
        <v>293</v>
      </c>
      <c r="B307" s="35">
        <f t="shared" si="91"/>
        <v>45365</v>
      </c>
      <c r="C307" s="16">
        <f t="shared" si="92"/>
        <v>1069</v>
      </c>
      <c r="D307" s="15">
        <f t="shared" si="83"/>
        <v>1758</v>
      </c>
      <c r="E307" s="14">
        <f t="shared" ca="1" si="84"/>
        <v>936</v>
      </c>
      <c r="F307" s="14">
        <f t="shared" ca="1" si="85"/>
        <v>949</v>
      </c>
      <c r="G307" s="14">
        <f t="shared" ca="1" si="86"/>
        <v>1001</v>
      </c>
      <c r="H307" s="10">
        <f t="shared" ca="1" si="87"/>
        <v>1891</v>
      </c>
      <c r="I307" s="10">
        <f t="shared" ca="1" si="88"/>
        <v>1878</v>
      </c>
      <c r="J307" s="10">
        <f t="shared" ca="1" si="89"/>
        <v>1826</v>
      </c>
      <c r="K307" s="10">
        <f t="shared" si="93"/>
        <v>2000</v>
      </c>
      <c r="L307" s="10">
        <f t="shared" si="94"/>
        <v>2000</v>
      </c>
      <c r="M307" s="10">
        <f t="shared" si="95"/>
        <v>2000</v>
      </c>
      <c r="N307" s="10">
        <f t="shared" ca="1" si="96"/>
        <v>-109</v>
      </c>
      <c r="O307" s="10">
        <f t="shared" ca="1" si="97"/>
        <v>-122</v>
      </c>
      <c r="P307" s="10">
        <f t="shared" ca="1" si="98"/>
        <v>-174</v>
      </c>
      <c r="Q307" s="14">
        <v>9</v>
      </c>
      <c r="R307" s="14">
        <v>9</v>
      </c>
      <c r="S307" s="14">
        <v>8</v>
      </c>
      <c r="T307" s="13">
        <f t="shared" ca="1" si="90"/>
        <v>1639</v>
      </c>
      <c r="U307" s="12">
        <f t="shared" ca="1" si="100"/>
        <v>1151</v>
      </c>
      <c r="V307" s="12">
        <f t="shared" ca="1" si="99"/>
        <v>1188</v>
      </c>
      <c r="W307" s="12">
        <f t="shared" ca="1" si="101"/>
        <v>1166</v>
      </c>
      <c r="X307" s="39">
        <v>0.3</v>
      </c>
      <c r="Y307" s="10"/>
      <c r="Z307" s="10"/>
      <c r="AA307" s="10"/>
      <c r="AB307" s="9">
        <v>5</v>
      </c>
    </row>
    <row r="308" spans="1:28" ht="13.15" customHeight="1">
      <c r="A308" s="36">
        <v>294</v>
      </c>
      <c r="B308" s="35">
        <f t="shared" si="91"/>
        <v>45366</v>
      </c>
      <c r="C308" s="16">
        <f t="shared" si="92"/>
        <v>1069</v>
      </c>
      <c r="D308" s="15">
        <f t="shared" si="83"/>
        <v>1760</v>
      </c>
      <c r="E308" s="14">
        <f t="shared" ca="1" si="84"/>
        <v>944</v>
      </c>
      <c r="F308" s="14">
        <f t="shared" ca="1" si="85"/>
        <v>957</v>
      </c>
      <c r="G308" s="14">
        <f t="shared" ca="1" si="86"/>
        <v>1006</v>
      </c>
      <c r="H308" s="10">
        <f t="shared" ca="1" si="87"/>
        <v>1885</v>
      </c>
      <c r="I308" s="10">
        <f t="shared" ca="1" si="88"/>
        <v>1872</v>
      </c>
      <c r="J308" s="10">
        <f t="shared" ca="1" si="89"/>
        <v>1823</v>
      </c>
      <c r="K308" s="10">
        <f t="shared" si="93"/>
        <v>2000</v>
      </c>
      <c r="L308" s="10">
        <f t="shared" si="94"/>
        <v>2000</v>
      </c>
      <c r="M308" s="10">
        <f t="shared" si="95"/>
        <v>2000</v>
      </c>
      <c r="N308" s="10">
        <f t="shared" ca="1" si="96"/>
        <v>-115</v>
      </c>
      <c r="O308" s="10">
        <f t="shared" ca="1" si="97"/>
        <v>-128</v>
      </c>
      <c r="P308" s="10">
        <f t="shared" ca="1" si="98"/>
        <v>-177</v>
      </c>
      <c r="Q308" s="14">
        <v>6</v>
      </c>
      <c r="R308" s="14">
        <v>6</v>
      </c>
      <c r="S308" s="14">
        <v>3</v>
      </c>
      <c r="T308" s="13">
        <f t="shared" ca="1" si="90"/>
        <v>1647</v>
      </c>
      <c r="U308" s="12">
        <f t="shared" ca="1" si="100"/>
        <v>1145</v>
      </c>
      <c r="V308" s="12">
        <f t="shared" ca="1" si="99"/>
        <v>1182</v>
      </c>
      <c r="W308" s="12">
        <f t="shared" ca="1" si="101"/>
        <v>1163</v>
      </c>
      <c r="X308" s="13"/>
      <c r="Y308" s="10"/>
      <c r="Z308" s="10"/>
      <c r="AA308" s="10"/>
      <c r="AB308" s="9"/>
    </row>
    <row r="309" spans="1:28" ht="13.15" customHeight="1">
      <c r="A309" s="36">
        <v>295</v>
      </c>
      <c r="B309" s="35">
        <f t="shared" si="91"/>
        <v>45367</v>
      </c>
      <c r="C309" s="16">
        <f t="shared" si="92"/>
        <v>1069</v>
      </c>
      <c r="D309" s="15">
        <f t="shared" si="83"/>
        <v>1762</v>
      </c>
      <c r="E309" s="14">
        <f t="shared" ca="1" si="84"/>
        <v>951</v>
      </c>
      <c r="F309" s="14">
        <f t="shared" ca="1" si="85"/>
        <v>964</v>
      </c>
      <c r="G309" s="14">
        <f t="shared" ca="1" si="86"/>
        <v>1012</v>
      </c>
      <c r="H309" s="10">
        <f t="shared" ca="1" si="87"/>
        <v>1880</v>
      </c>
      <c r="I309" s="10">
        <f t="shared" ca="1" si="88"/>
        <v>1867</v>
      </c>
      <c r="J309" s="10">
        <f t="shared" ca="1" si="89"/>
        <v>1819</v>
      </c>
      <c r="K309" s="10">
        <f t="shared" si="93"/>
        <v>2000</v>
      </c>
      <c r="L309" s="10">
        <f t="shared" si="94"/>
        <v>2000</v>
      </c>
      <c r="M309" s="10">
        <f t="shared" si="95"/>
        <v>2000</v>
      </c>
      <c r="N309" s="10">
        <f t="shared" ca="1" si="96"/>
        <v>-120</v>
      </c>
      <c r="O309" s="10">
        <f t="shared" ca="1" si="97"/>
        <v>-133</v>
      </c>
      <c r="P309" s="10">
        <f t="shared" ca="1" si="98"/>
        <v>-181</v>
      </c>
      <c r="Q309" s="14">
        <v>5</v>
      </c>
      <c r="R309" s="14">
        <v>5</v>
      </c>
      <c r="S309" s="14">
        <v>4</v>
      </c>
      <c r="T309" s="13">
        <f t="shared" ca="1" si="90"/>
        <v>1654</v>
      </c>
      <c r="U309" s="12">
        <f t="shared" ca="1" si="100"/>
        <v>1140</v>
      </c>
      <c r="V309" s="12">
        <f t="shared" ca="1" si="99"/>
        <v>1177</v>
      </c>
      <c r="W309" s="12">
        <f t="shared" ca="1" si="101"/>
        <v>1159</v>
      </c>
      <c r="X309" s="13"/>
      <c r="Y309" s="10"/>
      <c r="Z309" s="10"/>
      <c r="AA309" s="10"/>
      <c r="AB309" s="9"/>
    </row>
    <row r="310" spans="1:28" ht="13.15" customHeight="1">
      <c r="A310" s="36">
        <v>296</v>
      </c>
      <c r="B310" s="35">
        <f t="shared" si="91"/>
        <v>45368</v>
      </c>
      <c r="C310" s="16">
        <f t="shared" si="92"/>
        <v>1069</v>
      </c>
      <c r="D310" s="15">
        <f t="shared" si="83"/>
        <v>1764</v>
      </c>
      <c r="E310" s="14">
        <f t="shared" ca="1" si="84"/>
        <v>958</v>
      </c>
      <c r="F310" s="14">
        <f t="shared" ca="1" si="85"/>
        <v>972</v>
      </c>
      <c r="G310" s="14">
        <f t="shared" ca="1" si="86"/>
        <v>1018</v>
      </c>
      <c r="H310" s="10">
        <f t="shared" ca="1" si="87"/>
        <v>1875</v>
      </c>
      <c r="I310" s="10">
        <f t="shared" ca="1" si="88"/>
        <v>1861</v>
      </c>
      <c r="J310" s="10">
        <f t="shared" ca="1" si="89"/>
        <v>1815</v>
      </c>
      <c r="K310" s="10">
        <f t="shared" si="93"/>
        <v>2000</v>
      </c>
      <c r="L310" s="10">
        <f t="shared" si="94"/>
        <v>2000</v>
      </c>
      <c r="M310" s="10">
        <f t="shared" si="95"/>
        <v>2000</v>
      </c>
      <c r="N310" s="10">
        <f t="shared" ca="1" si="96"/>
        <v>-125</v>
      </c>
      <c r="O310" s="10">
        <f t="shared" ca="1" si="97"/>
        <v>-139</v>
      </c>
      <c r="P310" s="10">
        <f t="shared" ca="1" si="98"/>
        <v>-185</v>
      </c>
      <c r="Q310" s="14">
        <v>5</v>
      </c>
      <c r="R310" s="14">
        <v>6</v>
      </c>
      <c r="S310" s="14">
        <v>4</v>
      </c>
      <c r="T310" s="13">
        <f t="shared" ca="1" si="90"/>
        <v>1662</v>
      </c>
      <c r="U310" s="12">
        <f t="shared" ca="1" si="100"/>
        <v>1135</v>
      </c>
      <c r="V310" s="12">
        <f t="shared" ca="1" si="99"/>
        <v>1171</v>
      </c>
      <c r="W310" s="12">
        <f t="shared" ca="1" si="101"/>
        <v>1155</v>
      </c>
      <c r="X310" s="13"/>
      <c r="Y310" s="10"/>
      <c r="Z310" s="10"/>
      <c r="AA310" s="10"/>
      <c r="AB310" s="9"/>
    </row>
    <row r="311" spans="1:28" ht="13.15" customHeight="1">
      <c r="A311" s="36">
        <v>297</v>
      </c>
      <c r="B311" s="35">
        <f t="shared" si="91"/>
        <v>45369</v>
      </c>
      <c r="C311" s="16">
        <f t="shared" si="92"/>
        <v>1069</v>
      </c>
      <c r="D311" s="15">
        <f t="shared" si="83"/>
        <v>1766</v>
      </c>
      <c r="E311" s="14">
        <f t="shared" ca="1" si="84"/>
        <v>969</v>
      </c>
      <c r="F311" s="14">
        <f t="shared" ca="1" si="85"/>
        <v>983</v>
      </c>
      <c r="G311" s="14">
        <f t="shared" ca="1" si="86"/>
        <v>1028</v>
      </c>
      <c r="H311" s="10">
        <f t="shared" ca="1" si="87"/>
        <v>1866</v>
      </c>
      <c r="I311" s="10">
        <f t="shared" ca="1" si="88"/>
        <v>1852</v>
      </c>
      <c r="J311" s="10">
        <f t="shared" ca="1" si="89"/>
        <v>1807</v>
      </c>
      <c r="K311" s="10">
        <f t="shared" si="93"/>
        <v>2000</v>
      </c>
      <c r="L311" s="10">
        <f t="shared" si="94"/>
        <v>2000</v>
      </c>
      <c r="M311" s="10">
        <f t="shared" si="95"/>
        <v>2000</v>
      </c>
      <c r="N311" s="10">
        <f t="shared" ca="1" si="96"/>
        <v>-134</v>
      </c>
      <c r="O311" s="10">
        <f t="shared" ca="1" si="97"/>
        <v>-148</v>
      </c>
      <c r="P311" s="10">
        <f t="shared" ca="1" si="98"/>
        <v>-193</v>
      </c>
      <c r="Q311" s="14">
        <v>9</v>
      </c>
      <c r="R311" s="14">
        <v>9</v>
      </c>
      <c r="S311" s="14">
        <v>8</v>
      </c>
      <c r="T311" s="13">
        <f t="shared" ca="1" si="90"/>
        <v>1373</v>
      </c>
      <c r="U311" s="12">
        <f t="shared" ca="1" si="100"/>
        <v>1426</v>
      </c>
      <c r="V311" s="12">
        <f t="shared" ca="1" si="99"/>
        <v>1462</v>
      </c>
      <c r="W311" s="12">
        <f t="shared" ca="1" si="101"/>
        <v>1447</v>
      </c>
      <c r="X311" s="39">
        <v>0.3</v>
      </c>
      <c r="Y311" s="10"/>
      <c r="Z311" s="10"/>
      <c r="AA311" s="10"/>
      <c r="AB311" s="9">
        <v>4</v>
      </c>
    </row>
    <row r="312" spans="1:28" ht="13.15" customHeight="1">
      <c r="A312" s="36">
        <v>298</v>
      </c>
      <c r="B312" s="35">
        <f t="shared" si="91"/>
        <v>45370</v>
      </c>
      <c r="C312" s="16">
        <f t="shared" si="92"/>
        <v>1069</v>
      </c>
      <c r="D312" s="15">
        <f t="shared" si="83"/>
        <v>1768</v>
      </c>
      <c r="E312" s="14">
        <f t="shared" ca="1" si="84"/>
        <v>977</v>
      </c>
      <c r="F312" s="14">
        <f t="shared" ca="1" si="85"/>
        <v>991</v>
      </c>
      <c r="G312" s="14">
        <f t="shared" ca="1" si="86"/>
        <v>1033</v>
      </c>
      <c r="H312" s="10">
        <f t="shared" ca="1" si="87"/>
        <v>1860</v>
      </c>
      <c r="I312" s="10">
        <f t="shared" ca="1" si="88"/>
        <v>1846</v>
      </c>
      <c r="J312" s="10">
        <f t="shared" ca="1" si="89"/>
        <v>1804</v>
      </c>
      <c r="K312" s="10">
        <f t="shared" si="93"/>
        <v>2000</v>
      </c>
      <c r="L312" s="10">
        <f t="shared" si="94"/>
        <v>2000</v>
      </c>
      <c r="M312" s="10">
        <f t="shared" si="95"/>
        <v>2000</v>
      </c>
      <c r="N312" s="10">
        <f t="shared" ca="1" si="96"/>
        <v>-140</v>
      </c>
      <c r="O312" s="10">
        <f t="shared" ca="1" si="97"/>
        <v>-154</v>
      </c>
      <c r="P312" s="10">
        <f t="shared" ca="1" si="98"/>
        <v>-196</v>
      </c>
      <c r="Q312" s="14">
        <v>6</v>
      </c>
      <c r="R312" s="14">
        <v>6</v>
      </c>
      <c r="S312" s="14">
        <v>3</v>
      </c>
      <c r="T312" s="13">
        <f t="shared" ca="1" si="90"/>
        <v>1381</v>
      </c>
      <c r="U312" s="12">
        <f t="shared" ca="1" si="100"/>
        <v>1420</v>
      </c>
      <c r="V312" s="12">
        <f t="shared" ca="1" si="99"/>
        <v>1456</v>
      </c>
      <c r="W312" s="12">
        <f t="shared" ca="1" si="101"/>
        <v>1444</v>
      </c>
      <c r="X312" s="13"/>
      <c r="Y312" s="10"/>
      <c r="Z312" s="10"/>
      <c r="AA312" s="10"/>
      <c r="AB312" s="9"/>
    </row>
    <row r="313" spans="1:28" ht="13.15" customHeight="1">
      <c r="A313" s="36">
        <v>299</v>
      </c>
      <c r="B313" s="35">
        <f t="shared" si="91"/>
        <v>45371</v>
      </c>
      <c r="C313" s="16">
        <f t="shared" si="92"/>
        <v>1069</v>
      </c>
      <c r="D313" s="15">
        <f t="shared" si="83"/>
        <v>1770</v>
      </c>
      <c r="E313" s="14">
        <f t="shared" ca="1" si="84"/>
        <v>984</v>
      </c>
      <c r="F313" s="14">
        <f t="shared" ca="1" si="85"/>
        <v>998</v>
      </c>
      <c r="G313" s="14">
        <f t="shared" ca="1" si="86"/>
        <v>1039</v>
      </c>
      <c r="H313" s="10">
        <f t="shared" ca="1" si="87"/>
        <v>1855</v>
      </c>
      <c r="I313" s="10">
        <f t="shared" ca="1" si="88"/>
        <v>1841</v>
      </c>
      <c r="J313" s="10">
        <f t="shared" ca="1" si="89"/>
        <v>1800</v>
      </c>
      <c r="K313" s="10">
        <f t="shared" si="93"/>
        <v>2000</v>
      </c>
      <c r="L313" s="10">
        <f t="shared" si="94"/>
        <v>2000</v>
      </c>
      <c r="M313" s="10">
        <f t="shared" si="95"/>
        <v>2000</v>
      </c>
      <c r="N313" s="10">
        <f t="shared" ca="1" si="96"/>
        <v>-145</v>
      </c>
      <c r="O313" s="10">
        <f t="shared" ca="1" si="97"/>
        <v>-159</v>
      </c>
      <c r="P313" s="10">
        <f t="shared" ca="1" si="98"/>
        <v>-200</v>
      </c>
      <c r="Q313" s="14">
        <v>5</v>
      </c>
      <c r="R313" s="14">
        <v>5</v>
      </c>
      <c r="S313" s="14">
        <v>4</v>
      </c>
      <c r="T313" s="13">
        <f t="shared" ca="1" si="90"/>
        <v>1388</v>
      </c>
      <c r="U313" s="12">
        <f t="shared" ca="1" si="100"/>
        <v>1415</v>
      </c>
      <c r="V313" s="12">
        <f t="shared" ca="1" si="99"/>
        <v>1451</v>
      </c>
      <c r="W313" s="12">
        <f t="shared" ca="1" si="101"/>
        <v>1440</v>
      </c>
      <c r="X313" s="13"/>
      <c r="Y313" s="10"/>
      <c r="Z313" s="10"/>
      <c r="AA313" s="10"/>
      <c r="AB313" s="9"/>
    </row>
    <row r="314" spans="1:28" ht="13.15" customHeight="1">
      <c r="A314" s="36">
        <v>300</v>
      </c>
      <c r="B314" s="35">
        <f t="shared" si="91"/>
        <v>45372</v>
      </c>
      <c r="C314" s="16">
        <f t="shared" si="92"/>
        <v>1069</v>
      </c>
      <c r="D314" s="15">
        <f t="shared" si="83"/>
        <v>1772</v>
      </c>
      <c r="E314" s="14">
        <f t="shared" ca="1" si="84"/>
        <v>991</v>
      </c>
      <c r="F314" s="14">
        <f t="shared" ca="1" si="85"/>
        <v>1006</v>
      </c>
      <c r="G314" s="14">
        <f t="shared" ca="1" si="86"/>
        <v>1045</v>
      </c>
      <c r="H314" s="10">
        <f t="shared" ca="1" si="87"/>
        <v>1850</v>
      </c>
      <c r="I314" s="10">
        <f t="shared" ca="1" si="88"/>
        <v>1835</v>
      </c>
      <c r="J314" s="10">
        <f t="shared" ca="1" si="89"/>
        <v>1796</v>
      </c>
      <c r="K314" s="10">
        <f t="shared" si="93"/>
        <v>2000</v>
      </c>
      <c r="L314" s="10">
        <f t="shared" si="94"/>
        <v>2000</v>
      </c>
      <c r="M314" s="10">
        <f t="shared" si="95"/>
        <v>2000</v>
      </c>
      <c r="N314" s="10">
        <f t="shared" ca="1" si="96"/>
        <v>-150</v>
      </c>
      <c r="O314" s="10">
        <f t="shared" ca="1" si="97"/>
        <v>-165</v>
      </c>
      <c r="P314" s="10">
        <f t="shared" ca="1" si="98"/>
        <v>-204</v>
      </c>
      <c r="Q314" s="14">
        <v>5</v>
      </c>
      <c r="R314" s="14">
        <v>6</v>
      </c>
      <c r="S314" s="14">
        <v>4</v>
      </c>
      <c r="T314" s="13">
        <f t="shared" ca="1" si="90"/>
        <v>1396</v>
      </c>
      <c r="U314" s="12">
        <f t="shared" ca="1" si="100"/>
        <v>1410</v>
      </c>
      <c r="V314" s="12">
        <f t="shared" ca="1" si="99"/>
        <v>1445</v>
      </c>
      <c r="W314" s="12">
        <f t="shared" ca="1" si="101"/>
        <v>1436</v>
      </c>
      <c r="X314" s="13"/>
      <c r="Y314" s="10"/>
      <c r="Z314" s="10"/>
      <c r="AA314" s="10"/>
      <c r="AB314" s="9"/>
    </row>
    <row r="315" spans="1:28" ht="13.15" customHeight="1">
      <c r="A315" s="36">
        <v>301</v>
      </c>
      <c r="B315" s="35">
        <f t="shared" si="91"/>
        <v>45373</v>
      </c>
      <c r="C315" s="16">
        <f t="shared" si="92"/>
        <v>1069</v>
      </c>
      <c r="D315" s="15">
        <f t="shared" si="83"/>
        <v>1774</v>
      </c>
      <c r="E315" s="14">
        <f t="shared" ca="1" si="84"/>
        <v>998</v>
      </c>
      <c r="F315" s="14">
        <f t="shared" ca="1" si="85"/>
        <v>1014</v>
      </c>
      <c r="G315" s="14">
        <f t="shared" ca="1" si="86"/>
        <v>1051</v>
      </c>
      <c r="H315" s="10">
        <f t="shared" ca="1" si="87"/>
        <v>1845</v>
      </c>
      <c r="I315" s="10">
        <f t="shared" ca="1" si="88"/>
        <v>1829</v>
      </c>
      <c r="J315" s="10">
        <f t="shared" ca="1" si="89"/>
        <v>1792</v>
      </c>
      <c r="K315" s="10">
        <f t="shared" si="93"/>
        <v>2000</v>
      </c>
      <c r="L315" s="10">
        <f t="shared" si="94"/>
        <v>2000</v>
      </c>
      <c r="M315" s="10">
        <f t="shared" si="95"/>
        <v>2000</v>
      </c>
      <c r="N315" s="10">
        <f t="shared" ca="1" si="96"/>
        <v>-155</v>
      </c>
      <c r="O315" s="10">
        <f t="shared" ca="1" si="97"/>
        <v>-171</v>
      </c>
      <c r="P315" s="10">
        <f t="shared" ca="1" si="98"/>
        <v>-208</v>
      </c>
      <c r="Q315" s="14">
        <v>5</v>
      </c>
      <c r="R315" s="14">
        <v>6</v>
      </c>
      <c r="S315" s="14">
        <v>4</v>
      </c>
      <c r="T315" s="13">
        <f t="shared" ca="1" si="90"/>
        <v>1404</v>
      </c>
      <c r="U315" s="12">
        <f t="shared" ca="1" si="100"/>
        <v>1405</v>
      </c>
      <c r="V315" s="12">
        <f t="shared" ca="1" si="99"/>
        <v>1439</v>
      </c>
      <c r="W315" s="12">
        <f t="shared" ca="1" si="101"/>
        <v>1432</v>
      </c>
      <c r="X315" s="13"/>
      <c r="Y315" s="10"/>
      <c r="Z315" s="10"/>
      <c r="AA315" s="10"/>
      <c r="AB315" s="9"/>
    </row>
    <row r="316" spans="1:28" ht="13.15" customHeight="1">
      <c r="A316" s="36">
        <v>302</v>
      </c>
      <c r="B316" s="35">
        <f t="shared" si="91"/>
        <v>45374</v>
      </c>
      <c r="C316" s="16">
        <f t="shared" si="92"/>
        <v>1069</v>
      </c>
      <c r="D316" s="15">
        <f t="shared" si="83"/>
        <v>1776</v>
      </c>
      <c r="E316" s="14">
        <f t="shared" ca="1" si="84"/>
        <v>1009</v>
      </c>
      <c r="F316" s="14">
        <f t="shared" ca="1" si="85"/>
        <v>1025</v>
      </c>
      <c r="G316" s="14">
        <f t="shared" ca="1" si="86"/>
        <v>1062</v>
      </c>
      <c r="H316" s="10">
        <f t="shared" ca="1" si="87"/>
        <v>1836</v>
      </c>
      <c r="I316" s="10">
        <f t="shared" ca="1" si="88"/>
        <v>1820</v>
      </c>
      <c r="J316" s="10">
        <f t="shared" ca="1" si="89"/>
        <v>1783</v>
      </c>
      <c r="K316" s="10">
        <f t="shared" si="93"/>
        <v>2000</v>
      </c>
      <c r="L316" s="10">
        <f t="shared" si="94"/>
        <v>2000</v>
      </c>
      <c r="M316" s="10">
        <f t="shared" si="95"/>
        <v>2000</v>
      </c>
      <c r="N316" s="10">
        <f t="shared" ca="1" si="96"/>
        <v>-164</v>
      </c>
      <c r="O316" s="10">
        <f t="shared" ca="1" si="97"/>
        <v>-180</v>
      </c>
      <c r="P316" s="10">
        <f t="shared" ca="1" si="98"/>
        <v>-217</v>
      </c>
      <c r="Q316" s="14">
        <v>9</v>
      </c>
      <c r="R316" s="14">
        <v>9</v>
      </c>
      <c r="S316" s="14">
        <v>9</v>
      </c>
      <c r="T316" s="13">
        <f t="shared" ca="1" si="90"/>
        <v>1115</v>
      </c>
      <c r="U316" s="12">
        <f t="shared" ca="1" si="100"/>
        <v>1696</v>
      </c>
      <c r="V316" s="12">
        <f t="shared" ca="1" si="99"/>
        <v>1730</v>
      </c>
      <c r="W316" s="12">
        <f t="shared" ca="1" si="101"/>
        <v>1723</v>
      </c>
      <c r="X316" s="39">
        <v>0.3</v>
      </c>
      <c r="Y316" s="10"/>
      <c r="Z316" s="10"/>
      <c r="AA316" s="10"/>
      <c r="AB316" s="9">
        <v>3</v>
      </c>
    </row>
    <row r="317" spans="1:28" ht="13.15" customHeight="1">
      <c r="A317" s="36">
        <v>303</v>
      </c>
      <c r="B317" s="35">
        <f t="shared" si="91"/>
        <v>45375</v>
      </c>
      <c r="C317" s="16">
        <f t="shared" si="92"/>
        <v>1069</v>
      </c>
      <c r="D317" s="15">
        <f t="shared" si="83"/>
        <v>1778</v>
      </c>
      <c r="E317" s="14">
        <f t="shared" ca="1" si="84"/>
        <v>1014</v>
      </c>
      <c r="F317" s="14">
        <f t="shared" ca="1" si="85"/>
        <v>1031</v>
      </c>
      <c r="G317" s="14">
        <f t="shared" ca="1" si="86"/>
        <v>1068</v>
      </c>
      <c r="H317" s="10">
        <f t="shared" ca="1" si="87"/>
        <v>1833</v>
      </c>
      <c r="I317" s="10">
        <f t="shared" ca="1" si="88"/>
        <v>1816</v>
      </c>
      <c r="J317" s="10">
        <f t="shared" ca="1" si="89"/>
        <v>1779</v>
      </c>
      <c r="K317" s="10">
        <f t="shared" si="93"/>
        <v>2000</v>
      </c>
      <c r="L317" s="10">
        <f t="shared" si="94"/>
        <v>2000</v>
      </c>
      <c r="M317" s="10">
        <f t="shared" si="95"/>
        <v>2000</v>
      </c>
      <c r="N317" s="10">
        <f t="shared" ca="1" si="96"/>
        <v>-167</v>
      </c>
      <c r="O317" s="10">
        <f t="shared" ca="1" si="97"/>
        <v>-184</v>
      </c>
      <c r="P317" s="10">
        <f t="shared" ca="1" si="98"/>
        <v>-221</v>
      </c>
      <c r="Q317" s="14">
        <v>3</v>
      </c>
      <c r="R317" s="14">
        <v>4</v>
      </c>
      <c r="S317" s="14">
        <v>4</v>
      </c>
      <c r="T317" s="13">
        <f t="shared" ca="1" si="90"/>
        <v>1121</v>
      </c>
      <c r="U317" s="12">
        <f t="shared" ca="1" si="100"/>
        <v>1693</v>
      </c>
      <c r="V317" s="12">
        <f t="shared" ca="1" si="99"/>
        <v>1726</v>
      </c>
      <c r="W317" s="12">
        <f t="shared" ca="1" si="101"/>
        <v>1719</v>
      </c>
      <c r="X317" s="13"/>
      <c r="Y317" s="10"/>
      <c r="Z317" s="10"/>
      <c r="AA317" s="10"/>
      <c r="AB317" s="9"/>
    </row>
    <row r="318" spans="1:28" ht="13.15" customHeight="1">
      <c r="A318" s="36">
        <v>304</v>
      </c>
      <c r="B318" s="35">
        <f t="shared" si="91"/>
        <v>45376</v>
      </c>
      <c r="C318" s="16">
        <f t="shared" si="92"/>
        <v>1069</v>
      </c>
      <c r="D318" s="15">
        <f t="shared" si="83"/>
        <v>1780</v>
      </c>
      <c r="E318" s="14">
        <f t="shared" ca="1" si="84"/>
        <v>1018</v>
      </c>
      <c r="F318" s="14">
        <f t="shared" ca="1" si="85"/>
        <v>1038</v>
      </c>
      <c r="G318" s="14">
        <f t="shared" ca="1" si="86"/>
        <v>1072</v>
      </c>
      <c r="H318" s="10">
        <f t="shared" ca="1" si="87"/>
        <v>1831</v>
      </c>
      <c r="I318" s="10">
        <f t="shared" ca="1" si="88"/>
        <v>1811</v>
      </c>
      <c r="J318" s="10">
        <f t="shared" ca="1" si="89"/>
        <v>1777</v>
      </c>
      <c r="K318" s="10">
        <f t="shared" si="93"/>
        <v>2000</v>
      </c>
      <c r="L318" s="10">
        <f t="shared" si="94"/>
        <v>2000</v>
      </c>
      <c r="M318" s="10">
        <f t="shared" si="95"/>
        <v>2000</v>
      </c>
      <c r="N318" s="10">
        <f t="shared" ca="1" si="96"/>
        <v>-169</v>
      </c>
      <c r="O318" s="10">
        <f t="shared" ca="1" si="97"/>
        <v>-189</v>
      </c>
      <c r="P318" s="10">
        <f t="shared" ca="1" si="98"/>
        <v>-223</v>
      </c>
      <c r="Q318" s="14">
        <v>2</v>
      </c>
      <c r="R318" s="14">
        <v>5</v>
      </c>
      <c r="S318" s="14">
        <v>2</v>
      </c>
      <c r="T318" s="13">
        <f t="shared" ca="1" si="90"/>
        <v>1128</v>
      </c>
      <c r="U318" s="12">
        <f t="shared" ca="1" si="100"/>
        <v>1691</v>
      </c>
      <c r="V318" s="12">
        <f t="shared" ca="1" si="99"/>
        <v>1721</v>
      </c>
      <c r="W318" s="12">
        <f t="shared" ca="1" si="101"/>
        <v>1717</v>
      </c>
      <c r="X318" s="13"/>
      <c r="Y318" s="10"/>
      <c r="Z318" s="10"/>
      <c r="AA318" s="10"/>
      <c r="AB318" s="9"/>
    </row>
    <row r="319" spans="1:28" ht="13.15" customHeight="1">
      <c r="A319" s="36">
        <v>305</v>
      </c>
      <c r="B319" s="35">
        <f t="shared" si="91"/>
        <v>45377</v>
      </c>
      <c r="C319" s="16">
        <f t="shared" si="92"/>
        <v>1069</v>
      </c>
      <c r="D319" s="15">
        <f t="shared" ref="D319:D382" si="102">D318+2</f>
        <v>1782</v>
      </c>
      <c r="E319" s="14">
        <f t="shared" ca="1" si="84"/>
        <v>1024</v>
      </c>
      <c r="F319" s="14">
        <f t="shared" ca="1" si="85"/>
        <v>1045</v>
      </c>
      <c r="G319" s="14">
        <f t="shared" ca="1" si="86"/>
        <v>1079</v>
      </c>
      <c r="H319" s="10">
        <f t="shared" ca="1" si="87"/>
        <v>1827</v>
      </c>
      <c r="I319" s="10">
        <f t="shared" ca="1" si="88"/>
        <v>1806</v>
      </c>
      <c r="J319" s="10">
        <f t="shared" ca="1" si="89"/>
        <v>1772</v>
      </c>
      <c r="K319" s="10">
        <f t="shared" si="93"/>
        <v>2000</v>
      </c>
      <c r="L319" s="10">
        <f t="shared" si="94"/>
        <v>2000</v>
      </c>
      <c r="M319" s="10">
        <f t="shared" si="95"/>
        <v>2000</v>
      </c>
      <c r="N319" s="10">
        <f t="shared" ca="1" si="96"/>
        <v>-173</v>
      </c>
      <c r="O319" s="10">
        <f t="shared" ca="1" si="97"/>
        <v>-194</v>
      </c>
      <c r="P319" s="10">
        <f t="shared" ca="1" si="98"/>
        <v>-228</v>
      </c>
      <c r="Q319" s="14">
        <v>4</v>
      </c>
      <c r="R319" s="14">
        <v>5</v>
      </c>
      <c r="S319" s="14">
        <v>5</v>
      </c>
      <c r="T319" s="13">
        <f t="shared" ca="1" si="90"/>
        <v>1135</v>
      </c>
      <c r="U319" s="12">
        <f t="shared" ca="1" si="100"/>
        <v>1687</v>
      </c>
      <c r="V319" s="12">
        <f t="shared" ca="1" si="99"/>
        <v>1716</v>
      </c>
      <c r="W319" s="12">
        <f t="shared" ca="1" si="101"/>
        <v>1712</v>
      </c>
      <c r="X319" s="13"/>
      <c r="Y319" s="10"/>
      <c r="Z319" s="10"/>
      <c r="AA319" s="10"/>
      <c r="AB319" s="9"/>
    </row>
    <row r="320" spans="1:28" ht="13.15" customHeight="1">
      <c r="A320" s="36">
        <v>306</v>
      </c>
      <c r="B320" s="35">
        <f t="shared" si="91"/>
        <v>45378</v>
      </c>
      <c r="C320" s="16">
        <f t="shared" si="92"/>
        <v>1069</v>
      </c>
      <c r="D320" s="15">
        <f t="shared" si="102"/>
        <v>1784</v>
      </c>
      <c r="E320" s="14">
        <f t="shared" ca="1" si="84"/>
        <v>1034</v>
      </c>
      <c r="F320" s="14">
        <f t="shared" ca="1" si="85"/>
        <v>1056</v>
      </c>
      <c r="G320" s="14">
        <f t="shared" ca="1" si="86"/>
        <v>1089</v>
      </c>
      <c r="H320" s="10">
        <f t="shared" ca="1" si="87"/>
        <v>1819</v>
      </c>
      <c r="I320" s="10">
        <f t="shared" ca="1" si="88"/>
        <v>1797</v>
      </c>
      <c r="J320" s="10">
        <f t="shared" ca="1" si="89"/>
        <v>1764</v>
      </c>
      <c r="K320" s="10">
        <f t="shared" si="93"/>
        <v>2000</v>
      </c>
      <c r="L320" s="10">
        <f t="shared" si="94"/>
        <v>2000</v>
      </c>
      <c r="M320" s="10">
        <f t="shared" si="95"/>
        <v>2000</v>
      </c>
      <c r="N320" s="10">
        <f t="shared" ca="1" si="96"/>
        <v>-181</v>
      </c>
      <c r="O320" s="10">
        <f t="shared" ca="1" si="97"/>
        <v>-203</v>
      </c>
      <c r="P320" s="10">
        <f t="shared" ca="1" si="98"/>
        <v>-236</v>
      </c>
      <c r="Q320" s="14">
        <v>8</v>
      </c>
      <c r="R320" s="14">
        <v>9</v>
      </c>
      <c r="S320" s="14">
        <v>8</v>
      </c>
      <c r="T320" s="13">
        <f t="shared" ca="1" si="90"/>
        <v>846</v>
      </c>
      <c r="U320" s="12">
        <f t="shared" ca="1" si="100"/>
        <v>1979</v>
      </c>
      <c r="V320" s="12">
        <f t="shared" ca="1" si="99"/>
        <v>2007</v>
      </c>
      <c r="W320" s="12">
        <f t="shared" ca="1" si="101"/>
        <v>2004</v>
      </c>
      <c r="X320" s="39">
        <v>0.3</v>
      </c>
      <c r="Y320" s="10"/>
      <c r="Z320" s="10"/>
      <c r="AA320" s="10"/>
      <c r="AB320" s="9">
        <v>2</v>
      </c>
    </row>
    <row r="321" spans="1:28" ht="13.15" customHeight="1">
      <c r="A321" s="36">
        <v>307</v>
      </c>
      <c r="B321" s="35">
        <f t="shared" si="91"/>
        <v>45379</v>
      </c>
      <c r="C321" s="16">
        <f t="shared" si="92"/>
        <v>1069</v>
      </c>
      <c r="D321" s="15">
        <f t="shared" si="102"/>
        <v>1786</v>
      </c>
      <c r="E321" s="14">
        <f t="shared" ca="1" si="84"/>
        <v>1041</v>
      </c>
      <c r="F321" s="14">
        <f t="shared" ca="1" si="85"/>
        <v>1063</v>
      </c>
      <c r="G321" s="14">
        <f t="shared" ca="1" si="86"/>
        <v>1095</v>
      </c>
      <c r="H321" s="10">
        <f t="shared" ca="1" si="87"/>
        <v>1814</v>
      </c>
      <c r="I321" s="10">
        <f t="shared" ca="1" si="88"/>
        <v>1792</v>
      </c>
      <c r="J321" s="10">
        <f t="shared" ca="1" si="89"/>
        <v>1760</v>
      </c>
      <c r="K321" s="10">
        <f t="shared" si="93"/>
        <v>2000</v>
      </c>
      <c r="L321" s="10">
        <f t="shared" si="94"/>
        <v>2000</v>
      </c>
      <c r="M321" s="10">
        <f t="shared" si="95"/>
        <v>2000</v>
      </c>
      <c r="N321" s="10">
        <f t="shared" ca="1" si="96"/>
        <v>-186</v>
      </c>
      <c r="O321" s="10">
        <f t="shared" ca="1" si="97"/>
        <v>-208</v>
      </c>
      <c r="P321" s="10">
        <f t="shared" ca="1" si="98"/>
        <v>-240</v>
      </c>
      <c r="Q321" s="14">
        <v>5</v>
      </c>
      <c r="R321" s="14">
        <v>5</v>
      </c>
      <c r="S321" s="14">
        <v>4</v>
      </c>
      <c r="T321" s="13">
        <f t="shared" ca="1" si="90"/>
        <v>853</v>
      </c>
      <c r="U321" s="12">
        <f t="shared" ca="1" si="100"/>
        <v>1974</v>
      </c>
      <c r="V321" s="12">
        <f t="shared" ca="1" si="99"/>
        <v>2002</v>
      </c>
      <c r="W321" s="12">
        <f t="shared" ca="1" si="101"/>
        <v>2000</v>
      </c>
      <c r="X321" s="13"/>
      <c r="Y321" s="10"/>
      <c r="Z321" s="10"/>
      <c r="AA321" s="10"/>
      <c r="AB321" s="9"/>
    </row>
    <row r="322" spans="1:28" ht="13.15" customHeight="1">
      <c r="A322" s="36">
        <v>308</v>
      </c>
      <c r="B322" s="35">
        <f t="shared" si="91"/>
        <v>45380</v>
      </c>
      <c r="C322" s="16">
        <f t="shared" si="92"/>
        <v>1069</v>
      </c>
      <c r="D322" s="15">
        <f t="shared" si="102"/>
        <v>1788</v>
      </c>
      <c r="E322" s="14">
        <f t="shared" ca="1" si="84"/>
        <v>1048</v>
      </c>
      <c r="F322" s="14">
        <f t="shared" ca="1" si="85"/>
        <v>1069</v>
      </c>
      <c r="G322" s="14">
        <f t="shared" ca="1" si="86"/>
        <v>1100</v>
      </c>
      <c r="H322" s="10">
        <f t="shared" ca="1" si="87"/>
        <v>1809</v>
      </c>
      <c r="I322" s="10">
        <f t="shared" ca="1" si="88"/>
        <v>1788</v>
      </c>
      <c r="J322" s="10">
        <f t="shared" ca="1" si="89"/>
        <v>1757</v>
      </c>
      <c r="K322" s="10">
        <f t="shared" si="93"/>
        <v>2000</v>
      </c>
      <c r="L322" s="10">
        <f t="shared" si="94"/>
        <v>2000</v>
      </c>
      <c r="M322" s="10">
        <f t="shared" si="95"/>
        <v>2000</v>
      </c>
      <c r="N322" s="10">
        <f t="shared" ca="1" si="96"/>
        <v>-191</v>
      </c>
      <c r="O322" s="10">
        <f t="shared" ca="1" si="97"/>
        <v>-212</v>
      </c>
      <c r="P322" s="10">
        <f t="shared" ca="1" si="98"/>
        <v>-243</v>
      </c>
      <c r="Q322" s="14">
        <v>5</v>
      </c>
      <c r="R322" s="14">
        <v>4</v>
      </c>
      <c r="S322" s="14">
        <v>3</v>
      </c>
      <c r="T322" s="13">
        <f t="shared" ca="1" si="90"/>
        <v>859</v>
      </c>
      <c r="U322" s="12">
        <f t="shared" ca="1" si="100"/>
        <v>1969</v>
      </c>
      <c r="V322" s="12">
        <f t="shared" ca="1" si="99"/>
        <v>1998</v>
      </c>
      <c r="W322" s="12">
        <f t="shared" ca="1" si="101"/>
        <v>1997</v>
      </c>
      <c r="X322" s="13"/>
      <c r="Y322" s="10"/>
      <c r="Z322" s="10"/>
      <c r="AA322" s="10"/>
      <c r="AB322" s="9"/>
    </row>
    <row r="323" spans="1:28" ht="13.15" customHeight="1">
      <c r="A323" s="36">
        <v>309</v>
      </c>
      <c r="B323" s="35">
        <f t="shared" si="91"/>
        <v>45381</v>
      </c>
      <c r="C323" s="16">
        <f t="shared" si="92"/>
        <v>1069</v>
      </c>
      <c r="D323" s="15">
        <f t="shared" si="102"/>
        <v>1790</v>
      </c>
      <c r="E323" s="14">
        <f t="shared" ca="1" si="84"/>
        <v>1054</v>
      </c>
      <c r="F323" s="14">
        <f t="shared" ca="1" si="85"/>
        <v>1075</v>
      </c>
      <c r="G323" s="14">
        <f t="shared" ca="1" si="86"/>
        <v>1103</v>
      </c>
      <c r="H323" s="10">
        <f t="shared" ca="1" si="87"/>
        <v>1805</v>
      </c>
      <c r="I323" s="10">
        <f t="shared" ca="1" si="88"/>
        <v>1784</v>
      </c>
      <c r="J323" s="10">
        <f t="shared" ca="1" si="89"/>
        <v>1756</v>
      </c>
      <c r="K323" s="10">
        <f t="shared" si="93"/>
        <v>2000</v>
      </c>
      <c r="L323" s="10">
        <f t="shared" si="94"/>
        <v>2000</v>
      </c>
      <c r="M323" s="10">
        <f t="shared" si="95"/>
        <v>2000</v>
      </c>
      <c r="N323" s="10">
        <f t="shared" ca="1" si="96"/>
        <v>-195</v>
      </c>
      <c r="O323" s="10">
        <f t="shared" ca="1" si="97"/>
        <v>-216</v>
      </c>
      <c r="P323" s="10">
        <f t="shared" ca="1" si="98"/>
        <v>-244</v>
      </c>
      <c r="Q323" s="14">
        <v>4</v>
      </c>
      <c r="R323" s="14">
        <v>4</v>
      </c>
      <c r="S323" s="14">
        <v>1</v>
      </c>
      <c r="T323" s="13">
        <f t="shared" ca="1" si="90"/>
        <v>865</v>
      </c>
      <c r="U323" s="12">
        <f t="shared" ca="1" si="100"/>
        <v>1965</v>
      </c>
      <c r="V323" s="12">
        <f t="shared" ca="1" si="99"/>
        <v>1994</v>
      </c>
      <c r="W323" s="12">
        <f t="shared" ca="1" si="101"/>
        <v>1996</v>
      </c>
      <c r="X323" s="13"/>
      <c r="Y323" s="10"/>
      <c r="Z323" s="10"/>
      <c r="AA323" s="10"/>
      <c r="AB323" s="9" t="s">
        <v>9</v>
      </c>
    </row>
    <row r="324" spans="1:28" ht="13.15" customHeight="1">
      <c r="A324" s="36">
        <v>310</v>
      </c>
      <c r="B324" s="35">
        <f t="shared" si="91"/>
        <v>45382</v>
      </c>
      <c r="C324" s="16">
        <f t="shared" si="92"/>
        <v>1069</v>
      </c>
      <c r="D324" s="15">
        <f t="shared" si="102"/>
        <v>1792</v>
      </c>
      <c r="E324" s="14">
        <f t="shared" ca="1" si="84"/>
        <v>59</v>
      </c>
      <c r="F324" s="14">
        <f t="shared" ca="1" si="85"/>
        <v>80</v>
      </c>
      <c r="G324" s="14">
        <f t="shared" ca="1" si="86"/>
        <v>106</v>
      </c>
      <c r="H324" s="10">
        <f t="shared" ca="1" si="87"/>
        <v>2802</v>
      </c>
      <c r="I324" s="10">
        <f t="shared" ca="1" si="88"/>
        <v>2781</v>
      </c>
      <c r="J324" s="10">
        <f t="shared" ca="1" si="89"/>
        <v>2755</v>
      </c>
      <c r="K324" s="10">
        <f>K323+1000</f>
        <v>3000</v>
      </c>
      <c r="L324" s="10">
        <f>L323+1000</f>
        <v>3000</v>
      </c>
      <c r="M324" s="10">
        <f>M323+1000</f>
        <v>3000</v>
      </c>
      <c r="N324" s="10">
        <f t="shared" ca="1" si="96"/>
        <v>-198</v>
      </c>
      <c r="O324" s="10">
        <f t="shared" ca="1" si="97"/>
        <v>-219</v>
      </c>
      <c r="P324" s="10">
        <f t="shared" ca="1" si="98"/>
        <v>-245</v>
      </c>
      <c r="Q324" s="14">
        <v>3</v>
      </c>
      <c r="R324" s="14">
        <v>3</v>
      </c>
      <c r="S324" s="14">
        <v>1</v>
      </c>
      <c r="T324" s="13">
        <f t="shared" ca="1" si="90"/>
        <v>870</v>
      </c>
      <c r="U324" s="12">
        <f t="shared" ca="1" si="100"/>
        <v>1962</v>
      </c>
      <c r="V324" s="12">
        <f t="shared" ca="1" si="99"/>
        <v>1991</v>
      </c>
      <c r="W324" s="12">
        <f t="shared" ca="1" si="101"/>
        <v>1995</v>
      </c>
      <c r="X324" s="13"/>
      <c r="Y324" s="10"/>
      <c r="Z324" s="10"/>
      <c r="AA324" s="10"/>
      <c r="AB324" s="9" t="s">
        <v>8</v>
      </c>
    </row>
    <row r="325" spans="1:28" ht="13.15" customHeight="1">
      <c r="A325" s="36">
        <v>311</v>
      </c>
      <c r="B325" s="35">
        <f t="shared" si="91"/>
        <v>45383</v>
      </c>
      <c r="C325" s="16">
        <f t="shared" si="92"/>
        <v>1069</v>
      </c>
      <c r="D325" s="15">
        <f t="shared" si="102"/>
        <v>1794</v>
      </c>
      <c r="E325" s="14">
        <f t="shared" ca="1" si="84"/>
        <v>63</v>
      </c>
      <c r="F325" s="14">
        <f t="shared" ca="1" si="85"/>
        <v>87</v>
      </c>
      <c r="G325" s="14">
        <f t="shared" ca="1" si="86"/>
        <v>109</v>
      </c>
      <c r="H325" s="10">
        <f t="shared" ca="1" si="87"/>
        <v>2800</v>
      </c>
      <c r="I325" s="10">
        <f t="shared" ca="1" si="88"/>
        <v>2776</v>
      </c>
      <c r="J325" s="10">
        <f t="shared" ca="1" si="89"/>
        <v>2754</v>
      </c>
      <c r="K325" s="10">
        <f t="shared" ref="K325:K362" si="103">K324</f>
        <v>3000</v>
      </c>
      <c r="L325" s="10">
        <f t="shared" ref="L325:L362" si="104">L324</f>
        <v>3000</v>
      </c>
      <c r="M325" s="10">
        <f t="shared" ref="M325:M362" si="105">M324</f>
        <v>3000</v>
      </c>
      <c r="N325" s="10">
        <f t="shared" ca="1" si="96"/>
        <v>-200</v>
      </c>
      <c r="O325" s="10">
        <f t="shared" ca="1" si="97"/>
        <v>-224</v>
      </c>
      <c r="P325" s="10">
        <f t="shared" ca="1" si="98"/>
        <v>-246</v>
      </c>
      <c r="Q325" s="14">
        <v>2</v>
      </c>
      <c r="R325" s="14">
        <v>5</v>
      </c>
      <c r="S325" s="14">
        <v>1</v>
      </c>
      <c r="T325" s="13">
        <f t="shared" ca="1" si="90"/>
        <v>877</v>
      </c>
      <c r="U325" s="12">
        <f t="shared" ca="1" si="100"/>
        <v>1960</v>
      </c>
      <c r="V325" s="12">
        <f t="shared" ca="1" si="99"/>
        <v>1986</v>
      </c>
      <c r="W325" s="12">
        <f t="shared" ca="1" si="101"/>
        <v>1994</v>
      </c>
      <c r="X325" s="13"/>
      <c r="Y325" s="10"/>
      <c r="Z325" s="10"/>
      <c r="AA325" s="10"/>
      <c r="AB325" s="9"/>
    </row>
    <row r="326" spans="1:28" ht="13.15" customHeight="1">
      <c r="A326" s="36">
        <v>312</v>
      </c>
      <c r="B326" s="35">
        <f t="shared" si="91"/>
        <v>45384</v>
      </c>
      <c r="C326" s="16">
        <f t="shared" si="92"/>
        <v>1069</v>
      </c>
      <c r="D326" s="15">
        <f t="shared" si="102"/>
        <v>1796</v>
      </c>
      <c r="E326" s="14">
        <f t="shared" ca="1" si="84"/>
        <v>72</v>
      </c>
      <c r="F326" s="14">
        <f t="shared" ca="1" si="85"/>
        <v>97</v>
      </c>
      <c r="G326" s="14">
        <f t="shared" ca="1" si="86"/>
        <v>117</v>
      </c>
      <c r="H326" s="10">
        <f t="shared" ca="1" si="87"/>
        <v>2793</v>
      </c>
      <c r="I326" s="10">
        <f t="shared" ca="1" si="88"/>
        <v>2768</v>
      </c>
      <c r="J326" s="10">
        <f t="shared" ca="1" si="89"/>
        <v>2748</v>
      </c>
      <c r="K326" s="10">
        <f t="shared" si="103"/>
        <v>3000</v>
      </c>
      <c r="L326" s="10">
        <f t="shared" si="104"/>
        <v>3000</v>
      </c>
      <c r="M326" s="10">
        <f t="shared" si="105"/>
        <v>3000</v>
      </c>
      <c r="N326" s="10">
        <f t="shared" ca="1" si="96"/>
        <v>-207</v>
      </c>
      <c r="O326" s="10">
        <f t="shared" ca="1" si="97"/>
        <v>-232</v>
      </c>
      <c r="P326" s="10">
        <f t="shared" ca="1" si="98"/>
        <v>-252</v>
      </c>
      <c r="Q326" s="14">
        <v>7</v>
      </c>
      <c r="R326" s="14">
        <v>8</v>
      </c>
      <c r="S326" s="14">
        <v>6</v>
      </c>
      <c r="T326" s="13">
        <f t="shared" ca="1" si="90"/>
        <v>587</v>
      </c>
      <c r="U326" s="12">
        <f t="shared" ca="1" si="100"/>
        <v>2253</v>
      </c>
      <c r="V326" s="12">
        <f t="shared" ca="1" si="99"/>
        <v>2278</v>
      </c>
      <c r="W326" s="12">
        <f t="shared" ca="1" si="101"/>
        <v>2288</v>
      </c>
      <c r="X326" s="39">
        <v>0.3</v>
      </c>
      <c r="Y326" s="10"/>
      <c r="Z326" s="10"/>
      <c r="AA326" s="10"/>
      <c r="AB326" s="38" t="s">
        <v>7</v>
      </c>
    </row>
    <row r="327" spans="1:28" ht="13.15" customHeight="1">
      <c r="A327" s="36">
        <v>313</v>
      </c>
      <c r="B327" s="35">
        <f t="shared" si="91"/>
        <v>45385</v>
      </c>
      <c r="C327" s="16">
        <f t="shared" si="92"/>
        <v>1069</v>
      </c>
      <c r="D327" s="15">
        <f t="shared" si="102"/>
        <v>1798</v>
      </c>
      <c r="E327" s="14">
        <f t="shared" ca="1" si="84"/>
        <v>76</v>
      </c>
      <c r="F327" s="14">
        <f t="shared" ca="1" si="85"/>
        <v>103</v>
      </c>
      <c r="G327" s="14">
        <f t="shared" ca="1" si="86"/>
        <v>121</v>
      </c>
      <c r="H327" s="10">
        <f t="shared" ca="1" si="87"/>
        <v>2791</v>
      </c>
      <c r="I327" s="10">
        <f t="shared" ca="1" si="88"/>
        <v>2764</v>
      </c>
      <c r="J327" s="10">
        <f t="shared" ca="1" si="89"/>
        <v>2746</v>
      </c>
      <c r="K327" s="10">
        <f t="shared" si="103"/>
        <v>3000</v>
      </c>
      <c r="L327" s="10">
        <f t="shared" si="104"/>
        <v>3000</v>
      </c>
      <c r="M327" s="10">
        <f t="shared" si="105"/>
        <v>3000</v>
      </c>
      <c r="N327" s="10">
        <f t="shared" ca="1" si="96"/>
        <v>-209</v>
      </c>
      <c r="O327" s="10">
        <f t="shared" ca="1" si="97"/>
        <v>-236</v>
      </c>
      <c r="P327" s="10">
        <f t="shared" ca="1" si="98"/>
        <v>-254</v>
      </c>
      <c r="Q327" s="14">
        <v>2</v>
      </c>
      <c r="R327" s="14">
        <v>4</v>
      </c>
      <c r="S327" s="14">
        <v>2</v>
      </c>
      <c r="T327" s="13">
        <f t="shared" ca="1" si="90"/>
        <v>593</v>
      </c>
      <c r="U327" s="12">
        <f t="shared" ca="1" si="100"/>
        <v>2251</v>
      </c>
      <c r="V327" s="12">
        <f t="shared" ca="1" si="99"/>
        <v>2274</v>
      </c>
      <c r="W327" s="12">
        <f t="shared" ca="1" si="101"/>
        <v>2286</v>
      </c>
      <c r="X327" s="13"/>
      <c r="Y327" s="10"/>
      <c r="Z327" s="10"/>
      <c r="AA327" s="10"/>
      <c r="AB327" s="9"/>
    </row>
    <row r="328" spans="1:28" ht="13.15" customHeight="1">
      <c r="A328" s="36">
        <v>314</v>
      </c>
      <c r="B328" s="35">
        <f t="shared" si="91"/>
        <v>45386</v>
      </c>
      <c r="C328" s="16">
        <f t="shared" si="92"/>
        <v>1069</v>
      </c>
      <c r="D328" s="15">
        <f t="shared" si="102"/>
        <v>1800</v>
      </c>
      <c r="E328" s="14">
        <f t="shared" ca="1" si="84"/>
        <v>79</v>
      </c>
      <c r="F328" s="14">
        <f t="shared" ca="1" si="85"/>
        <v>107</v>
      </c>
      <c r="G328" s="14">
        <f t="shared" ca="1" si="86"/>
        <v>125</v>
      </c>
      <c r="H328" s="10">
        <f t="shared" ca="1" si="87"/>
        <v>2790</v>
      </c>
      <c r="I328" s="10">
        <f t="shared" ca="1" si="88"/>
        <v>2762</v>
      </c>
      <c r="J328" s="10">
        <f t="shared" ca="1" si="89"/>
        <v>2744</v>
      </c>
      <c r="K328" s="10">
        <f t="shared" si="103"/>
        <v>3000</v>
      </c>
      <c r="L328" s="10">
        <f t="shared" si="104"/>
        <v>3000</v>
      </c>
      <c r="M328" s="10">
        <f t="shared" si="105"/>
        <v>3000</v>
      </c>
      <c r="N328" s="10">
        <f t="shared" ca="1" si="96"/>
        <v>-210</v>
      </c>
      <c r="O328" s="10">
        <f t="shared" ca="1" si="97"/>
        <v>-238</v>
      </c>
      <c r="P328" s="10">
        <f t="shared" ca="1" si="98"/>
        <v>-256</v>
      </c>
      <c r="Q328" s="37">
        <v>1</v>
      </c>
      <c r="R328" s="37">
        <v>2</v>
      </c>
      <c r="S328" s="37">
        <v>2</v>
      </c>
      <c r="T328" s="13">
        <f t="shared" ca="1" si="90"/>
        <v>597</v>
      </c>
      <c r="U328" s="12">
        <f t="shared" ca="1" si="100"/>
        <v>2250</v>
      </c>
      <c r="V328" s="12">
        <f t="shared" ca="1" si="99"/>
        <v>2272</v>
      </c>
      <c r="W328" s="12">
        <f t="shared" ca="1" si="101"/>
        <v>2284</v>
      </c>
      <c r="X328" s="13"/>
      <c r="Y328" s="10"/>
      <c r="Z328" s="10"/>
      <c r="AA328" s="10"/>
      <c r="AB328" s="9"/>
    </row>
    <row r="329" spans="1:28" ht="13.15" customHeight="1">
      <c r="A329" s="36">
        <v>315</v>
      </c>
      <c r="B329" s="35">
        <f t="shared" si="91"/>
        <v>45387</v>
      </c>
      <c r="C329" s="16">
        <f t="shared" si="92"/>
        <v>1069</v>
      </c>
      <c r="D329" s="15">
        <f t="shared" si="102"/>
        <v>1802</v>
      </c>
      <c r="E329" s="14">
        <f t="shared" ca="1" si="84"/>
        <v>82</v>
      </c>
      <c r="F329" s="14">
        <f t="shared" ca="1" si="85"/>
        <v>110</v>
      </c>
      <c r="G329" s="14">
        <f t="shared" ca="1" si="86"/>
        <v>129</v>
      </c>
      <c r="H329" s="10">
        <f t="shared" ca="1" si="87"/>
        <v>2789</v>
      </c>
      <c r="I329" s="10">
        <f t="shared" ca="1" si="88"/>
        <v>2761</v>
      </c>
      <c r="J329" s="10">
        <f t="shared" ca="1" si="89"/>
        <v>2742</v>
      </c>
      <c r="K329" s="10">
        <f t="shared" si="103"/>
        <v>3000</v>
      </c>
      <c r="L329" s="10">
        <f t="shared" si="104"/>
        <v>3000</v>
      </c>
      <c r="M329" s="10">
        <f t="shared" si="105"/>
        <v>3000</v>
      </c>
      <c r="N329" s="10">
        <f t="shared" ca="1" si="96"/>
        <v>-211</v>
      </c>
      <c r="O329" s="10">
        <f t="shared" ca="1" si="97"/>
        <v>-239</v>
      </c>
      <c r="P329" s="10">
        <f t="shared" ca="1" si="98"/>
        <v>-258</v>
      </c>
      <c r="Q329" s="14">
        <v>1</v>
      </c>
      <c r="R329" s="14">
        <v>1</v>
      </c>
      <c r="S329" s="14">
        <v>2</v>
      </c>
      <c r="T329" s="13">
        <f t="shared" ca="1" si="90"/>
        <v>600</v>
      </c>
      <c r="U329" s="12">
        <f t="shared" ca="1" si="100"/>
        <v>2249</v>
      </c>
      <c r="V329" s="12">
        <f t="shared" ca="1" si="99"/>
        <v>2271</v>
      </c>
      <c r="W329" s="12">
        <f t="shared" ca="1" si="101"/>
        <v>2282</v>
      </c>
      <c r="X329" s="13"/>
      <c r="Y329" s="10"/>
      <c r="Z329" s="10"/>
      <c r="AA329" s="10"/>
      <c r="AB329" s="9"/>
    </row>
    <row r="330" spans="1:28" ht="13.15" customHeight="1">
      <c r="A330" s="36">
        <v>316</v>
      </c>
      <c r="B330" s="35">
        <f t="shared" si="91"/>
        <v>45388</v>
      </c>
      <c r="C330" s="16">
        <f t="shared" si="92"/>
        <v>1069</v>
      </c>
      <c r="D330" s="15">
        <f t="shared" si="102"/>
        <v>1804</v>
      </c>
      <c r="E330" s="14">
        <f t="shared" ca="1" si="84"/>
        <v>84</v>
      </c>
      <c r="F330" s="14">
        <f t="shared" ca="1" si="85"/>
        <v>114</v>
      </c>
      <c r="G330" s="14">
        <f t="shared" ca="1" si="86"/>
        <v>133</v>
      </c>
      <c r="H330" s="10">
        <f t="shared" ca="1" si="87"/>
        <v>2789</v>
      </c>
      <c r="I330" s="10">
        <f t="shared" ca="1" si="88"/>
        <v>2759</v>
      </c>
      <c r="J330" s="10">
        <f t="shared" ca="1" si="89"/>
        <v>2740</v>
      </c>
      <c r="K330" s="10">
        <f t="shared" si="103"/>
        <v>3000</v>
      </c>
      <c r="L330" s="10">
        <f t="shared" si="104"/>
        <v>3000</v>
      </c>
      <c r="M330" s="10">
        <f t="shared" si="105"/>
        <v>3000</v>
      </c>
      <c r="N330" s="10">
        <f t="shared" ca="1" si="96"/>
        <v>-211</v>
      </c>
      <c r="O330" s="10">
        <f t="shared" ca="1" si="97"/>
        <v>-241</v>
      </c>
      <c r="P330" s="10">
        <f t="shared" ca="1" si="98"/>
        <v>-260</v>
      </c>
      <c r="Q330" s="14">
        <v>0</v>
      </c>
      <c r="R330" s="14">
        <v>2</v>
      </c>
      <c r="S330" s="14">
        <v>2</v>
      </c>
      <c r="T330" s="13">
        <f t="shared" ca="1" si="90"/>
        <v>604</v>
      </c>
      <c r="U330" s="12">
        <f t="shared" ca="1" si="100"/>
        <v>2249</v>
      </c>
      <c r="V330" s="12">
        <f t="shared" ca="1" si="99"/>
        <v>2269</v>
      </c>
      <c r="W330" s="12">
        <f t="shared" ca="1" si="101"/>
        <v>2280</v>
      </c>
      <c r="X330" s="13"/>
      <c r="Y330" s="10"/>
      <c r="Z330" s="10"/>
      <c r="AA330" s="10"/>
      <c r="AB330" s="9"/>
    </row>
    <row r="331" spans="1:28" ht="13.15" customHeight="1">
      <c r="A331" s="36">
        <v>317</v>
      </c>
      <c r="B331" s="35">
        <f t="shared" si="91"/>
        <v>45389</v>
      </c>
      <c r="C331" s="16">
        <f t="shared" si="92"/>
        <v>1069</v>
      </c>
      <c r="D331" s="15">
        <f t="shared" si="102"/>
        <v>1806</v>
      </c>
      <c r="E331" s="14">
        <f t="shared" ca="1" si="84"/>
        <v>88</v>
      </c>
      <c r="F331" s="14">
        <f t="shared" ca="1" si="85"/>
        <v>118</v>
      </c>
      <c r="G331" s="14">
        <f t="shared" ca="1" si="86"/>
        <v>135</v>
      </c>
      <c r="H331" s="10">
        <f t="shared" ca="1" si="87"/>
        <v>2787</v>
      </c>
      <c r="I331" s="10">
        <f t="shared" ca="1" si="88"/>
        <v>2757</v>
      </c>
      <c r="J331" s="10">
        <f t="shared" ca="1" si="89"/>
        <v>2740</v>
      </c>
      <c r="K331" s="10">
        <f t="shared" si="103"/>
        <v>3000</v>
      </c>
      <c r="L331" s="10">
        <f t="shared" si="104"/>
        <v>3000</v>
      </c>
      <c r="M331" s="10">
        <f t="shared" si="105"/>
        <v>3000</v>
      </c>
      <c r="N331" s="10">
        <f t="shared" ca="1" si="96"/>
        <v>-213</v>
      </c>
      <c r="O331" s="10">
        <f t="shared" ca="1" si="97"/>
        <v>-243</v>
      </c>
      <c r="P331" s="10">
        <f t="shared" ca="1" si="98"/>
        <v>-260</v>
      </c>
      <c r="Q331" s="14">
        <v>2</v>
      </c>
      <c r="R331" s="14">
        <v>2</v>
      </c>
      <c r="S331" s="14">
        <v>0</v>
      </c>
      <c r="T331" s="13">
        <f t="shared" ca="1" si="90"/>
        <v>608</v>
      </c>
      <c r="U331" s="12">
        <f t="shared" ca="1" si="100"/>
        <v>2247</v>
      </c>
      <c r="V331" s="12">
        <f t="shared" ca="1" si="99"/>
        <v>2267</v>
      </c>
      <c r="W331" s="12">
        <f t="shared" ca="1" si="101"/>
        <v>2280</v>
      </c>
      <c r="X331" s="13"/>
      <c r="Y331" s="10"/>
      <c r="Z331" s="10"/>
      <c r="AA331" s="10"/>
      <c r="AB331" s="9"/>
    </row>
    <row r="332" spans="1:28" ht="13.15" customHeight="1">
      <c r="A332" s="36">
        <v>318</v>
      </c>
      <c r="B332" s="35">
        <f t="shared" si="91"/>
        <v>45390</v>
      </c>
      <c r="C332" s="16">
        <f t="shared" si="92"/>
        <v>1069</v>
      </c>
      <c r="D332" s="15">
        <f t="shared" si="102"/>
        <v>1808</v>
      </c>
      <c r="E332" s="14">
        <f t="shared" ca="1" si="84"/>
        <v>91</v>
      </c>
      <c r="F332" s="14">
        <f t="shared" ca="1" si="85"/>
        <v>120</v>
      </c>
      <c r="G332" s="14">
        <f t="shared" ca="1" si="86"/>
        <v>139</v>
      </c>
      <c r="H332" s="10">
        <f t="shared" ca="1" si="87"/>
        <v>2786</v>
      </c>
      <c r="I332" s="10">
        <f t="shared" ca="1" si="88"/>
        <v>2757</v>
      </c>
      <c r="J332" s="10">
        <f t="shared" ca="1" si="89"/>
        <v>2738</v>
      </c>
      <c r="K332" s="10">
        <f t="shared" si="103"/>
        <v>3000</v>
      </c>
      <c r="L332" s="10">
        <f t="shared" si="104"/>
        <v>3000</v>
      </c>
      <c r="M332" s="10">
        <f t="shared" si="105"/>
        <v>3000</v>
      </c>
      <c r="N332" s="10">
        <f t="shared" ca="1" si="96"/>
        <v>-214</v>
      </c>
      <c r="O332" s="10">
        <f t="shared" ca="1" si="97"/>
        <v>-243</v>
      </c>
      <c r="P332" s="10">
        <f t="shared" ca="1" si="98"/>
        <v>-262</v>
      </c>
      <c r="Q332" s="14">
        <v>1</v>
      </c>
      <c r="R332" s="14">
        <v>0</v>
      </c>
      <c r="S332" s="14">
        <v>2</v>
      </c>
      <c r="T332" s="13">
        <f t="shared" ca="1" si="90"/>
        <v>610</v>
      </c>
      <c r="U332" s="12">
        <f t="shared" ca="1" si="100"/>
        <v>2246</v>
      </c>
      <c r="V332" s="12">
        <f t="shared" ca="1" si="99"/>
        <v>2267</v>
      </c>
      <c r="W332" s="12">
        <f t="shared" ca="1" si="101"/>
        <v>2278</v>
      </c>
      <c r="X332" s="13"/>
      <c r="Y332" s="10"/>
      <c r="Z332" s="10"/>
      <c r="AA332" s="10"/>
      <c r="AB332" s="9"/>
    </row>
    <row r="333" spans="1:28" ht="13.15" customHeight="1">
      <c r="A333" s="36">
        <v>319</v>
      </c>
      <c r="B333" s="35">
        <f t="shared" si="91"/>
        <v>45391</v>
      </c>
      <c r="C333" s="16">
        <f t="shared" si="92"/>
        <v>1069</v>
      </c>
      <c r="D333" s="15">
        <f t="shared" si="102"/>
        <v>1810</v>
      </c>
      <c r="E333" s="14">
        <f t="shared" ca="1" si="84"/>
        <v>93</v>
      </c>
      <c r="F333" s="14">
        <f t="shared" ca="1" si="85"/>
        <v>123</v>
      </c>
      <c r="G333" s="14">
        <f t="shared" ca="1" si="86"/>
        <v>141</v>
      </c>
      <c r="H333" s="10">
        <f t="shared" ca="1" si="87"/>
        <v>2786</v>
      </c>
      <c r="I333" s="10">
        <f t="shared" ca="1" si="88"/>
        <v>2756</v>
      </c>
      <c r="J333" s="10">
        <f t="shared" ca="1" si="89"/>
        <v>2738</v>
      </c>
      <c r="K333" s="10">
        <f t="shared" si="103"/>
        <v>3000</v>
      </c>
      <c r="L333" s="10">
        <f t="shared" si="104"/>
        <v>3000</v>
      </c>
      <c r="M333" s="10">
        <f t="shared" si="105"/>
        <v>3000</v>
      </c>
      <c r="N333" s="10">
        <f t="shared" ca="1" si="96"/>
        <v>-214</v>
      </c>
      <c r="O333" s="10">
        <f t="shared" ca="1" si="97"/>
        <v>-244</v>
      </c>
      <c r="P333" s="10">
        <f t="shared" ca="1" si="98"/>
        <v>-262</v>
      </c>
      <c r="Q333" s="14">
        <v>0</v>
      </c>
      <c r="R333" s="14">
        <v>1</v>
      </c>
      <c r="S333" s="14">
        <v>0</v>
      </c>
      <c r="T333" s="13">
        <f t="shared" ca="1" si="90"/>
        <v>613</v>
      </c>
      <c r="U333" s="12">
        <f t="shared" ca="1" si="100"/>
        <v>2246</v>
      </c>
      <c r="V333" s="12">
        <f t="shared" ca="1" si="99"/>
        <v>2266</v>
      </c>
      <c r="W333" s="12">
        <f t="shared" ca="1" si="101"/>
        <v>2278</v>
      </c>
      <c r="X333" s="13"/>
      <c r="Y333" s="10"/>
      <c r="Z333" s="10"/>
      <c r="AA333" s="10"/>
      <c r="AB333" s="9"/>
    </row>
    <row r="334" spans="1:28" ht="13.15" customHeight="1">
      <c r="A334" s="36">
        <v>320</v>
      </c>
      <c r="B334" s="35">
        <f t="shared" si="91"/>
        <v>45392</v>
      </c>
      <c r="C334" s="16">
        <f t="shared" si="92"/>
        <v>1069</v>
      </c>
      <c r="D334" s="15">
        <f t="shared" si="102"/>
        <v>1812</v>
      </c>
      <c r="E334" s="14">
        <f t="shared" ref="E334:E397" ca="1" si="106">C334+D334-H334</f>
        <v>96</v>
      </c>
      <c r="F334" s="14">
        <f t="shared" ref="F334:F397" ca="1" si="107">C334+D334-I334</f>
        <v>126</v>
      </c>
      <c r="G334" s="14">
        <f t="shared" ref="G334:G397" ca="1" si="108">D334+C334-J334</f>
        <v>144</v>
      </c>
      <c r="H334" s="10">
        <f t="shared" ref="H334:H397" ca="1" si="109">K334+N334</f>
        <v>2785</v>
      </c>
      <c r="I334" s="10">
        <f t="shared" ref="I334:I397" ca="1" si="110">L334+O334</f>
        <v>2755</v>
      </c>
      <c r="J334" s="10">
        <f t="shared" ref="J334:J397" ca="1" si="111">M334+P334</f>
        <v>2737</v>
      </c>
      <c r="K334" s="10">
        <f t="shared" si="103"/>
        <v>3000</v>
      </c>
      <c r="L334" s="10">
        <f t="shared" si="104"/>
        <v>3000</v>
      </c>
      <c r="M334" s="10">
        <f t="shared" si="105"/>
        <v>3000</v>
      </c>
      <c r="N334" s="10">
        <f t="shared" ca="1" si="96"/>
        <v>-215</v>
      </c>
      <c r="O334" s="10">
        <f t="shared" ca="1" si="97"/>
        <v>-245</v>
      </c>
      <c r="P334" s="10">
        <f t="shared" ca="1" si="98"/>
        <v>-263</v>
      </c>
      <c r="Q334" s="14">
        <v>1</v>
      </c>
      <c r="R334" s="14">
        <v>1</v>
      </c>
      <c r="S334" s="14">
        <v>1</v>
      </c>
      <c r="T334" s="13">
        <f t="shared" ref="T334:T397" ca="1" si="112">D334+C334-V334</f>
        <v>616</v>
      </c>
      <c r="U334" s="12">
        <f t="shared" ca="1" si="100"/>
        <v>2245</v>
      </c>
      <c r="V334" s="12">
        <f t="shared" ca="1" si="99"/>
        <v>2265</v>
      </c>
      <c r="W334" s="12">
        <f t="shared" ca="1" si="101"/>
        <v>2277</v>
      </c>
      <c r="X334" s="13"/>
      <c r="Y334" s="10"/>
      <c r="Z334" s="10"/>
      <c r="AA334" s="10"/>
      <c r="AB334" s="9"/>
    </row>
    <row r="335" spans="1:28" ht="13.15" customHeight="1">
      <c r="A335" s="36">
        <v>321</v>
      </c>
      <c r="B335" s="35">
        <f t="shared" ref="B335:B398" si="113">B334+1</f>
        <v>45393</v>
      </c>
      <c r="C335" s="16">
        <f t="shared" ref="C335:C398" si="114">C334</f>
        <v>1069</v>
      </c>
      <c r="D335" s="15">
        <f t="shared" si="102"/>
        <v>1814</v>
      </c>
      <c r="E335" s="14">
        <f t="shared" ca="1" si="106"/>
        <v>98</v>
      </c>
      <c r="F335" s="14">
        <f t="shared" ca="1" si="107"/>
        <v>128</v>
      </c>
      <c r="G335" s="14">
        <f t="shared" ca="1" si="108"/>
        <v>146</v>
      </c>
      <c r="H335" s="10">
        <f t="shared" ca="1" si="109"/>
        <v>2785</v>
      </c>
      <c r="I335" s="10">
        <f t="shared" ca="1" si="110"/>
        <v>2755</v>
      </c>
      <c r="J335" s="10">
        <f t="shared" ca="1" si="111"/>
        <v>2737</v>
      </c>
      <c r="K335" s="10">
        <f t="shared" si="103"/>
        <v>3000</v>
      </c>
      <c r="L335" s="10">
        <f t="shared" si="104"/>
        <v>3000</v>
      </c>
      <c r="M335" s="10">
        <f t="shared" si="105"/>
        <v>3000</v>
      </c>
      <c r="N335" s="10">
        <f t="shared" ref="N335:N398" ca="1" si="115">N334-Q335</f>
        <v>-215</v>
      </c>
      <c r="O335" s="10">
        <f t="shared" ref="O335:O398" ca="1" si="116">O334-R335</f>
        <v>-245</v>
      </c>
      <c r="P335" s="10">
        <f t="shared" ref="P335:P398" ca="1" si="117">P334-S335</f>
        <v>-263</v>
      </c>
      <c r="Q335" s="14">
        <v>0</v>
      </c>
      <c r="R335" s="14">
        <v>0</v>
      </c>
      <c r="S335" s="14">
        <v>0</v>
      </c>
      <c r="T335" s="13">
        <f t="shared" ca="1" si="112"/>
        <v>618</v>
      </c>
      <c r="U335" s="12">
        <f t="shared" ca="1" si="100"/>
        <v>2245</v>
      </c>
      <c r="V335" s="12">
        <f t="shared" ca="1" si="99"/>
        <v>2265</v>
      </c>
      <c r="W335" s="12">
        <f t="shared" ca="1" si="101"/>
        <v>2277</v>
      </c>
      <c r="X335" s="13"/>
      <c r="Y335" s="10"/>
      <c r="Z335" s="10"/>
      <c r="AA335" s="10"/>
      <c r="AB335" s="9"/>
    </row>
    <row r="336" spans="1:28" ht="13.15" customHeight="1">
      <c r="A336" s="36">
        <v>322</v>
      </c>
      <c r="B336" s="35">
        <f t="shared" si="113"/>
        <v>45394</v>
      </c>
      <c r="C336" s="16">
        <f t="shared" si="114"/>
        <v>1069</v>
      </c>
      <c r="D336" s="15">
        <f t="shared" si="102"/>
        <v>1816</v>
      </c>
      <c r="E336" s="14">
        <f t="shared" ca="1" si="106"/>
        <v>100</v>
      </c>
      <c r="F336" s="14">
        <f t="shared" ca="1" si="107"/>
        <v>131</v>
      </c>
      <c r="G336" s="14">
        <f t="shared" ca="1" si="108"/>
        <v>148</v>
      </c>
      <c r="H336" s="10">
        <f t="shared" ca="1" si="109"/>
        <v>2785</v>
      </c>
      <c r="I336" s="10">
        <f t="shared" ca="1" si="110"/>
        <v>2754</v>
      </c>
      <c r="J336" s="10">
        <f t="shared" ca="1" si="111"/>
        <v>2737</v>
      </c>
      <c r="K336" s="10">
        <f t="shared" si="103"/>
        <v>3000</v>
      </c>
      <c r="L336" s="10">
        <f t="shared" si="104"/>
        <v>3000</v>
      </c>
      <c r="M336" s="10">
        <f t="shared" si="105"/>
        <v>3000</v>
      </c>
      <c r="N336" s="10">
        <f t="shared" ca="1" si="115"/>
        <v>-215</v>
      </c>
      <c r="O336" s="10">
        <f t="shared" ca="1" si="116"/>
        <v>-246</v>
      </c>
      <c r="P336" s="10">
        <f t="shared" ca="1" si="117"/>
        <v>-263</v>
      </c>
      <c r="Q336" s="14">
        <v>0</v>
      </c>
      <c r="R336" s="14">
        <v>1</v>
      </c>
      <c r="S336" s="14">
        <v>0</v>
      </c>
      <c r="T336" s="13">
        <f t="shared" ca="1" si="112"/>
        <v>621</v>
      </c>
      <c r="U336" s="12">
        <f t="shared" ca="1" si="100"/>
        <v>2245</v>
      </c>
      <c r="V336" s="12">
        <f t="shared" ca="1" si="99"/>
        <v>2264</v>
      </c>
      <c r="W336" s="12">
        <f t="shared" ca="1" si="101"/>
        <v>2277</v>
      </c>
      <c r="X336" s="13"/>
      <c r="Y336" s="10"/>
      <c r="Z336" s="10"/>
      <c r="AA336" s="10"/>
      <c r="AB336" s="9"/>
    </row>
    <row r="337" spans="1:28" ht="13.15" customHeight="1">
      <c r="A337" s="36">
        <v>323</v>
      </c>
      <c r="B337" s="35">
        <f t="shared" si="113"/>
        <v>45395</v>
      </c>
      <c r="C337" s="16">
        <f t="shared" si="114"/>
        <v>1069</v>
      </c>
      <c r="D337" s="15">
        <f t="shared" si="102"/>
        <v>1818</v>
      </c>
      <c r="E337" s="14">
        <f t="shared" ca="1" si="106"/>
        <v>102</v>
      </c>
      <c r="F337" s="14">
        <f t="shared" ca="1" si="107"/>
        <v>134</v>
      </c>
      <c r="G337" s="14">
        <f t="shared" ca="1" si="108"/>
        <v>151</v>
      </c>
      <c r="H337" s="10">
        <f t="shared" ca="1" si="109"/>
        <v>2785</v>
      </c>
      <c r="I337" s="10">
        <f t="shared" ca="1" si="110"/>
        <v>2753</v>
      </c>
      <c r="J337" s="10">
        <f t="shared" ca="1" si="111"/>
        <v>2736</v>
      </c>
      <c r="K337" s="10">
        <f t="shared" si="103"/>
        <v>3000</v>
      </c>
      <c r="L337" s="10">
        <f t="shared" si="104"/>
        <v>3000</v>
      </c>
      <c r="M337" s="10">
        <f t="shared" si="105"/>
        <v>3000</v>
      </c>
      <c r="N337" s="10">
        <f t="shared" ca="1" si="115"/>
        <v>-215</v>
      </c>
      <c r="O337" s="10">
        <f t="shared" ca="1" si="116"/>
        <v>-247</v>
      </c>
      <c r="P337" s="10">
        <f t="shared" ca="1" si="117"/>
        <v>-264</v>
      </c>
      <c r="Q337" s="14">
        <v>0</v>
      </c>
      <c r="R337" s="14">
        <v>1</v>
      </c>
      <c r="S337" s="14">
        <v>1</v>
      </c>
      <c r="T337" s="13">
        <f t="shared" ca="1" si="112"/>
        <v>624</v>
      </c>
      <c r="U337" s="12">
        <f t="shared" ca="1" si="100"/>
        <v>2245</v>
      </c>
      <c r="V337" s="12">
        <f t="shared" ca="1" si="99"/>
        <v>2263</v>
      </c>
      <c r="W337" s="12">
        <f t="shared" ca="1" si="101"/>
        <v>2276</v>
      </c>
      <c r="X337" s="13"/>
      <c r="Y337" s="10"/>
      <c r="Z337" s="10"/>
      <c r="AA337" s="10"/>
      <c r="AB337" s="9"/>
    </row>
    <row r="338" spans="1:28" ht="13.15" customHeight="1">
      <c r="A338" s="36">
        <v>324</v>
      </c>
      <c r="B338" s="35">
        <f t="shared" si="113"/>
        <v>45396</v>
      </c>
      <c r="C338" s="16">
        <f t="shared" si="114"/>
        <v>1069</v>
      </c>
      <c r="D338" s="15">
        <f t="shared" si="102"/>
        <v>1820</v>
      </c>
      <c r="E338" s="14">
        <f t="shared" ca="1" si="106"/>
        <v>104</v>
      </c>
      <c r="F338" s="14">
        <f t="shared" ca="1" si="107"/>
        <v>136</v>
      </c>
      <c r="G338" s="14">
        <f t="shared" ca="1" si="108"/>
        <v>153</v>
      </c>
      <c r="H338" s="10">
        <f t="shared" ca="1" si="109"/>
        <v>2785</v>
      </c>
      <c r="I338" s="10">
        <f t="shared" ca="1" si="110"/>
        <v>2753</v>
      </c>
      <c r="J338" s="10">
        <f t="shared" ca="1" si="111"/>
        <v>2736</v>
      </c>
      <c r="K338" s="10">
        <f t="shared" si="103"/>
        <v>3000</v>
      </c>
      <c r="L338" s="10">
        <f t="shared" si="104"/>
        <v>3000</v>
      </c>
      <c r="M338" s="10">
        <f t="shared" si="105"/>
        <v>3000</v>
      </c>
      <c r="N338" s="10">
        <f t="shared" ca="1" si="115"/>
        <v>-215</v>
      </c>
      <c r="O338" s="10">
        <f t="shared" ca="1" si="116"/>
        <v>-247</v>
      </c>
      <c r="P338" s="10">
        <f t="shared" ca="1" si="117"/>
        <v>-264</v>
      </c>
      <c r="Q338" s="14">
        <v>0</v>
      </c>
      <c r="R338" s="14">
        <v>0</v>
      </c>
      <c r="S338" s="14">
        <v>0</v>
      </c>
      <c r="T338" s="13">
        <f t="shared" ca="1" si="112"/>
        <v>626</v>
      </c>
      <c r="U338" s="12">
        <f t="shared" ca="1" si="100"/>
        <v>2245</v>
      </c>
      <c r="V338" s="12">
        <f t="shared" ca="1" si="99"/>
        <v>2263</v>
      </c>
      <c r="W338" s="12">
        <f t="shared" ca="1" si="101"/>
        <v>2276</v>
      </c>
      <c r="X338" s="13"/>
      <c r="Y338" s="10"/>
      <c r="Z338" s="10"/>
      <c r="AA338" s="10"/>
      <c r="AB338" s="9"/>
    </row>
    <row r="339" spans="1:28" ht="13.15" customHeight="1">
      <c r="A339" s="36">
        <v>325</v>
      </c>
      <c r="B339" s="35">
        <f t="shared" si="113"/>
        <v>45397</v>
      </c>
      <c r="C339" s="16">
        <f t="shared" si="114"/>
        <v>1069</v>
      </c>
      <c r="D339" s="15">
        <f t="shared" si="102"/>
        <v>1822</v>
      </c>
      <c r="E339" s="14">
        <f t="shared" ca="1" si="106"/>
        <v>106</v>
      </c>
      <c r="F339" s="14">
        <f t="shared" ca="1" si="107"/>
        <v>138</v>
      </c>
      <c r="G339" s="14">
        <f t="shared" ca="1" si="108"/>
        <v>155</v>
      </c>
      <c r="H339" s="10">
        <f t="shared" ca="1" si="109"/>
        <v>2785</v>
      </c>
      <c r="I339" s="10">
        <f t="shared" ca="1" si="110"/>
        <v>2753</v>
      </c>
      <c r="J339" s="10">
        <f t="shared" ca="1" si="111"/>
        <v>2736</v>
      </c>
      <c r="K339" s="10">
        <f t="shared" si="103"/>
        <v>3000</v>
      </c>
      <c r="L339" s="10">
        <f t="shared" si="104"/>
        <v>3000</v>
      </c>
      <c r="M339" s="10">
        <f t="shared" si="105"/>
        <v>3000</v>
      </c>
      <c r="N339" s="10">
        <f t="shared" ca="1" si="115"/>
        <v>-215</v>
      </c>
      <c r="O339" s="10">
        <f t="shared" ca="1" si="116"/>
        <v>-247</v>
      </c>
      <c r="P339" s="10">
        <f t="shared" ca="1" si="117"/>
        <v>-264</v>
      </c>
      <c r="Q339" s="14">
        <v>0</v>
      </c>
      <c r="R339" s="14">
        <v>0</v>
      </c>
      <c r="S339" s="14">
        <v>0</v>
      </c>
      <c r="T339" s="13">
        <f t="shared" ca="1" si="112"/>
        <v>628</v>
      </c>
      <c r="U339" s="12">
        <f t="shared" ca="1" si="100"/>
        <v>2245</v>
      </c>
      <c r="V339" s="12">
        <f t="shared" ca="1" si="99"/>
        <v>2263</v>
      </c>
      <c r="W339" s="12">
        <f t="shared" ca="1" si="101"/>
        <v>2276</v>
      </c>
      <c r="X339" s="13"/>
      <c r="Y339" s="10"/>
      <c r="Z339" s="10"/>
      <c r="AA339" s="10"/>
      <c r="AB339" s="9"/>
    </row>
    <row r="340" spans="1:28" ht="13.15" customHeight="1">
      <c r="A340" s="36">
        <v>326</v>
      </c>
      <c r="B340" s="35">
        <f t="shared" si="113"/>
        <v>45398</v>
      </c>
      <c r="C340" s="16">
        <f t="shared" si="114"/>
        <v>1069</v>
      </c>
      <c r="D340" s="15">
        <f t="shared" si="102"/>
        <v>1824</v>
      </c>
      <c r="E340" s="14">
        <f t="shared" ca="1" si="106"/>
        <v>108</v>
      </c>
      <c r="F340" s="14">
        <f t="shared" ca="1" si="107"/>
        <v>140</v>
      </c>
      <c r="G340" s="14">
        <f t="shared" ca="1" si="108"/>
        <v>157</v>
      </c>
      <c r="H340" s="10">
        <f t="shared" ca="1" si="109"/>
        <v>2785</v>
      </c>
      <c r="I340" s="10">
        <f t="shared" ca="1" si="110"/>
        <v>2753</v>
      </c>
      <c r="J340" s="10">
        <f t="shared" ca="1" si="111"/>
        <v>2736</v>
      </c>
      <c r="K340" s="10">
        <f t="shared" si="103"/>
        <v>3000</v>
      </c>
      <c r="L340" s="10">
        <f t="shared" si="104"/>
        <v>3000</v>
      </c>
      <c r="M340" s="10">
        <f t="shared" si="105"/>
        <v>3000</v>
      </c>
      <c r="N340" s="10">
        <f t="shared" ca="1" si="115"/>
        <v>-215</v>
      </c>
      <c r="O340" s="10">
        <f t="shared" ca="1" si="116"/>
        <v>-247</v>
      </c>
      <c r="P340" s="10">
        <f t="shared" ca="1" si="117"/>
        <v>-264</v>
      </c>
      <c r="Q340" s="14">
        <v>0</v>
      </c>
      <c r="R340" s="14">
        <v>0</v>
      </c>
      <c r="S340" s="14">
        <v>0</v>
      </c>
      <c r="T340" s="13">
        <f t="shared" ca="1" si="112"/>
        <v>630</v>
      </c>
      <c r="U340" s="12">
        <f t="shared" ca="1" si="100"/>
        <v>2245</v>
      </c>
      <c r="V340" s="12">
        <f t="shared" ca="1" si="99"/>
        <v>2263</v>
      </c>
      <c r="W340" s="12">
        <f t="shared" ca="1" si="101"/>
        <v>2276</v>
      </c>
      <c r="X340" s="13"/>
      <c r="Y340" s="10"/>
      <c r="Z340" s="10"/>
      <c r="AA340" s="10"/>
      <c r="AB340" s="9"/>
    </row>
    <row r="341" spans="1:28" ht="13.15" customHeight="1">
      <c r="A341" s="36">
        <v>327</v>
      </c>
      <c r="B341" s="35">
        <f t="shared" si="113"/>
        <v>45399</v>
      </c>
      <c r="C341" s="16">
        <f t="shared" si="114"/>
        <v>1069</v>
      </c>
      <c r="D341" s="15">
        <f t="shared" si="102"/>
        <v>1826</v>
      </c>
      <c r="E341" s="14">
        <f t="shared" ca="1" si="106"/>
        <v>110</v>
      </c>
      <c r="F341" s="14">
        <f t="shared" ca="1" si="107"/>
        <v>142</v>
      </c>
      <c r="G341" s="14">
        <f t="shared" ca="1" si="108"/>
        <v>159</v>
      </c>
      <c r="H341" s="10">
        <f t="shared" ca="1" si="109"/>
        <v>2785</v>
      </c>
      <c r="I341" s="10">
        <f t="shared" ca="1" si="110"/>
        <v>2753</v>
      </c>
      <c r="J341" s="10">
        <f t="shared" ca="1" si="111"/>
        <v>2736</v>
      </c>
      <c r="K341" s="10">
        <f t="shared" si="103"/>
        <v>3000</v>
      </c>
      <c r="L341" s="10">
        <f t="shared" si="104"/>
        <v>3000</v>
      </c>
      <c r="M341" s="10">
        <f t="shared" si="105"/>
        <v>3000</v>
      </c>
      <c r="N341" s="10">
        <f t="shared" ca="1" si="115"/>
        <v>-215</v>
      </c>
      <c r="O341" s="10">
        <f t="shared" ca="1" si="116"/>
        <v>-247</v>
      </c>
      <c r="P341" s="10">
        <f t="shared" ca="1" si="117"/>
        <v>-264</v>
      </c>
      <c r="Q341" s="14">
        <v>0</v>
      </c>
      <c r="R341" s="14">
        <v>0</v>
      </c>
      <c r="S341" s="14">
        <v>0</v>
      </c>
      <c r="T341" s="13">
        <f t="shared" ca="1" si="112"/>
        <v>632</v>
      </c>
      <c r="U341" s="12">
        <f t="shared" ca="1" si="100"/>
        <v>2245</v>
      </c>
      <c r="V341" s="12">
        <f t="shared" ca="1" si="99"/>
        <v>2263</v>
      </c>
      <c r="W341" s="12">
        <f t="shared" ca="1" si="101"/>
        <v>2276</v>
      </c>
      <c r="X341" s="13"/>
      <c r="Y341" s="10"/>
      <c r="Z341" s="10"/>
      <c r="AA341" s="10"/>
      <c r="AB341" s="9"/>
    </row>
    <row r="342" spans="1:28" ht="13.15" customHeight="1">
      <c r="A342" s="36">
        <v>328</v>
      </c>
      <c r="B342" s="35">
        <f t="shared" si="113"/>
        <v>45400</v>
      </c>
      <c r="C342" s="16">
        <f t="shared" si="114"/>
        <v>1069</v>
      </c>
      <c r="D342" s="15">
        <f t="shared" si="102"/>
        <v>1828</v>
      </c>
      <c r="E342" s="14">
        <f t="shared" ca="1" si="106"/>
        <v>112</v>
      </c>
      <c r="F342" s="14">
        <f t="shared" ca="1" si="107"/>
        <v>144</v>
      </c>
      <c r="G342" s="14">
        <f t="shared" ca="1" si="108"/>
        <v>161</v>
      </c>
      <c r="H342" s="10">
        <f t="shared" ca="1" si="109"/>
        <v>2785</v>
      </c>
      <c r="I342" s="10">
        <f t="shared" ca="1" si="110"/>
        <v>2753</v>
      </c>
      <c r="J342" s="10">
        <f t="shared" ca="1" si="111"/>
        <v>2736</v>
      </c>
      <c r="K342" s="10">
        <f t="shared" si="103"/>
        <v>3000</v>
      </c>
      <c r="L342" s="10">
        <f t="shared" si="104"/>
        <v>3000</v>
      </c>
      <c r="M342" s="10">
        <f t="shared" si="105"/>
        <v>3000</v>
      </c>
      <c r="N342" s="10">
        <f t="shared" ca="1" si="115"/>
        <v>-215</v>
      </c>
      <c r="O342" s="10">
        <f t="shared" ca="1" si="116"/>
        <v>-247</v>
      </c>
      <c r="P342" s="10">
        <f t="shared" ca="1" si="117"/>
        <v>-264</v>
      </c>
      <c r="Q342" s="14">
        <v>0</v>
      </c>
      <c r="R342" s="14">
        <v>0</v>
      </c>
      <c r="S342" s="14">
        <v>0</v>
      </c>
      <c r="T342" s="13">
        <f t="shared" ca="1" si="112"/>
        <v>634</v>
      </c>
      <c r="U342" s="12">
        <f t="shared" ca="1" si="100"/>
        <v>2245</v>
      </c>
      <c r="V342" s="12">
        <f t="shared" ca="1" si="99"/>
        <v>2263</v>
      </c>
      <c r="W342" s="12">
        <f t="shared" ca="1" si="101"/>
        <v>2276</v>
      </c>
      <c r="X342" s="13"/>
      <c r="Y342" s="10"/>
      <c r="Z342" s="10"/>
      <c r="AA342" s="10"/>
      <c r="AB342" s="9"/>
    </row>
    <row r="343" spans="1:28" ht="13.15" customHeight="1">
      <c r="A343" s="36">
        <v>329</v>
      </c>
      <c r="B343" s="35">
        <f t="shared" si="113"/>
        <v>45401</v>
      </c>
      <c r="C343" s="16">
        <f t="shared" si="114"/>
        <v>1069</v>
      </c>
      <c r="D343" s="15">
        <f t="shared" si="102"/>
        <v>1830</v>
      </c>
      <c r="E343" s="14">
        <f t="shared" ca="1" si="106"/>
        <v>114</v>
      </c>
      <c r="F343" s="14">
        <f t="shared" ca="1" si="107"/>
        <v>146</v>
      </c>
      <c r="G343" s="14">
        <f t="shared" ca="1" si="108"/>
        <v>163</v>
      </c>
      <c r="H343" s="10">
        <f t="shared" ca="1" si="109"/>
        <v>2785</v>
      </c>
      <c r="I343" s="10">
        <f t="shared" ca="1" si="110"/>
        <v>2753</v>
      </c>
      <c r="J343" s="10">
        <f t="shared" ca="1" si="111"/>
        <v>2736</v>
      </c>
      <c r="K343" s="10">
        <f t="shared" si="103"/>
        <v>3000</v>
      </c>
      <c r="L343" s="10">
        <f t="shared" si="104"/>
        <v>3000</v>
      </c>
      <c r="M343" s="10">
        <f t="shared" si="105"/>
        <v>3000</v>
      </c>
      <c r="N343" s="10">
        <f t="shared" ca="1" si="115"/>
        <v>-215</v>
      </c>
      <c r="O343" s="10">
        <f t="shared" ca="1" si="116"/>
        <v>-247</v>
      </c>
      <c r="P343" s="10">
        <f t="shared" ca="1" si="117"/>
        <v>-264</v>
      </c>
      <c r="Q343" s="14">
        <v>0</v>
      </c>
      <c r="R343" s="14">
        <v>0</v>
      </c>
      <c r="S343" s="14">
        <v>0</v>
      </c>
      <c r="T343" s="13">
        <f t="shared" ca="1" si="112"/>
        <v>636</v>
      </c>
      <c r="U343" s="12">
        <f t="shared" ca="1" si="100"/>
        <v>2245</v>
      </c>
      <c r="V343" s="12">
        <f t="shared" ca="1" si="99"/>
        <v>2263</v>
      </c>
      <c r="W343" s="12">
        <f t="shared" ca="1" si="101"/>
        <v>2276</v>
      </c>
      <c r="X343" s="13"/>
      <c r="Y343" s="10"/>
      <c r="Z343" s="10"/>
      <c r="AA343" s="10"/>
      <c r="AB343" s="9"/>
    </row>
    <row r="344" spans="1:28" ht="13.15" customHeight="1">
      <c r="A344" s="36">
        <v>330</v>
      </c>
      <c r="B344" s="35">
        <f t="shared" si="113"/>
        <v>45402</v>
      </c>
      <c r="C344" s="16">
        <f t="shared" si="114"/>
        <v>1069</v>
      </c>
      <c r="D344" s="15">
        <f t="shared" si="102"/>
        <v>1832</v>
      </c>
      <c r="E344" s="14">
        <f t="shared" ca="1" si="106"/>
        <v>116</v>
      </c>
      <c r="F344" s="14">
        <f t="shared" ca="1" si="107"/>
        <v>148</v>
      </c>
      <c r="G344" s="14">
        <f t="shared" ca="1" si="108"/>
        <v>165</v>
      </c>
      <c r="H344" s="10">
        <f t="shared" ca="1" si="109"/>
        <v>2785</v>
      </c>
      <c r="I344" s="10">
        <f t="shared" ca="1" si="110"/>
        <v>2753</v>
      </c>
      <c r="J344" s="10">
        <f t="shared" ca="1" si="111"/>
        <v>2736</v>
      </c>
      <c r="K344" s="10">
        <f t="shared" si="103"/>
        <v>3000</v>
      </c>
      <c r="L344" s="10">
        <f t="shared" si="104"/>
        <v>3000</v>
      </c>
      <c r="M344" s="10">
        <f t="shared" si="105"/>
        <v>3000</v>
      </c>
      <c r="N344" s="10">
        <f t="shared" ca="1" si="115"/>
        <v>-215</v>
      </c>
      <c r="O344" s="10">
        <f t="shared" ca="1" si="116"/>
        <v>-247</v>
      </c>
      <c r="P344" s="10">
        <f t="shared" ca="1" si="117"/>
        <v>-264</v>
      </c>
      <c r="Q344" s="14">
        <v>0</v>
      </c>
      <c r="R344" s="14">
        <v>0</v>
      </c>
      <c r="S344" s="14">
        <v>0</v>
      </c>
      <c r="T344" s="13">
        <f t="shared" ca="1" si="112"/>
        <v>638</v>
      </c>
      <c r="U344" s="12">
        <f t="shared" ca="1" si="100"/>
        <v>2245</v>
      </c>
      <c r="V344" s="12">
        <f t="shared" ca="1" si="99"/>
        <v>2263</v>
      </c>
      <c r="W344" s="12">
        <f t="shared" ca="1" si="101"/>
        <v>2276</v>
      </c>
      <c r="X344" s="13"/>
      <c r="Y344" s="10"/>
      <c r="Z344" s="10"/>
      <c r="AA344" s="10"/>
      <c r="AB344" s="9"/>
    </row>
    <row r="345" spans="1:28" ht="13.15" customHeight="1">
      <c r="A345" s="36">
        <v>331</v>
      </c>
      <c r="B345" s="35">
        <f t="shared" si="113"/>
        <v>45403</v>
      </c>
      <c r="C345" s="16">
        <f t="shared" si="114"/>
        <v>1069</v>
      </c>
      <c r="D345" s="15">
        <f t="shared" si="102"/>
        <v>1834</v>
      </c>
      <c r="E345" s="14">
        <f t="shared" ca="1" si="106"/>
        <v>118</v>
      </c>
      <c r="F345" s="14">
        <f t="shared" ca="1" si="107"/>
        <v>150</v>
      </c>
      <c r="G345" s="14">
        <f t="shared" ca="1" si="108"/>
        <v>167</v>
      </c>
      <c r="H345" s="10">
        <f t="shared" ca="1" si="109"/>
        <v>2785</v>
      </c>
      <c r="I345" s="10">
        <f t="shared" ca="1" si="110"/>
        <v>2753</v>
      </c>
      <c r="J345" s="10">
        <f t="shared" ca="1" si="111"/>
        <v>2736</v>
      </c>
      <c r="K345" s="10">
        <f t="shared" si="103"/>
        <v>3000</v>
      </c>
      <c r="L345" s="10">
        <f t="shared" si="104"/>
        <v>3000</v>
      </c>
      <c r="M345" s="10">
        <f t="shared" si="105"/>
        <v>3000</v>
      </c>
      <c r="N345" s="10">
        <f t="shared" ca="1" si="115"/>
        <v>-215</v>
      </c>
      <c r="O345" s="10">
        <f t="shared" ca="1" si="116"/>
        <v>-247</v>
      </c>
      <c r="P345" s="10">
        <f t="shared" ca="1" si="117"/>
        <v>-264</v>
      </c>
      <c r="Q345" s="14">
        <v>0</v>
      </c>
      <c r="R345" s="14">
        <v>0</v>
      </c>
      <c r="S345" s="14">
        <v>0</v>
      </c>
      <c r="T345" s="13">
        <f t="shared" ca="1" si="112"/>
        <v>640</v>
      </c>
      <c r="U345" s="12">
        <f t="shared" ca="1" si="100"/>
        <v>2245</v>
      </c>
      <c r="V345" s="12">
        <f t="shared" ca="1" si="99"/>
        <v>2263</v>
      </c>
      <c r="W345" s="12">
        <f t="shared" ca="1" si="101"/>
        <v>2276</v>
      </c>
      <c r="X345" s="13"/>
      <c r="Y345" s="10"/>
      <c r="Z345" s="10"/>
      <c r="AA345" s="10"/>
      <c r="AB345" s="9"/>
    </row>
    <row r="346" spans="1:28" ht="13.15" customHeight="1">
      <c r="A346" s="36">
        <v>332</v>
      </c>
      <c r="B346" s="35">
        <f t="shared" si="113"/>
        <v>45404</v>
      </c>
      <c r="C346" s="16">
        <f t="shared" si="114"/>
        <v>1069</v>
      </c>
      <c r="D346" s="15">
        <f t="shared" si="102"/>
        <v>1836</v>
      </c>
      <c r="E346" s="14">
        <f t="shared" ca="1" si="106"/>
        <v>120</v>
      </c>
      <c r="F346" s="14">
        <f t="shared" ca="1" si="107"/>
        <v>152</v>
      </c>
      <c r="G346" s="14">
        <f t="shared" ca="1" si="108"/>
        <v>169</v>
      </c>
      <c r="H346" s="10">
        <f t="shared" ca="1" si="109"/>
        <v>2785</v>
      </c>
      <c r="I346" s="10">
        <f t="shared" ca="1" si="110"/>
        <v>2753</v>
      </c>
      <c r="J346" s="10">
        <f t="shared" ca="1" si="111"/>
        <v>2736</v>
      </c>
      <c r="K346" s="10">
        <f t="shared" si="103"/>
        <v>3000</v>
      </c>
      <c r="L346" s="10">
        <f t="shared" si="104"/>
        <v>3000</v>
      </c>
      <c r="M346" s="10">
        <f t="shared" si="105"/>
        <v>3000</v>
      </c>
      <c r="N346" s="10">
        <f t="shared" ca="1" si="115"/>
        <v>-215</v>
      </c>
      <c r="O346" s="10">
        <f t="shared" ca="1" si="116"/>
        <v>-247</v>
      </c>
      <c r="P346" s="10">
        <f t="shared" ca="1" si="117"/>
        <v>-264</v>
      </c>
      <c r="Q346" s="14">
        <v>0</v>
      </c>
      <c r="R346" s="14">
        <v>0</v>
      </c>
      <c r="S346" s="14">
        <v>0</v>
      </c>
      <c r="T346" s="13">
        <f t="shared" ca="1" si="112"/>
        <v>642</v>
      </c>
      <c r="U346" s="12">
        <f t="shared" ca="1" si="100"/>
        <v>2245</v>
      </c>
      <c r="V346" s="12">
        <f t="shared" ca="1" si="99"/>
        <v>2263</v>
      </c>
      <c r="W346" s="12">
        <f t="shared" ca="1" si="101"/>
        <v>2276</v>
      </c>
      <c r="X346" s="13"/>
      <c r="Y346" s="10"/>
      <c r="Z346" s="10"/>
      <c r="AA346" s="10"/>
      <c r="AB346" s="9"/>
    </row>
    <row r="347" spans="1:28" ht="13.15" customHeight="1">
      <c r="A347" s="36">
        <v>333</v>
      </c>
      <c r="B347" s="35">
        <f t="shared" si="113"/>
        <v>45405</v>
      </c>
      <c r="C347" s="16">
        <f t="shared" si="114"/>
        <v>1069</v>
      </c>
      <c r="D347" s="15">
        <f t="shared" si="102"/>
        <v>1838</v>
      </c>
      <c r="E347" s="14">
        <f t="shared" ca="1" si="106"/>
        <v>122</v>
      </c>
      <c r="F347" s="14">
        <f t="shared" ca="1" si="107"/>
        <v>154</v>
      </c>
      <c r="G347" s="14">
        <f t="shared" ca="1" si="108"/>
        <v>171</v>
      </c>
      <c r="H347" s="10">
        <f t="shared" ca="1" si="109"/>
        <v>2785</v>
      </c>
      <c r="I347" s="10">
        <f t="shared" ca="1" si="110"/>
        <v>2753</v>
      </c>
      <c r="J347" s="10">
        <f t="shared" ca="1" si="111"/>
        <v>2736</v>
      </c>
      <c r="K347" s="10">
        <f t="shared" si="103"/>
        <v>3000</v>
      </c>
      <c r="L347" s="10">
        <f t="shared" si="104"/>
        <v>3000</v>
      </c>
      <c r="M347" s="10">
        <f t="shared" si="105"/>
        <v>3000</v>
      </c>
      <c r="N347" s="10">
        <f t="shared" ca="1" si="115"/>
        <v>-215</v>
      </c>
      <c r="O347" s="10">
        <f t="shared" ca="1" si="116"/>
        <v>-247</v>
      </c>
      <c r="P347" s="10">
        <f t="shared" ca="1" si="117"/>
        <v>-264</v>
      </c>
      <c r="Q347" s="14">
        <v>0</v>
      </c>
      <c r="R347" s="14">
        <v>0</v>
      </c>
      <c r="S347" s="14">
        <v>0</v>
      </c>
      <c r="T347" s="13">
        <f t="shared" ca="1" si="112"/>
        <v>644</v>
      </c>
      <c r="U347" s="12">
        <f t="shared" ca="1" si="100"/>
        <v>2245</v>
      </c>
      <c r="V347" s="12">
        <f t="shared" ref="V347:V410" ca="1" si="118">V346+$X347*1000-R347</f>
        <v>2263</v>
      </c>
      <c r="W347" s="12">
        <f t="shared" ca="1" si="101"/>
        <v>2276</v>
      </c>
      <c r="X347" s="13"/>
      <c r="Y347" s="10"/>
      <c r="Z347" s="10"/>
      <c r="AA347" s="10"/>
      <c r="AB347" s="9"/>
    </row>
    <row r="348" spans="1:28" ht="13.15" customHeight="1">
      <c r="A348" s="36">
        <v>334</v>
      </c>
      <c r="B348" s="35">
        <f t="shared" si="113"/>
        <v>45406</v>
      </c>
      <c r="C348" s="16">
        <f t="shared" si="114"/>
        <v>1069</v>
      </c>
      <c r="D348" s="15">
        <f t="shared" si="102"/>
        <v>1840</v>
      </c>
      <c r="E348" s="14">
        <f t="shared" ca="1" si="106"/>
        <v>124</v>
      </c>
      <c r="F348" s="14">
        <f t="shared" ca="1" si="107"/>
        <v>156</v>
      </c>
      <c r="G348" s="14">
        <f t="shared" ca="1" si="108"/>
        <v>173</v>
      </c>
      <c r="H348" s="10">
        <f t="shared" ca="1" si="109"/>
        <v>2785</v>
      </c>
      <c r="I348" s="10">
        <f t="shared" ca="1" si="110"/>
        <v>2753</v>
      </c>
      <c r="J348" s="10">
        <f t="shared" ca="1" si="111"/>
        <v>2736</v>
      </c>
      <c r="K348" s="10">
        <f t="shared" si="103"/>
        <v>3000</v>
      </c>
      <c r="L348" s="10">
        <f t="shared" si="104"/>
        <v>3000</v>
      </c>
      <c r="M348" s="10">
        <f t="shared" si="105"/>
        <v>3000</v>
      </c>
      <c r="N348" s="10">
        <f t="shared" ca="1" si="115"/>
        <v>-215</v>
      </c>
      <c r="O348" s="10">
        <f t="shared" ca="1" si="116"/>
        <v>-247</v>
      </c>
      <c r="P348" s="10">
        <f t="shared" ca="1" si="117"/>
        <v>-264</v>
      </c>
      <c r="Q348" s="14">
        <v>0</v>
      </c>
      <c r="R348" s="14">
        <v>0</v>
      </c>
      <c r="S348" s="14">
        <v>0</v>
      </c>
      <c r="T348" s="13">
        <f t="shared" ca="1" si="112"/>
        <v>646</v>
      </c>
      <c r="U348" s="12">
        <f t="shared" ref="U348:U411" ca="1" si="119">U347+$X348*1000-Q348</f>
        <v>2245</v>
      </c>
      <c r="V348" s="12">
        <f t="shared" ca="1" si="118"/>
        <v>2263</v>
      </c>
      <c r="W348" s="12">
        <f t="shared" ref="W348:W411" ca="1" si="120">W347+$X348*1000-S348</f>
        <v>2276</v>
      </c>
      <c r="X348" s="13"/>
      <c r="Y348" s="10"/>
      <c r="Z348" s="10"/>
      <c r="AA348" s="10"/>
      <c r="AB348" s="9"/>
    </row>
    <row r="349" spans="1:28" ht="13.15" customHeight="1">
      <c r="A349" s="36">
        <v>335</v>
      </c>
      <c r="B349" s="35">
        <f t="shared" si="113"/>
        <v>45407</v>
      </c>
      <c r="C349" s="16">
        <f t="shared" si="114"/>
        <v>1069</v>
      </c>
      <c r="D349" s="15">
        <f t="shared" si="102"/>
        <v>1842</v>
      </c>
      <c r="E349" s="14">
        <f t="shared" ca="1" si="106"/>
        <v>126</v>
      </c>
      <c r="F349" s="14">
        <f t="shared" ca="1" si="107"/>
        <v>158</v>
      </c>
      <c r="G349" s="14">
        <f t="shared" ca="1" si="108"/>
        <v>175</v>
      </c>
      <c r="H349" s="10">
        <f t="shared" ca="1" si="109"/>
        <v>2785</v>
      </c>
      <c r="I349" s="10">
        <f t="shared" ca="1" si="110"/>
        <v>2753</v>
      </c>
      <c r="J349" s="10">
        <f t="shared" ca="1" si="111"/>
        <v>2736</v>
      </c>
      <c r="K349" s="10">
        <f t="shared" si="103"/>
        <v>3000</v>
      </c>
      <c r="L349" s="10">
        <f t="shared" si="104"/>
        <v>3000</v>
      </c>
      <c r="M349" s="10">
        <f t="shared" si="105"/>
        <v>3000</v>
      </c>
      <c r="N349" s="10">
        <f t="shared" ca="1" si="115"/>
        <v>-215</v>
      </c>
      <c r="O349" s="10">
        <f t="shared" ca="1" si="116"/>
        <v>-247</v>
      </c>
      <c r="P349" s="10">
        <f t="shared" ca="1" si="117"/>
        <v>-264</v>
      </c>
      <c r="Q349" s="14">
        <v>0</v>
      </c>
      <c r="R349" s="14">
        <v>0</v>
      </c>
      <c r="S349" s="14">
        <v>0</v>
      </c>
      <c r="T349" s="13">
        <f t="shared" ca="1" si="112"/>
        <v>648</v>
      </c>
      <c r="U349" s="12">
        <f t="shared" ca="1" si="119"/>
        <v>2245</v>
      </c>
      <c r="V349" s="12">
        <f t="shared" ca="1" si="118"/>
        <v>2263</v>
      </c>
      <c r="W349" s="12">
        <f t="shared" ca="1" si="120"/>
        <v>2276</v>
      </c>
      <c r="X349" s="13"/>
      <c r="Y349" s="10"/>
      <c r="Z349" s="10"/>
      <c r="AA349" s="10"/>
      <c r="AB349" s="9"/>
    </row>
    <row r="350" spans="1:28" ht="13.15" customHeight="1">
      <c r="A350" s="36">
        <v>336</v>
      </c>
      <c r="B350" s="35">
        <f t="shared" si="113"/>
        <v>45408</v>
      </c>
      <c r="C350" s="16">
        <f t="shared" si="114"/>
        <v>1069</v>
      </c>
      <c r="D350" s="15">
        <f t="shared" si="102"/>
        <v>1844</v>
      </c>
      <c r="E350" s="14">
        <f t="shared" ca="1" si="106"/>
        <v>128</v>
      </c>
      <c r="F350" s="14">
        <f t="shared" ca="1" si="107"/>
        <v>160</v>
      </c>
      <c r="G350" s="14">
        <f t="shared" ca="1" si="108"/>
        <v>177</v>
      </c>
      <c r="H350" s="10">
        <f t="shared" ca="1" si="109"/>
        <v>2785</v>
      </c>
      <c r="I350" s="10">
        <f t="shared" ca="1" si="110"/>
        <v>2753</v>
      </c>
      <c r="J350" s="10">
        <f t="shared" ca="1" si="111"/>
        <v>2736</v>
      </c>
      <c r="K350" s="10">
        <f t="shared" si="103"/>
        <v>3000</v>
      </c>
      <c r="L350" s="10">
        <f t="shared" si="104"/>
        <v>3000</v>
      </c>
      <c r="M350" s="10">
        <f t="shared" si="105"/>
        <v>3000</v>
      </c>
      <c r="N350" s="10">
        <f t="shared" ca="1" si="115"/>
        <v>-215</v>
      </c>
      <c r="O350" s="10">
        <f t="shared" ca="1" si="116"/>
        <v>-247</v>
      </c>
      <c r="P350" s="10">
        <f t="shared" ca="1" si="117"/>
        <v>-264</v>
      </c>
      <c r="Q350" s="14">
        <v>0</v>
      </c>
      <c r="R350" s="14">
        <v>0</v>
      </c>
      <c r="S350" s="14">
        <v>0</v>
      </c>
      <c r="T350" s="13">
        <f t="shared" ca="1" si="112"/>
        <v>650</v>
      </c>
      <c r="U350" s="12">
        <f t="shared" ca="1" si="119"/>
        <v>2245</v>
      </c>
      <c r="V350" s="12">
        <f t="shared" ca="1" si="118"/>
        <v>2263</v>
      </c>
      <c r="W350" s="12">
        <f t="shared" ca="1" si="120"/>
        <v>2276</v>
      </c>
      <c r="X350" s="13"/>
      <c r="Y350" s="10"/>
      <c r="Z350" s="10"/>
      <c r="AA350" s="10"/>
      <c r="AB350" s="9"/>
    </row>
    <row r="351" spans="1:28" ht="13.15" customHeight="1">
      <c r="A351" s="36">
        <v>337</v>
      </c>
      <c r="B351" s="35">
        <f t="shared" si="113"/>
        <v>45409</v>
      </c>
      <c r="C351" s="16">
        <f t="shared" si="114"/>
        <v>1069</v>
      </c>
      <c r="D351" s="15">
        <f t="shared" si="102"/>
        <v>1846</v>
      </c>
      <c r="E351" s="14">
        <f t="shared" ca="1" si="106"/>
        <v>130</v>
      </c>
      <c r="F351" s="14">
        <f t="shared" ca="1" si="107"/>
        <v>162</v>
      </c>
      <c r="G351" s="14">
        <f t="shared" ca="1" si="108"/>
        <v>179</v>
      </c>
      <c r="H351" s="10">
        <f t="shared" ca="1" si="109"/>
        <v>2785</v>
      </c>
      <c r="I351" s="10">
        <f t="shared" ca="1" si="110"/>
        <v>2753</v>
      </c>
      <c r="J351" s="10">
        <f t="shared" ca="1" si="111"/>
        <v>2736</v>
      </c>
      <c r="K351" s="10">
        <f t="shared" si="103"/>
        <v>3000</v>
      </c>
      <c r="L351" s="10">
        <f t="shared" si="104"/>
        <v>3000</v>
      </c>
      <c r="M351" s="10">
        <f t="shared" si="105"/>
        <v>3000</v>
      </c>
      <c r="N351" s="10">
        <f t="shared" ca="1" si="115"/>
        <v>-215</v>
      </c>
      <c r="O351" s="10">
        <f t="shared" ca="1" si="116"/>
        <v>-247</v>
      </c>
      <c r="P351" s="10">
        <f t="shared" ca="1" si="117"/>
        <v>-264</v>
      </c>
      <c r="Q351" s="14">
        <v>0</v>
      </c>
      <c r="R351" s="14">
        <v>0</v>
      </c>
      <c r="S351" s="14">
        <v>0</v>
      </c>
      <c r="T351" s="13">
        <f t="shared" ca="1" si="112"/>
        <v>652</v>
      </c>
      <c r="U351" s="12">
        <f t="shared" ca="1" si="119"/>
        <v>2245</v>
      </c>
      <c r="V351" s="12">
        <f t="shared" ca="1" si="118"/>
        <v>2263</v>
      </c>
      <c r="W351" s="12">
        <f t="shared" ca="1" si="120"/>
        <v>2276</v>
      </c>
      <c r="X351" s="13"/>
      <c r="Y351" s="10"/>
      <c r="Z351" s="10"/>
      <c r="AA351" s="10"/>
      <c r="AB351" s="9"/>
    </row>
    <row r="352" spans="1:28" ht="13.15" customHeight="1">
      <c r="A352" s="36">
        <v>338</v>
      </c>
      <c r="B352" s="35">
        <f t="shared" si="113"/>
        <v>45410</v>
      </c>
      <c r="C352" s="16">
        <f t="shared" si="114"/>
        <v>1069</v>
      </c>
      <c r="D352" s="15">
        <f t="shared" si="102"/>
        <v>1848</v>
      </c>
      <c r="E352" s="14">
        <f t="shared" ca="1" si="106"/>
        <v>132</v>
      </c>
      <c r="F352" s="14">
        <f t="shared" ca="1" si="107"/>
        <v>164</v>
      </c>
      <c r="G352" s="14">
        <f t="shared" ca="1" si="108"/>
        <v>181</v>
      </c>
      <c r="H352" s="10">
        <f t="shared" ca="1" si="109"/>
        <v>2785</v>
      </c>
      <c r="I352" s="10">
        <f t="shared" ca="1" si="110"/>
        <v>2753</v>
      </c>
      <c r="J352" s="10">
        <f t="shared" ca="1" si="111"/>
        <v>2736</v>
      </c>
      <c r="K352" s="10">
        <f t="shared" si="103"/>
        <v>3000</v>
      </c>
      <c r="L352" s="10">
        <f t="shared" si="104"/>
        <v>3000</v>
      </c>
      <c r="M352" s="10">
        <f t="shared" si="105"/>
        <v>3000</v>
      </c>
      <c r="N352" s="10">
        <f t="shared" ca="1" si="115"/>
        <v>-215</v>
      </c>
      <c r="O352" s="10">
        <f t="shared" ca="1" si="116"/>
        <v>-247</v>
      </c>
      <c r="P352" s="10">
        <f t="shared" ca="1" si="117"/>
        <v>-264</v>
      </c>
      <c r="Q352" s="14">
        <v>0</v>
      </c>
      <c r="R352" s="14">
        <v>0</v>
      </c>
      <c r="S352" s="14">
        <v>0</v>
      </c>
      <c r="T352" s="13">
        <f t="shared" ca="1" si="112"/>
        <v>654</v>
      </c>
      <c r="U352" s="12">
        <f t="shared" ca="1" si="119"/>
        <v>2245</v>
      </c>
      <c r="V352" s="12">
        <f t="shared" ca="1" si="118"/>
        <v>2263</v>
      </c>
      <c r="W352" s="12">
        <f t="shared" ca="1" si="120"/>
        <v>2276</v>
      </c>
      <c r="X352" s="13"/>
      <c r="Y352" s="10"/>
      <c r="Z352" s="10"/>
      <c r="AA352" s="10"/>
      <c r="AB352" s="9"/>
    </row>
    <row r="353" spans="1:28" ht="13.15" customHeight="1">
      <c r="A353" s="36">
        <v>339</v>
      </c>
      <c r="B353" s="35">
        <f t="shared" si="113"/>
        <v>45411</v>
      </c>
      <c r="C353" s="16">
        <f t="shared" si="114"/>
        <v>1069</v>
      </c>
      <c r="D353" s="15">
        <f t="shared" si="102"/>
        <v>1850</v>
      </c>
      <c r="E353" s="14">
        <f t="shared" ca="1" si="106"/>
        <v>134</v>
      </c>
      <c r="F353" s="14">
        <f t="shared" ca="1" si="107"/>
        <v>166</v>
      </c>
      <c r="G353" s="14">
        <f t="shared" ca="1" si="108"/>
        <v>183</v>
      </c>
      <c r="H353" s="10">
        <f t="shared" ca="1" si="109"/>
        <v>2785</v>
      </c>
      <c r="I353" s="10">
        <f t="shared" ca="1" si="110"/>
        <v>2753</v>
      </c>
      <c r="J353" s="10">
        <f t="shared" ca="1" si="111"/>
        <v>2736</v>
      </c>
      <c r="K353" s="10">
        <f t="shared" si="103"/>
        <v>3000</v>
      </c>
      <c r="L353" s="10">
        <f t="shared" si="104"/>
        <v>3000</v>
      </c>
      <c r="M353" s="10">
        <f t="shared" si="105"/>
        <v>3000</v>
      </c>
      <c r="N353" s="10">
        <f t="shared" ca="1" si="115"/>
        <v>-215</v>
      </c>
      <c r="O353" s="10">
        <f t="shared" ca="1" si="116"/>
        <v>-247</v>
      </c>
      <c r="P353" s="10">
        <f t="shared" ca="1" si="117"/>
        <v>-264</v>
      </c>
      <c r="Q353" s="14">
        <v>0</v>
      </c>
      <c r="R353" s="14">
        <v>0</v>
      </c>
      <c r="S353" s="14">
        <v>0</v>
      </c>
      <c r="T353" s="13">
        <f t="shared" ca="1" si="112"/>
        <v>656</v>
      </c>
      <c r="U353" s="12">
        <f t="shared" ca="1" si="119"/>
        <v>2245</v>
      </c>
      <c r="V353" s="12">
        <f t="shared" ca="1" si="118"/>
        <v>2263</v>
      </c>
      <c r="W353" s="12">
        <f t="shared" ca="1" si="120"/>
        <v>2276</v>
      </c>
      <c r="X353" s="13"/>
      <c r="Y353" s="10"/>
      <c r="Z353" s="10"/>
      <c r="AA353" s="10"/>
      <c r="AB353" s="9"/>
    </row>
    <row r="354" spans="1:28" ht="13.15" customHeight="1">
      <c r="A354" s="36">
        <v>340</v>
      </c>
      <c r="B354" s="35">
        <f t="shared" si="113"/>
        <v>45412</v>
      </c>
      <c r="C354" s="16">
        <f t="shared" si="114"/>
        <v>1069</v>
      </c>
      <c r="D354" s="15">
        <f t="shared" si="102"/>
        <v>1852</v>
      </c>
      <c r="E354" s="14">
        <f t="shared" ca="1" si="106"/>
        <v>136</v>
      </c>
      <c r="F354" s="14">
        <f t="shared" ca="1" si="107"/>
        <v>168</v>
      </c>
      <c r="G354" s="14">
        <f t="shared" ca="1" si="108"/>
        <v>185</v>
      </c>
      <c r="H354" s="10">
        <f t="shared" ca="1" si="109"/>
        <v>2785</v>
      </c>
      <c r="I354" s="10">
        <f t="shared" ca="1" si="110"/>
        <v>2753</v>
      </c>
      <c r="J354" s="10">
        <f t="shared" ca="1" si="111"/>
        <v>2736</v>
      </c>
      <c r="K354" s="10">
        <f t="shared" si="103"/>
        <v>3000</v>
      </c>
      <c r="L354" s="10">
        <f t="shared" si="104"/>
        <v>3000</v>
      </c>
      <c r="M354" s="10">
        <f t="shared" si="105"/>
        <v>3000</v>
      </c>
      <c r="N354" s="10">
        <f t="shared" ca="1" si="115"/>
        <v>-215</v>
      </c>
      <c r="O354" s="10">
        <f t="shared" ca="1" si="116"/>
        <v>-247</v>
      </c>
      <c r="P354" s="10">
        <f t="shared" ca="1" si="117"/>
        <v>-264</v>
      </c>
      <c r="Q354" s="14">
        <v>0</v>
      </c>
      <c r="R354" s="14">
        <v>0</v>
      </c>
      <c r="S354" s="14">
        <v>0</v>
      </c>
      <c r="T354" s="13">
        <f t="shared" ca="1" si="112"/>
        <v>658</v>
      </c>
      <c r="U354" s="12">
        <f t="shared" ca="1" si="119"/>
        <v>2245</v>
      </c>
      <c r="V354" s="12">
        <f t="shared" ca="1" si="118"/>
        <v>2263</v>
      </c>
      <c r="W354" s="12">
        <f t="shared" ca="1" si="120"/>
        <v>2276</v>
      </c>
      <c r="X354" s="13"/>
      <c r="Y354" s="10"/>
      <c r="Z354" s="10"/>
      <c r="AA354" s="10"/>
      <c r="AB354" s="9"/>
    </row>
    <row r="355" spans="1:28" ht="15">
      <c r="A355" s="36">
        <v>341</v>
      </c>
      <c r="B355" s="35">
        <f t="shared" si="113"/>
        <v>45413</v>
      </c>
      <c r="C355" s="16">
        <f t="shared" si="114"/>
        <v>1069</v>
      </c>
      <c r="D355" s="15">
        <f t="shared" si="102"/>
        <v>1854</v>
      </c>
      <c r="E355" s="14">
        <f t="shared" ca="1" si="106"/>
        <v>138</v>
      </c>
      <c r="F355" s="14">
        <f t="shared" ca="1" si="107"/>
        <v>170</v>
      </c>
      <c r="G355" s="14">
        <f t="shared" ca="1" si="108"/>
        <v>187</v>
      </c>
      <c r="H355" s="10">
        <f t="shared" ca="1" si="109"/>
        <v>2785</v>
      </c>
      <c r="I355" s="10">
        <f t="shared" ca="1" si="110"/>
        <v>2753</v>
      </c>
      <c r="J355" s="10">
        <f t="shared" ca="1" si="111"/>
        <v>2736</v>
      </c>
      <c r="K355" s="10">
        <f t="shared" si="103"/>
        <v>3000</v>
      </c>
      <c r="L355" s="10">
        <f t="shared" si="104"/>
        <v>3000</v>
      </c>
      <c r="M355" s="10">
        <f t="shared" si="105"/>
        <v>3000</v>
      </c>
      <c r="N355" s="10">
        <f t="shared" ca="1" si="115"/>
        <v>-215</v>
      </c>
      <c r="O355" s="10">
        <f t="shared" ca="1" si="116"/>
        <v>-247</v>
      </c>
      <c r="P355" s="10">
        <f t="shared" ca="1" si="117"/>
        <v>-264</v>
      </c>
      <c r="Q355" s="14">
        <v>0</v>
      </c>
      <c r="R355" s="14">
        <v>0</v>
      </c>
      <c r="S355" s="14">
        <v>0</v>
      </c>
      <c r="T355" s="13">
        <f t="shared" ca="1" si="112"/>
        <v>660</v>
      </c>
      <c r="U355" s="12">
        <f t="shared" ca="1" si="119"/>
        <v>2245</v>
      </c>
      <c r="V355" s="12">
        <f t="shared" ca="1" si="118"/>
        <v>2263</v>
      </c>
      <c r="W355" s="12">
        <f t="shared" ca="1" si="120"/>
        <v>2276</v>
      </c>
      <c r="X355" s="13"/>
      <c r="Y355" s="10"/>
      <c r="Z355" s="10"/>
      <c r="AA355" s="10"/>
      <c r="AB355" s="9"/>
    </row>
    <row r="356" spans="1:28" ht="13.15" customHeight="1">
      <c r="A356" s="36">
        <v>342</v>
      </c>
      <c r="B356" s="35">
        <f t="shared" si="113"/>
        <v>45414</v>
      </c>
      <c r="C356" s="16">
        <f t="shared" si="114"/>
        <v>1069</v>
      </c>
      <c r="D356" s="15">
        <f t="shared" si="102"/>
        <v>1856</v>
      </c>
      <c r="E356" s="14">
        <f t="shared" ca="1" si="106"/>
        <v>140</v>
      </c>
      <c r="F356" s="14">
        <f t="shared" ca="1" si="107"/>
        <v>172</v>
      </c>
      <c r="G356" s="14">
        <f t="shared" ca="1" si="108"/>
        <v>189</v>
      </c>
      <c r="H356" s="10">
        <f t="shared" ca="1" si="109"/>
        <v>2785</v>
      </c>
      <c r="I356" s="10">
        <f t="shared" ca="1" si="110"/>
        <v>2753</v>
      </c>
      <c r="J356" s="10">
        <f t="shared" ca="1" si="111"/>
        <v>2736</v>
      </c>
      <c r="K356" s="10">
        <f t="shared" si="103"/>
        <v>3000</v>
      </c>
      <c r="L356" s="10">
        <f t="shared" si="104"/>
        <v>3000</v>
      </c>
      <c r="M356" s="10">
        <f t="shared" si="105"/>
        <v>3000</v>
      </c>
      <c r="N356" s="10">
        <f t="shared" ca="1" si="115"/>
        <v>-215</v>
      </c>
      <c r="O356" s="10">
        <f t="shared" ca="1" si="116"/>
        <v>-247</v>
      </c>
      <c r="P356" s="10">
        <f t="shared" ca="1" si="117"/>
        <v>-264</v>
      </c>
      <c r="Q356" s="14">
        <v>0</v>
      </c>
      <c r="R356" s="14">
        <v>0</v>
      </c>
      <c r="S356" s="14">
        <v>0</v>
      </c>
      <c r="T356" s="13">
        <f t="shared" ca="1" si="112"/>
        <v>662</v>
      </c>
      <c r="U356" s="12">
        <f t="shared" ca="1" si="119"/>
        <v>2245</v>
      </c>
      <c r="V356" s="12">
        <f t="shared" ca="1" si="118"/>
        <v>2263</v>
      </c>
      <c r="W356" s="12">
        <f t="shared" ca="1" si="120"/>
        <v>2276</v>
      </c>
      <c r="X356" s="13"/>
      <c r="Y356" s="10"/>
      <c r="Z356" s="10"/>
      <c r="AA356" s="10"/>
      <c r="AB356" s="9"/>
    </row>
    <row r="357" spans="1:28" ht="13.15" customHeight="1">
      <c r="A357" s="36">
        <v>343</v>
      </c>
      <c r="B357" s="35">
        <f t="shared" si="113"/>
        <v>45415</v>
      </c>
      <c r="C357" s="16">
        <f t="shared" si="114"/>
        <v>1069</v>
      </c>
      <c r="D357" s="15">
        <f t="shared" si="102"/>
        <v>1858</v>
      </c>
      <c r="E357" s="14">
        <f t="shared" ca="1" si="106"/>
        <v>142</v>
      </c>
      <c r="F357" s="14">
        <f t="shared" ca="1" si="107"/>
        <v>174</v>
      </c>
      <c r="G357" s="14">
        <f t="shared" ca="1" si="108"/>
        <v>191</v>
      </c>
      <c r="H357" s="10">
        <f t="shared" ca="1" si="109"/>
        <v>2785</v>
      </c>
      <c r="I357" s="10">
        <f t="shared" ca="1" si="110"/>
        <v>2753</v>
      </c>
      <c r="J357" s="10">
        <f t="shared" ca="1" si="111"/>
        <v>2736</v>
      </c>
      <c r="K357" s="10">
        <f t="shared" si="103"/>
        <v>3000</v>
      </c>
      <c r="L357" s="10">
        <f t="shared" si="104"/>
        <v>3000</v>
      </c>
      <c r="M357" s="10">
        <f t="shared" si="105"/>
        <v>3000</v>
      </c>
      <c r="N357" s="10">
        <f t="shared" ca="1" si="115"/>
        <v>-215</v>
      </c>
      <c r="O357" s="10">
        <f t="shared" ca="1" si="116"/>
        <v>-247</v>
      </c>
      <c r="P357" s="10">
        <f t="shared" ca="1" si="117"/>
        <v>-264</v>
      </c>
      <c r="Q357" s="14">
        <v>0</v>
      </c>
      <c r="R357" s="14">
        <v>0</v>
      </c>
      <c r="S357" s="14">
        <v>0</v>
      </c>
      <c r="T357" s="13">
        <f t="shared" ca="1" si="112"/>
        <v>664</v>
      </c>
      <c r="U357" s="12">
        <f t="shared" ca="1" si="119"/>
        <v>2245</v>
      </c>
      <c r="V357" s="12">
        <f t="shared" ca="1" si="118"/>
        <v>2263</v>
      </c>
      <c r="W357" s="12">
        <f t="shared" ca="1" si="120"/>
        <v>2276</v>
      </c>
      <c r="X357" s="13"/>
      <c r="Y357" s="10"/>
      <c r="Z357" s="10"/>
      <c r="AA357" s="10"/>
      <c r="AB357" s="9"/>
    </row>
    <row r="358" spans="1:28" ht="13.15" customHeight="1">
      <c r="A358" s="36">
        <v>344</v>
      </c>
      <c r="B358" s="35">
        <f t="shared" si="113"/>
        <v>45416</v>
      </c>
      <c r="C358" s="16">
        <f t="shared" si="114"/>
        <v>1069</v>
      </c>
      <c r="D358" s="15">
        <f t="shared" si="102"/>
        <v>1860</v>
      </c>
      <c r="E358" s="14">
        <f t="shared" ca="1" si="106"/>
        <v>144</v>
      </c>
      <c r="F358" s="14">
        <f t="shared" ca="1" si="107"/>
        <v>176</v>
      </c>
      <c r="G358" s="14">
        <f t="shared" ca="1" si="108"/>
        <v>193</v>
      </c>
      <c r="H358" s="10">
        <f t="shared" ca="1" si="109"/>
        <v>2785</v>
      </c>
      <c r="I358" s="10">
        <f t="shared" ca="1" si="110"/>
        <v>2753</v>
      </c>
      <c r="J358" s="10">
        <f t="shared" ca="1" si="111"/>
        <v>2736</v>
      </c>
      <c r="K358" s="10">
        <f t="shared" si="103"/>
        <v>3000</v>
      </c>
      <c r="L358" s="10">
        <f t="shared" si="104"/>
        <v>3000</v>
      </c>
      <c r="M358" s="10">
        <f t="shared" si="105"/>
        <v>3000</v>
      </c>
      <c r="N358" s="10">
        <f t="shared" ca="1" si="115"/>
        <v>-215</v>
      </c>
      <c r="O358" s="10">
        <f t="shared" ca="1" si="116"/>
        <v>-247</v>
      </c>
      <c r="P358" s="10">
        <f t="shared" ca="1" si="117"/>
        <v>-264</v>
      </c>
      <c r="Q358" s="14">
        <v>0</v>
      </c>
      <c r="R358" s="14">
        <v>0</v>
      </c>
      <c r="S358" s="14">
        <v>0</v>
      </c>
      <c r="T358" s="13">
        <f t="shared" ca="1" si="112"/>
        <v>666</v>
      </c>
      <c r="U358" s="12">
        <f t="shared" ca="1" si="119"/>
        <v>2245</v>
      </c>
      <c r="V358" s="12">
        <f t="shared" ca="1" si="118"/>
        <v>2263</v>
      </c>
      <c r="W358" s="12">
        <f t="shared" ca="1" si="120"/>
        <v>2276</v>
      </c>
      <c r="X358" s="13"/>
      <c r="Y358" s="10"/>
      <c r="Z358" s="10"/>
      <c r="AA358" s="10"/>
      <c r="AB358" s="9"/>
    </row>
    <row r="359" spans="1:28" ht="13.15" customHeight="1">
      <c r="A359" s="36">
        <v>345</v>
      </c>
      <c r="B359" s="35">
        <f t="shared" si="113"/>
        <v>45417</v>
      </c>
      <c r="C359" s="16">
        <f t="shared" si="114"/>
        <v>1069</v>
      </c>
      <c r="D359" s="15">
        <f t="shared" si="102"/>
        <v>1862</v>
      </c>
      <c r="E359" s="14">
        <f t="shared" ca="1" si="106"/>
        <v>146</v>
      </c>
      <c r="F359" s="14">
        <f t="shared" ca="1" si="107"/>
        <v>178</v>
      </c>
      <c r="G359" s="14">
        <f t="shared" ca="1" si="108"/>
        <v>195</v>
      </c>
      <c r="H359" s="10">
        <f t="shared" ca="1" si="109"/>
        <v>2785</v>
      </c>
      <c r="I359" s="10">
        <f t="shared" ca="1" si="110"/>
        <v>2753</v>
      </c>
      <c r="J359" s="10">
        <f t="shared" ca="1" si="111"/>
        <v>2736</v>
      </c>
      <c r="K359" s="10">
        <f t="shared" si="103"/>
        <v>3000</v>
      </c>
      <c r="L359" s="10">
        <f t="shared" si="104"/>
        <v>3000</v>
      </c>
      <c r="M359" s="10">
        <f t="shared" si="105"/>
        <v>3000</v>
      </c>
      <c r="N359" s="10">
        <f t="shared" ca="1" si="115"/>
        <v>-215</v>
      </c>
      <c r="O359" s="10">
        <f t="shared" ca="1" si="116"/>
        <v>-247</v>
      </c>
      <c r="P359" s="10">
        <f t="shared" ca="1" si="117"/>
        <v>-264</v>
      </c>
      <c r="Q359" s="14">
        <v>0</v>
      </c>
      <c r="R359" s="14">
        <v>0</v>
      </c>
      <c r="S359" s="14">
        <v>0</v>
      </c>
      <c r="T359" s="13">
        <f t="shared" ca="1" si="112"/>
        <v>668</v>
      </c>
      <c r="U359" s="12">
        <f t="shared" ca="1" si="119"/>
        <v>2245</v>
      </c>
      <c r="V359" s="12">
        <f t="shared" ca="1" si="118"/>
        <v>2263</v>
      </c>
      <c r="W359" s="12">
        <f t="shared" ca="1" si="120"/>
        <v>2276</v>
      </c>
      <c r="X359" s="13"/>
      <c r="Y359" s="10"/>
      <c r="Z359" s="10"/>
      <c r="AA359" s="10"/>
      <c r="AB359" s="9"/>
    </row>
    <row r="360" spans="1:28" ht="13.15" customHeight="1">
      <c r="A360" s="36">
        <v>346</v>
      </c>
      <c r="B360" s="35">
        <f t="shared" si="113"/>
        <v>45418</v>
      </c>
      <c r="C360" s="16">
        <f t="shared" si="114"/>
        <v>1069</v>
      </c>
      <c r="D360" s="15">
        <f t="shared" si="102"/>
        <v>1864</v>
      </c>
      <c r="E360" s="14">
        <f t="shared" ca="1" si="106"/>
        <v>148</v>
      </c>
      <c r="F360" s="14">
        <f t="shared" ca="1" si="107"/>
        <v>180</v>
      </c>
      <c r="G360" s="14">
        <f t="shared" ca="1" si="108"/>
        <v>197</v>
      </c>
      <c r="H360" s="10">
        <f t="shared" ca="1" si="109"/>
        <v>2785</v>
      </c>
      <c r="I360" s="10">
        <f t="shared" ca="1" si="110"/>
        <v>2753</v>
      </c>
      <c r="J360" s="10">
        <f t="shared" ca="1" si="111"/>
        <v>2736</v>
      </c>
      <c r="K360" s="10">
        <f t="shared" si="103"/>
        <v>3000</v>
      </c>
      <c r="L360" s="10">
        <f t="shared" si="104"/>
        <v>3000</v>
      </c>
      <c r="M360" s="10">
        <f t="shared" si="105"/>
        <v>3000</v>
      </c>
      <c r="N360" s="10">
        <f t="shared" ca="1" si="115"/>
        <v>-215</v>
      </c>
      <c r="O360" s="10">
        <f t="shared" ca="1" si="116"/>
        <v>-247</v>
      </c>
      <c r="P360" s="10">
        <f t="shared" ca="1" si="117"/>
        <v>-264</v>
      </c>
      <c r="Q360" s="14">
        <v>0</v>
      </c>
      <c r="R360" s="14">
        <v>0</v>
      </c>
      <c r="S360" s="14">
        <v>0</v>
      </c>
      <c r="T360" s="13">
        <f t="shared" ca="1" si="112"/>
        <v>670</v>
      </c>
      <c r="U360" s="12">
        <f t="shared" ca="1" si="119"/>
        <v>2245</v>
      </c>
      <c r="V360" s="12">
        <f t="shared" ca="1" si="118"/>
        <v>2263</v>
      </c>
      <c r="W360" s="12">
        <f t="shared" ca="1" si="120"/>
        <v>2276</v>
      </c>
      <c r="X360" s="13"/>
      <c r="Y360" s="10"/>
      <c r="Z360" s="10"/>
      <c r="AA360" s="10"/>
      <c r="AB360" s="9"/>
    </row>
    <row r="361" spans="1:28" ht="13.15" customHeight="1">
      <c r="A361" s="36">
        <v>347</v>
      </c>
      <c r="B361" s="35">
        <f t="shared" si="113"/>
        <v>45419</v>
      </c>
      <c r="C361" s="16">
        <f t="shared" si="114"/>
        <v>1069</v>
      </c>
      <c r="D361" s="15">
        <f t="shared" si="102"/>
        <v>1866</v>
      </c>
      <c r="E361" s="14">
        <f t="shared" ca="1" si="106"/>
        <v>150</v>
      </c>
      <c r="F361" s="14">
        <f t="shared" ca="1" si="107"/>
        <v>182</v>
      </c>
      <c r="G361" s="14">
        <f t="shared" ca="1" si="108"/>
        <v>199</v>
      </c>
      <c r="H361" s="10">
        <f t="shared" ca="1" si="109"/>
        <v>2785</v>
      </c>
      <c r="I361" s="10">
        <f t="shared" ca="1" si="110"/>
        <v>2753</v>
      </c>
      <c r="J361" s="10">
        <f t="shared" ca="1" si="111"/>
        <v>2736</v>
      </c>
      <c r="K361" s="10">
        <f t="shared" si="103"/>
        <v>3000</v>
      </c>
      <c r="L361" s="10">
        <f t="shared" si="104"/>
        <v>3000</v>
      </c>
      <c r="M361" s="10">
        <f t="shared" si="105"/>
        <v>3000</v>
      </c>
      <c r="N361" s="10">
        <f t="shared" ca="1" si="115"/>
        <v>-215</v>
      </c>
      <c r="O361" s="10">
        <f t="shared" ca="1" si="116"/>
        <v>-247</v>
      </c>
      <c r="P361" s="10">
        <f t="shared" ca="1" si="117"/>
        <v>-264</v>
      </c>
      <c r="Q361" s="14">
        <v>0</v>
      </c>
      <c r="R361" s="14">
        <v>0</v>
      </c>
      <c r="S361" s="14">
        <v>0</v>
      </c>
      <c r="T361" s="13">
        <f t="shared" ca="1" si="112"/>
        <v>672</v>
      </c>
      <c r="U361" s="12">
        <f t="shared" ca="1" si="119"/>
        <v>2245</v>
      </c>
      <c r="V361" s="12">
        <f t="shared" ca="1" si="118"/>
        <v>2263</v>
      </c>
      <c r="W361" s="12">
        <f t="shared" ca="1" si="120"/>
        <v>2276</v>
      </c>
      <c r="X361" s="13"/>
      <c r="Y361" s="10"/>
      <c r="Z361" s="10"/>
      <c r="AA361" s="10"/>
      <c r="AB361" s="9"/>
    </row>
    <row r="362" spans="1:28" ht="13.15" customHeight="1">
      <c r="A362" s="36">
        <v>348</v>
      </c>
      <c r="B362" s="35">
        <f t="shared" si="113"/>
        <v>45420</v>
      </c>
      <c r="C362" s="16">
        <f t="shared" si="114"/>
        <v>1069</v>
      </c>
      <c r="D362" s="15">
        <f t="shared" si="102"/>
        <v>1868</v>
      </c>
      <c r="E362" s="14">
        <f t="shared" ca="1" si="106"/>
        <v>152</v>
      </c>
      <c r="F362" s="14">
        <f t="shared" ca="1" si="107"/>
        <v>184</v>
      </c>
      <c r="G362" s="14">
        <f t="shared" ca="1" si="108"/>
        <v>201</v>
      </c>
      <c r="H362" s="10">
        <f t="shared" ca="1" si="109"/>
        <v>2785</v>
      </c>
      <c r="I362" s="10">
        <f t="shared" ca="1" si="110"/>
        <v>2753</v>
      </c>
      <c r="J362" s="10">
        <f t="shared" ca="1" si="111"/>
        <v>2736</v>
      </c>
      <c r="K362" s="10">
        <f t="shared" si="103"/>
        <v>3000</v>
      </c>
      <c r="L362" s="10">
        <f t="shared" si="104"/>
        <v>3000</v>
      </c>
      <c r="M362" s="10">
        <f t="shared" si="105"/>
        <v>3000</v>
      </c>
      <c r="N362" s="10">
        <f t="shared" ca="1" si="115"/>
        <v>-215</v>
      </c>
      <c r="O362" s="10">
        <f t="shared" ca="1" si="116"/>
        <v>-247</v>
      </c>
      <c r="P362" s="10">
        <f t="shared" ca="1" si="117"/>
        <v>-264</v>
      </c>
      <c r="Q362" s="14">
        <v>0</v>
      </c>
      <c r="R362" s="14">
        <v>0</v>
      </c>
      <c r="S362" s="14">
        <v>0</v>
      </c>
      <c r="T362" s="13">
        <f t="shared" ca="1" si="112"/>
        <v>674</v>
      </c>
      <c r="U362" s="12">
        <f t="shared" ca="1" si="119"/>
        <v>2245</v>
      </c>
      <c r="V362" s="12">
        <f t="shared" ca="1" si="118"/>
        <v>2263</v>
      </c>
      <c r="W362" s="12">
        <f t="shared" ca="1" si="120"/>
        <v>2276</v>
      </c>
      <c r="X362" s="13"/>
      <c r="Y362" s="10"/>
      <c r="Z362" s="10"/>
      <c r="AA362" s="10"/>
      <c r="AB362" s="9"/>
    </row>
    <row r="363" spans="1:28" ht="13.15" customHeight="1">
      <c r="A363" s="36">
        <v>349</v>
      </c>
      <c r="B363" s="35">
        <f t="shared" si="113"/>
        <v>45421</v>
      </c>
      <c r="C363" s="16">
        <f t="shared" si="114"/>
        <v>1069</v>
      </c>
      <c r="D363" s="15">
        <f t="shared" si="102"/>
        <v>1870</v>
      </c>
      <c r="E363" s="14">
        <f t="shared" ca="1" si="106"/>
        <v>-846</v>
      </c>
      <c r="F363" s="14">
        <f t="shared" ca="1" si="107"/>
        <v>-814</v>
      </c>
      <c r="G363" s="14">
        <f t="shared" ca="1" si="108"/>
        <v>-797</v>
      </c>
      <c r="H363" s="10">
        <f t="shared" ca="1" si="109"/>
        <v>3785</v>
      </c>
      <c r="I363" s="10">
        <f t="shared" ca="1" si="110"/>
        <v>3753</v>
      </c>
      <c r="J363" s="10">
        <f t="shared" ca="1" si="111"/>
        <v>3736</v>
      </c>
      <c r="K363" s="10">
        <f>K362+1000</f>
        <v>4000</v>
      </c>
      <c r="L363" s="10">
        <f>L362+1000</f>
        <v>4000</v>
      </c>
      <c r="M363" s="10">
        <f>M362+1000</f>
        <v>4000</v>
      </c>
      <c r="N363" s="10">
        <f t="shared" ca="1" si="115"/>
        <v>-215</v>
      </c>
      <c r="O363" s="10">
        <f t="shared" ca="1" si="116"/>
        <v>-247</v>
      </c>
      <c r="P363" s="10">
        <f t="shared" ca="1" si="117"/>
        <v>-264</v>
      </c>
      <c r="Q363" s="14">
        <v>0</v>
      </c>
      <c r="R363" s="14">
        <v>0</v>
      </c>
      <c r="S363" s="14">
        <v>0</v>
      </c>
      <c r="T363" s="13">
        <f t="shared" ca="1" si="112"/>
        <v>676</v>
      </c>
      <c r="U363" s="12">
        <f t="shared" ca="1" si="119"/>
        <v>2245</v>
      </c>
      <c r="V363" s="12">
        <f t="shared" ca="1" si="118"/>
        <v>2263</v>
      </c>
      <c r="W363" s="12">
        <f t="shared" ca="1" si="120"/>
        <v>2276</v>
      </c>
      <c r="X363" s="13"/>
      <c r="Y363" s="10"/>
      <c r="Z363" s="10"/>
      <c r="AA363" s="10"/>
      <c r="AB363" s="9"/>
    </row>
    <row r="364" spans="1:28" ht="13.15" customHeight="1">
      <c r="A364" s="36">
        <v>350</v>
      </c>
      <c r="B364" s="35">
        <f t="shared" si="113"/>
        <v>45422</v>
      </c>
      <c r="C364" s="16">
        <f t="shared" si="114"/>
        <v>1069</v>
      </c>
      <c r="D364" s="15">
        <f t="shared" si="102"/>
        <v>1872</v>
      </c>
      <c r="E364" s="14">
        <f t="shared" ca="1" si="106"/>
        <v>-844</v>
      </c>
      <c r="F364" s="14">
        <f t="shared" ca="1" si="107"/>
        <v>-812</v>
      </c>
      <c r="G364" s="14">
        <f t="shared" ca="1" si="108"/>
        <v>-795</v>
      </c>
      <c r="H364" s="10">
        <f t="shared" ca="1" si="109"/>
        <v>3785</v>
      </c>
      <c r="I364" s="10">
        <f t="shared" ca="1" si="110"/>
        <v>3753</v>
      </c>
      <c r="J364" s="10">
        <f t="shared" ca="1" si="111"/>
        <v>3736</v>
      </c>
      <c r="K364" s="10">
        <f t="shared" ref="K364:K427" si="121">K363</f>
        <v>4000</v>
      </c>
      <c r="L364" s="10">
        <f t="shared" ref="L364:L427" si="122">L363</f>
        <v>4000</v>
      </c>
      <c r="M364" s="10">
        <f t="shared" ref="M364:M427" si="123">M363</f>
        <v>4000</v>
      </c>
      <c r="N364" s="10">
        <f t="shared" ca="1" si="115"/>
        <v>-215</v>
      </c>
      <c r="O364" s="10">
        <f t="shared" ca="1" si="116"/>
        <v>-247</v>
      </c>
      <c r="P364" s="10">
        <f t="shared" ca="1" si="117"/>
        <v>-264</v>
      </c>
      <c r="Q364" s="14">
        <v>0</v>
      </c>
      <c r="R364" s="14">
        <v>0</v>
      </c>
      <c r="S364" s="14">
        <v>0</v>
      </c>
      <c r="T364" s="13">
        <f t="shared" ca="1" si="112"/>
        <v>678</v>
      </c>
      <c r="U364" s="12">
        <f t="shared" ca="1" si="119"/>
        <v>2245</v>
      </c>
      <c r="V364" s="12">
        <f t="shared" ca="1" si="118"/>
        <v>2263</v>
      </c>
      <c r="W364" s="12">
        <f t="shared" ca="1" si="120"/>
        <v>2276</v>
      </c>
      <c r="X364" s="13"/>
      <c r="Y364" s="10"/>
      <c r="Z364" s="10"/>
      <c r="AA364" s="10"/>
      <c r="AB364" s="9"/>
    </row>
    <row r="365" spans="1:28" ht="13.15" customHeight="1">
      <c r="A365" s="36">
        <v>351</v>
      </c>
      <c r="B365" s="35">
        <f t="shared" si="113"/>
        <v>45423</v>
      </c>
      <c r="C365" s="16">
        <f t="shared" si="114"/>
        <v>1069</v>
      </c>
      <c r="D365" s="15">
        <f t="shared" si="102"/>
        <v>1874</v>
      </c>
      <c r="E365" s="14">
        <f t="shared" ca="1" si="106"/>
        <v>-842</v>
      </c>
      <c r="F365" s="14">
        <f t="shared" ca="1" si="107"/>
        <v>-810</v>
      </c>
      <c r="G365" s="14">
        <f t="shared" ca="1" si="108"/>
        <v>-793</v>
      </c>
      <c r="H365" s="10">
        <f t="shared" ca="1" si="109"/>
        <v>3785</v>
      </c>
      <c r="I365" s="10">
        <f t="shared" ca="1" si="110"/>
        <v>3753</v>
      </c>
      <c r="J365" s="10">
        <f t="shared" ca="1" si="111"/>
        <v>3736</v>
      </c>
      <c r="K365" s="10">
        <f t="shared" si="121"/>
        <v>4000</v>
      </c>
      <c r="L365" s="10">
        <f t="shared" si="122"/>
        <v>4000</v>
      </c>
      <c r="M365" s="10">
        <f t="shared" si="123"/>
        <v>4000</v>
      </c>
      <c r="N365" s="10">
        <f t="shared" ca="1" si="115"/>
        <v>-215</v>
      </c>
      <c r="O365" s="10">
        <f t="shared" ca="1" si="116"/>
        <v>-247</v>
      </c>
      <c r="P365" s="10">
        <f t="shared" ca="1" si="117"/>
        <v>-264</v>
      </c>
      <c r="Q365" s="14">
        <v>0</v>
      </c>
      <c r="R365" s="14">
        <v>0</v>
      </c>
      <c r="S365" s="14">
        <v>0</v>
      </c>
      <c r="T365" s="13">
        <f t="shared" ca="1" si="112"/>
        <v>680</v>
      </c>
      <c r="U365" s="12">
        <f t="shared" ca="1" si="119"/>
        <v>2245</v>
      </c>
      <c r="V365" s="12">
        <f t="shared" ca="1" si="118"/>
        <v>2263</v>
      </c>
      <c r="W365" s="12">
        <f t="shared" ca="1" si="120"/>
        <v>2276</v>
      </c>
      <c r="X365" s="13"/>
      <c r="Y365" s="10"/>
      <c r="Z365" s="10"/>
      <c r="AA365" s="10"/>
      <c r="AB365" s="9"/>
    </row>
    <row r="366" spans="1:28" ht="13.15" customHeight="1">
      <c r="A366" s="36">
        <v>352</v>
      </c>
      <c r="B366" s="35">
        <f t="shared" si="113"/>
        <v>45424</v>
      </c>
      <c r="C366" s="16">
        <f t="shared" si="114"/>
        <v>1069</v>
      </c>
      <c r="D366" s="15">
        <f t="shared" si="102"/>
        <v>1876</v>
      </c>
      <c r="E366" s="14">
        <f t="shared" ca="1" si="106"/>
        <v>-840</v>
      </c>
      <c r="F366" s="14">
        <f t="shared" ca="1" si="107"/>
        <v>-808</v>
      </c>
      <c r="G366" s="14">
        <f t="shared" ca="1" si="108"/>
        <v>-791</v>
      </c>
      <c r="H366" s="10">
        <f t="shared" ca="1" si="109"/>
        <v>3785</v>
      </c>
      <c r="I366" s="10">
        <f t="shared" ca="1" si="110"/>
        <v>3753</v>
      </c>
      <c r="J366" s="10">
        <f t="shared" ca="1" si="111"/>
        <v>3736</v>
      </c>
      <c r="K366" s="10">
        <f t="shared" si="121"/>
        <v>4000</v>
      </c>
      <c r="L366" s="10">
        <f t="shared" si="122"/>
        <v>4000</v>
      </c>
      <c r="M366" s="10">
        <f t="shared" si="123"/>
        <v>4000</v>
      </c>
      <c r="N366" s="10">
        <f t="shared" ca="1" si="115"/>
        <v>-215</v>
      </c>
      <c r="O366" s="10">
        <f t="shared" ca="1" si="116"/>
        <v>-247</v>
      </c>
      <c r="P366" s="10">
        <f t="shared" ca="1" si="117"/>
        <v>-264</v>
      </c>
      <c r="Q366" s="14">
        <v>0</v>
      </c>
      <c r="R366" s="14">
        <v>0</v>
      </c>
      <c r="S366" s="14">
        <v>0</v>
      </c>
      <c r="T366" s="13">
        <f t="shared" ca="1" si="112"/>
        <v>682</v>
      </c>
      <c r="U366" s="12">
        <f t="shared" ca="1" si="119"/>
        <v>2245</v>
      </c>
      <c r="V366" s="12">
        <f t="shared" ca="1" si="118"/>
        <v>2263</v>
      </c>
      <c r="W366" s="12">
        <f t="shared" ca="1" si="120"/>
        <v>2276</v>
      </c>
      <c r="X366" s="13"/>
      <c r="Y366" s="10"/>
      <c r="Z366" s="10"/>
      <c r="AA366" s="10"/>
      <c r="AB366" s="9"/>
    </row>
    <row r="367" spans="1:28" ht="13.15" customHeight="1">
      <c r="A367" s="36">
        <v>353</v>
      </c>
      <c r="B367" s="35">
        <f t="shared" si="113"/>
        <v>45425</v>
      </c>
      <c r="C367" s="16">
        <f t="shared" si="114"/>
        <v>1069</v>
      </c>
      <c r="D367" s="15">
        <f t="shared" si="102"/>
        <v>1878</v>
      </c>
      <c r="E367" s="14">
        <f t="shared" ca="1" si="106"/>
        <v>-838</v>
      </c>
      <c r="F367" s="14">
        <f t="shared" ca="1" si="107"/>
        <v>-806</v>
      </c>
      <c r="G367" s="14">
        <f t="shared" ca="1" si="108"/>
        <v>-789</v>
      </c>
      <c r="H367" s="10">
        <f t="shared" ca="1" si="109"/>
        <v>3785</v>
      </c>
      <c r="I367" s="10">
        <f t="shared" ca="1" si="110"/>
        <v>3753</v>
      </c>
      <c r="J367" s="10">
        <f t="shared" ca="1" si="111"/>
        <v>3736</v>
      </c>
      <c r="K367" s="10">
        <f t="shared" si="121"/>
        <v>4000</v>
      </c>
      <c r="L367" s="10">
        <f t="shared" si="122"/>
        <v>4000</v>
      </c>
      <c r="M367" s="10">
        <f t="shared" si="123"/>
        <v>4000</v>
      </c>
      <c r="N367" s="10">
        <f t="shared" ca="1" si="115"/>
        <v>-215</v>
      </c>
      <c r="O367" s="10">
        <f t="shared" ca="1" si="116"/>
        <v>-247</v>
      </c>
      <c r="P367" s="10">
        <f t="shared" ca="1" si="117"/>
        <v>-264</v>
      </c>
      <c r="Q367" s="14">
        <v>0</v>
      </c>
      <c r="R367" s="14">
        <v>0</v>
      </c>
      <c r="S367" s="14">
        <v>0</v>
      </c>
      <c r="T367" s="13">
        <f t="shared" ca="1" si="112"/>
        <v>684</v>
      </c>
      <c r="U367" s="12">
        <f t="shared" ca="1" si="119"/>
        <v>2245</v>
      </c>
      <c r="V367" s="12">
        <f t="shared" ca="1" si="118"/>
        <v>2263</v>
      </c>
      <c r="W367" s="12">
        <f t="shared" ca="1" si="120"/>
        <v>2276</v>
      </c>
      <c r="X367" s="13"/>
      <c r="Y367" s="10"/>
      <c r="Z367" s="10"/>
      <c r="AA367" s="10"/>
      <c r="AB367" s="9"/>
    </row>
    <row r="368" spans="1:28" ht="13.15" customHeight="1">
      <c r="A368" s="36">
        <v>354</v>
      </c>
      <c r="B368" s="35">
        <f t="shared" si="113"/>
        <v>45426</v>
      </c>
      <c r="C368" s="16">
        <f t="shared" si="114"/>
        <v>1069</v>
      </c>
      <c r="D368" s="15">
        <f t="shared" si="102"/>
        <v>1880</v>
      </c>
      <c r="E368" s="14">
        <f t="shared" ca="1" si="106"/>
        <v>-836</v>
      </c>
      <c r="F368" s="14">
        <f t="shared" ca="1" si="107"/>
        <v>-804</v>
      </c>
      <c r="G368" s="14">
        <f t="shared" ca="1" si="108"/>
        <v>-787</v>
      </c>
      <c r="H368" s="10">
        <f t="shared" ca="1" si="109"/>
        <v>3785</v>
      </c>
      <c r="I368" s="10">
        <f t="shared" ca="1" si="110"/>
        <v>3753</v>
      </c>
      <c r="J368" s="10">
        <f t="shared" ca="1" si="111"/>
        <v>3736</v>
      </c>
      <c r="K368" s="10">
        <f t="shared" si="121"/>
        <v>4000</v>
      </c>
      <c r="L368" s="10">
        <f t="shared" si="122"/>
        <v>4000</v>
      </c>
      <c r="M368" s="10">
        <f t="shared" si="123"/>
        <v>4000</v>
      </c>
      <c r="N368" s="10">
        <f t="shared" ca="1" si="115"/>
        <v>-215</v>
      </c>
      <c r="O368" s="10">
        <f t="shared" ca="1" si="116"/>
        <v>-247</v>
      </c>
      <c r="P368" s="10">
        <f t="shared" ca="1" si="117"/>
        <v>-264</v>
      </c>
      <c r="Q368" s="14">
        <v>0</v>
      </c>
      <c r="R368" s="14">
        <v>0</v>
      </c>
      <c r="S368" s="14">
        <v>0</v>
      </c>
      <c r="T368" s="13">
        <f t="shared" ca="1" si="112"/>
        <v>686</v>
      </c>
      <c r="U368" s="12">
        <f t="shared" ca="1" si="119"/>
        <v>2245</v>
      </c>
      <c r="V368" s="12">
        <f t="shared" ca="1" si="118"/>
        <v>2263</v>
      </c>
      <c r="W368" s="12">
        <f t="shared" ca="1" si="120"/>
        <v>2276</v>
      </c>
      <c r="X368" s="13"/>
      <c r="Y368" s="10"/>
      <c r="Z368" s="10"/>
      <c r="AA368" s="10"/>
      <c r="AB368" s="9"/>
    </row>
    <row r="369" spans="1:28" ht="13.15" customHeight="1">
      <c r="A369" s="36">
        <v>355</v>
      </c>
      <c r="B369" s="35">
        <f t="shared" si="113"/>
        <v>45427</v>
      </c>
      <c r="C369" s="16">
        <f t="shared" si="114"/>
        <v>1069</v>
      </c>
      <c r="D369" s="15">
        <f t="shared" si="102"/>
        <v>1882</v>
      </c>
      <c r="E369" s="14">
        <f t="shared" ca="1" si="106"/>
        <v>-834</v>
      </c>
      <c r="F369" s="14">
        <f t="shared" ca="1" si="107"/>
        <v>-802</v>
      </c>
      <c r="G369" s="14">
        <f t="shared" ca="1" si="108"/>
        <v>-785</v>
      </c>
      <c r="H369" s="10">
        <f t="shared" ca="1" si="109"/>
        <v>3785</v>
      </c>
      <c r="I369" s="10">
        <f t="shared" ca="1" si="110"/>
        <v>3753</v>
      </c>
      <c r="J369" s="10">
        <f t="shared" ca="1" si="111"/>
        <v>3736</v>
      </c>
      <c r="K369" s="10">
        <f t="shared" si="121"/>
        <v>4000</v>
      </c>
      <c r="L369" s="10">
        <f t="shared" si="122"/>
        <v>4000</v>
      </c>
      <c r="M369" s="10">
        <f t="shared" si="123"/>
        <v>4000</v>
      </c>
      <c r="N369" s="10">
        <f t="shared" ca="1" si="115"/>
        <v>-215</v>
      </c>
      <c r="O369" s="10">
        <f t="shared" ca="1" si="116"/>
        <v>-247</v>
      </c>
      <c r="P369" s="10">
        <f t="shared" ca="1" si="117"/>
        <v>-264</v>
      </c>
      <c r="Q369" s="14">
        <v>0</v>
      </c>
      <c r="R369" s="14">
        <v>0</v>
      </c>
      <c r="S369" s="14">
        <v>0</v>
      </c>
      <c r="T369" s="13">
        <f t="shared" ca="1" si="112"/>
        <v>688</v>
      </c>
      <c r="U369" s="12">
        <f t="shared" ca="1" si="119"/>
        <v>2245</v>
      </c>
      <c r="V369" s="12">
        <f t="shared" ca="1" si="118"/>
        <v>2263</v>
      </c>
      <c r="W369" s="12">
        <f t="shared" ca="1" si="120"/>
        <v>2276</v>
      </c>
      <c r="X369" s="13"/>
      <c r="Y369" s="10"/>
      <c r="Z369" s="10"/>
      <c r="AA369" s="10"/>
      <c r="AB369" s="9"/>
    </row>
    <row r="370" spans="1:28" ht="13.15" customHeight="1">
      <c r="A370" s="36">
        <v>356</v>
      </c>
      <c r="B370" s="35">
        <f t="shared" si="113"/>
        <v>45428</v>
      </c>
      <c r="C370" s="16">
        <f t="shared" si="114"/>
        <v>1069</v>
      </c>
      <c r="D370" s="15">
        <f t="shared" si="102"/>
        <v>1884</v>
      </c>
      <c r="E370" s="14">
        <f t="shared" ca="1" si="106"/>
        <v>-832</v>
      </c>
      <c r="F370" s="14">
        <f t="shared" ca="1" si="107"/>
        <v>-800</v>
      </c>
      <c r="G370" s="14">
        <f t="shared" ca="1" si="108"/>
        <v>-783</v>
      </c>
      <c r="H370" s="10">
        <f t="shared" ca="1" si="109"/>
        <v>3785</v>
      </c>
      <c r="I370" s="10">
        <f t="shared" ca="1" si="110"/>
        <v>3753</v>
      </c>
      <c r="J370" s="10">
        <f t="shared" ca="1" si="111"/>
        <v>3736</v>
      </c>
      <c r="K370" s="10">
        <f t="shared" si="121"/>
        <v>4000</v>
      </c>
      <c r="L370" s="10">
        <f t="shared" si="122"/>
        <v>4000</v>
      </c>
      <c r="M370" s="10">
        <f t="shared" si="123"/>
        <v>4000</v>
      </c>
      <c r="N370" s="10">
        <f t="shared" ca="1" si="115"/>
        <v>-215</v>
      </c>
      <c r="O370" s="10">
        <f t="shared" ca="1" si="116"/>
        <v>-247</v>
      </c>
      <c r="P370" s="10">
        <f t="shared" ca="1" si="117"/>
        <v>-264</v>
      </c>
      <c r="Q370" s="14">
        <v>0</v>
      </c>
      <c r="R370" s="14">
        <v>0</v>
      </c>
      <c r="S370" s="14">
        <v>0</v>
      </c>
      <c r="T370" s="13">
        <f t="shared" ca="1" si="112"/>
        <v>690</v>
      </c>
      <c r="U370" s="12">
        <f t="shared" ca="1" si="119"/>
        <v>2245</v>
      </c>
      <c r="V370" s="12">
        <f t="shared" ca="1" si="118"/>
        <v>2263</v>
      </c>
      <c r="W370" s="12">
        <f t="shared" ca="1" si="120"/>
        <v>2276</v>
      </c>
      <c r="X370" s="13"/>
      <c r="Y370" s="10"/>
      <c r="Z370" s="10"/>
      <c r="AA370" s="10"/>
      <c r="AB370" s="9"/>
    </row>
    <row r="371" spans="1:28" ht="13.15" customHeight="1">
      <c r="A371" s="36">
        <v>357</v>
      </c>
      <c r="B371" s="35">
        <f t="shared" si="113"/>
        <v>45429</v>
      </c>
      <c r="C371" s="16">
        <f t="shared" si="114"/>
        <v>1069</v>
      </c>
      <c r="D371" s="15">
        <f t="shared" si="102"/>
        <v>1886</v>
      </c>
      <c r="E371" s="14">
        <f t="shared" ca="1" si="106"/>
        <v>-830</v>
      </c>
      <c r="F371" s="14">
        <f t="shared" ca="1" si="107"/>
        <v>-798</v>
      </c>
      <c r="G371" s="14">
        <f t="shared" ca="1" si="108"/>
        <v>-781</v>
      </c>
      <c r="H371" s="10">
        <f t="shared" ca="1" si="109"/>
        <v>3785</v>
      </c>
      <c r="I371" s="10">
        <f t="shared" ca="1" si="110"/>
        <v>3753</v>
      </c>
      <c r="J371" s="10">
        <f t="shared" ca="1" si="111"/>
        <v>3736</v>
      </c>
      <c r="K371" s="10">
        <f t="shared" si="121"/>
        <v>4000</v>
      </c>
      <c r="L371" s="10">
        <f t="shared" si="122"/>
        <v>4000</v>
      </c>
      <c r="M371" s="10">
        <f t="shared" si="123"/>
        <v>4000</v>
      </c>
      <c r="N371" s="10">
        <f t="shared" ca="1" si="115"/>
        <v>-215</v>
      </c>
      <c r="O371" s="10">
        <f t="shared" ca="1" si="116"/>
        <v>-247</v>
      </c>
      <c r="P371" s="10">
        <f t="shared" ca="1" si="117"/>
        <v>-264</v>
      </c>
      <c r="Q371" s="14">
        <v>0</v>
      </c>
      <c r="R371" s="14">
        <v>0</v>
      </c>
      <c r="S371" s="14">
        <v>0</v>
      </c>
      <c r="T371" s="13">
        <f t="shared" ca="1" si="112"/>
        <v>692</v>
      </c>
      <c r="U371" s="12">
        <f t="shared" ca="1" si="119"/>
        <v>2245</v>
      </c>
      <c r="V371" s="12">
        <f t="shared" ca="1" si="118"/>
        <v>2263</v>
      </c>
      <c r="W371" s="12">
        <f t="shared" ca="1" si="120"/>
        <v>2276</v>
      </c>
      <c r="X371" s="13"/>
      <c r="Y371" s="10"/>
      <c r="Z371" s="10"/>
      <c r="AA371" s="10"/>
      <c r="AB371" s="9"/>
    </row>
    <row r="372" spans="1:28" ht="13.15" customHeight="1">
      <c r="A372" s="36">
        <v>358</v>
      </c>
      <c r="B372" s="35">
        <f t="shared" si="113"/>
        <v>45430</v>
      </c>
      <c r="C372" s="16">
        <f t="shared" si="114"/>
        <v>1069</v>
      </c>
      <c r="D372" s="15">
        <f t="shared" si="102"/>
        <v>1888</v>
      </c>
      <c r="E372" s="14">
        <f t="shared" ca="1" si="106"/>
        <v>-828</v>
      </c>
      <c r="F372" s="14">
        <f t="shared" ca="1" si="107"/>
        <v>-796</v>
      </c>
      <c r="G372" s="14">
        <f t="shared" ca="1" si="108"/>
        <v>-779</v>
      </c>
      <c r="H372" s="10">
        <f t="shared" ca="1" si="109"/>
        <v>3785</v>
      </c>
      <c r="I372" s="10">
        <f t="shared" ca="1" si="110"/>
        <v>3753</v>
      </c>
      <c r="J372" s="10">
        <f t="shared" ca="1" si="111"/>
        <v>3736</v>
      </c>
      <c r="K372" s="10">
        <f t="shared" si="121"/>
        <v>4000</v>
      </c>
      <c r="L372" s="10">
        <f t="shared" si="122"/>
        <v>4000</v>
      </c>
      <c r="M372" s="10">
        <f t="shared" si="123"/>
        <v>4000</v>
      </c>
      <c r="N372" s="10">
        <f t="shared" ca="1" si="115"/>
        <v>-215</v>
      </c>
      <c r="O372" s="10">
        <f t="shared" ca="1" si="116"/>
        <v>-247</v>
      </c>
      <c r="P372" s="10">
        <f t="shared" ca="1" si="117"/>
        <v>-264</v>
      </c>
      <c r="Q372" s="14">
        <v>0</v>
      </c>
      <c r="R372" s="14">
        <v>0</v>
      </c>
      <c r="S372" s="14">
        <v>0</v>
      </c>
      <c r="T372" s="13">
        <f t="shared" ca="1" si="112"/>
        <v>694</v>
      </c>
      <c r="U372" s="12">
        <f t="shared" ca="1" si="119"/>
        <v>2245</v>
      </c>
      <c r="V372" s="12">
        <f t="shared" ca="1" si="118"/>
        <v>2263</v>
      </c>
      <c r="W372" s="12">
        <f t="shared" ca="1" si="120"/>
        <v>2276</v>
      </c>
      <c r="X372" s="13"/>
      <c r="Y372" s="10"/>
      <c r="Z372" s="10"/>
      <c r="AA372" s="10"/>
      <c r="AB372" s="9"/>
    </row>
    <row r="373" spans="1:28" ht="13.15" customHeight="1">
      <c r="A373" s="36">
        <v>359</v>
      </c>
      <c r="B373" s="35">
        <f t="shared" si="113"/>
        <v>45431</v>
      </c>
      <c r="C373" s="16">
        <f t="shared" si="114"/>
        <v>1069</v>
      </c>
      <c r="D373" s="15">
        <f t="shared" si="102"/>
        <v>1890</v>
      </c>
      <c r="E373" s="14">
        <f t="shared" ca="1" si="106"/>
        <v>-826</v>
      </c>
      <c r="F373" s="14">
        <f t="shared" ca="1" si="107"/>
        <v>-794</v>
      </c>
      <c r="G373" s="14">
        <f t="shared" ca="1" si="108"/>
        <v>-777</v>
      </c>
      <c r="H373" s="10">
        <f t="shared" ca="1" si="109"/>
        <v>3785</v>
      </c>
      <c r="I373" s="10">
        <f t="shared" ca="1" si="110"/>
        <v>3753</v>
      </c>
      <c r="J373" s="10">
        <f t="shared" ca="1" si="111"/>
        <v>3736</v>
      </c>
      <c r="K373" s="10">
        <f t="shared" si="121"/>
        <v>4000</v>
      </c>
      <c r="L373" s="10">
        <f t="shared" si="122"/>
        <v>4000</v>
      </c>
      <c r="M373" s="10">
        <f t="shared" si="123"/>
        <v>4000</v>
      </c>
      <c r="N373" s="10">
        <f t="shared" ca="1" si="115"/>
        <v>-215</v>
      </c>
      <c r="O373" s="10">
        <f t="shared" ca="1" si="116"/>
        <v>-247</v>
      </c>
      <c r="P373" s="10">
        <f t="shared" ca="1" si="117"/>
        <v>-264</v>
      </c>
      <c r="Q373" s="14">
        <v>0</v>
      </c>
      <c r="R373" s="14">
        <v>0</v>
      </c>
      <c r="S373" s="14">
        <v>0</v>
      </c>
      <c r="T373" s="13">
        <f t="shared" ca="1" si="112"/>
        <v>696</v>
      </c>
      <c r="U373" s="12">
        <f t="shared" ca="1" si="119"/>
        <v>2245</v>
      </c>
      <c r="V373" s="12">
        <f t="shared" ca="1" si="118"/>
        <v>2263</v>
      </c>
      <c r="W373" s="12">
        <f t="shared" ca="1" si="120"/>
        <v>2276</v>
      </c>
      <c r="X373" s="13"/>
      <c r="Y373" s="10"/>
      <c r="Z373" s="10"/>
      <c r="AA373" s="10"/>
      <c r="AB373" s="9"/>
    </row>
    <row r="374" spans="1:28" ht="13.15" customHeight="1">
      <c r="A374" s="36">
        <v>360</v>
      </c>
      <c r="B374" s="35">
        <f t="shared" si="113"/>
        <v>45432</v>
      </c>
      <c r="C374" s="16">
        <f t="shared" si="114"/>
        <v>1069</v>
      </c>
      <c r="D374" s="15">
        <f t="shared" si="102"/>
        <v>1892</v>
      </c>
      <c r="E374" s="14">
        <f t="shared" ca="1" si="106"/>
        <v>-824</v>
      </c>
      <c r="F374" s="14">
        <f t="shared" ca="1" si="107"/>
        <v>-792</v>
      </c>
      <c r="G374" s="14">
        <f t="shared" ca="1" si="108"/>
        <v>-775</v>
      </c>
      <c r="H374" s="10">
        <f t="shared" ca="1" si="109"/>
        <v>3785</v>
      </c>
      <c r="I374" s="10">
        <f t="shared" ca="1" si="110"/>
        <v>3753</v>
      </c>
      <c r="J374" s="10">
        <f t="shared" ca="1" si="111"/>
        <v>3736</v>
      </c>
      <c r="K374" s="10">
        <f t="shared" si="121"/>
        <v>4000</v>
      </c>
      <c r="L374" s="10">
        <f t="shared" si="122"/>
        <v>4000</v>
      </c>
      <c r="M374" s="10">
        <f t="shared" si="123"/>
        <v>4000</v>
      </c>
      <c r="N374" s="10">
        <f t="shared" ca="1" si="115"/>
        <v>-215</v>
      </c>
      <c r="O374" s="10">
        <f t="shared" ca="1" si="116"/>
        <v>-247</v>
      </c>
      <c r="P374" s="10">
        <f t="shared" ca="1" si="117"/>
        <v>-264</v>
      </c>
      <c r="Q374" s="14">
        <v>0</v>
      </c>
      <c r="R374" s="14">
        <v>0</v>
      </c>
      <c r="S374" s="14">
        <v>0</v>
      </c>
      <c r="T374" s="13">
        <f t="shared" ca="1" si="112"/>
        <v>698</v>
      </c>
      <c r="U374" s="12">
        <f t="shared" ca="1" si="119"/>
        <v>2245</v>
      </c>
      <c r="V374" s="12">
        <f t="shared" ca="1" si="118"/>
        <v>2263</v>
      </c>
      <c r="W374" s="12">
        <f t="shared" ca="1" si="120"/>
        <v>2276</v>
      </c>
      <c r="X374" s="13"/>
      <c r="Y374" s="10"/>
      <c r="Z374" s="10"/>
      <c r="AA374" s="10"/>
      <c r="AB374" s="9"/>
    </row>
    <row r="375" spans="1:28" ht="13.15" customHeight="1">
      <c r="A375" s="36">
        <v>361</v>
      </c>
      <c r="B375" s="35">
        <f t="shared" si="113"/>
        <v>45433</v>
      </c>
      <c r="C375" s="16">
        <f t="shared" si="114"/>
        <v>1069</v>
      </c>
      <c r="D375" s="15">
        <f t="shared" si="102"/>
        <v>1894</v>
      </c>
      <c r="E375" s="14">
        <f t="shared" ca="1" si="106"/>
        <v>-822</v>
      </c>
      <c r="F375" s="14">
        <f t="shared" ca="1" si="107"/>
        <v>-790</v>
      </c>
      <c r="G375" s="14">
        <f t="shared" ca="1" si="108"/>
        <v>-773</v>
      </c>
      <c r="H375" s="10">
        <f t="shared" ca="1" si="109"/>
        <v>3785</v>
      </c>
      <c r="I375" s="10">
        <f t="shared" ca="1" si="110"/>
        <v>3753</v>
      </c>
      <c r="J375" s="10">
        <f t="shared" ca="1" si="111"/>
        <v>3736</v>
      </c>
      <c r="K375" s="10">
        <f t="shared" si="121"/>
        <v>4000</v>
      </c>
      <c r="L375" s="10">
        <f t="shared" si="122"/>
        <v>4000</v>
      </c>
      <c r="M375" s="10">
        <f t="shared" si="123"/>
        <v>4000</v>
      </c>
      <c r="N375" s="10">
        <f t="shared" ca="1" si="115"/>
        <v>-215</v>
      </c>
      <c r="O375" s="10">
        <f t="shared" ca="1" si="116"/>
        <v>-247</v>
      </c>
      <c r="P375" s="10">
        <f t="shared" ca="1" si="117"/>
        <v>-264</v>
      </c>
      <c r="Q375" s="14">
        <v>0</v>
      </c>
      <c r="R375" s="14">
        <v>0</v>
      </c>
      <c r="S375" s="14">
        <v>0</v>
      </c>
      <c r="T375" s="13">
        <f t="shared" ca="1" si="112"/>
        <v>700</v>
      </c>
      <c r="U375" s="12">
        <f t="shared" ca="1" si="119"/>
        <v>2245</v>
      </c>
      <c r="V375" s="12">
        <f t="shared" ca="1" si="118"/>
        <v>2263</v>
      </c>
      <c r="W375" s="12">
        <f t="shared" ca="1" si="120"/>
        <v>2276</v>
      </c>
      <c r="X375" s="13"/>
      <c r="Y375" s="10"/>
      <c r="Z375" s="10"/>
      <c r="AA375" s="10"/>
      <c r="AB375" s="9"/>
    </row>
    <row r="376" spans="1:28" ht="13.15" customHeight="1">
      <c r="A376" s="36">
        <v>362</v>
      </c>
      <c r="B376" s="35">
        <f t="shared" si="113"/>
        <v>45434</v>
      </c>
      <c r="C376" s="16">
        <f t="shared" si="114"/>
        <v>1069</v>
      </c>
      <c r="D376" s="15">
        <f t="shared" si="102"/>
        <v>1896</v>
      </c>
      <c r="E376" s="14">
        <f t="shared" ca="1" si="106"/>
        <v>-820</v>
      </c>
      <c r="F376" s="14">
        <f t="shared" ca="1" si="107"/>
        <v>-788</v>
      </c>
      <c r="G376" s="14">
        <f t="shared" ca="1" si="108"/>
        <v>-771</v>
      </c>
      <c r="H376" s="10">
        <f t="shared" ca="1" si="109"/>
        <v>3785</v>
      </c>
      <c r="I376" s="10">
        <f t="shared" ca="1" si="110"/>
        <v>3753</v>
      </c>
      <c r="J376" s="10">
        <f t="shared" ca="1" si="111"/>
        <v>3736</v>
      </c>
      <c r="K376" s="10">
        <f t="shared" si="121"/>
        <v>4000</v>
      </c>
      <c r="L376" s="10">
        <f t="shared" si="122"/>
        <v>4000</v>
      </c>
      <c r="M376" s="10">
        <f t="shared" si="123"/>
        <v>4000</v>
      </c>
      <c r="N376" s="10">
        <f t="shared" ca="1" si="115"/>
        <v>-215</v>
      </c>
      <c r="O376" s="10">
        <f t="shared" ca="1" si="116"/>
        <v>-247</v>
      </c>
      <c r="P376" s="10">
        <f t="shared" ca="1" si="117"/>
        <v>-264</v>
      </c>
      <c r="Q376" s="14">
        <v>0</v>
      </c>
      <c r="R376" s="14">
        <v>0</v>
      </c>
      <c r="S376" s="14">
        <v>0</v>
      </c>
      <c r="T376" s="13">
        <f t="shared" ca="1" si="112"/>
        <v>702</v>
      </c>
      <c r="U376" s="12">
        <f t="shared" ca="1" si="119"/>
        <v>2245</v>
      </c>
      <c r="V376" s="12">
        <f t="shared" ca="1" si="118"/>
        <v>2263</v>
      </c>
      <c r="W376" s="12">
        <f t="shared" ca="1" si="120"/>
        <v>2276</v>
      </c>
      <c r="X376" s="13"/>
      <c r="Y376" s="10"/>
      <c r="Z376" s="10"/>
      <c r="AA376" s="10"/>
      <c r="AB376" s="9"/>
    </row>
    <row r="377" spans="1:28" ht="13.15" customHeight="1">
      <c r="A377" s="36">
        <v>363</v>
      </c>
      <c r="B377" s="35">
        <f t="shared" si="113"/>
        <v>45435</v>
      </c>
      <c r="C377" s="16">
        <f t="shared" si="114"/>
        <v>1069</v>
      </c>
      <c r="D377" s="15">
        <f t="shared" si="102"/>
        <v>1898</v>
      </c>
      <c r="E377" s="14">
        <f t="shared" ca="1" si="106"/>
        <v>-818</v>
      </c>
      <c r="F377" s="14">
        <f t="shared" ca="1" si="107"/>
        <v>-786</v>
      </c>
      <c r="G377" s="14">
        <f t="shared" ca="1" si="108"/>
        <v>-769</v>
      </c>
      <c r="H377" s="10">
        <f t="shared" ca="1" si="109"/>
        <v>3785</v>
      </c>
      <c r="I377" s="10">
        <f t="shared" ca="1" si="110"/>
        <v>3753</v>
      </c>
      <c r="J377" s="10">
        <f t="shared" ca="1" si="111"/>
        <v>3736</v>
      </c>
      <c r="K377" s="10">
        <f t="shared" si="121"/>
        <v>4000</v>
      </c>
      <c r="L377" s="10">
        <f t="shared" si="122"/>
        <v>4000</v>
      </c>
      <c r="M377" s="10">
        <f t="shared" si="123"/>
        <v>4000</v>
      </c>
      <c r="N377" s="10">
        <f t="shared" ca="1" si="115"/>
        <v>-215</v>
      </c>
      <c r="O377" s="10">
        <f t="shared" ca="1" si="116"/>
        <v>-247</v>
      </c>
      <c r="P377" s="10">
        <f t="shared" ca="1" si="117"/>
        <v>-264</v>
      </c>
      <c r="Q377" s="14">
        <v>0</v>
      </c>
      <c r="R377" s="14">
        <v>0</v>
      </c>
      <c r="S377" s="14">
        <v>0</v>
      </c>
      <c r="T377" s="13">
        <f t="shared" ca="1" si="112"/>
        <v>704</v>
      </c>
      <c r="U377" s="12">
        <f t="shared" ca="1" si="119"/>
        <v>2245</v>
      </c>
      <c r="V377" s="12">
        <f t="shared" ca="1" si="118"/>
        <v>2263</v>
      </c>
      <c r="W377" s="12">
        <f t="shared" ca="1" si="120"/>
        <v>2276</v>
      </c>
      <c r="X377" s="13"/>
      <c r="Y377" s="10"/>
      <c r="Z377" s="10"/>
      <c r="AA377" s="10"/>
      <c r="AB377" s="9"/>
    </row>
    <row r="378" spans="1:28" ht="13.15" customHeight="1">
      <c r="A378" s="36">
        <v>364</v>
      </c>
      <c r="B378" s="35">
        <f t="shared" si="113"/>
        <v>45436</v>
      </c>
      <c r="C378" s="16">
        <f t="shared" si="114"/>
        <v>1069</v>
      </c>
      <c r="D378" s="15">
        <f t="shared" si="102"/>
        <v>1900</v>
      </c>
      <c r="E378" s="14">
        <f t="shared" ca="1" si="106"/>
        <v>-816</v>
      </c>
      <c r="F378" s="14">
        <f t="shared" ca="1" si="107"/>
        <v>-784</v>
      </c>
      <c r="G378" s="14">
        <f t="shared" ca="1" si="108"/>
        <v>-767</v>
      </c>
      <c r="H378" s="10">
        <f t="shared" ca="1" si="109"/>
        <v>3785</v>
      </c>
      <c r="I378" s="10">
        <f t="shared" ca="1" si="110"/>
        <v>3753</v>
      </c>
      <c r="J378" s="10">
        <f t="shared" ca="1" si="111"/>
        <v>3736</v>
      </c>
      <c r="K378" s="10">
        <f t="shared" si="121"/>
        <v>4000</v>
      </c>
      <c r="L378" s="10">
        <f t="shared" si="122"/>
        <v>4000</v>
      </c>
      <c r="M378" s="10">
        <f t="shared" si="123"/>
        <v>4000</v>
      </c>
      <c r="N378" s="10">
        <f t="shared" ca="1" si="115"/>
        <v>-215</v>
      </c>
      <c r="O378" s="10">
        <f t="shared" ca="1" si="116"/>
        <v>-247</v>
      </c>
      <c r="P378" s="10">
        <f t="shared" ca="1" si="117"/>
        <v>-264</v>
      </c>
      <c r="Q378" s="14">
        <v>0</v>
      </c>
      <c r="R378" s="14">
        <v>0</v>
      </c>
      <c r="S378" s="14">
        <v>0</v>
      </c>
      <c r="T378" s="13">
        <f t="shared" ca="1" si="112"/>
        <v>706</v>
      </c>
      <c r="U378" s="12">
        <f t="shared" ca="1" si="119"/>
        <v>2245</v>
      </c>
      <c r="V378" s="12">
        <f t="shared" ca="1" si="118"/>
        <v>2263</v>
      </c>
      <c r="W378" s="12">
        <f t="shared" ca="1" si="120"/>
        <v>2276</v>
      </c>
      <c r="X378" s="13"/>
      <c r="Y378" s="10"/>
      <c r="Z378" s="10"/>
      <c r="AA378" s="10"/>
      <c r="AB378" s="9"/>
    </row>
    <row r="379" spans="1:28" ht="13.15" customHeight="1">
      <c r="A379" s="36">
        <v>365</v>
      </c>
      <c r="B379" s="35">
        <f t="shared" si="113"/>
        <v>45437</v>
      </c>
      <c r="C379" s="16">
        <f t="shared" si="114"/>
        <v>1069</v>
      </c>
      <c r="D379" s="15">
        <f t="shared" si="102"/>
        <v>1902</v>
      </c>
      <c r="E379" s="14">
        <f t="shared" ca="1" si="106"/>
        <v>-814</v>
      </c>
      <c r="F379" s="14">
        <f t="shared" ca="1" si="107"/>
        <v>-782</v>
      </c>
      <c r="G379" s="14">
        <f t="shared" ca="1" si="108"/>
        <v>-765</v>
      </c>
      <c r="H379" s="10">
        <f t="shared" ca="1" si="109"/>
        <v>3785</v>
      </c>
      <c r="I379" s="10">
        <f t="shared" ca="1" si="110"/>
        <v>3753</v>
      </c>
      <c r="J379" s="10">
        <f t="shared" ca="1" si="111"/>
        <v>3736</v>
      </c>
      <c r="K379" s="10">
        <f t="shared" si="121"/>
        <v>4000</v>
      </c>
      <c r="L379" s="10">
        <f t="shared" si="122"/>
        <v>4000</v>
      </c>
      <c r="M379" s="10">
        <f t="shared" si="123"/>
        <v>4000</v>
      </c>
      <c r="N379" s="10">
        <f t="shared" ca="1" si="115"/>
        <v>-215</v>
      </c>
      <c r="O379" s="10">
        <f t="shared" ca="1" si="116"/>
        <v>-247</v>
      </c>
      <c r="P379" s="10">
        <f t="shared" ca="1" si="117"/>
        <v>-264</v>
      </c>
      <c r="Q379" s="14">
        <v>0</v>
      </c>
      <c r="R379" s="14">
        <v>0</v>
      </c>
      <c r="S379" s="14">
        <v>0</v>
      </c>
      <c r="T379" s="13">
        <f t="shared" ca="1" si="112"/>
        <v>708</v>
      </c>
      <c r="U379" s="12">
        <f t="shared" ca="1" si="119"/>
        <v>2245</v>
      </c>
      <c r="V379" s="12">
        <f t="shared" ca="1" si="118"/>
        <v>2263</v>
      </c>
      <c r="W379" s="12">
        <f t="shared" ca="1" si="120"/>
        <v>2276</v>
      </c>
      <c r="X379" s="13"/>
      <c r="Y379" s="10"/>
      <c r="Z379" s="10"/>
      <c r="AA379" s="10"/>
      <c r="AB379" s="9"/>
    </row>
    <row r="380" spans="1:28" ht="13.15" customHeight="1">
      <c r="A380" s="36">
        <v>366</v>
      </c>
      <c r="B380" s="35">
        <f t="shared" si="113"/>
        <v>45438</v>
      </c>
      <c r="C380" s="16">
        <f t="shared" si="114"/>
        <v>1069</v>
      </c>
      <c r="D380" s="15">
        <f t="shared" si="102"/>
        <v>1904</v>
      </c>
      <c r="E380" s="14">
        <f t="shared" ca="1" si="106"/>
        <v>-812</v>
      </c>
      <c r="F380" s="14">
        <f t="shared" ca="1" si="107"/>
        <v>-780</v>
      </c>
      <c r="G380" s="14">
        <f t="shared" ca="1" si="108"/>
        <v>-763</v>
      </c>
      <c r="H380" s="10">
        <f t="shared" ca="1" si="109"/>
        <v>3785</v>
      </c>
      <c r="I380" s="10">
        <f t="shared" ca="1" si="110"/>
        <v>3753</v>
      </c>
      <c r="J380" s="10">
        <f t="shared" ca="1" si="111"/>
        <v>3736</v>
      </c>
      <c r="K380" s="10">
        <f t="shared" si="121"/>
        <v>4000</v>
      </c>
      <c r="L380" s="10">
        <f t="shared" si="122"/>
        <v>4000</v>
      </c>
      <c r="M380" s="10">
        <f t="shared" si="123"/>
        <v>4000</v>
      </c>
      <c r="N380" s="10">
        <f t="shared" ca="1" si="115"/>
        <v>-215</v>
      </c>
      <c r="O380" s="10">
        <f t="shared" ca="1" si="116"/>
        <v>-247</v>
      </c>
      <c r="P380" s="10">
        <f t="shared" ca="1" si="117"/>
        <v>-264</v>
      </c>
      <c r="Q380" s="14">
        <v>0</v>
      </c>
      <c r="R380" s="14">
        <v>0</v>
      </c>
      <c r="S380" s="14">
        <v>0</v>
      </c>
      <c r="T380" s="13">
        <f t="shared" ca="1" si="112"/>
        <v>710</v>
      </c>
      <c r="U380" s="12">
        <f t="shared" ca="1" si="119"/>
        <v>2245</v>
      </c>
      <c r="V380" s="12">
        <f t="shared" ca="1" si="118"/>
        <v>2263</v>
      </c>
      <c r="W380" s="12">
        <f t="shared" ca="1" si="120"/>
        <v>2276</v>
      </c>
      <c r="X380" s="13"/>
      <c r="Y380" s="10"/>
      <c r="Z380" s="10"/>
      <c r="AA380" s="10"/>
      <c r="AB380" s="9"/>
    </row>
    <row r="381" spans="1:28" ht="13.15" customHeight="1">
      <c r="A381" s="36">
        <v>367</v>
      </c>
      <c r="B381" s="35">
        <f t="shared" si="113"/>
        <v>45439</v>
      </c>
      <c r="C381" s="16">
        <f t="shared" si="114"/>
        <v>1069</v>
      </c>
      <c r="D381" s="15">
        <f t="shared" si="102"/>
        <v>1906</v>
      </c>
      <c r="E381" s="14">
        <f t="shared" ca="1" si="106"/>
        <v>-810</v>
      </c>
      <c r="F381" s="14">
        <f t="shared" ca="1" si="107"/>
        <v>-778</v>
      </c>
      <c r="G381" s="14">
        <f t="shared" ca="1" si="108"/>
        <v>-761</v>
      </c>
      <c r="H381" s="10">
        <f t="shared" ca="1" si="109"/>
        <v>3785</v>
      </c>
      <c r="I381" s="10">
        <f t="shared" ca="1" si="110"/>
        <v>3753</v>
      </c>
      <c r="J381" s="10">
        <f t="shared" ca="1" si="111"/>
        <v>3736</v>
      </c>
      <c r="K381" s="10">
        <f t="shared" si="121"/>
        <v>4000</v>
      </c>
      <c r="L381" s="10">
        <f t="shared" si="122"/>
        <v>4000</v>
      </c>
      <c r="M381" s="10">
        <f t="shared" si="123"/>
        <v>4000</v>
      </c>
      <c r="N381" s="10">
        <f t="shared" ca="1" si="115"/>
        <v>-215</v>
      </c>
      <c r="O381" s="10">
        <f t="shared" ca="1" si="116"/>
        <v>-247</v>
      </c>
      <c r="P381" s="10">
        <f t="shared" ca="1" si="117"/>
        <v>-264</v>
      </c>
      <c r="Q381" s="14">
        <v>0</v>
      </c>
      <c r="R381" s="14">
        <v>0</v>
      </c>
      <c r="S381" s="14">
        <v>0</v>
      </c>
      <c r="T381" s="13">
        <f t="shared" ca="1" si="112"/>
        <v>712</v>
      </c>
      <c r="U381" s="12">
        <f t="shared" ca="1" si="119"/>
        <v>2245</v>
      </c>
      <c r="V381" s="12">
        <f t="shared" ca="1" si="118"/>
        <v>2263</v>
      </c>
      <c r="W381" s="12">
        <f t="shared" ca="1" si="120"/>
        <v>2276</v>
      </c>
      <c r="X381" s="13"/>
      <c r="Y381" s="10"/>
      <c r="Z381" s="10"/>
      <c r="AA381" s="10"/>
      <c r="AB381" s="9"/>
    </row>
    <row r="382" spans="1:28" ht="13.15" customHeight="1">
      <c r="A382" s="36">
        <v>368</v>
      </c>
      <c r="B382" s="35">
        <f t="shared" si="113"/>
        <v>45440</v>
      </c>
      <c r="C382" s="16">
        <f t="shared" si="114"/>
        <v>1069</v>
      </c>
      <c r="D382" s="15">
        <f t="shared" si="102"/>
        <v>1908</v>
      </c>
      <c r="E382" s="14">
        <f t="shared" ca="1" si="106"/>
        <v>-808</v>
      </c>
      <c r="F382" s="14">
        <f t="shared" ca="1" si="107"/>
        <v>-776</v>
      </c>
      <c r="G382" s="14">
        <f t="shared" ca="1" si="108"/>
        <v>-759</v>
      </c>
      <c r="H382" s="10">
        <f t="shared" ca="1" si="109"/>
        <v>3785</v>
      </c>
      <c r="I382" s="10">
        <f t="shared" ca="1" si="110"/>
        <v>3753</v>
      </c>
      <c r="J382" s="10">
        <f t="shared" ca="1" si="111"/>
        <v>3736</v>
      </c>
      <c r="K382" s="10">
        <f t="shared" si="121"/>
        <v>4000</v>
      </c>
      <c r="L382" s="10">
        <f t="shared" si="122"/>
        <v>4000</v>
      </c>
      <c r="M382" s="10">
        <f t="shared" si="123"/>
        <v>4000</v>
      </c>
      <c r="N382" s="10">
        <f t="shared" ca="1" si="115"/>
        <v>-215</v>
      </c>
      <c r="O382" s="10">
        <f t="shared" ca="1" si="116"/>
        <v>-247</v>
      </c>
      <c r="P382" s="10">
        <f t="shared" ca="1" si="117"/>
        <v>-264</v>
      </c>
      <c r="Q382" s="14">
        <v>0</v>
      </c>
      <c r="R382" s="14">
        <v>0</v>
      </c>
      <c r="S382" s="14">
        <v>0</v>
      </c>
      <c r="T382" s="13">
        <f t="shared" ca="1" si="112"/>
        <v>714</v>
      </c>
      <c r="U382" s="12">
        <f t="shared" ca="1" si="119"/>
        <v>2245</v>
      </c>
      <c r="V382" s="12">
        <f t="shared" ca="1" si="118"/>
        <v>2263</v>
      </c>
      <c r="W382" s="12">
        <f t="shared" ca="1" si="120"/>
        <v>2276</v>
      </c>
      <c r="X382" s="13"/>
      <c r="Y382" s="10"/>
      <c r="Z382" s="10"/>
      <c r="AA382" s="10"/>
      <c r="AB382" s="9"/>
    </row>
    <row r="383" spans="1:28" ht="13.15" customHeight="1">
      <c r="A383" s="36">
        <v>369</v>
      </c>
      <c r="B383" s="35">
        <f t="shared" si="113"/>
        <v>45441</v>
      </c>
      <c r="C383" s="16">
        <f t="shared" si="114"/>
        <v>1069</v>
      </c>
      <c r="D383" s="15">
        <f t="shared" ref="D383:D446" si="124">D382+2</f>
        <v>1910</v>
      </c>
      <c r="E383" s="14">
        <f t="shared" ca="1" si="106"/>
        <v>-806</v>
      </c>
      <c r="F383" s="14">
        <f t="shared" ca="1" si="107"/>
        <v>-774</v>
      </c>
      <c r="G383" s="14">
        <f t="shared" ca="1" si="108"/>
        <v>-757</v>
      </c>
      <c r="H383" s="10">
        <f t="shared" ca="1" si="109"/>
        <v>3785</v>
      </c>
      <c r="I383" s="10">
        <f t="shared" ca="1" si="110"/>
        <v>3753</v>
      </c>
      <c r="J383" s="10">
        <f t="shared" ca="1" si="111"/>
        <v>3736</v>
      </c>
      <c r="K383" s="10">
        <f t="shared" si="121"/>
        <v>4000</v>
      </c>
      <c r="L383" s="10">
        <f t="shared" si="122"/>
        <v>4000</v>
      </c>
      <c r="M383" s="10">
        <f t="shared" si="123"/>
        <v>4000</v>
      </c>
      <c r="N383" s="10">
        <f t="shared" ca="1" si="115"/>
        <v>-215</v>
      </c>
      <c r="O383" s="10">
        <f t="shared" ca="1" si="116"/>
        <v>-247</v>
      </c>
      <c r="P383" s="10">
        <f t="shared" ca="1" si="117"/>
        <v>-264</v>
      </c>
      <c r="Q383" s="14">
        <v>0</v>
      </c>
      <c r="R383" s="14">
        <v>0</v>
      </c>
      <c r="S383" s="14">
        <v>0</v>
      </c>
      <c r="T383" s="13">
        <f t="shared" ca="1" si="112"/>
        <v>716</v>
      </c>
      <c r="U383" s="12">
        <f t="shared" ca="1" si="119"/>
        <v>2245</v>
      </c>
      <c r="V383" s="12">
        <f t="shared" ca="1" si="118"/>
        <v>2263</v>
      </c>
      <c r="W383" s="12">
        <f t="shared" ca="1" si="120"/>
        <v>2276</v>
      </c>
      <c r="X383" s="13"/>
      <c r="Y383" s="10"/>
      <c r="Z383" s="10"/>
      <c r="AA383" s="10"/>
      <c r="AB383" s="9"/>
    </row>
    <row r="384" spans="1:28" ht="13.15" customHeight="1">
      <c r="A384" s="36">
        <v>370</v>
      </c>
      <c r="B384" s="35">
        <f t="shared" si="113"/>
        <v>45442</v>
      </c>
      <c r="C384" s="16">
        <f t="shared" si="114"/>
        <v>1069</v>
      </c>
      <c r="D384" s="15">
        <f t="shared" si="124"/>
        <v>1912</v>
      </c>
      <c r="E384" s="14">
        <f t="shared" ca="1" si="106"/>
        <v>-804</v>
      </c>
      <c r="F384" s="14">
        <f t="shared" ca="1" si="107"/>
        <v>-772</v>
      </c>
      <c r="G384" s="14">
        <f t="shared" ca="1" si="108"/>
        <v>-755</v>
      </c>
      <c r="H384" s="10">
        <f t="shared" ca="1" si="109"/>
        <v>3785</v>
      </c>
      <c r="I384" s="10">
        <f t="shared" ca="1" si="110"/>
        <v>3753</v>
      </c>
      <c r="J384" s="10">
        <f t="shared" ca="1" si="111"/>
        <v>3736</v>
      </c>
      <c r="K384" s="10">
        <f t="shared" si="121"/>
        <v>4000</v>
      </c>
      <c r="L384" s="10">
        <f t="shared" si="122"/>
        <v>4000</v>
      </c>
      <c r="M384" s="10">
        <f t="shared" si="123"/>
        <v>4000</v>
      </c>
      <c r="N384" s="10">
        <f t="shared" ca="1" si="115"/>
        <v>-215</v>
      </c>
      <c r="O384" s="10">
        <f t="shared" ca="1" si="116"/>
        <v>-247</v>
      </c>
      <c r="P384" s="10">
        <f t="shared" ca="1" si="117"/>
        <v>-264</v>
      </c>
      <c r="Q384" s="14">
        <v>0</v>
      </c>
      <c r="R384" s="14">
        <v>0</v>
      </c>
      <c r="S384" s="14">
        <v>0</v>
      </c>
      <c r="T384" s="13">
        <f t="shared" ca="1" si="112"/>
        <v>718</v>
      </c>
      <c r="U384" s="12">
        <f t="shared" ca="1" si="119"/>
        <v>2245</v>
      </c>
      <c r="V384" s="12">
        <f t="shared" ca="1" si="118"/>
        <v>2263</v>
      </c>
      <c r="W384" s="12">
        <f t="shared" ca="1" si="120"/>
        <v>2276</v>
      </c>
      <c r="X384" s="13"/>
      <c r="Y384" s="10"/>
      <c r="Z384" s="10"/>
      <c r="AA384" s="10"/>
      <c r="AB384" s="9"/>
    </row>
    <row r="385" spans="1:28" ht="13.15" customHeight="1">
      <c r="A385" s="36">
        <v>371</v>
      </c>
      <c r="B385" s="35">
        <f t="shared" si="113"/>
        <v>45443</v>
      </c>
      <c r="C385" s="16">
        <f t="shared" si="114"/>
        <v>1069</v>
      </c>
      <c r="D385" s="15">
        <f t="shared" si="124"/>
        <v>1914</v>
      </c>
      <c r="E385" s="14">
        <f t="shared" ca="1" si="106"/>
        <v>-802</v>
      </c>
      <c r="F385" s="14">
        <f t="shared" ca="1" si="107"/>
        <v>-770</v>
      </c>
      <c r="G385" s="14">
        <f t="shared" ca="1" si="108"/>
        <v>-753</v>
      </c>
      <c r="H385" s="10">
        <f t="shared" ca="1" si="109"/>
        <v>3785</v>
      </c>
      <c r="I385" s="10">
        <f t="shared" ca="1" si="110"/>
        <v>3753</v>
      </c>
      <c r="J385" s="10">
        <f t="shared" ca="1" si="111"/>
        <v>3736</v>
      </c>
      <c r="K385" s="10">
        <f t="shared" si="121"/>
        <v>4000</v>
      </c>
      <c r="L385" s="10">
        <f t="shared" si="122"/>
        <v>4000</v>
      </c>
      <c r="M385" s="10">
        <f t="shared" si="123"/>
        <v>4000</v>
      </c>
      <c r="N385" s="10">
        <f t="shared" ca="1" si="115"/>
        <v>-215</v>
      </c>
      <c r="O385" s="10">
        <f t="shared" ca="1" si="116"/>
        <v>-247</v>
      </c>
      <c r="P385" s="10">
        <f t="shared" ca="1" si="117"/>
        <v>-264</v>
      </c>
      <c r="Q385" s="14">
        <v>0</v>
      </c>
      <c r="R385" s="14">
        <v>0</v>
      </c>
      <c r="S385" s="14">
        <v>0</v>
      </c>
      <c r="T385" s="13">
        <f t="shared" ca="1" si="112"/>
        <v>720</v>
      </c>
      <c r="U385" s="12">
        <f t="shared" ca="1" si="119"/>
        <v>2245</v>
      </c>
      <c r="V385" s="12">
        <f t="shared" ca="1" si="118"/>
        <v>2263</v>
      </c>
      <c r="W385" s="12">
        <f t="shared" ca="1" si="120"/>
        <v>2276</v>
      </c>
      <c r="X385" s="13"/>
      <c r="Y385" s="10"/>
      <c r="Z385" s="10"/>
      <c r="AA385" s="10"/>
      <c r="AB385" s="9"/>
    </row>
    <row r="386" spans="1:28" ht="13.15" customHeight="1">
      <c r="A386" s="36">
        <v>372</v>
      </c>
      <c r="B386" s="35">
        <f t="shared" si="113"/>
        <v>45444</v>
      </c>
      <c r="C386" s="16">
        <f t="shared" si="114"/>
        <v>1069</v>
      </c>
      <c r="D386" s="15">
        <f t="shared" si="124"/>
        <v>1916</v>
      </c>
      <c r="E386" s="14">
        <f t="shared" ca="1" si="106"/>
        <v>-800</v>
      </c>
      <c r="F386" s="14">
        <f t="shared" ca="1" si="107"/>
        <v>-768</v>
      </c>
      <c r="G386" s="14">
        <f t="shared" ca="1" si="108"/>
        <v>-751</v>
      </c>
      <c r="H386" s="10">
        <f t="shared" ca="1" si="109"/>
        <v>3785</v>
      </c>
      <c r="I386" s="10">
        <f t="shared" ca="1" si="110"/>
        <v>3753</v>
      </c>
      <c r="J386" s="10">
        <f t="shared" ca="1" si="111"/>
        <v>3736</v>
      </c>
      <c r="K386" s="10">
        <f t="shared" si="121"/>
        <v>4000</v>
      </c>
      <c r="L386" s="10">
        <f t="shared" si="122"/>
        <v>4000</v>
      </c>
      <c r="M386" s="10">
        <f t="shared" si="123"/>
        <v>4000</v>
      </c>
      <c r="N386" s="10">
        <f t="shared" ca="1" si="115"/>
        <v>-215</v>
      </c>
      <c r="O386" s="10">
        <f t="shared" ca="1" si="116"/>
        <v>-247</v>
      </c>
      <c r="P386" s="10">
        <f t="shared" ca="1" si="117"/>
        <v>-264</v>
      </c>
      <c r="Q386" s="14">
        <v>0</v>
      </c>
      <c r="R386" s="14">
        <v>0</v>
      </c>
      <c r="S386" s="14">
        <v>0</v>
      </c>
      <c r="T386" s="13">
        <f t="shared" ca="1" si="112"/>
        <v>722</v>
      </c>
      <c r="U386" s="12">
        <f t="shared" ca="1" si="119"/>
        <v>2245</v>
      </c>
      <c r="V386" s="12">
        <f t="shared" ca="1" si="118"/>
        <v>2263</v>
      </c>
      <c r="W386" s="12">
        <f t="shared" ca="1" si="120"/>
        <v>2276</v>
      </c>
      <c r="X386" s="13"/>
      <c r="Y386" s="10"/>
      <c r="Z386" s="10"/>
      <c r="AA386" s="10"/>
      <c r="AB386" s="9"/>
    </row>
    <row r="387" spans="1:28" ht="13.15" customHeight="1">
      <c r="A387" s="36">
        <v>373</v>
      </c>
      <c r="B387" s="35">
        <f t="shared" si="113"/>
        <v>45445</v>
      </c>
      <c r="C387" s="16">
        <f t="shared" si="114"/>
        <v>1069</v>
      </c>
      <c r="D387" s="15">
        <f t="shared" si="124"/>
        <v>1918</v>
      </c>
      <c r="E387" s="14">
        <f t="shared" ca="1" si="106"/>
        <v>-798</v>
      </c>
      <c r="F387" s="14">
        <f t="shared" ca="1" si="107"/>
        <v>-766</v>
      </c>
      <c r="G387" s="14">
        <f t="shared" ca="1" si="108"/>
        <v>-749</v>
      </c>
      <c r="H387" s="10">
        <f t="shared" ca="1" si="109"/>
        <v>3785</v>
      </c>
      <c r="I387" s="10">
        <f t="shared" ca="1" si="110"/>
        <v>3753</v>
      </c>
      <c r="J387" s="10">
        <f t="shared" ca="1" si="111"/>
        <v>3736</v>
      </c>
      <c r="K387" s="10">
        <f t="shared" si="121"/>
        <v>4000</v>
      </c>
      <c r="L387" s="10">
        <f t="shared" si="122"/>
        <v>4000</v>
      </c>
      <c r="M387" s="10">
        <f t="shared" si="123"/>
        <v>4000</v>
      </c>
      <c r="N387" s="10">
        <f t="shared" ca="1" si="115"/>
        <v>-215</v>
      </c>
      <c r="O387" s="10">
        <f t="shared" ca="1" si="116"/>
        <v>-247</v>
      </c>
      <c r="P387" s="10">
        <f t="shared" ca="1" si="117"/>
        <v>-264</v>
      </c>
      <c r="Q387" s="14">
        <v>0</v>
      </c>
      <c r="R387" s="14">
        <v>0</v>
      </c>
      <c r="S387" s="14">
        <v>0</v>
      </c>
      <c r="T387" s="13">
        <f t="shared" ca="1" si="112"/>
        <v>724</v>
      </c>
      <c r="U387" s="12">
        <f t="shared" ca="1" si="119"/>
        <v>2245</v>
      </c>
      <c r="V387" s="12">
        <f t="shared" ca="1" si="118"/>
        <v>2263</v>
      </c>
      <c r="W387" s="12">
        <f t="shared" ca="1" si="120"/>
        <v>2276</v>
      </c>
      <c r="X387" s="13"/>
      <c r="Y387" s="10"/>
      <c r="Z387" s="10"/>
      <c r="AA387" s="10"/>
      <c r="AB387" s="9"/>
    </row>
    <row r="388" spans="1:28" ht="13.15" customHeight="1">
      <c r="A388" s="36">
        <v>374</v>
      </c>
      <c r="B388" s="35">
        <f t="shared" si="113"/>
        <v>45446</v>
      </c>
      <c r="C388" s="16">
        <f t="shared" si="114"/>
        <v>1069</v>
      </c>
      <c r="D388" s="15">
        <f t="shared" si="124"/>
        <v>1920</v>
      </c>
      <c r="E388" s="14">
        <f t="shared" ca="1" si="106"/>
        <v>-796</v>
      </c>
      <c r="F388" s="14">
        <f t="shared" ca="1" si="107"/>
        <v>-764</v>
      </c>
      <c r="G388" s="14">
        <f t="shared" ca="1" si="108"/>
        <v>-747</v>
      </c>
      <c r="H388" s="10">
        <f t="shared" ca="1" si="109"/>
        <v>3785</v>
      </c>
      <c r="I388" s="10">
        <f t="shared" ca="1" si="110"/>
        <v>3753</v>
      </c>
      <c r="J388" s="10">
        <f t="shared" ca="1" si="111"/>
        <v>3736</v>
      </c>
      <c r="K388" s="10">
        <f t="shared" si="121"/>
        <v>4000</v>
      </c>
      <c r="L388" s="10">
        <f t="shared" si="122"/>
        <v>4000</v>
      </c>
      <c r="M388" s="10">
        <f t="shared" si="123"/>
        <v>4000</v>
      </c>
      <c r="N388" s="10">
        <f t="shared" ca="1" si="115"/>
        <v>-215</v>
      </c>
      <c r="O388" s="10">
        <f t="shared" ca="1" si="116"/>
        <v>-247</v>
      </c>
      <c r="P388" s="10">
        <f t="shared" ca="1" si="117"/>
        <v>-264</v>
      </c>
      <c r="Q388" s="14">
        <v>0</v>
      </c>
      <c r="R388" s="14">
        <v>0</v>
      </c>
      <c r="S388" s="14">
        <v>0</v>
      </c>
      <c r="T388" s="13">
        <f t="shared" ca="1" si="112"/>
        <v>726</v>
      </c>
      <c r="U388" s="12">
        <f t="shared" ca="1" si="119"/>
        <v>2245</v>
      </c>
      <c r="V388" s="12">
        <f t="shared" ca="1" si="118"/>
        <v>2263</v>
      </c>
      <c r="W388" s="12">
        <f t="shared" ca="1" si="120"/>
        <v>2276</v>
      </c>
      <c r="X388" s="13"/>
      <c r="Y388" s="10"/>
      <c r="Z388" s="10"/>
      <c r="AA388" s="10"/>
      <c r="AB388" s="9"/>
    </row>
    <row r="389" spans="1:28" ht="13.15" customHeight="1">
      <c r="A389" s="36">
        <v>375</v>
      </c>
      <c r="B389" s="35">
        <f t="shared" si="113"/>
        <v>45447</v>
      </c>
      <c r="C389" s="16">
        <f t="shared" si="114"/>
        <v>1069</v>
      </c>
      <c r="D389" s="15">
        <f t="shared" si="124"/>
        <v>1922</v>
      </c>
      <c r="E389" s="14">
        <f t="shared" ca="1" si="106"/>
        <v>-794</v>
      </c>
      <c r="F389" s="14">
        <f t="shared" ca="1" si="107"/>
        <v>-762</v>
      </c>
      <c r="G389" s="14">
        <f t="shared" ca="1" si="108"/>
        <v>-745</v>
      </c>
      <c r="H389" s="10">
        <f t="shared" ca="1" si="109"/>
        <v>3785</v>
      </c>
      <c r="I389" s="10">
        <f t="shared" ca="1" si="110"/>
        <v>3753</v>
      </c>
      <c r="J389" s="10">
        <f t="shared" ca="1" si="111"/>
        <v>3736</v>
      </c>
      <c r="K389" s="10">
        <f t="shared" si="121"/>
        <v>4000</v>
      </c>
      <c r="L389" s="10">
        <f t="shared" si="122"/>
        <v>4000</v>
      </c>
      <c r="M389" s="10">
        <f t="shared" si="123"/>
        <v>4000</v>
      </c>
      <c r="N389" s="10">
        <f t="shared" ca="1" si="115"/>
        <v>-215</v>
      </c>
      <c r="O389" s="10">
        <f t="shared" ca="1" si="116"/>
        <v>-247</v>
      </c>
      <c r="P389" s="10">
        <f t="shared" ca="1" si="117"/>
        <v>-264</v>
      </c>
      <c r="Q389" s="14">
        <v>0</v>
      </c>
      <c r="R389" s="14">
        <v>0</v>
      </c>
      <c r="S389" s="14">
        <v>0</v>
      </c>
      <c r="T389" s="13">
        <f t="shared" ca="1" si="112"/>
        <v>728</v>
      </c>
      <c r="U389" s="12">
        <f t="shared" ca="1" si="119"/>
        <v>2245</v>
      </c>
      <c r="V389" s="12">
        <f t="shared" ca="1" si="118"/>
        <v>2263</v>
      </c>
      <c r="W389" s="12">
        <f t="shared" ca="1" si="120"/>
        <v>2276</v>
      </c>
      <c r="X389" s="13"/>
      <c r="Y389" s="10"/>
      <c r="Z389" s="10"/>
      <c r="AA389" s="10"/>
      <c r="AB389" s="9"/>
    </row>
    <row r="390" spans="1:28" ht="13.15" customHeight="1">
      <c r="A390" s="36">
        <v>376</v>
      </c>
      <c r="B390" s="35">
        <f t="shared" si="113"/>
        <v>45448</v>
      </c>
      <c r="C390" s="16">
        <f t="shared" si="114"/>
        <v>1069</v>
      </c>
      <c r="D390" s="15">
        <f t="shared" si="124"/>
        <v>1924</v>
      </c>
      <c r="E390" s="14">
        <f t="shared" ca="1" si="106"/>
        <v>-792</v>
      </c>
      <c r="F390" s="14">
        <f t="shared" ca="1" si="107"/>
        <v>-760</v>
      </c>
      <c r="G390" s="14">
        <f t="shared" ca="1" si="108"/>
        <v>-743</v>
      </c>
      <c r="H390" s="10">
        <f t="shared" ca="1" si="109"/>
        <v>3785</v>
      </c>
      <c r="I390" s="10">
        <f t="shared" ca="1" si="110"/>
        <v>3753</v>
      </c>
      <c r="J390" s="10">
        <f t="shared" ca="1" si="111"/>
        <v>3736</v>
      </c>
      <c r="K390" s="10">
        <f t="shared" si="121"/>
        <v>4000</v>
      </c>
      <c r="L390" s="10">
        <f t="shared" si="122"/>
        <v>4000</v>
      </c>
      <c r="M390" s="10">
        <f t="shared" si="123"/>
        <v>4000</v>
      </c>
      <c r="N390" s="10">
        <f t="shared" ca="1" si="115"/>
        <v>-215</v>
      </c>
      <c r="O390" s="10">
        <f t="shared" ca="1" si="116"/>
        <v>-247</v>
      </c>
      <c r="P390" s="10">
        <f t="shared" ca="1" si="117"/>
        <v>-264</v>
      </c>
      <c r="Q390" s="14">
        <v>0</v>
      </c>
      <c r="R390" s="14">
        <v>0</v>
      </c>
      <c r="S390" s="14">
        <v>0</v>
      </c>
      <c r="T390" s="13">
        <f t="shared" ca="1" si="112"/>
        <v>730</v>
      </c>
      <c r="U390" s="12">
        <f t="shared" ca="1" si="119"/>
        <v>2245</v>
      </c>
      <c r="V390" s="12">
        <f t="shared" ca="1" si="118"/>
        <v>2263</v>
      </c>
      <c r="W390" s="12">
        <f t="shared" ca="1" si="120"/>
        <v>2276</v>
      </c>
      <c r="X390" s="13"/>
      <c r="Y390" s="10"/>
      <c r="Z390" s="10"/>
      <c r="AA390" s="10"/>
      <c r="AB390" s="9"/>
    </row>
    <row r="391" spans="1:28" ht="13.15" customHeight="1">
      <c r="A391" s="36">
        <v>377</v>
      </c>
      <c r="B391" s="35">
        <f t="shared" si="113"/>
        <v>45449</v>
      </c>
      <c r="C391" s="16">
        <f t="shared" si="114"/>
        <v>1069</v>
      </c>
      <c r="D391" s="15">
        <f t="shared" si="124"/>
        <v>1926</v>
      </c>
      <c r="E391" s="14">
        <f t="shared" ca="1" si="106"/>
        <v>-790</v>
      </c>
      <c r="F391" s="14">
        <f t="shared" ca="1" si="107"/>
        <v>-758</v>
      </c>
      <c r="G391" s="14">
        <f t="shared" ca="1" si="108"/>
        <v>-741</v>
      </c>
      <c r="H391" s="10">
        <f t="shared" ca="1" si="109"/>
        <v>3785</v>
      </c>
      <c r="I391" s="10">
        <f t="shared" ca="1" si="110"/>
        <v>3753</v>
      </c>
      <c r="J391" s="10">
        <f t="shared" ca="1" si="111"/>
        <v>3736</v>
      </c>
      <c r="K391" s="10">
        <f t="shared" si="121"/>
        <v>4000</v>
      </c>
      <c r="L391" s="10">
        <f t="shared" si="122"/>
        <v>4000</v>
      </c>
      <c r="M391" s="10">
        <f t="shared" si="123"/>
        <v>4000</v>
      </c>
      <c r="N391" s="10">
        <f t="shared" ca="1" si="115"/>
        <v>-215</v>
      </c>
      <c r="O391" s="10">
        <f t="shared" ca="1" si="116"/>
        <v>-247</v>
      </c>
      <c r="P391" s="10">
        <f t="shared" ca="1" si="117"/>
        <v>-264</v>
      </c>
      <c r="Q391" s="14">
        <v>0</v>
      </c>
      <c r="R391" s="14">
        <v>0</v>
      </c>
      <c r="S391" s="14">
        <v>0</v>
      </c>
      <c r="T391" s="13">
        <f t="shared" ca="1" si="112"/>
        <v>732</v>
      </c>
      <c r="U391" s="12">
        <f t="shared" ca="1" si="119"/>
        <v>2245</v>
      </c>
      <c r="V391" s="12">
        <f t="shared" ca="1" si="118"/>
        <v>2263</v>
      </c>
      <c r="W391" s="12">
        <f t="shared" ca="1" si="120"/>
        <v>2276</v>
      </c>
      <c r="X391" s="13"/>
      <c r="Y391" s="10"/>
      <c r="Z391" s="10"/>
      <c r="AA391" s="10"/>
      <c r="AB391" s="9"/>
    </row>
    <row r="392" spans="1:28" ht="13.15" customHeight="1">
      <c r="A392" s="36">
        <v>378</v>
      </c>
      <c r="B392" s="35">
        <f t="shared" si="113"/>
        <v>45450</v>
      </c>
      <c r="C392" s="16">
        <f t="shared" si="114"/>
        <v>1069</v>
      </c>
      <c r="D392" s="15">
        <f t="shared" si="124"/>
        <v>1928</v>
      </c>
      <c r="E392" s="14">
        <f t="shared" ca="1" si="106"/>
        <v>-788</v>
      </c>
      <c r="F392" s="14">
        <f t="shared" ca="1" si="107"/>
        <v>-756</v>
      </c>
      <c r="G392" s="14">
        <f t="shared" ca="1" si="108"/>
        <v>-739</v>
      </c>
      <c r="H392" s="10">
        <f t="shared" ca="1" si="109"/>
        <v>3785</v>
      </c>
      <c r="I392" s="10">
        <f t="shared" ca="1" si="110"/>
        <v>3753</v>
      </c>
      <c r="J392" s="10">
        <f t="shared" ca="1" si="111"/>
        <v>3736</v>
      </c>
      <c r="K392" s="10">
        <f t="shared" si="121"/>
        <v>4000</v>
      </c>
      <c r="L392" s="10">
        <f t="shared" si="122"/>
        <v>4000</v>
      </c>
      <c r="M392" s="10">
        <f t="shared" si="123"/>
        <v>4000</v>
      </c>
      <c r="N392" s="10">
        <f t="shared" ca="1" si="115"/>
        <v>-215</v>
      </c>
      <c r="O392" s="10">
        <f t="shared" ca="1" si="116"/>
        <v>-247</v>
      </c>
      <c r="P392" s="10">
        <f t="shared" ca="1" si="117"/>
        <v>-264</v>
      </c>
      <c r="Q392" s="14">
        <v>0</v>
      </c>
      <c r="R392" s="14">
        <v>0</v>
      </c>
      <c r="S392" s="14">
        <v>0</v>
      </c>
      <c r="T392" s="13">
        <f t="shared" ca="1" si="112"/>
        <v>734</v>
      </c>
      <c r="U392" s="12">
        <f t="shared" ca="1" si="119"/>
        <v>2245</v>
      </c>
      <c r="V392" s="12">
        <f t="shared" ca="1" si="118"/>
        <v>2263</v>
      </c>
      <c r="W392" s="12">
        <f t="shared" ca="1" si="120"/>
        <v>2276</v>
      </c>
      <c r="X392" s="13"/>
      <c r="Y392" s="10"/>
      <c r="Z392" s="10"/>
      <c r="AA392" s="10"/>
      <c r="AB392" s="9"/>
    </row>
    <row r="393" spans="1:28" ht="13.15" customHeight="1">
      <c r="A393" s="36">
        <v>379</v>
      </c>
      <c r="B393" s="35">
        <f t="shared" si="113"/>
        <v>45451</v>
      </c>
      <c r="C393" s="16">
        <f t="shared" si="114"/>
        <v>1069</v>
      </c>
      <c r="D393" s="15">
        <f t="shared" si="124"/>
        <v>1930</v>
      </c>
      <c r="E393" s="14">
        <f t="shared" ca="1" si="106"/>
        <v>-786</v>
      </c>
      <c r="F393" s="14">
        <f t="shared" ca="1" si="107"/>
        <v>-754</v>
      </c>
      <c r="G393" s="14">
        <f t="shared" ca="1" si="108"/>
        <v>-737</v>
      </c>
      <c r="H393" s="10">
        <f t="shared" ca="1" si="109"/>
        <v>3785</v>
      </c>
      <c r="I393" s="10">
        <f t="shared" ca="1" si="110"/>
        <v>3753</v>
      </c>
      <c r="J393" s="10">
        <f t="shared" ca="1" si="111"/>
        <v>3736</v>
      </c>
      <c r="K393" s="10">
        <f t="shared" si="121"/>
        <v>4000</v>
      </c>
      <c r="L393" s="10">
        <f t="shared" si="122"/>
        <v>4000</v>
      </c>
      <c r="M393" s="10">
        <f t="shared" si="123"/>
        <v>4000</v>
      </c>
      <c r="N393" s="10">
        <f t="shared" ca="1" si="115"/>
        <v>-215</v>
      </c>
      <c r="O393" s="10">
        <f t="shared" ca="1" si="116"/>
        <v>-247</v>
      </c>
      <c r="P393" s="10">
        <f t="shared" ca="1" si="117"/>
        <v>-264</v>
      </c>
      <c r="Q393" s="14">
        <v>0</v>
      </c>
      <c r="R393" s="14">
        <v>0</v>
      </c>
      <c r="S393" s="14">
        <v>0</v>
      </c>
      <c r="T393" s="13">
        <f t="shared" ca="1" si="112"/>
        <v>736</v>
      </c>
      <c r="U393" s="12">
        <f t="shared" ca="1" si="119"/>
        <v>2245</v>
      </c>
      <c r="V393" s="12">
        <f t="shared" ca="1" si="118"/>
        <v>2263</v>
      </c>
      <c r="W393" s="12">
        <f t="shared" ca="1" si="120"/>
        <v>2276</v>
      </c>
      <c r="X393" s="13"/>
      <c r="Y393" s="10"/>
      <c r="Z393" s="10"/>
      <c r="AA393" s="10"/>
      <c r="AB393" s="9"/>
    </row>
    <row r="394" spans="1:28" ht="13.15" customHeight="1">
      <c r="A394" s="36">
        <v>380</v>
      </c>
      <c r="B394" s="35">
        <f t="shared" si="113"/>
        <v>45452</v>
      </c>
      <c r="C394" s="16">
        <f t="shared" si="114"/>
        <v>1069</v>
      </c>
      <c r="D394" s="15">
        <f t="shared" si="124"/>
        <v>1932</v>
      </c>
      <c r="E394" s="14">
        <f t="shared" ca="1" si="106"/>
        <v>-784</v>
      </c>
      <c r="F394" s="14">
        <f t="shared" ca="1" si="107"/>
        <v>-752</v>
      </c>
      <c r="G394" s="14">
        <f t="shared" ca="1" si="108"/>
        <v>-735</v>
      </c>
      <c r="H394" s="10">
        <f t="shared" ca="1" si="109"/>
        <v>3785</v>
      </c>
      <c r="I394" s="10">
        <f t="shared" ca="1" si="110"/>
        <v>3753</v>
      </c>
      <c r="J394" s="10">
        <f t="shared" ca="1" si="111"/>
        <v>3736</v>
      </c>
      <c r="K394" s="10">
        <f t="shared" si="121"/>
        <v>4000</v>
      </c>
      <c r="L394" s="10">
        <f t="shared" si="122"/>
        <v>4000</v>
      </c>
      <c r="M394" s="10">
        <f t="shared" si="123"/>
        <v>4000</v>
      </c>
      <c r="N394" s="10">
        <f t="shared" ca="1" si="115"/>
        <v>-215</v>
      </c>
      <c r="O394" s="10">
        <f t="shared" ca="1" si="116"/>
        <v>-247</v>
      </c>
      <c r="P394" s="10">
        <f t="shared" ca="1" si="117"/>
        <v>-264</v>
      </c>
      <c r="Q394" s="14">
        <v>0</v>
      </c>
      <c r="R394" s="14">
        <v>0</v>
      </c>
      <c r="S394" s="14">
        <v>0</v>
      </c>
      <c r="T394" s="13">
        <f t="shared" ca="1" si="112"/>
        <v>738</v>
      </c>
      <c r="U394" s="12">
        <f t="shared" ca="1" si="119"/>
        <v>2245</v>
      </c>
      <c r="V394" s="12">
        <f t="shared" ca="1" si="118"/>
        <v>2263</v>
      </c>
      <c r="W394" s="12">
        <f t="shared" ca="1" si="120"/>
        <v>2276</v>
      </c>
      <c r="X394" s="13"/>
      <c r="Y394" s="10"/>
      <c r="Z394" s="10"/>
      <c r="AA394" s="10"/>
      <c r="AB394" s="9"/>
    </row>
    <row r="395" spans="1:28" ht="13.15" customHeight="1">
      <c r="A395" s="36">
        <v>381</v>
      </c>
      <c r="B395" s="35">
        <f t="shared" si="113"/>
        <v>45453</v>
      </c>
      <c r="C395" s="16">
        <f t="shared" si="114"/>
        <v>1069</v>
      </c>
      <c r="D395" s="15">
        <f t="shared" si="124"/>
        <v>1934</v>
      </c>
      <c r="E395" s="14">
        <f t="shared" ca="1" si="106"/>
        <v>-782</v>
      </c>
      <c r="F395" s="14">
        <f t="shared" ca="1" si="107"/>
        <v>-750</v>
      </c>
      <c r="G395" s="14">
        <f t="shared" ca="1" si="108"/>
        <v>-733</v>
      </c>
      <c r="H395" s="10">
        <f t="shared" ca="1" si="109"/>
        <v>3785</v>
      </c>
      <c r="I395" s="10">
        <f t="shared" ca="1" si="110"/>
        <v>3753</v>
      </c>
      <c r="J395" s="10">
        <f t="shared" ca="1" si="111"/>
        <v>3736</v>
      </c>
      <c r="K395" s="10">
        <f t="shared" si="121"/>
        <v>4000</v>
      </c>
      <c r="L395" s="10">
        <f t="shared" si="122"/>
        <v>4000</v>
      </c>
      <c r="M395" s="10">
        <f t="shared" si="123"/>
        <v>4000</v>
      </c>
      <c r="N395" s="10">
        <f t="shared" ca="1" si="115"/>
        <v>-215</v>
      </c>
      <c r="O395" s="10">
        <f t="shared" ca="1" si="116"/>
        <v>-247</v>
      </c>
      <c r="P395" s="10">
        <f t="shared" ca="1" si="117"/>
        <v>-264</v>
      </c>
      <c r="Q395" s="14">
        <v>0</v>
      </c>
      <c r="R395" s="14">
        <v>0</v>
      </c>
      <c r="S395" s="14">
        <v>0</v>
      </c>
      <c r="T395" s="13">
        <f t="shared" ca="1" si="112"/>
        <v>740</v>
      </c>
      <c r="U395" s="12">
        <f t="shared" ca="1" si="119"/>
        <v>2245</v>
      </c>
      <c r="V395" s="12">
        <f t="shared" ca="1" si="118"/>
        <v>2263</v>
      </c>
      <c r="W395" s="12">
        <f t="shared" ca="1" si="120"/>
        <v>2276</v>
      </c>
      <c r="X395" s="13"/>
      <c r="Y395" s="10"/>
      <c r="Z395" s="10"/>
      <c r="AA395" s="10"/>
      <c r="AB395" s="9"/>
    </row>
    <row r="396" spans="1:28" ht="13.15" customHeight="1">
      <c r="A396" s="36">
        <v>382</v>
      </c>
      <c r="B396" s="35">
        <f t="shared" si="113"/>
        <v>45454</v>
      </c>
      <c r="C396" s="16">
        <f t="shared" si="114"/>
        <v>1069</v>
      </c>
      <c r="D396" s="15">
        <f t="shared" si="124"/>
        <v>1936</v>
      </c>
      <c r="E396" s="14">
        <f t="shared" ca="1" si="106"/>
        <v>-780</v>
      </c>
      <c r="F396" s="14">
        <f t="shared" ca="1" si="107"/>
        <v>-748</v>
      </c>
      <c r="G396" s="14">
        <f t="shared" ca="1" si="108"/>
        <v>-731</v>
      </c>
      <c r="H396" s="10">
        <f t="shared" ca="1" si="109"/>
        <v>3785</v>
      </c>
      <c r="I396" s="10">
        <f t="shared" ca="1" si="110"/>
        <v>3753</v>
      </c>
      <c r="J396" s="10">
        <f t="shared" ca="1" si="111"/>
        <v>3736</v>
      </c>
      <c r="K396" s="10">
        <f t="shared" si="121"/>
        <v>4000</v>
      </c>
      <c r="L396" s="10">
        <f t="shared" si="122"/>
        <v>4000</v>
      </c>
      <c r="M396" s="10">
        <f t="shared" si="123"/>
        <v>4000</v>
      </c>
      <c r="N396" s="10">
        <f t="shared" ca="1" si="115"/>
        <v>-215</v>
      </c>
      <c r="O396" s="10">
        <f t="shared" ca="1" si="116"/>
        <v>-247</v>
      </c>
      <c r="P396" s="10">
        <f t="shared" ca="1" si="117"/>
        <v>-264</v>
      </c>
      <c r="Q396" s="14">
        <v>0</v>
      </c>
      <c r="R396" s="14">
        <v>0</v>
      </c>
      <c r="S396" s="14">
        <v>0</v>
      </c>
      <c r="T396" s="13">
        <f t="shared" ca="1" si="112"/>
        <v>742</v>
      </c>
      <c r="U396" s="12">
        <f t="shared" ca="1" si="119"/>
        <v>2245</v>
      </c>
      <c r="V396" s="12">
        <f t="shared" ca="1" si="118"/>
        <v>2263</v>
      </c>
      <c r="W396" s="12">
        <f t="shared" ca="1" si="120"/>
        <v>2276</v>
      </c>
      <c r="X396" s="13"/>
      <c r="Y396" s="10"/>
      <c r="Z396" s="10"/>
      <c r="AA396" s="10"/>
      <c r="AB396" s="9"/>
    </row>
    <row r="397" spans="1:28" ht="13.15" customHeight="1">
      <c r="A397" s="36">
        <v>383</v>
      </c>
      <c r="B397" s="35">
        <f t="shared" si="113"/>
        <v>45455</v>
      </c>
      <c r="C397" s="16">
        <f t="shared" si="114"/>
        <v>1069</v>
      </c>
      <c r="D397" s="15">
        <f t="shared" si="124"/>
        <v>1938</v>
      </c>
      <c r="E397" s="14">
        <f t="shared" ca="1" si="106"/>
        <v>-778</v>
      </c>
      <c r="F397" s="14">
        <f t="shared" ca="1" si="107"/>
        <v>-746</v>
      </c>
      <c r="G397" s="14">
        <f t="shared" ca="1" si="108"/>
        <v>-729</v>
      </c>
      <c r="H397" s="10">
        <f t="shared" ca="1" si="109"/>
        <v>3785</v>
      </c>
      <c r="I397" s="10">
        <f t="shared" ca="1" si="110"/>
        <v>3753</v>
      </c>
      <c r="J397" s="10">
        <f t="shared" ca="1" si="111"/>
        <v>3736</v>
      </c>
      <c r="K397" s="10">
        <f t="shared" si="121"/>
        <v>4000</v>
      </c>
      <c r="L397" s="10">
        <f t="shared" si="122"/>
        <v>4000</v>
      </c>
      <c r="M397" s="10">
        <f t="shared" si="123"/>
        <v>4000</v>
      </c>
      <c r="N397" s="10">
        <f t="shared" ca="1" si="115"/>
        <v>-215</v>
      </c>
      <c r="O397" s="10">
        <f t="shared" ca="1" si="116"/>
        <v>-247</v>
      </c>
      <c r="P397" s="10">
        <f t="shared" ca="1" si="117"/>
        <v>-264</v>
      </c>
      <c r="Q397" s="14">
        <v>0</v>
      </c>
      <c r="R397" s="14">
        <v>0</v>
      </c>
      <c r="S397" s="14">
        <v>0</v>
      </c>
      <c r="T397" s="13">
        <f t="shared" ca="1" si="112"/>
        <v>744</v>
      </c>
      <c r="U397" s="12">
        <f t="shared" ca="1" si="119"/>
        <v>2245</v>
      </c>
      <c r="V397" s="12">
        <f t="shared" ca="1" si="118"/>
        <v>2263</v>
      </c>
      <c r="W397" s="12">
        <f t="shared" ca="1" si="120"/>
        <v>2276</v>
      </c>
      <c r="X397" s="13"/>
      <c r="Y397" s="10"/>
      <c r="Z397" s="10"/>
      <c r="AA397" s="10"/>
      <c r="AB397" s="9"/>
    </row>
    <row r="398" spans="1:28" ht="13.15" customHeight="1">
      <c r="A398" s="36">
        <v>384</v>
      </c>
      <c r="B398" s="35">
        <f t="shared" si="113"/>
        <v>45456</v>
      </c>
      <c r="C398" s="16">
        <f t="shared" si="114"/>
        <v>1069</v>
      </c>
      <c r="D398" s="15">
        <f t="shared" si="124"/>
        <v>1940</v>
      </c>
      <c r="E398" s="14">
        <f t="shared" ref="E398:E461" ca="1" si="125">C398+D398-H398</f>
        <v>-776</v>
      </c>
      <c r="F398" s="14">
        <f t="shared" ref="F398:F461" ca="1" si="126">C398+D398-I398</f>
        <v>-744</v>
      </c>
      <c r="G398" s="14">
        <f t="shared" ref="G398:G461" ca="1" si="127">D398+C398-J398</f>
        <v>-727</v>
      </c>
      <c r="H398" s="10">
        <f t="shared" ref="H398:H461" ca="1" si="128">K398+N398</f>
        <v>3785</v>
      </c>
      <c r="I398" s="10">
        <f t="shared" ref="I398:I461" ca="1" si="129">L398+O398</f>
        <v>3753</v>
      </c>
      <c r="J398" s="10">
        <f t="shared" ref="J398:J461" ca="1" si="130">M398+P398</f>
        <v>3736</v>
      </c>
      <c r="K398" s="10">
        <f t="shared" si="121"/>
        <v>4000</v>
      </c>
      <c r="L398" s="10">
        <f t="shared" si="122"/>
        <v>4000</v>
      </c>
      <c r="M398" s="10">
        <f t="shared" si="123"/>
        <v>4000</v>
      </c>
      <c r="N398" s="10">
        <f t="shared" ca="1" si="115"/>
        <v>-215</v>
      </c>
      <c r="O398" s="10">
        <f t="shared" ca="1" si="116"/>
        <v>-247</v>
      </c>
      <c r="P398" s="10">
        <f t="shared" ca="1" si="117"/>
        <v>-264</v>
      </c>
      <c r="Q398" s="14">
        <v>0</v>
      </c>
      <c r="R398" s="14">
        <v>0</v>
      </c>
      <c r="S398" s="14">
        <v>0</v>
      </c>
      <c r="T398" s="13">
        <f t="shared" ref="T398:T461" ca="1" si="131">D398+C398-V398</f>
        <v>746</v>
      </c>
      <c r="U398" s="12">
        <f t="shared" ca="1" si="119"/>
        <v>2245</v>
      </c>
      <c r="V398" s="12">
        <f t="shared" ca="1" si="118"/>
        <v>2263</v>
      </c>
      <c r="W398" s="12">
        <f t="shared" ca="1" si="120"/>
        <v>2276</v>
      </c>
      <c r="X398" s="13"/>
      <c r="Y398" s="10"/>
      <c r="Z398" s="10"/>
      <c r="AA398" s="10"/>
      <c r="AB398" s="9"/>
    </row>
    <row r="399" spans="1:28" ht="13.15" customHeight="1">
      <c r="A399" s="36">
        <v>385</v>
      </c>
      <c r="B399" s="35">
        <f t="shared" ref="B399:B462" si="132">B398+1</f>
        <v>45457</v>
      </c>
      <c r="C399" s="16">
        <f t="shared" ref="C399:C462" si="133">C398</f>
        <v>1069</v>
      </c>
      <c r="D399" s="15">
        <f t="shared" si="124"/>
        <v>1942</v>
      </c>
      <c r="E399" s="14">
        <f t="shared" ca="1" si="125"/>
        <v>-774</v>
      </c>
      <c r="F399" s="14">
        <f t="shared" ca="1" si="126"/>
        <v>-742</v>
      </c>
      <c r="G399" s="14">
        <f t="shared" ca="1" si="127"/>
        <v>-725</v>
      </c>
      <c r="H399" s="10">
        <f t="shared" ca="1" si="128"/>
        <v>3785</v>
      </c>
      <c r="I399" s="10">
        <f t="shared" ca="1" si="129"/>
        <v>3753</v>
      </c>
      <c r="J399" s="10">
        <f t="shared" ca="1" si="130"/>
        <v>3736</v>
      </c>
      <c r="K399" s="10">
        <f t="shared" si="121"/>
        <v>4000</v>
      </c>
      <c r="L399" s="10">
        <f t="shared" si="122"/>
        <v>4000</v>
      </c>
      <c r="M399" s="10">
        <f t="shared" si="123"/>
        <v>4000</v>
      </c>
      <c r="N399" s="10">
        <f t="shared" ref="N399:N462" ca="1" si="134">N398-Q399</f>
        <v>-215</v>
      </c>
      <c r="O399" s="10">
        <f t="shared" ref="O399:O462" ca="1" si="135">O398-R399</f>
        <v>-247</v>
      </c>
      <c r="P399" s="10">
        <f t="shared" ref="P399:P462" ca="1" si="136">P398-S399</f>
        <v>-264</v>
      </c>
      <c r="Q399" s="14">
        <v>0</v>
      </c>
      <c r="R399" s="14">
        <v>0</v>
      </c>
      <c r="S399" s="14">
        <v>0</v>
      </c>
      <c r="T399" s="13">
        <f t="shared" ca="1" si="131"/>
        <v>748</v>
      </c>
      <c r="U399" s="12">
        <f t="shared" ca="1" si="119"/>
        <v>2245</v>
      </c>
      <c r="V399" s="12">
        <f t="shared" ca="1" si="118"/>
        <v>2263</v>
      </c>
      <c r="W399" s="12">
        <f t="shared" ca="1" si="120"/>
        <v>2276</v>
      </c>
      <c r="X399" s="13"/>
      <c r="Y399" s="10"/>
      <c r="Z399" s="10"/>
      <c r="AA399" s="10"/>
      <c r="AB399" s="9"/>
    </row>
    <row r="400" spans="1:28" ht="13.15" customHeight="1">
      <c r="A400" s="36">
        <v>386</v>
      </c>
      <c r="B400" s="35">
        <f t="shared" si="132"/>
        <v>45458</v>
      </c>
      <c r="C400" s="16">
        <f t="shared" si="133"/>
        <v>1069</v>
      </c>
      <c r="D400" s="15">
        <f t="shared" si="124"/>
        <v>1944</v>
      </c>
      <c r="E400" s="14">
        <f t="shared" ca="1" si="125"/>
        <v>-772</v>
      </c>
      <c r="F400" s="14">
        <f t="shared" ca="1" si="126"/>
        <v>-740</v>
      </c>
      <c r="G400" s="14">
        <f t="shared" ca="1" si="127"/>
        <v>-723</v>
      </c>
      <c r="H400" s="10">
        <f t="shared" ca="1" si="128"/>
        <v>3785</v>
      </c>
      <c r="I400" s="10">
        <f t="shared" ca="1" si="129"/>
        <v>3753</v>
      </c>
      <c r="J400" s="10">
        <f t="shared" ca="1" si="130"/>
        <v>3736</v>
      </c>
      <c r="K400" s="10">
        <f t="shared" si="121"/>
        <v>4000</v>
      </c>
      <c r="L400" s="10">
        <f t="shared" si="122"/>
        <v>4000</v>
      </c>
      <c r="M400" s="10">
        <f t="shared" si="123"/>
        <v>4000</v>
      </c>
      <c r="N400" s="10">
        <f t="shared" ca="1" si="134"/>
        <v>-215</v>
      </c>
      <c r="O400" s="10">
        <f t="shared" ca="1" si="135"/>
        <v>-247</v>
      </c>
      <c r="P400" s="10">
        <f t="shared" ca="1" si="136"/>
        <v>-264</v>
      </c>
      <c r="Q400" s="14">
        <v>0</v>
      </c>
      <c r="R400" s="14">
        <v>0</v>
      </c>
      <c r="S400" s="14">
        <v>0</v>
      </c>
      <c r="T400" s="13">
        <f t="shared" ca="1" si="131"/>
        <v>750</v>
      </c>
      <c r="U400" s="12">
        <f t="shared" ca="1" si="119"/>
        <v>2245</v>
      </c>
      <c r="V400" s="12">
        <f t="shared" ca="1" si="118"/>
        <v>2263</v>
      </c>
      <c r="W400" s="12">
        <f t="shared" ca="1" si="120"/>
        <v>2276</v>
      </c>
      <c r="X400" s="13"/>
      <c r="Y400" s="10"/>
      <c r="Z400" s="10"/>
      <c r="AA400" s="10"/>
      <c r="AB400" s="9"/>
    </row>
    <row r="401" spans="1:28" ht="13.15" customHeight="1">
      <c r="A401" s="36">
        <v>387</v>
      </c>
      <c r="B401" s="35">
        <f t="shared" si="132"/>
        <v>45459</v>
      </c>
      <c r="C401" s="16">
        <f t="shared" si="133"/>
        <v>1069</v>
      </c>
      <c r="D401" s="15">
        <f t="shared" si="124"/>
        <v>1946</v>
      </c>
      <c r="E401" s="14">
        <f t="shared" ca="1" si="125"/>
        <v>-770</v>
      </c>
      <c r="F401" s="14">
        <f t="shared" ca="1" si="126"/>
        <v>-738</v>
      </c>
      <c r="G401" s="14">
        <f t="shared" ca="1" si="127"/>
        <v>-721</v>
      </c>
      <c r="H401" s="10">
        <f t="shared" ca="1" si="128"/>
        <v>3785</v>
      </c>
      <c r="I401" s="10">
        <f t="shared" ca="1" si="129"/>
        <v>3753</v>
      </c>
      <c r="J401" s="10">
        <f t="shared" ca="1" si="130"/>
        <v>3736</v>
      </c>
      <c r="K401" s="10">
        <f t="shared" si="121"/>
        <v>4000</v>
      </c>
      <c r="L401" s="10">
        <f t="shared" si="122"/>
        <v>4000</v>
      </c>
      <c r="M401" s="10">
        <f t="shared" si="123"/>
        <v>4000</v>
      </c>
      <c r="N401" s="10">
        <f t="shared" ca="1" si="134"/>
        <v>-215</v>
      </c>
      <c r="O401" s="10">
        <f t="shared" ca="1" si="135"/>
        <v>-247</v>
      </c>
      <c r="P401" s="10">
        <f t="shared" ca="1" si="136"/>
        <v>-264</v>
      </c>
      <c r="Q401" s="14">
        <v>0</v>
      </c>
      <c r="R401" s="14">
        <v>0</v>
      </c>
      <c r="S401" s="14">
        <v>0</v>
      </c>
      <c r="T401" s="13">
        <f t="shared" ca="1" si="131"/>
        <v>752</v>
      </c>
      <c r="U401" s="12">
        <f t="shared" ca="1" si="119"/>
        <v>2245</v>
      </c>
      <c r="V401" s="12">
        <f t="shared" ca="1" si="118"/>
        <v>2263</v>
      </c>
      <c r="W401" s="12">
        <f t="shared" ca="1" si="120"/>
        <v>2276</v>
      </c>
      <c r="X401" s="13"/>
      <c r="Y401" s="10"/>
      <c r="Z401" s="10"/>
      <c r="AA401" s="10"/>
      <c r="AB401" s="9"/>
    </row>
    <row r="402" spans="1:28" ht="13.15" customHeight="1">
      <c r="A402" s="36">
        <v>388</v>
      </c>
      <c r="B402" s="35">
        <f t="shared" si="132"/>
        <v>45460</v>
      </c>
      <c r="C402" s="16">
        <f t="shared" si="133"/>
        <v>1069</v>
      </c>
      <c r="D402" s="15">
        <f t="shared" si="124"/>
        <v>1948</v>
      </c>
      <c r="E402" s="14">
        <f t="shared" ca="1" si="125"/>
        <v>-768</v>
      </c>
      <c r="F402" s="14">
        <f t="shared" ca="1" si="126"/>
        <v>-736</v>
      </c>
      <c r="G402" s="14">
        <f t="shared" ca="1" si="127"/>
        <v>-719</v>
      </c>
      <c r="H402" s="10">
        <f t="shared" ca="1" si="128"/>
        <v>3785</v>
      </c>
      <c r="I402" s="10">
        <f t="shared" ca="1" si="129"/>
        <v>3753</v>
      </c>
      <c r="J402" s="10">
        <f t="shared" ca="1" si="130"/>
        <v>3736</v>
      </c>
      <c r="K402" s="10">
        <f t="shared" si="121"/>
        <v>4000</v>
      </c>
      <c r="L402" s="10">
        <f t="shared" si="122"/>
        <v>4000</v>
      </c>
      <c r="M402" s="10">
        <f t="shared" si="123"/>
        <v>4000</v>
      </c>
      <c r="N402" s="10">
        <f t="shared" ca="1" si="134"/>
        <v>-215</v>
      </c>
      <c r="O402" s="10">
        <f t="shared" ca="1" si="135"/>
        <v>-247</v>
      </c>
      <c r="P402" s="10">
        <f t="shared" ca="1" si="136"/>
        <v>-264</v>
      </c>
      <c r="Q402" s="14">
        <v>0</v>
      </c>
      <c r="R402" s="14">
        <v>0</v>
      </c>
      <c r="S402" s="14">
        <v>0</v>
      </c>
      <c r="T402" s="13">
        <f t="shared" ca="1" si="131"/>
        <v>754</v>
      </c>
      <c r="U402" s="12">
        <f t="shared" ca="1" si="119"/>
        <v>2245</v>
      </c>
      <c r="V402" s="12">
        <f t="shared" ca="1" si="118"/>
        <v>2263</v>
      </c>
      <c r="W402" s="12">
        <f t="shared" ca="1" si="120"/>
        <v>2276</v>
      </c>
      <c r="X402" s="13"/>
      <c r="Y402" s="10"/>
      <c r="Z402" s="10"/>
      <c r="AA402" s="10"/>
      <c r="AB402" s="9"/>
    </row>
    <row r="403" spans="1:28" ht="13.15" customHeight="1">
      <c r="A403" s="36">
        <v>389</v>
      </c>
      <c r="B403" s="35">
        <f t="shared" si="132"/>
        <v>45461</v>
      </c>
      <c r="C403" s="16">
        <f t="shared" si="133"/>
        <v>1069</v>
      </c>
      <c r="D403" s="15">
        <f t="shared" si="124"/>
        <v>1950</v>
      </c>
      <c r="E403" s="14">
        <f t="shared" ca="1" si="125"/>
        <v>-766</v>
      </c>
      <c r="F403" s="14">
        <f t="shared" ca="1" si="126"/>
        <v>-734</v>
      </c>
      <c r="G403" s="14">
        <f t="shared" ca="1" si="127"/>
        <v>-717</v>
      </c>
      <c r="H403" s="10">
        <f t="shared" ca="1" si="128"/>
        <v>3785</v>
      </c>
      <c r="I403" s="10">
        <f t="shared" ca="1" si="129"/>
        <v>3753</v>
      </c>
      <c r="J403" s="10">
        <f t="shared" ca="1" si="130"/>
        <v>3736</v>
      </c>
      <c r="K403" s="10">
        <f t="shared" si="121"/>
        <v>4000</v>
      </c>
      <c r="L403" s="10">
        <f t="shared" si="122"/>
        <v>4000</v>
      </c>
      <c r="M403" s="10">
        <f t="shared" si="123"/>
        <v>4000</v>
      </c>
      <c r="N403" s="10">
        <f t="shared" ca="1" si="134"/>
        <v>-215</v>
      </c>
      <c r="O403" s="10">
        <f t="shared" ca="1" si="135"/>
        <v>-247</v>
      </c>
      <c r="P403" s="10">
        <f t="shared" ca="1" si="136"/>
        <v>-264</v>
      </c>
      <c r="Q403" s="14">
        <v>0</v>
      </c>
      <c r="R403" s="14">
        <v>0</v>
      </c>
      <c r="S403" s="14">
        <v>0</v>
      </c>
      <c r="T403" s="13">
        <f t="shared" ca="1" si="131"/>
        <v>756</v>
      </c>
      <c r="U403" s="12">
        <f t="shared" ca="1" si="119"/>
        <v>2245</v>
      </c>
      <c r="V403" s="12">
        <f t="shared" ca="1" si="118"/>
        <v>2263</v>
      </c>
      <c r="W403" s="12">
        <f t="shared" ca="1" si="120"/>
        <v>2276</v>
      </c>
      <c r="X403" s="13"/>
      <c r="Y403" s="10"/>
      <c r="Z403" s="10"/>
      <c r="AA403" s="10"/>
      <c r="AB403" s="9"/>
    </row>
    <row r="404" spans="1:28" ht="13.15" customHeight="1">
      <c r="A404" s="36">
        <v>390</v>
      </c>
      <c r="B404" s="35">
        <f t="shared" si="132"/>
        <v>45462</v>
      </c>
      <c r="C404" s="16">
        <f t="shared" si="133"/>
        <v>1069</v>
      </c>
      <c r="D404" s="15">
        <f t="shared" si="124"/>
        <v>1952</v>
      </c>
      <c r="E404" s="14">
        <f t="shared" ca="1" si="125"/>
        <v>-764</v>
      </c>
      <c r="F404" s="14">
        <f t="shared" ca="1" si="126"/>
        <v>-732</v>
      </c>
      <c r="G404" s="14">
        <f t="shared" ca="1" si="127"/>
        <v>-715</v>
      </c>
      <c r="H404" s="10">
        <f t="shared" ca="1" si="128"/>
        <v>3785</v>
      </c>
      <c r="I404" s="10">
        <f t="shared" ca="1" si="129"/>
        <v>3753</v>
      </c>
      <c r="J404" s="10">
        <f t="shared" ca="1" si="130"/>
        <v>3736</v>
      </c>
      <c r="K404" s="10">
        <f t="shared" si="121"/>
        <v>4000</v>
      </c>
      <c r="L404" s="10">
        <f t="shared" si="122"/>
        <v>4000</v>
      </c>
      <c r="M404" s="10">
        <f t="shared" si="123"/>
        <v>4000</v>
      </c>
      <c r="N404" s="10">
        <f t="shared" ca="1" si="134"/>
        <v>-215</v>
      </c>
      <c r="O404" s="10">
        <f t="shared" ca="1" si="135"/>
        <v>-247</v>
      </c>
      <c r="P404" s="10">
        <f t="shared" ca="1" si="136"/>
        <v>-264</v>
      </c>
      <c r="Q404" s="14">
        <v>0</v>
      </c>
      <c r="R404" s="14">
        <v>0</v>
      </c>
      <c r="S404" s="14">
        <v>0</v>
      </c>
      <c r="T404" s="13">
        <f t="shared" ca="1" si="131"/>
        <v>758</v>
      </c>
      <c r="U404" s="12">
        <f t="shared" ca="1" si="119"/>
        <v>2245</v>
      </c>
      <c r="V404" s="12">
        <f t="shared" ca="1" si="118"/>
        <v>2263</v>
      </c>
      <c r="W404" s="12">
        <f t="shared" ca="1" si="120"/>
        <v>2276</v>
      </c>
      <c r="X404" s="13"/>
      <c r="Y404" s="10"/>
      <c r="Z404" s="10"/>
      <c r="AA404" s="10"/>
      <c r="AB404" s="9"/>
    </row>
    <row r="405" spans="1:28" ht="13.15" customHeight="1">
      <c r="A405" s="36">
        <v>391</v>
      </c>
      <c r="B405" s="35">
        <f t="shared" si="132"/>
        <v>45463</v>
      </c>
      <c r="C405" s="16">
        <f t="shared" si="133"/>
        <v>1069</v>
      </c>
      <c r="D405" s="15">
        <f t="shared" si="124"/>
        <v>1954</v>
      </c>
      <c r="E405" s="14">
        <f t="shared" ca="1" si="125"/>
        <v>-762</v>
      </c>
      <c r="F405" s="14">
        <f t="shared" ca="1" si="126"/>
        <v>-730</v>
      </c>
      <c r="G405" s="14">
        <f t="shared" ca="1" si="127"/>
        <v>-713</v>
      </c>
      <c r="H405" s="10">
        <f t="shared" ca="1" si="128"/>
        <v>3785</v>
      </c>
      <c r="I405" s="10">
        <f t="shared" ca="1" si="129"/>
        <v>3753</v>
      </c>
      <c r="J405" s="10">
        <f t="shared" ca="1" si="130"/>
        <v>3736</v>
      </c>
      <c r="K405" s="10">
        <f t="shared" si="121"/>
        <v>4000</v>
      </c>
      <c r="L405" s="10">
        <f t="shared" si="122"/>
        <v>4000</v>
      </c>
      <c r="M405" s="10">
        <f t="shared" si="123"/>
        <v>4000</v>
      </c>
      <c r="N405" s="10">
        <f t="shared" ca="1" si="134"/>
        <v>-215</v>
      </c>
      <c r="O405" s="10">
        <f t="shared" ca="1" si="135"/>
        <v>-247</v>
      </c>
      <c r="P405" s="10">
        <f t="shared" ca="1" si="136"/>
        <v>-264</v>
      </c>
      <c r="Q405" s="14">
        <v>0</v>
      </c>
      <c r="R405" s="14">
        <v>0</v>
      </c>
      <c r="S405" s="14">
        <v>0</v>
      </c>
      <c r="T405" s="13">
        <f t="shared" ca="1" si="131"/>
        <v>760</v>
      </c>
      <c r="U405" s="12">
        <f t="shared" ca="1" si="119"/>
        <v>2245</v>
      </c>
      <c r="V405" s="12">
        <f t="shared" ca="1" si="118"/>
        <v>2263</v>
      </c>
      <c r="W405" s="12">
        <f t="shared" ca="1" si="120"/>
        <v>2276</v>
      </c>
      <c r="X405" s="13"/>
      <c r="Y405" s="10"/>
      <c r="Z405" s="10"/>
      <c r="AA405" s="10"/>
      <c r="AB405" s="9"/>
    </row>
    <row r="406" spans="1:28" ht="13.15" customHeight="1">
      <c r="A406" s="36">
        <v>392</v>
      </c>
      <c r="B406" s="35">
        <f t="shared" si="132"/>
        <v>45464</v>
      </c>
      <c r="C406" s="16">
        <f t="shared" si="133"/>
        <v>1069</v>
      </c>
      <c r="D406" s="15">
        <f t="shared" si="124"/>
        <v>1956</v>
      </c>
      <c r="E406" s="14">
        <f t="shared" ca="1" si="125"/>
        <v>-760</v>
      </c>
      <c r="F406" s="14">
        <f t="shared" ca="1" si="126"/>
        <v>-728</v>
      </c>
      <c r="G406" s="14">
        <f t="shared" ca="1" si="127"/>
        <v>-711</v>
      </c>
      <c r="H406" s="10">
        <f t="shared" ca="1" si="128"/>
        <v>3785</v>
      </c>
      <c r="I406" s="10">
        <f t="shared" ca="1" si="129"/>
        <v>3753</v>
      </c>
      <c r="J406" s="10">
        <f t="shared" ca="1" si="130"/>
        <v>3736</v>
      </c>
      <c r="K406" s="10">
        <f t="shared" si="121"/>
        <v>4000</v>
      </c>
      <c r="L406" s="10">
        <f t="shared" si="122"/>
        <v>4000</v>
      </c>
      <c r="M406" s="10">
        <f t="shared" si="123"/>
        <v>4000</v>
      </c>
      <c r="N406" s="10">
        <f t="shared" ca="1" si="134"/>
        <v>-215</v>
      </c>
      <c r="O406" s="10">
        <f t="shared" ca="1" si="135"/>
        <v>-247</v>
      </c>
      <c r="P406" s="10">
        <f t="shared" ca="1" si="136"/>
        <v>-264</v>
      </c>
      <c r="Q406" s="14">
        <v>0</v>
      </c>
      <c r="R406" s="14">
        <v>0</v>
      </c>
      <c r="S406" s="14">
        <v>0</v>
      </c>
      <c r="T406" s="13">
        <f t="shared" ca="1" si="131"/>
        <v>762</v>
      </c>
      <c r="U406" s="12">
        <f t="shared" ca="1" si="119"/>
        <v>2245</v>
      </c>
      <c r="V406" s="12">
        <f t="shared" ca="1" si="118"/>
        <v>2263</v>
      </c>
      <c r="W406" s="12">
        <f t="shared" ca="1" si="120"/>
        <v>2276</v>
      </c>
      <c r="X406" s="13"/>
      <c r="Y406" s="10"/>
      <c r="Z406" s="10"/>
      <c r="AA406" s="10"/>
      <c r="AB406" s="9"/>
    </row>
    <row r="407" spans="1:28" ht="13.15" customHeight="1">
      <c r="A407" s="36">
        <v>393</v>
      </c>
      <c r="B407" s="35">
        <f t="shared" si="132"/>
        <v>45465</v>
      </c>
      <c r="C407" s="16">
        <f t="shared" si="133"/>
        <v>1069</v>
      </c>
      <c r="D407" s="15">
        <f t="shared" si="124"/>
        <v>1958</v>
      </c>
      <c r="E407" s="14">
        <f t="shared" ca="1" si="125"/>
        <v>-758</v>
      </c>
      <c r="F407" s="14">
        <f t="shared" ca="1" si="126"/>
        <v>-726</v>
      </c>
      <c r="G407" s="14">
        <f t="shared" ca="1" si="127"/>
        <v>-709</v>
      </c>
      <c r="H407" s="10">
        <f t="shared" ca="1" si="128"/>
        <v>3785</v>
      </c>
      <c r="I407" s="10">
        <f t="shared" ca="1" si="129"/>
        <v>3753</v>
      </c>
      <c r="J407" s="10">
        <f t="shared" ca="1" si="130"/>
        <v>3736</v>
      </c>
      <c r="K407" s="10">
        <f t="shared" si="121"/>
        <v>4000</v>
      </c>
      <c r="L407" s="10">
        <f t="shared" si="122"/>
        <v>4000</v>
      </c>
      <c r="M407" s="10">
        <f t="shared" si="123"/>
        <v>4000</v>
      </c>
      <c r="N407" s="10">
        <f t="shared" ca="1" si="134"/>
        <v>-215</v>
      </c>
      <c r="O407" s="10">
        <f t="shared" ca="1" si="135"/>
        <v>-247</v>
      </c>
      <c r="P407" s="10">
        <f t="shared" ca="1" si="136"/>
        <v>-264</v>
      </c>
      <c r="Q407" s="14">
        <v>0</v>
      </c>
      <c r="R407" s="14">
        <v>0</v>
      </c>
      <c r="S407" s="14">
        <v>0</v>
      </c>
      <c r="T407" s="13">
        <f t="shared" ca="1" si="131"/>
        <v>764</v>
      </c>
      <c r="U407" s="12">
        <f t="shared" ca="1" si="119"/>
        <v>2245</v>
      </c>
      <c r="V407" s="12">
        <f t="shared" ca="1" si="118"/>
        <v>2263</v>
      </c>
      <c r="W407" s="12">
        <f t="shared" ca="1" si="120"/>
        <v>2276</v>
      </c>
      <c r="X407" s="13"/>
      <c r="Y407" s="10"/>
      <c r="Z407" s="10"/>
      <c r="AA407" s="10"/>
      <c r="AB407" s="9"/>
    </row>
    <row r="408" spans="1:28" ht="13.15" customHeight="1">
      <c r="A408" s="36">
        <v>394</v>
      </c>
      <c r="B408" s="35">
        <f t="shared" si="132"/>
        <v>45466</v>
      </c>
      <c r="C408" s="16">
        <f t="shared" si="133"/>
        <v>1069</v>
      </c>
      <c r="D408" s="15">
        <f t="shared" si="124"/>
        <v>1960</v>
      </c>
      <c r="E408" s="14">
        <f t="shared" ca="1" si="125"/>
        <v>-756</v>
      </c>
      <c r="F408" s="14">
        <f t="shared" ca="1" si="126"/>
        <v>-724</v>
      </c>
      <c r="G408" s="14">
        <f t="shared" ca="1" si="127"/>
        <v>-707</v>
      </c>
      <c r="H408" s="10">
        <f t="shared" ca="1" si="128"/>
        <v>3785</v>
      </c>
      <c r="I408" s="10">
        <f t="shared" ca="1" si="129"/>
        <v>3753</v>
      </c>
      <c r="J408" s="10">
        <f t="shared" ca="1" si="130"/>
        <v>3736</v>
      </c>
      <c r="K408" s="10">
        <f t="shared" si="121"/>
        <v>4000</v>
      </c>
      <c r="L408" s="10">
        <f t="shared" si="122"/>
        <v>4000</v>
      </c>
      <c r="M408" s="10">
        <f t="shared" si="123"/>
        <v>4000</v>
      </c>
      <c r="N408" s="10">
        <f t="shared" ca="1" si="134"/>
        <v>-215</v>
      </c>
      <c r="O408" s="10">
        <f t="shared" ca="1" si="135"/>
        <v>-247</v>
      </c>
      <c r="P408" s="10">
        <f t="shared" ca="1" si="136"/>
        <v>-264</v>
      </c>
      <c r="Q408" s="14">
        <v>0</v>
      </c>
      <c r="R408" s="14">
        <v>0</v>
      </c>
      <c r="S408" s="14">
        <v>0</v>
      </c>
      <c r="T408" s="13">
        <f t="shared" ca="1" si="131"/>
        <v>766</v>
      </c>
      <c r="U408" s="12">
        <f t="shared" ca="1" si="119"/>
        <v>2245</v>
      </c>
      <c r="V408" s="12">
        <f t="shared" ca="1" si="118"/>
        <v>2263</v>
      </c>
      <c r="W408" s="12">
        <f t="shared" ca="1" si="120"/>
        <v>2276</v>
      </c>
      <c r="X408" s="13"/>
      <c r="Y408" s="10"/>
      <c r="Z408" s="10"/>
      <c r="AA408" s="10"/>
      <c r="AB408" s="9"/>
    </row>
    <row r="409" spans="1:28" ht="13.15" customHeight="1">
      <c r="A409" s="36">
        <v>395</v>
      </c>
      <c r="B409" s="35">
        <f t="shared" si="132"/>
        <v>45467</v>
      </c>
      <c r="C409" s="16">
        <f t="shared" si="133"/>
        <v>1069</v>
      </c>
      <c r="D409" s="15">
        <f t="shared" si="124"/>
        <v>1962</v>
      </c>
      <c r="E409" s="14">
        <f t="shared" ca="1" si="125"/>
        <v>-754</v>
      </c>
      <c r="F409" s="14">
        <f t="shared" ca="1" si="126"/>
        <v>-722</v>
      </c>
      <c r="G409" s="14">
        <f t="shared" ca="1" si="127"/>
        <v>-705</v>
      </c>
      <c r="H409" s="10">
        <f t="shared" ca="1" si="128"/>
        <v>3785</v>
      </c>
      <c r="I409" s="10">
        <f t="shared" ca="1" si="129"/>
        <v>3753</v>
      </c>
      <c r="J409" s="10">
        <f t="shared" ca="1" si="130"/>
        <v>3736</v>
      </c>
      <c r="K409" s="10">
        <f t="shared" si="121"/>
        <v>4000</v>
      </c>
      <c r="L409" s="10">
        <f t="shared" si="122"/>
        <v>4000</v>
      </c>
      <c r="M409" s="10">
        <f t="shared" si="123"/>
        <v>4000</v>
      </c>
      <c r="N409" s="10">
        <f t="shared" ca="1" si="134"/>
        <v>-215</v>
      </c>
      <c r="O409" s="10">
        <f t="shared" ca="1" si="135"/>
        <v>-247</v>
      </c>
      <c r="P409" s="10">
        <f t="shared" ca="1" si="136"/>
        <v>-264</v>
      </c>
      <c r="Q409" s="14">
        <v>0</v>
      </c>
      <c r="R409" s="14">
        <v>0</v>
      </c>
      <c r="S409" s="14">
        <v>0</v>
      </c>
      <c r="T409" s="13">
        <f t="shared" ca="1" si="131"/>
        <v>768</v>
      </c>
      <c r="U409" s="12">
        <f t="shared" ca="1" si="119"/>
        <v>2245</v>
      </c>
      <c r="V409" s="12">
        <f t="shared" ca="1" si="118"/>
        <v>2263</v>
      </c>
      <c r="W409" s="12">
        <f t="shared" ca="1" si="120"/>
        <v>2276</v>
      </c>
      <c r="X409" s="13"/>
      <c r="Y409" s="10"/>
      <c r="Z409" s="10"/>
      <c r="AA409" s="10"/>
      <c r="AB409" s="9"/>
    </row>
    <row r="410" spans="1:28" ht="13.15" customHeight="1">
      <c r="A410" s="36">
        <v>396</v>
      </c>
      <c r="B410" s="35">
        <f t="shared" si="132"/>
        <v>45468</v>
      </c>
      <c r="C410" s="16">
        <f t="shared" si="133"/>
        <v>1069</v>
      </c>
      <c r="D410" s="15">
        <f t="shared" si="124"/>
        <v>1964</v>
      </c>
      <c r="E410" s="14">
        <f t="shared" ca="1" si="125"/>
        <v>-752</v>
      </c>
      <c r="F410" s="14">
        <f t="shared" ca="1" si="126"/>
        <v>-720</v>
      </c>
      <c r="G410" s="14">
        <f t="shared" ca="1" si="127"/>
        <v>-703</v>
      </c>
      <c r="H410" s="10">
        <f t="shared" ca="1" si="128"/>
        <v>3785</v>
      </c>
      <c r="I410" s="10">
        <f t="shared" ca="1" si="129"/>
        <v>3753</v>
      </c>
      <c r="J410" s="10">
        <f t="shared" ca="1" si="130"/>
        <v>3736</v>
      </c>
      <c r="K410" s="10">
        <f t="shared" si="121"/>
        <v>4000</v>
      </c>
      <c r="L410" s="10">
        <f t="shared" si="122"/>
        <v>4000</v>
      </c>
      <c r="M410" s="10">
        <f t="shared" si="123"/>
        <v>4000</v>
      </c>
      <c r="N410" s="10">
        <f t="shared" ca="1" si="134"/>
        <v>-215</v>
      </c>
      <c r="O410" s="10">
        <f t="shared" ca="1" si="135"/>
        <v>-247</v>
      </c>
      <c r="P410" s="10">
        <f t="shared" ca="1" si="136"/>
        <v>-264</v>
      </c>
      <c r="Q410" s="14">
        <v>0</v>
      </c>
      <c r="R410" s="14">
        <v>0</v>
      </c>
      <c r="S410" s="14">
        <v>0</v>
      </c>
      <c r="T410" s="13">
        <f t="shared" ca="1" si="131"/>
        <v>770</v>
      </c>
      <c r="U410" s="12">
        <f t="shared" ca="1" si="119"/>
        <v>2245</v>
      </c>
      <c r="V410" s="12">
        <f t="shared" ca="1" si="118"/>
        <v>2263</v>
      </c>
      <c r="W410" s="12">
        <f t="shared" ca="1" si="120"/>
        <v>2276</v>
      </c>
      <c r="X410" s="13"/>
      <c r="Y410" s="10"/>
      <c r="Z410" s="10"/>
      <c r="AA410" s="10"/>
      <c r="AB410" s="9"/>
    </row>
    <row r="411" spans="1:28" ht="13.15" customHeight="1">
      <c r="A411" s="36">
        <v>397</v>
      </c>
      <c r="B411" s="35">
        <f t="shared" si="132"/>
        <v>45469</v>
      </c>
      <c r="C411" s="16">
        <f t="shared" si="133"/>
        <v>1069</v>
      </c>
      <c r="D411" s="15">
        <f t="shared" si="124"/>
        <v>1966</v>
      </c>
      <c r="E411" s="14">
        <f t="shared" ca="1" si="125"/>
        <v>-750</v>
      </c>
      <c r="F411" s="14">
        <f t="shared" ca="1" si="126"/>
        <v>-718</v>
      </c>
      <c r="G411" s="14">
        <f t="shared" ca="1" si="127"/>
        <v>-701</v>
      </c>
      <c r="H411" s="10">
        <f t="shared" ca="1" si="128"/>
        <v>3785</v>
      </c>
      <c r="I411" s="10">
        <f t="shared" ca="1" si="129"/>
        <v>3753</v>
      </c>
      <c r="J411" s="10">
        <f t="shared" ca="1" si="130"/>
        <v>3736</v>
      </c>
      <c r="K411" s="10">
        <f t="shared" si="121"/>
        <v>4000</v>
      </c>
      <c r="L411" s="10">
        <f t="shared" si="122"/>
        <v>4000</v>
      </c>
      <c r="M411" s="10">
        <f t="shared" si="123"/>
        <v>4000</v>
      </c>
      <c r="N411" s="10">
        <f t="shared" ca="1" si="134"/>
        <v>-215</v>
      </c>
      <c r="O411" s="10">
        <f t="shared" ca="1" si="135"/>
        <v>-247</v>
      </c>
      <c r="P411" s="10">
        <f t="shared" ca="1" si="136"/>
        <v>-264</v>
      </c>
      <c r="Q411" s="14">
        <v>0</v>
      </c>
      <c r="R411" s="14">
        <v>0</v>
      </c>
      <c r="S411" s="14">
        <v>0</v>
      </c>
      <c r="T411" s="13">
        <f t="shared" ca="1" si="131"/>
        <v>772</v>
      </c>
      <c r="U411" s="12">
        <f t="shared" ca="1" si="119"/>
        <v>2245</v>
      </c>
      <c r="V411" s="12">
        <f t="shared" ref="V411:V474" ca="1" si="137">V410+$X411*1000-R411</f>
        <v>2263</v>
      </c>
      <c r="W411" s="12">
        <f t="shared" ca="1" si="120"/>
        <v>2276</v>
      </c>
      <c r="X411" s="13"/>
      <c r="Y411" s="10"/>
      <c r="Z411" s="10"/>
      <c r="AA411" s="10"/>
      <c r="AB411" s="9"/>
    </row>
    <row r="412" spans="1:28" ht="13.15" customHeight="1">
      <c r="A412" s="36">
        <v>398</v>
      </c>
      <c r="B412" s="35">
        <f t="shared" si="132"/>
        <v>45470</v>
      </c>
      <c r="C412" s="16">
        <f t="shared" si="133"/>
        <v>1069</v>
      </c>
      <c r="D412" s="15">
        <f t="shared" si="124"/>
        <v>1968</v>
      </c>
      <c r="E412" s="14">
        <f t="shared" ca="1" si="125"/>
        <v>-748</v>
      </c>
      <c r="F412" s="14">
        <f t="shared" ca="1" si="126"/>
        <v>-716</v>
      </c>
      <c r="G412" s="14">
        <f t="shared" ca="1" si="127"/>
        <v>-699</v>
      </c>
      <c r="H412" s="10">
        <f t="shared" ca="1" si="128"/>
        <v>3785</v>
      </c>
      <c r="I412" s="10">
        <f t="shared" ca="1" si="129"/>
        <v>3753</v>
      </c>
      <c r="J412" s="10">
        <f t="shared" ca="1" si="130"/>
        <v>3736</v>
      </c>
      <c r="K412" s="10">
        <f t="shared" si="121"/>
        <v>4000</v>
      </c>
      <c r="L412" s="10">
        <f t="shared" si="122"/>
        <v>4000</v>
      </c>
      <c r="M412" s="10">
        <f t="shared" si="123"/>
        <v>4000</v>
      </c>
      <c r="N412" s="10">
        <f t="shared" ca="1" si="134"/>
        <v>-215</v>
      </c>
      <c r="O412" s="10">
        <f t="shared" ca="1" si="135"/>
        <v>-247</v>
      </c>
      <c r="P412" s="10">
        <f t="shared" ca="1" si="136"/>
        <v>-264</v>
      </c>
      <c r="Q412" s="14">
        <v>0</v>
      </c>
      <c r="R412" s="14">
        <v>0</v>
      </c>
      <c r="S412" s="14">
        <v>0</v>
      </c>
      <c r="T412" s="13">
        <f t="shared" ca="1" si="131"/>
        <v>774</v>
      </c>
      <c r="U412" s="12">
        <f t="shared" ref="U412:U475" ca="1" si="138">U411+$X412*1000-Q412</f>
        <v>2245</v>
      </c>
      <c r="V412" s="12">
        <f t="shared" ca="1" si="137"/>
        <v>2263</v>
      </c>
      <c r="W412" s="12">
        <f t="shared" ref="W412:W475" ca="1" si="139">W411+$X412*1000-S412</f>
        <v>2276</v>
      </c>
      <c r="X412" s="13"/>
      <c r="Y412" s="10"/>
      <c r="Z412" s="10"/>
      <c r="AA412" s="10"/>
      <c r="AB412" s="9"/>
    </row>
    <row r="413" spans="1:28" ht="13.15" customHeight="1">
      <c r="A413" s="36">
        <v>399</v>
      </c>
      <c r="B413" s="35">
        <f t="shared" si="132"/>
        <v>45471</v>
      </c>
      <c r="C413" s="16">
        <f t="shared" si="133"/>
        <v>1069</v>
      </c>
      <c r="D413" s="15">
        <f t="shared" si="124"/>
        <v>1970</v>
      </c>
      <c r="E413" s="14">
        <f t="shared" ca="1" si="125"/>
        <v>-746</v>
      </c>
      <c r="F413" s="14">
        <f t="shared" ca="1" si="126"/>
        <v>-714</v>
      </c>
      <c r="G413" s="14">
        <f t="shared" ca="1" si="127"/>
        <v>-697</v>
      </c>
      <c r="H413" s="10">
        <f t="shared" ca="1" si="128"/>
        <v>3785</v>
      </c>
      <c r="I413" s="10">
        <f t="shared" ca="1" si="129"/>
        <v>3753</v>
      </c>
      <c r="J413" s="10">
        <f t="shared" ca="1" si="130"/>
        <v>3736</v>
      </c>
      <c r="K413" s="10">
        <f t="shared" si="121"/>
        <v>4000</v>
      </c>
      <c r="L413" s="10">
        <f t="shared" si="122"/>
        <v>4000</v>
      </c>
      <c r="M413" s="10">
        <f t="shared" si="123"/>
        <v>4000</v>
      </c>
      <c r="N413" s="10">
        <f t="shared" ca="1" si="134"/>
        <v>-215</v>
      </c>
      <c r="O413" s="10">
        <f t="shared" ca="1" si="135"/>
        <v>-247</v>
      </c>
      <c r="P413" s="10">
        <f t="shared" ca="1" si="136"/>
        <v>-264</v>
      </c>
      <c r="Q413" s="14">
        <v>0</v>
      </c>
      <c r="R413" s="14">
        <v>0</v>
      </c>
      <c r="S413" s="14">
        <v>0</v>
      </c>
      <c r="T413" s="13">
        <f t="shared" ca="1" si="131"/>
        <v>776</v>
      </c>
      <c r="U413" s="12">
        <f t="shared" ca="1" si="138"/>
        <v>2245</v>
      </c>
      <c r="V413" s="12">
        <f t="shared" ca="1" si="137"/>
        <v>2263</v>
      </c>
      <c r="W413" s="12">
        <f t="shared" ca="1" si="139"/>
        <v>2276</v>
      </c>
      <c r="X413" s="13"/>
      <c r="Y413" s="10"/>
      <c r="Z413" s="10"/>
      <c r="AA413" s="10"/>
      <c r="AB413" s="9"/>
    </row>
    <row r="414" spans="1:28" ht="13.15" customHeight="1">
      <c r="A414" s="36">
        <v>400</v>
      </c>
      <c r="B414" s="35">
        <f t="shared" si="132"/>
        <v>45472</v>
      </c>
      <c r="C414" s="16">
        <f t="shared" si="133"/>
        <v>1069</v>
      </c>
      <c r="D414" s="15">
        <f t="shared" si="124"/>
        <v>1972</v>
      </c>
      <c r="E414" s="14">
        <f t="shared" ca="1" si="125"/>
        <v>-744</v>
      </c>
      <c r="F414" s="14">
        <f t="shared" ca="1" si="126"/>
        <v>-712</v>
      </c>
      <c r="G414" s="14">
        <f t="shared" ca="1" si="127"/>
        <v>-695</v>
      </c>
      <c r="H414" s="10">
        <f t="shared" ca="1" si="128"/>
        <v>3785</v>
      </c>
      <c r="I414" s="10">
        <f t="shared" ca="1" si="129"/>
        <v>3753</v>
      </c>
      <c r="J414" s="10">
        <f t="shared" ca="1" si="130"/>
        <v>3736</v>
      </c>
      <c r="K414" s="10">
        <f t="shared" si="121"/>
        <v>4000</v>
      </c>
      <c r="L414" s="10">
        <f t="shared" si="122"/>
        <v>4000</v>
      </c>
      <c r="M414" s="10">
        <f t="shared" si="123"/>
        <v>4000</v>
      </c>
      <c r="N414" s="10">
        <f t="shared" ca="1" si="134"/>
        <v>-215</v>
      </c>
      <c r="O414" s="10">
        <f t="shared" ca="1" si="135"/>
        <v>-247</v>
      </c>
      <c r="P414" s="10">
        <f t="shared" ca="1" si="136"/>
        <v>-264</v>
      </c>
      <c r="Q414" s="14">
        <v>0</v>
      </c>
      <c r="R414" s="14">
        <v>0</v>
      </c>
      <c r="S414" s="14">
        <v>0</v>
      </c>
      <c r="T414" s="13">
        <f t="shared" ca="1" si="131"/>
        <v>778</v>
      </c>
      <c r="U414" s="12">
        <f t="shared" ca="1" si="138"/>
        <v>2245</v>
      </c>
      <c r="V414" s="12">
        <f t="shared" ca="1" si="137"/>
        <v>2263</v>
      </c>
      <c r="W414" s="12">
        <f t="shared" ca="1" si="139"/>
        <v>2276</v>
      </c>
      <c r="X414" s="13"/>
      <c r="Y414" s="10"/>
      <c r="Z414" s="10"/>
      <c r="AA414" s="10"/>
      <c r="AB414" s="9"/>
    </row>
    <row r="415" spans="1:28" ht="13.15" customHeight="1">
      <c r="A415" s="36">
        <v>401</v>
      </c>
      <c r="B415" s="35">
        <f t="shared" si="132"/>
        <v>45473</v>
      </c>
      <c r="C415" s="16">
        <f t="shared" si="133"/>
        <v>1069</v>
      </c>
      <c r="D415" s="15">
        <f t="shared" si="124"/>
        <v>1974</v>
      </c>
      <c r="E415" s="14">
        <f t="shared" ca="1" si="125"/>
        <v>-742</v>
      </c>
      <c r="F415" s="14">
        <f t="shared" ca="1" si="126"/>
        <v>-710</v>
      </c>
      <c r="G415" s="14">
        <f t="shared" ca="1" si="127"/>
        <v>-693</v>
      </c>
      <c r="H415" s="10">
        <f t="shared" ca="1" si="128"/>
        <v>3785</v>
      </c>
      <c r="I415" s="10">
        <f t="shared" ca="1" si="129"/>
        <v>3753</v>
      </c>
      <c r="J415" s="10">
        <f t="shared" ca="1" si="130"/>
        <v>3736</v>
      </c>
      <c r="K415" s="10">
        <f t="shared" si="121"/>
        <v>4000</v>
      </c>
      <c r="L415" s="10">
        <f t="shared" si="122"/>
        <v>4000</v>
      </c>
      <c r="M415" s="10">
        <f t="shared" si="123"/>
        <v>4000</v>
      </c>
      <c r="N415" s="10">
        <f t="shared" ca="1" si="134"/>
        <v>-215</v>
      </c>
      <c r="O415" s="10">
        <f t="shared" ca="1" si="135"/>
        <v>-247</v>
      </c>
      <c r="P415" s="10">
        <f t="shared" ca="1" si="136"/>
        <v>-264</v>
      </c>
      <c r="Q415" s="14">
        <v>0</v>
      </c>
      <c r="R415" s="14">
        <v>0</v>
      </c>
      <c r="S415" s="14">
        <v>0</v>
      </c>
      <c r="T415" s="13">
        <f t="shared" ca="1" si="131"/>
        <v>780</v>
      </c>
      <c r="U415" s="12">
        <f t="shared" ca="1" si="138"/>
        <v>2245</v>
      </c>
      <c r="V415" s="12">
        <f t="shared" ca="1" si="137"/>
        <v>2263</v>
      </c>
      <c r="W415" s="12">
        <f t="shared" ca="1" si="139"/>
        <v>2276</v>
      </c>
      <c r="X415" s="13"/>
      <c r="Y415" s="10"/>
      <c r="Z415" s="10"/>
      <c r="AA415" s="10"/>
      <c r="AB415" s="9"/>
    </row>
    <row r="416" spans="1:28" ht="13.15" customHeight="1">
      <c r="A416" s="36">
        <v>402</v>
      </c>
      <c r="B416" s="35">
        <f t="shared" si="132"/>
        <v>45474</v>
      </c>
      <c r="C416" s="16">
        <f t="shared" si="133"/>
        <v>1069</v>
      </c>
      <c r="D416" s="15">
        <f t="shared" si="124"/>
        <v>1976</v>
      </c>
      <c r="E416" s="14">
        <f t="shared" ca="1" si="125"/>
        <v>-740</v>
      </c>
      <c r="F416" s="14">
        <f t="shared" ca="1" si="126"/>
        <v>-708</v>
      </c>
      <c r="G416" s="14">
        <f t="shared" ca="1" si="127"/>
        <v>-691</v>
      </c>
      <c r="H416" s="10">
        <f t="shared" ca="1" si="128"/>
        <v>3785</v>
      </c>
      <c r="I416" s="10">
        <f t="shared" ca="1" si="129"/>
        <v>3753</v>
      </c>
      <c r="J416" s="10">
        <f t="shared" ca="1" si="130"/>
        <v>3736</v>
      </c>
      <c r="K416" s="10">
        <f t="shared" si="121"/>
        <v>4000</v>
      </c>
      <c r="L416" s="10">
        <f t="shared" si="122"/>
        <v>4000</v>
      </c>
      <c r="M416" s="10">
        <f t="shared" si="123"/>
        <v>4000</v>
      </c>
      <c r="N416" s="10">
        <f t="shared" ca="1" si="134"/>
        <v>-215</v>
      </c>
      <c r="O416" s="10">
        <f t="shared" ca="1" si="135"/>
        <v>-247</v>
      </c>
      <c r="P416" s="10">
        <f t="shared" ca="1" si="136"/>
        <v>-264</v>
      </c>
      <c r="Q416" s="14">
        <v>0</v>
      </c>
      <c r="R416" s="14">
        <v>0</v>
      </c>
      <c r="S416" s="14">
        <v>0</v>
      </c>
      <c r="T416" s="13">
        <f t="shared" ca="1" si="131"/>
        <v>782</v>
      </c>
      <c r="U416" s="12">
        <f t="shared" ca="1" si="138"/>
        <v>2245</v>
      </c>
      <c r="V416" s="12">
        <f t="shared" ca="1" si="137"/>
        <v>2263</v>
      </c>
      <c r="W416" s="12">
        <f t="shared" ca="1" si="139"/>
        <v>2276</v>
      </c>
      <c r="X416" s="13"/>
      <c r="Y416" s="10"/>
      <c r="Z416" s="10"/>
      <c r="AA416" s="10"/>
      <c r="AB416" s="9"/>
    </row>
    <row r="417" spans="1:28" ht="13.15" customHeight="1">
      <c r="A417" s="36">
        <v>403</v>
      </c>
      <c r="B417" s="35">
        <f t="shared" si="132"/>
        <v>45475</v>
      </c>
      <c r="C417" s="16">
        <f t="shared" si="133"/>
        <v>1069</v>
      </c>
      <c r="D417" s="15">
        <f t="shared" si="124"/>
        <v>1978</v>
      </c>
      <c r="E417" s="14">
        <f t="shared" ca="1" si="125"/>
        <v>-738</v>
      </c>
      <c r="F417" s="14">
        <f t="shared" ca="1" si="126"/>
        <v>-706</v>
      </c>
      <c r="G417" s="14">
        <f t="shared" ca="1" si="127"/>
        <v>-689</v>
      </c>
      <c r="H417" s="10">
        <f t="shared" ca="1" si="128"/>
        <v>3785</v>
      </c>
      <c r="I417" s="10">
        <f t="shared" ca="1" si="129"/>
        <v>3753</v>
      </c>
      <c r="J417" s="10">
        <f t="shared" ca="1" si="130"/>
        <v>3736</v>
      </c>
      <c r="K417" s="10">
        <f t="shared" si="121"/>
        <v>4000</v>
      </c>
      <c r="L417" s="10">
        <f t="shared" si="122"/>
        <v>4000</v>
      </c>
      <c r="M417" s="10">
        <f t="shared" si="123"/>
        <v>4000</v>
      </c>
      <c r="N417" s="10">
        <f t="shared" ca="1" si="134"/>
        <v>-215</v>
      </c>
      <c r="O417" s="10">
        <f t="shared" ca="1" si="135"/>
        <v>-247</v>
      </c>
      <c r="P417" s="10">
        <f t="shared" ca="1" si="136"/>
        <v>-264</v>
      </c>
      <c r="Q417" s="14">
        <v>0</v>
      </c>
      <c r="R417" s="14">
        <v>0</v>
      </c>
      <c r="S417" s="14">
        <v>0</v>
      </c>
      <c r="T417" s="13">
        <f t="shared" ca="1" si="131"/>
        <v>784</v>
      </c>
      <c r="U417" s="12">
        <f t="shared" ca="1" si="138"/>
        <v>2245</v>
      </c>
      <c r="V417" s="12">
        <f t="shared" ca="1" si="137"/>
        <v>2263</v>
      </c>
      <c r="W417" s="12">
        <f t="shared" ca="1" si="139"/>
        <v>2276</v>
      </c>
      <c r="X417" s="13"/>
      <c r="Y417" s="10"/>
      <c r="Z417" s="10"/>
      <c r="AA417" s="10"/>
      <c r="AB417" s="9"/>
    </row>
    <row r="418" spans="1:28" ht="13.15" customHeight="1">
      <c r="A418" s="36">
        <v>404</v>
      </c>
      <c r="B418" s="35">
        <f t="shared" si="132"/>
        <v>45476</v>
      </c>
      <c r="C418" s="16">
        <f t="shared" si="133"/>
        <v>1069</v>
      </c>
      <c r="D418" s="15">
        <f t="shared" si="124"/>
        <v>1980</v>
      </c>
      <c r="E418" s="14">
        <f t="shared" ca="1" si="125"/>
        <v>-736</v>
      </c>
      <c r="F418" s="14">
        <f t="shared" ca="1" si="126"/>
        <v>-704</v>
      </c>
      <c r="G418" s="14">
        <f t="shared" ca="1" si="127"/>
        <v>-687</v>
      </c>
      <c r="H418" s="10">
        <f t="shared" ca="1" si="128"/>
        <v>3785</v>
      </c>
      <c r="I418" s="10">
        <f t="shared" ca="1" si="129"/>
        <v>3753</v>
      </c>
      <c r="J418" s="10">
        <f t="shared" ca="1" si="130"/>
        <v>3736</v>
      </c>
      <c r="K418" s="10">
        <f t="shared" si="121"/>
        <v>4000</v>
      </c>
      <c r="L418" s="10">
        <f t="shared" si="122"/>
        <v>4000</v>
      </c>
      <c r="M418" s="10">
        <f t="shared" si="123"/>
        <v>4000</v>
      </c>
      <c r="N418" s="10">
        <f t="shared" ca="1" si="134"/>
        <v>-215</v>
      </c>
      <c r="O418" s="10">
        <f t="shared" ca="1" si="135"/>
        <v>-247</v>
      </c>
      <c r="P418" s="10">
        <f t="shared" ca="1" si="136"/>
        <v>-264</v>
      </c>
      <c r="Q418" s="14">
        <v>0</v>
      </c>
      <c r="R418" s="14">
        <v>0</v>
      </c>
      <c r="S418" s="14">
        <v>0</v>
      </c>
      <c r="T418" s="13">
        <f t="shared" ca="1" si="131"/>
        <v>786</v>
      </c>
      <c r="U418" s="12">
        <f t="shared" ca="1" si="138"/>
        <v>2245</v>
      </c>
      <c r="V418" s="12">
        <f t="shared" ca="1" si="137"/>
        <v>2263</v>
      </c>
      <c r="W418" s="12">
        <f t="shared" ca="1" si="139"/>
        <v>2276</v>
      </c>
      <c r="X418" s="13"/>
      <c r="Y418" s="10"/>
      <c r="Z418" s="10"/>
      <c r="AA418" s="10"/>
      <c r="AB418" s="9"/>
    </row>
    <row r="419" spans="1:28" ht="13.15" customHeight="1">
      <c r="A419" s="36">
        <v>405</v>
      </c>
      <c r="B419" s="35">
        <f t="shared" si="132"/>
        <v>45477</v>
      </c>
      <c r="C419" s="16">
        <f t="shared" si="133"/>
        <v>1069</v>
      </c>
      <c r="D419" s="15">
        <f t="shared" si="124"/>
        <v>1982</v>
      </c>
      <c r="E419" s="14">
        <f t="shared" ca="1" si="125"/>
        <v>-734</v>
      </c>
      <c r="F419" s="14">
        <f t="shared" ca="1" si="126"/>
        <v>-702</v>
      </c>
      <c r="G419" s="14">
        <f t="shared" ca="1" si="127"/>
        <v>-685</v>
      </c>
      <c r="H419" s="10">
        <f t="shared" ca="1" si="128"/>
        <v>3785</v>
      </c>
      <c r="I419" s="10">
        <f t="shared" ca="1" si="129"/>
        <v>3753</v>
      </c>
      <c r="J419" s="10">
        <f t="shared" ca="1" si="130"/>
        <v>3736</v>
      </c>
      <c r="K419" s="10">
        <f t="shared" si="121"/>
        <v>4000</v>
      </c>
      <c r="L419" s="10">
        <f t="shared" si="122"/>
        <v>4000</v>
      </c>
      <c r="M419" s="10">
        <f t="shared" si="123"/>
        <v>4000</v>
      </c>
      <c r="N419" s="10">
        <f t="shared" ca="1" si="134"/>
        <v>-215</v>
      </c>
      <c r="O419" s="10">
        <f t="shared" ca="1" si="135"/>
        <v>-247</v>
      </c>
      <c r="P419" s="10">
        <f t="shared" ca="1" si="136"/>
        <v>-264</v>
      </c>
      <c r="Q419" s="14">
        <v>0</v>
      </c>
      <c r="R419" s="14">
        <v>0</v>
      </c>
      <c r="S419" s="14">
        <v>0</v>
      </c>
      <c r="T419" s="13">
        <f t="shared" ca="1" si="131"/>
        <v>788</v>
      </c>
      <c r="U419" s="12">
        <f t="shared" ca="1" si="138"/>
        <v>2245</v>
      </c>
      <c r="V419" s="12">
        <f t="shared" ca="1" si="137"/>
        <v>2263</v>
      </c>
      <c r="W419" s="12">
        <f t="shared" ca="1" si="139"/>
        <v>2276</v>
      </c>
      <c r="X419" s="13"/>
      <c r="Y419" s="10"/>
      <c r="Z419" s="10"/>
      <c r="AA419" s="10"/>
      <c r="AB419" s="9"/>
    </row>
    <row r="420" spans="1:28" ht="13.15" customHeight="1">
      <c r="A420" s="36">
        <v>406</v>
      </c>
      <c r="B420" s="35">
        <f t="shared" si="132"/>
        <v>45478</v>
      </c>
      <c r="C420" s="16">
        <f t="shared" si="133"/>
        <v>1069</v>
      </c>
      <c r="D420" s="15">
        <f t="shared" si="124"/>
        <v>1984</v>
      </c>
      <c r="E420" s="14">
        <f t="shared" ca="1" si="125"/>
        <v>-732</v>
      </c>
      <c r="F420" s="14">
        <f t="shared" ca="1" si="126"/>
        <v>-700</v>
      </c>
      <c r="G420" s="14">
        <f t="shared" ca="1" si="127"/>
        <v>-683</v>
      </c>
      <c r="H420" s="10">
        <f t="shared" ca="1" si="128"/>
        <v>3785</v>
      </c>
      <c r="I420" s="10">
        <f t="shared" ca="1" si="129"/>
        <v>3753</v>
      </c>
      <c r="J420" s="10">
        <f t="shared" ca="1" si="130"/>
        <v>3736</v>
      </c>
      <c r="K420" s="10">
        <f t="shared" si="121"/>
        <v>4000</v>
      </c>
      <c r="L420" s="10">
        <f t="shared" si="122"/>
        <v>4000</v>
      </c>
      <c r="M420" s="10">
        <f t="shared" si="123"/>
        <v>4000</v>
      </c>
      <c r="N420" s="10">
        <f t="shared" ca="1" si="134"/>
        <v>-215</v>
      </c>
      <c r="O420" s="10">
        <f t="shared" ca="1" si="135"/>
        <v>-247</v>
      </c>
      <c r="P420" s="10">
        <f t="shared" ca="1" si="136"/>
        <v>-264</v>
      </c>
      <c r="Q420" s="14">
        <v>0</v>
      </c>
      <c r="R420" s="14">
        <v>0</v>
      </c>
      <c r="S420" s="14">
        <v>0</v>
      </c>
      <c r="T420" s="13">
        <f t="shared" ca="1" si="131"/>
        <v>790</v>
      </c>
      <c r="U420" s="12">
        <f t="shared" ca="1" si="138"/>
        <v>2245</v>
      </c>
      <c r="V420" s="12">
        <f t="shared" ca="1" si="137"/>
        <v>2263</v>
      </c>
      <c r="W420" s="12">
        <f t="shared" ca="1" si="139"/>
        <v>2276</v>
      </c>
      <c r="X420" s="13"/>
      <c r="Y420" s="10"/>
      <c r="Z420" s="10"/>
      <c r="AA420" s="10"/>
      <c r="AB420" s="9"/>
    </row>
    <row r="421" spans="1:28" ht="13.15" customHeight="1">
      <c r="A421" s="36">
        <v>407</v>
      </c>
      <c r="B421" s="35">
        <f t="shared" si="132"/>
        <v>45479</v>
      </c>
      <c r="C421" s="16">
        <f t="shared" si="133"/>
        <v>1069</v>
      </c>
      <c r="D421" s="15">
        <f t="shared" si="124"/>
        <v>1986</v>
      </c>
      <c r="E421" s="14">
        <f t="shared" ca="1" si="125"/>
        <v>-730</v>
      </c>
      <c r="F421" s="14">
        <f t="shared" ca="1" si="126"/>
        <v>-698</v>
      </c>
      <c r="G421" s="14">
        <f t="shared" ca="1" si="127"/>
        <v>-681</v>
      </c>
      <c r="H421" s="10">
        <f t="shared" ca="1" si="128"/>
        <v>3785</v>
      </c>
      <c r="I421" s="10">
        <f t="shared" ca="1" si="129"/>
        <v>3753</v>
      </c>
      <c r="J421" s="10">
        <f t="shared" ca="1" si="130"/>
        <v>3736</v>
      </c>
      <c r="K421" s="10">
        <f t="shared" si="121"/>
        <v>4000</v>
      </c>
      <c r="L421" s="10">
        <f t="shared" si="122"/>
        <v>4000</v>
      </c>
      <c r="M421" s="10">
        <f t="shared" si="123"/>
        <v>4000</v>
      </c>
      <c r="N421" s="10">
        <f t="shared" ca="1" si="134"/>
        <v>-215</v>
      </c>
      <c r="O421" s="10">
        <f t="shared" ca="1" si="135"/>
        <v>-247</v>
      </c>
      <c r="P421" s="10">
        <f t="shared" ca="1" si="136"/>
        <v>-264</v>
      </c>
      <c r="Q421" s="14">
        <v>0</v>
      </c>
      <c r="R421" s="14">
        <v>0</v>
      </c>
      <c r="S421" s="14">
        <v>0</v>
      </c>
      <c r="T421" s="13">
        <f t="shared" ca="1" si="131"/>
        <v>792</v>
      </c>
      <c r="U421" s="12">
        <f t="shared" ca="1" si="138"/>
        <v>2245</v>
      </c>
      <c r="V421" s="12">
        <f t="shared" ca="1" si="137"/>
        <v>2263</v>
      </c>
      <c r="W421" s="12">
        <f t="shared" ca="1" si="139"/>
        <v>2276</v>
      </c>
      <c r="X421" s="13"/>
      <c r="Y421" s="10"/>
      <c r="Z421" s="10"/>
      <c r="AA421" s="10"/>
      <c r="AB421" s="9"/>
    </row>
    <row r="422" spans="1:28" ht="13.15" customHeight="1">
      <c r="A422" s="36">
        <v>408</v>
      </c>
      <c r="B422" s="35">
        <f t="shared" si="132"/>
        <v>45480</v>
      </c>
      <c r="C422" s="16">
        <f t="shared" si="133"/>
        <v>1069</v>
      </c>
      <c r="D422" s="15">
        <f t="shared" si="124"/>
        <v>1988</v>
      </c>
      <c r="E422" s="14">
        <f t="shared" ca="1" si="125"/>
        <v>-728</v>
      </c>
      <c r="F422" s="14">
        <f t="shared" ca="1" si="126"/>
        <v>-696</v>
      </c>
      <c r="G422" s="14">
        <f t="shared" ca="1" si="127"/>
        <v>-679</v>
      </c>
      <c r="H422" s="10">
        <f t="shared" ca="1" si="128"/>
        <v>3785</v>
      </c>
      <c r="I422" s="10">
        <f t="shared" ca="1" si="129"/>
        <v>3753</v>
      </c>
      <c r="J422" s="10">
        <f t="shared" ca="1" si="130"/>
        <v>3736</v>
      </c>
      <c r="K422" s="10">
        <f t="shared" si="121"/>
        <v>4000</v>
      </c>
      <c r="L422" s="10">
        <f t="shared" si="122"/>
        <v>4000</v>
      </c>
      <c r="M422" s="10">
        <f t="shared" si="123"/>
        <v>4000</v>
      </c>
      <c r="N422" s="10">
        <f t="shared" ca="1" si="134"/>
        <v>-215</v>
      </c>
      <c r="O422" s="10">
        <f t="shared" ca="1" si="135"/>
        <v>-247</v>
      </c>
      <c r="P422" s="10">
        <f t="shared" ca="1" si="136"/>
        <v>-264</v>
      </c>
      <c r="Q422" s="14">
        <v>0</v>
      </c>
      <c r="R422" s="14">
        <v>0</v>
      </c>
      <c r="S422" s="14">
        <v>0</v>
      </c>
      <c r="T422" s="13">
        <f t="shared" ca="1" si="131"/>
        <v>794</v>
      </c>
      <c r="U422" s="12">
        <f t="shared" ca="1" si="138"/>
        <v>2245</v>
      </c>
      <c r="V422" s="12">
        <f t="shared" ca="1" si="137"/>
        <v>2263</v>
      </c>
      <c r="W422" s="12">
        <f t="shared" ca="1" si="139"/>
        <v>2276</v>
      </c>
      <c r="X422" s="13"/>
      <c r="Y422" s="10"/>
      <c r="Z422" s="10"/>
      <c r="AA422" s="10"/>
      <c r="AB422" s="9"/>
    </row>
    <row r="423" spans="1:28" ht="13.15" customHeight="1">
      <c r="A423" s="36">
        <v>409</v>
      </c>
      <c r="B423" s="35">
        <f t="shared" si="132"/>
        <v>45481</v>
      </c>
      <c r="C423" s="16">
        <f t="shared" si="133"/>
        <v>1069</v>
      </c>
      <c r="D423" s="15">
        <f t="shared" si="124"/>
        <v>1990</v>
      </c>
      <c r="E423" s="14">
        <f t="shared" ca="1" si="125"/>
        <v>-726</v>
      </c>
      <c r="F423" s="14">
        <f t="shared" ca="1" si="126"/>
        <v>-694</v>
      </c>
      <c r="G423" s="14">
        <f t="shared" ca="1" si="127"/>
        <v>-677</v>
      </c>
      <c r="H423" s="10">
        <f t="shared" ca="1" si="128"/>
        <v>3785</v>
      </c>
      <c r="I423" s="10">
        <f t="shared" ca="1" si="129"/>
        <v>3753</v>
      </c>
      <c r="J423" s="10">
        <f t="shared" ca="1" si="130"/>
        <v>3736</v>
      </c>
      <c r="K423" s="10">
        <f t="shared" si="121"/>
        <v>4000</v>
      </c>
      <c r="L423" s="10">
        <f t="shared" si="122"/>
        <v>4000</v>
      </c>
      <c r="M423" s="10">
        <f t="shared" si="123"/>
        <v>4000</v>
      </c>
      <c r="N423" s="10">
        <f t="shared" ca="1" si="134"/>
        <v>-215</v>
      </c>
      <c r="O423" s="10">
        <f t="shared" ca="1" si="135"/>
        <v>-247</v>
      </c>
      <c r="P423" s="10">
        <f t="shared" ca="1" si="136"/>
        <v>-264</v>
      </c>
      <c r="Q423" s="14">
        <v>0</v>
      </c>
      <c r="R423" s="14">
        <v>0</v>
      </c>
      <c r="S423" s="14">
        <v>0</v>
      </c>
      <c r="T423" s="13">
        <f t="shared" ca="1" si="131"/>
        <v>796</v>
      </c>
      <c r="U423" s="12">
        <f t="shared" ca="1" si="138"/>
        <v>2245</v>
      </c>
      <c r="V423" s="12">
        <f t="shared" ca="1" si="137"/>
        <v>2263</v>
      </c>
      <c r="W423" s="12">
        <f t="shared" ca="1" si="139"/>
        <v>2276</v>
      </c>
      <c r="X423" s="13"/>
      <c r="Y423" s="10"/>
      <c r="Z423" s="10"/>
      <c r="AA423" s="10"/>
      <c r="AB423" s="9"/>
    </row>
    <row r="424" spans="1:28" ht="13.15" customHeight="1">
      <c r="A424" s="36">
        <v>410</v>
      </c>
      <c r="B424" s="35">
        <f t="shared" si="132"/>
        <v>45482</v>
      </c>
      <c r="C424" s="16">
        <f t="shared" si="133"/>
        <v>1069</v>
      </c>
      <c r="D424" s="15">
        <f t="shared" si="124"/>
        <v>1992</v>
      </c>
      <c r="E424" s="14">
        <f t="shared" ca="1" si="125"/>
        <v>-724</v>
      </c>
      <c r="F424" s="14">
        <f t="shared" ca="1" si="126"/>
        <v>-692</v>
      </c>
      <c r="G424" s="14">
        <f t="shared" ca="1" si="127"/>
        <v>-675</v>
      </c>
      <c r="H424" s="10">
        <f t="shared" ca="1" si="128"/>
        <v>3785</v>
      </c>
      <c r="I424" s="10">
        <f t="shared" ca="1" si="129"/>
        <v>3753</v>
      </c>
      <c r="J424" s="10">
        <f t="shared" ca="1" si="130"/>
        <v>3736</v>
      </c>
      <c r="K424" s="10">
        <f t="shared" si="121"/>
        <v>4000</v>
      </c>
      <c r="L424" s="10">
        <f t="shared" si="122"/>
        <v>4000</v>
      </c>
      <c r="M424" s="10">
        <f t="shared" si="123"/>
        <v>4000</v>
      </c>
      <c r="N424" s="10">
        <f t="shared" ca="1" si="134"/>
        <v>-215</v>
      </c>
      <c r="O424" s="10">
        <f t="shared" ca="1" si="135"/>
        <v>-247</v>
      </c>
      <c r="P424" s="10">
        <f t="shared" ca="1" si="136"/>
        <v>-264</v>
      </c>
      <c r="Q424" s="14">
        <v>0</v>
      </c>
      <c r="R424" s="14">
        <v>0</v>
      </c>
      <c r="S424" s="14">
        <v>0</v>
      </c>
      <c r="T424" s="13">
        <f t="shared" ca="1" si="131"/>
        <v>798</v>
      </c>
      <c r="U424" s="12">
        <f t="shared" ca="1" si="138"/>
        <v>2245</v>
      </c>
      <c r="V424" s="12">
        <f t="shared" ca="1" si="137"/>
        <v>2263</v>
      </c>
      <c r="W424" s="12">
        <f t="shared" ca="1" si="139"/>
        <v>2276</v>
      </c>
      <c r="X424" s="13"/>
      <c r="Y424" s="10"/>
      <c r="Z424" s="10"/>
      <c r="AA424" s="10"/>
      <c r="AB424" s="9"/>
    </row>
    <row r="425" spans="1:28" ht="13.15" customHeight="1">
      <c r="A425" s="36">
        <v>411</v>
      </c>
      <c r="B425" s="35">
        <f t="shared" si="132"/>
        <v>45483</v>
      </c>
      <c r="C425" s="16">
        <f t="shared" si="133"/>
        <v>1069</v>
      </c>
      <c r="D425" s="15">
        <f t="shared" si="124"/>
        <v>1994</v>
      </c>
      <c r="E425" s="14">
        <f t="shared" ca="1" si="125"/>
        <v>-722</v>
      </c>
      <c r="F425" s="14">
        <f t="shared" ca="1" si="126"/>
        <v>-690</v>
      </c>
      <c r="G425" s="14">
        <f t="shared" ca="1" si="127"/>
        <v>-673</v>
      </c>
      <c r="H425" s="10">
        <f t="shared" ca="1" si="128"/>
        <v>3785</v>
      </c>
      <c r="I425" s="10">
        <f t="shared" ca="1" si="129"/>
        <v>3753</v>
      </c>
      <c r="J425" s="10">
        <f t="shared" ca="1" si="130"/>
        <v>3736</v>
      </c>
      <c r="K425" s="10">
        <f t="shared" si="121"/>
        <v>4000</v>
      </c>
      <c r="L425" s="10">
        <f t="shared" si="122"/>
        <v>4000</v>
      </c>
      <c r="M425" s="10">
        <f t="shared" si="123"/>
        <v>4000</v>
      </c>
      <c r="N425" s="10">
        <f t="shared" ca="1" si="134"/>
        <v>-215</v>
      </c>
      <c r="O425" s="10">
        <f t="shared" ca="1" si="135"/>
        <v>-247</v>
      </c>
      <c r="P425" s="10">
        <f t="shared" ca="1" si="136"/>
        <v>-264</v>
      </c>
      <c r="Q425" s="14">
        <v>0</v>
      </c>
      <c r="R425" s="14">
        <v>0</v>
      </c>
      <c r="S425" s="14">
        <v>0</v>
      </c>
      <c r="T425" s="13">
        <f t="shared" ca="1" si="131"/>
        <v>800</v>
      </c>
      <c r="U425" s="12">
        <f t="shared" ca="1" si="138"/>
        <v>2245</v>
      </c>
      <c r="V425" s="12">
        <f t="shared" ca="1" si="137"/>
        <v>2263</v>
      </c>
      <c r="W425" s="12">
        <f t="shared" ca="1" si="139"/>
        <v>2276</v>
      </c>
      <c r="X425" s="13"/>
      <c r="Y425" s="10"/>
      <c r="Z425" s="10"/>
      <c r="AA425" s="10"/>
      <c r="AB425" s="9"/>
    </row>
    <row r="426" spans="1:28" ht="13.15" customHeight="1">
      <c r="A426" s="36">
        <v>412</v>
      </c>
      <c r="B426" s="35">
        <f t="shared" si="132"/>
        <v>45484</v>
      </c>
      <c r="C426" s="16">
        <f t="shared" si="133"/>
        <v>1069</v>
      </c>
      <c r="D426" s="15">
        <f t="shared" si="124"/>
        <v>1996</v>
      </c>
      <c r="E426" s="14">
        <f t="shared" ca="1" si="125"/>
        <v>-720</v>
      </c>
      <c r="F426" s="14">
        <f t="shared" ca="1" si="126"/>
        <v>-688</v>
      </c>
      <c r="G426" s="14">
        <f t="shared" ca="1" si="127"/>
        <v>-671</v>
      </c>
      <c r="H426" s="10">
        <f t="shared" ca="1" si="128"/>
        <v>3785</v>
      </c>
      <c r="I426" s="10">
        <f t="shared" ca="1" si="129"/>
        <v>3753</v>
      </c>
      <c r="J426" s="10">
        <f t="shared" ca="1" si="130"/>
        <v>3736</v>
      </c>
      <c r="K426" s="10">
        <f t="shared" si="121"/>
        <v>4000</v>
      </c>
      <c r="L426" s="10">
        <f t="shared" si="122"/>
        <v>4000</v>
      </c>
      <c r="M426" s="10">
        <f t="shared" si="123"/>
        <v>4000</v>
      </c>
      <c r="N426" s="10">
        <f t="shared" ca="1" si="134"/>
        <v>-215</v>
      </c>
      <c r="O426" s="10">
        <f t="shared" ca="1" si="135"/>
        <v>-247</v>
      </c>
      <c r="P426" s="10">
        <f t="shared" ca="1" si="136"/>
        <v>-264</v>
      </c>
      <c r="Q426" s="14">
        <v>0</v>
      </c>
      <c r="R426" s="14">
        <v>0</v>
      </c>
      <c r="S426" s="14">
        <v>0</v>
      </c>
      <c r="T426" s="13">
        <f t="shared" ca="1" si="131"/>
        <v>802</v>
      </c>
      <c r="U426" s="12">
        <f t="shared" ca="1" si="138"/>
        <v>2245</v>
      </c>
      <c r="V426" s="12">
        <f t="shared" ca="1" si="137"/>
        <v>2263</v>
      </c>
      <c r="W426" s="12">
        <f t="shared" ca="1" si="139"/>
        <v>2276</v>
      </c>
      <c r="X426" s="13"/>
      <c r="Y426" s="10"/>
      <c r="Z426" s="10"/>
      <c r="AA426" s="10"/>
      <c r="AB426" s="9"/>
    </row>
    <row r="427" spans="1:28" ht="13.15" customHeight="1">
      <c r="A427" s="36">
        <v>413</v>
      </c>
      <c r="B427" s="35">
        <f t="shared" si="132"/>
        <v>45485</v>
      </c>
      <c r="C427" s="16">
        <f t="shared" si="133"/>
        <v>1069</v>
      </c>
      <c r="D427" s="15">
        <f t="shared" si="124"/>
        <v>1998</v>
      </c>
      <c r="E427" s="14">
        <f t="shared" ca="1" si="125"/>
        <v>-718</v>
      </c>
      <c r="F427" s="14">
        <f t="shared" ca="1" si="126"/>
        <v>-686</v>
      </c>
      <c r="G427" s="14">
        <f t="shared" ca="1" si="127"/>
        <v>-669</v>
      </c>
      <c r="H427" s="10">
        <f t="shared" ca="1" si="128"/>
        <v>3785</v>
      </c>
      <c r="I427" s="10">
        <f t="shared" ca="1" si="129"/>
        <v>3753</v>
      </c>
      <c r="J427" s="10">
        <f t="shared" ca="1" si="130"/>
        <v>3736</v>
      </c>
      <c r="K427" s="10">
        <f t="shared" si="121"/>
        <v>4000</v>
      </c>
      <c r="L427" s="10">
        <f t="shared" si="122"/>
        <v>4000</v>
      </c>
      <c r="M427" s="10">
        <f t="shared" si="123"/>
        <v>4000</v>
      </c>
      <c r="N427" s="10">
        <f t="shared" ca="1" si="134"/>
        <v>-215</v>
      </c>
      <c r="O427" s="10">
        <f t="shared" ca="1" si="135"/>
        <v>-247</v>
      </c>
      <c r="P427" s="10">
        <f t="shared" ca="1" si="136"/>
        <v>-264</v>
      </c>
      <c r="Q427" s="14">
        <v>0</v>
      </c>
      <c r="R427" s="14">
        <v>0</v>
      </c>
      <c r="S427" s="14">
        <v>0</v>
      </c>
      <c r="T427" s="13">
        <f t="shared" ca="1" si="131"/>
        <v>804</v>
      </c>
      <c r="U427" s="12">
        <f t="shared" ca="1" si="138"/>
        <v>2245</v>
      </c>
      <c r="V427" s="12">
        <f t="shared" ca="1" si="137"/>
        <v>2263</v>
      </c>
      <c r="W427" s="12">
        <f t="shared" ca="1" si="139"/>
        <v>2276</v>
      </c>
      <c r="X427" s="13"/>
      <c r="Y427" s="10"/>
      <c r="Z427" s="10"/>
      <c r="AA427" s="10"/>
      <c r="AB427" s="9"/>
    </row>
    <row r="428" spans="1:28" ht="13.15" customHeight="1">
      <c r="A428" s="36">
        <v>414</v>
      </c>
      <c r="B428" s="35">
        <f t="shared" si="132"/>
        <v>45486</v>
      </c>
      <c r="C428" s="16">
        <f t="shared" si="133"/>
        <v>1069</v>
      </c>
      <c r="D428" s="15">
        <f t="shared" si="124"/>
        <v>2000</v>
      </c>
      <c r="E428" s="14">
        <f t="shared" ca="1" si="125"/>
        <v>-716</v>
      </c>
      <c r="F428" s="14">
        <f t="shared" ca="1" si="126"/>
        <v>-684</v>
      </c>
      <c r="G428" s="14">
        <f t="shared" ca="1" si="127"/>
        <v>-667</v>
      </c>
      <c r="H428" s="10">
        <f t="shared" ca="1" si="128"/>
        <v>3785</v>
      </c>
      <c r="I428" s="10">
        <f t="shared" ca="1" si="129"/>
        <v>3753</v>
      </c>
      <c r="J428" s="10">
        <f t="shared" ca="1" si="130"/>
        <v>3736</v>
      </c>
      <c r="K428" s="10">
        <f t="shared" ref="K428:K491" si="140">K427</f>
        <v>4000</v>
      </c>
      <c r="L428" s="10">
        <f t="shared" ref="L428:L491" si="141">L427</f>
        <v>4000</v>
      </c>
      <c r="M428" s="10">
        <f t="shared" ref="M428:M491" si="142">M427</f>
        <v>4000</v>
      </c>
      <c r="N428" s="10">
        <f t="shared" ca="1" si="134"/>
        <v>-215</v>
      </c>
      <c r="O428" s="10">
        <f t="shared" ca="1" si="135"/>
        <v>-247</v>
      </c>
      <c r="P428" s="10">
        <f t="shared" ca="1" si="136"/>
        <v>-264</v>
      </c>
      <c r="Q428" s="14">
        <v>0</v>
      </c>
      <c r="R428" s="14">
        <v>0</v>
      </c>
      <c r="S428" s="14">
        <v>0</v>
      </c>
      <c r="T428" s="13">
        <f t="shared" ca="1" si="131"/>
        <v>806</v>
      </c>
      <c r="U428" s="12">
        <f t="shared" ca="1" si="138"/>
        <v>2245</v>
      </c>
      <c r="V428" s="12">
        <f t="shared" ca="1" si="137"/>
        <v>2263</v>
      </c>
      <c r="W428" s="12">
        <f t="shared" ca="1" si="139"/>
        <v>2276</v>
      </c>
      <c r="X428" s="13"/>
      <c r="Y428" s="10"/>
      <c r="Z428" s="10"/>
      <c r="AA428" s="10"/>
      <c r="AB428" s="9"/>
    </row>
    <row r="429" spans="1:28" ht="13.15" customHeight="1">
      <c r="A429" s="36">
        <v>415</v>
      </c>
      <c r="B429" s="35">
        <f t="shared" si="132"/>
        <v>45487</v>
      </c>
      <c r="C429" s="16">
        <f t="shared" si="133"/>
        <v>1069</v>
      </c>
      <c r="D429" s="15">
        <f t="shared" si="124"/>
        <v>2002</v>
      </c>
      <c r="E429" s="14">
        <f t="shared" ca="1" si="125"/>
        <v>-714</v>
      </c>
      <c r="F429" s="14">
        <f t="shared" ca="1" si="126"/>
        <v>-682</v>
      </c>
      <c r="G429" s="14">
        <f t="shared" ca="1" si="127"/>
        <v>-665</v>
      </c>
      <c r="H429" s="10">
        <f t="shared" ca="1" si="128"/>
        <v>3785</v>
      </c>
      <c r="I429" s="10">
        <f t="shared" ca="1" si="129"/>
        <v>3753</v>
      </c>
      <c r="J429" s="10">
        <f t="shared" ca="1" si="130"/>
        <v>3736</v>
      </c>
      <c r="K429" s="10">
        <f t="shared" si="140"/>
        <v>4000</v>
      </c>
      <c r="L429" s="10">
        <f t="shared" si="141"/>
        <v>4000</v>
      </c>
      <c r="M429" s="10">
        <f t="shared" si="142"/>
        <v>4000</v>
      </c>
      <c r="N429" s="10">
        <f t="shared" ca="1" si="134"/>
        <v>-215</v>
      </c>
      <c r="O429" s="10">
        <f t="shared" ca="1" si="135"/>
        <v>-247</v>
      </c>
      <c r="P429" s="10">
        <f t="shared" ca="1" si="136"/>
        <v>-264</v>
      </c>
      <c r="Q429" s="14">
        <v>0</v>
      </c>
      <c r="R429" s="14">
        <v>0</v>
      </c>
      <c r="S429" s="14">
        <v>0</v>
      </c>
      <c r="T429" s="13">
        <f t="shared" ca="1" si="131"/>
        <v>808</v>
      </c>
      <c r="U429" s="12">
        <f t="shared" ca="1" si="138"/>
        <v>2245</v>
      </c>
      <c r="V429" s="12">
        <f t="shared" ca="1" si="137"/>
        <v>2263</v>
      </c>
      <c r="W429" s="12">
        <f t="shared" ca="1" si="139"/>
        <v>2276</v>
      </c>
      <c r="X429" s="13"/>
      <c r="Y429" s="10"/>
      <c r="Z429" s="10"/>
      <c r="AA429" s="10"/>
      <c r="AB429" s="9"/>
    </row>
    <row r="430" spans="1:28" ht="13.15" customHeight="1">
      <c r="A430" s="36">
        <v>416</v>
      </c>
      <c r="B430" s="35">
        <f t="shared" si="132"/>
        <v>45488</v>
      </c>
      <c r="C430" s="16">
        <f t="shared" si="133"/>
        <v>1069</v>
      </c>
      <c r="D430" s="15">
        <f t="shared" si="124"/>
        <v>2004</v>
      </c>
      <c r="E430" s="14">
        <f t="shared" ca="1" si="125"/>
        <v>-712</v>
      </c>
      <c r="F430" s="14">
        <f t="shared" ca="1" si="126"/>
        <v>-680</v>
      </c>
      <c r="G430" s="14">
        <f t="shared" ca="1" si="127"/>
        <v>-663</v>
      </c>
      <c r="H430" s="10">
        <f t="shared" ca="1" si="128"/>
        <v>3785</v>
      </c>
      <c r="I430" s="10">
        <f t="shared" ca="1" si="129"/>
        <v>3753</v>
      </c>
      <c r="J430" s="10">
        <f t="shared" ca="1" si="130"/>
        <v>3736</v>
      </c>
      <c r="K430" s="10">
        <f t="shared" si="140"/>
        <v>4000</v>
      </c>
      <c r="L430" s="10">
        <f t="shared" si="141"/>
        <v>4000</v>
      </c>
      <c r="M430" s="10">
        <f t="shared" si="142"/>
        <v>4000</v>
      </c>
      <c r="N430" s="10">
        <f t="shared" ca="1" si="134"/>
        <v>-215</v>
      </c>
      <c r="O430" s="10">
        <f t="shared" ca="1" si="135"/>
        <v>-247</v>
      </c>
      <c r="P430" s="10">
        <f t="shared" ca="1" si="136"/>
        <v>-264</v>
      </c>
      <c r="Q430" s="14">
        <v>0</v>
      </c>
      <c r="R430" s="14">
        <v>0</v>
      </c>
      <c r="S430" s="14">
        <v>0</v>
      </c>
      <c r="T430" s="13">
        <f t="shared" ca="1" si="131"/>
        <v>810</v>
      </c>
      <c r="U430" s="12">
        <f t="shared" ca="1" si="138"/>
        <v>2245</v>
      </c>
      <c r="V430" s="12">
        <f t="shared" ca="1" si="137"/>
        <v>2263</v>
      </c>
      <c r="W430" s="12">
        <f t="shared" ca="1" si="139"/>
        <v>2276</v>
      </c>
      <c r="X430" s="13"/>
      <c r="Y430" s="10"/>
      <c r="Z430" s="10"/>
      <c r="AA430" s="10"/>
      <c r="AB430" s="19"/>
    </row>
    <row r="431" spans="1:28" ht="13.15" customHeight="1">
      <c r="A431" s="36">
        <v>417</v>
      </c>
      <c r="B431" s="35">
        <f t="shared" si="132"/>
        <v>45489</v>
      </c>
      <c r="C431" s="16">
        <f t="shared" si="133"/>
        <v>1069</v>
      </c>
      <c r="D431" s="15">
        <f t="shared" si="124"/>
        <v>2006</v>
      </c>
      <c r="E431" s="14">
        <f t="shared" ca="1" si="125"/>
        <v>-710</v>
      </c>
      <c r="F431" s="14">
        <f t="shared" ca="1" si="126"/>
        <v>-678</v>
      </c>
      <c r="G431" s="14">
        <f t="shared" ca="1" si="127"/>
        <v>-661</v>
      </c>
      <c r="H431" s="10">
        <f t="shared" ca="1" si="128"/>
        <v>3785</v>
      </c>
      <c r="I431" s="10">
        <f t="shared" ca="1" si="129"/>
        <v>3753</v>
      </c>
      <c r="J431" s="10">
        <f t="shared" ca="1" si="130"/>
        <v>3736</v>
      </c>
      <c r="K431" s="10">
        <f t="shared" si="140"/>
        <v>4000</v>
      </c>
      <c r="L431" s="10">
        <f t="shared" si="141"/>
        <v>4000</v>
      </c>
      <c r="M431" s="10">
        <f t="shared" si="142"/>
        <v>4000</v>
      </c>
      <c r="N431" s="10">
        <f t="shared" ca="1" si="134"/>
        <v>-215</v>
      </c>
      <c r="O431" s="10">
        <f t="shared" ca="1" si="135"/>
        <v>-247</v>
      </c>
      <c r="P431" s="10">
        <f t="shared" ca="1" si="136"/>
        <v>-264</v>
      </c>
      <c r="Q431" s="14">
        <v>0</v>
      </c>
      <c r="R431" s="14">
        <v>0</v>
      </c>
      <c r="S431" s="14">
        <v>0</v>
      </c>
      <c r="T431" s="13">
        <f t="shared" ca="1" si="131"/>
        <v>812</v>
      </c>
      <c r="U431" s="12">
        <f t="shared" ca="1" si="138"/>
        <v>2245</v>
      </c>
      <c r="V431" s="12">
        <f t="shared" ca="1" si="137"/>
        <v>2263</v>
      </c>
      <c r="W431" s="12">
        <f t="shared" ca="1" si="139"/>
        <v>2276</v>
      </c>
      <c r="X431" s="13"/>
      <c r="Y431" s="10"/>
      <c r="Z431" s="10"/>
      <c r="AA431" s="10"/>
      <c r="AB431" s="9"/>
    </row>
    <row r="432" spans="1:28" ht="13.15" customHeight="1">
      <c r="A432" s="36">
        <v>418</v>
      </c>
      <c r="B432" s="35">
        <f t="shared" si="132"/>
        <v>45490</v>
      </c>
      <c r="C432" s="16">
        <f t="shared" si="133"/>
        <v>1069</v>
      </c>
      <c r="D432" s="15">
        <f t="shared" si="124"/>
        <v>2008</v>
      </c>
      <c r="E432" s="14">
        <f t="shared" ca="1" si="125"/>
        <v>-708</v>
      </c>
      <c r="F432" s="14">
        <f t="shared" ca="1" si="126"/>
        <v>-676</v>
      </c>
      <c r="G432" s="14">
        <f t="shared" ca="1" si="127"/>
        <v>-659</v>
      </c>
      <c r="H432" s="10">
        <f t="shared" ca="1" si="128"/>
        <v>3785</v>
      </c>
      <c r="I432" s="10">
        <f t="shared" ca="1" si="129"/>
        <v>3753</v>
      </c>
      <c r="J432" s="10">
        <f t="shared" ca="1" si="130"/>
        <v>3736</v>
      </c>
      <c r="K432" s="10">
        <f t="shared" si="140"/>
        <v>4000</v>
      </c>
      <c r="L432" s="10">
        <f t="shared" si="141"/>
        <v>4000</v>
      </c>
      <c r="M432" s="10">
        <f t="shared" si="142"/>
        <v>4000</v>
      </c>
      <c r="N432" s="10">
        <f t="shared" ca="1" si="134"/>
        <v>-215</v>
      </c>
      <c r="O432" s="10">
        <f t="shared" ca="1" si="135"/>
        <v>-247</v>
      </c>
      <c r="P432" s="10">
        <f t="shared" ca="1" si="136"/>
        <v>-264</v>
      </c>
      <c r="Q432" s="14">
        <v>0</v>
      </c>
      <c r="R432" s="14">
        <v>0</v>
      </c>
      <c r="S432" s="14">
        <v>0</v>
      </c>
      <c r="T432" s="13">
        <f t="shared" ca="1" si="131"/>
        <v>814</v>
      </c>
      <c r="U432" s="12">
        <f t="shared" ca="1" si="138"/>
        <v>2245</v>
      </c>
      <c r="V432" s="12">
        <f t="shared" ca="1" si="137"/>
        <v>2263</v>
      </c>
      <c r="W432" s="12">
        <f t="shared" ca="1" si="139"/>
        <v>2276</v>
      </c>
      <c r="X432" s="13"/>
      <c r="Y432" s="10"/>
      <c r="Z432" s="10"/>
      <c r="AA432" s="10"/>
      <c r="AB432" s="9"/>
    </row>
    <row r="433" spans="1:28" ht="13.15" customHeight="1">
      <c r="A433" s="36">
        <v>419</v>
      </c>
      <c r="B433" s="35">
        <f t="shared" si="132"/>
        <v>45491</v>
      </c>
      <c r="C433" s="16">
        <f t="shared" si="133"/>
        <v>1069</v>
      </c>
      <c r="D433" s="15">
        <f t="shared" si="124"/>
        <v>2010</v>
      </c>
      <c r="E433" s="14">
        <f t="shared" ca="1" si="125"/>
        <v>-706</v>
      </c>
      <c r="F433" s="14">
        <f t="shared" ca="1" si="126"/>
        <v>-674</v>
      </c>
      <c r="G433" s="14">
        <f t="shared" ca="1" si="127"/>
        <v>-657</v>
      </c>
      <c r="H433" s="10">
        <f t="shared" ca="1" si="128"/>
        <v>3785</v>
      </c>
      <c r="I433" s="10">
        <f t="shared" ca="1" si="129"/>
        <v>3753</v>
      </c>
      <c r="J433" s="10">
        <f t="shared" ca="1" si="130"/>
        <v>3736</v>
      </c>
      <c r="K433" s="10">
        <f t="shared" si="140"/>
        <v>4000</v>
      </c>
      <c r="L433" s="10">
        <f t="shared" si="141"/>
        <v>4000</v>
      </c>
      <c r="M433" s="10">
        <f t="shared" si="142"/>
        <v>4000</v>
      </c>
      <c r="N433" s="10">
        <f t="shared" ca="1" si="134"/>
        <v>-215</v>
      </c>
      <c r="O433" s="10">
        <f t="shared" ca="1" si="135"/>
        <v>-247</v>
      </c>
      <c r="P433" s="10">
        <f t="shared" ca="1" si="136"/>
        <v>-264</v>
      </c>
      <c r="Q433" s="14">
        <v>0</v>
      </c>
      <c r="R433" s="14">
        <v>0</v>
      </c>
      <c r="S433" s="14">
        <v>0</v>
      </c>
      <c r="T433" s="13">
        <f t="shared" ca="1" si="131"/>
        <v>816</v>
      </c>
      <c r="U433" s="12">
        <f t="shared" ca="1" si="138"/>
        <v>2245</v>
      </c>
      <c r="V433" s="12">
        <f t="shared" ca="1" si="137"/>
        <v>2263</v>
      </c>
      <c r="W433" s="12">
        <f t="shared" ca="1" si="139"/>
        <v>2276</v>
      </c>
      <c r="X433" s="13"/>
      <c r="Y433" s="10"/>
      <c r="Z433" s="10"/>
      <c r="AA433" s="10"/>
      <c r="AB433" s="9"/>
    </row>
    <row r="434" spans="1:28" ht="13.15" customHeight="1">
      <c r="A434" s="36">
        <v>420</v>
      </c>
      <c r="B434" s="35">
        <f t="shared" si="132"/>
        <v>45492</v>
      </c>
      <c r="C434" s="16">
        <f t="shared" si="133"/>
        <v>1069</v>
      </c>
      <c r="D434" s="15">
        <f t="shared" si="124"/>
        <v>2012</v>
      </c>
      <c r="E434" s="14">
        <f t="shared" ca="1" si="125"/>
        <v>-704</v>
      </c>
      <c r="F434" s="14">
        <f t="shared" ca="1" si="126"/>
        <v>-672</v>
      </c>
      <c r="G434" s="14">
        <f t="shared" ca="1" si="127"/>
        <v>-655</v>
      </c>
      <c r="H434" s="10">
        <f t="shared" ca="1" si="128"/>
        <v>3785</v>
      </c>
      <c r="I434" s="10">
        <f t="shared" ca="1" si="129"/>
        <v>3753</v>
      </c>
      <c r="J434" s="10">
        <f t="shared" ca="1" si="130"/>
        <v>3736</v>
      </c>
      <c r="K434" s="10">
        <f t="shared" si="140"/>
        <v>4000</v>
      </c>
      <c r="L434" s="10">
        <f t="shared" si="141"/>
        <v>4000</v>
      </c>
      <c r="M434" s="10">
        <f t="shared" si="142"/>
        <v>4000</v>
      </c>
      <c r="N434" s="10">
        <f t="shared" ca="1" si="134"/>
        <v>-215</v>
      </c>
      <c r="O434" s="10">
        <f t="shared" ca="1" si="135"/>
        <v>-247</v>
      </c>
      <c r="P434" s="10">
        <f t="shared" ca="1" si="136"/>
        <v>-264</v>
      </c>
      <c r="Q434" s="14">
        <v>0</v>
      </c>
      <c r="R434" s="14">
        <v>0</v>
      </c>
      <c r="S434" s="14">
        <v>0</v>
      </c>
      <c r="T434" s="13">
        <f t="shared" ca="1" si="131"/>
        <v>818</v>
      </c>
      <c r="U434" s="12">
        <f t="shared" ca="1" si="138"/>
        <v>2245</v>
      </c>
      <c r="V434" s="12">
        <f t="shared" ca="1" si="137"/>
        <v>2263</v>
      </c>
      <c r="W434" s="12">
        <f t="shared" ca="1" si="139"/>
        <v>2276</v>
      </c>
      <c r="X434" s="13"/>
      <c r="Y434" s="10"/>
      <c r="Z434" s="10"/>
      <c r="AA434" s="10"/>
      <c r="AB434" s="9"/>
    </row>
    <row r="435" spans="1:28" ht="13.15" customHeight="1">
      <c r="A435" s="36">
        <v>421</v>
      </c>
      <c r="B435" s="35">
        <f t="shared" si="132"/>
        <v>45493</v>
      </c>
      <c r="C435" s="16">
        <f t="shared" si="133"/>
        <v>1069</v>
      </c>
      <c r="D435" s="15">
        <f t="shared" si="124"/>
        <v>2014</v>
      </c>
      <c r="E435" s="14">
        <f t="shared" ca="1" si="125"/>
        <v>-702</v>
      </c>
      <c r="F435" s="14">
        <f t="shared" ca="1" si="126"/>
        <v>-670</v>
      </c>
      <c r="G435" s="14">
        <f t="shared" ca="1" si="127"/>
        <v>-653</v>
      </c>
      <c r="H435" s="10">
        <f t="shared" ca="1" si="128"/>
        <v>3785</v>
      </c>
      <c r="I435" s="10">
        <f t="shared" ca="1" si="129"/>
        <v>3753</v>
      </c>
      <c r="J435" s="10">
        <f t="shared" ca="1" si="130"/>
        <v>3736</v>
      </c>
      <c r="K435" s="10">
        <f t="shared" si="140"/>
        <v>4000</v>
      </c>
      <c r="L435" s="10">
        <f t="shared" si="141"/>
        <v>4000</v>
      </c>
      <c r="M435" s="10">
        <f t="shared" si="142"/>
        <v>4000</v>
      </c>
      <c r="N435" s="10">
        <f t="shared" ca="1" si="134"/>
        <v>-215</v>
      </c>
      <c r="O435" s="10">
        <f t="shared" ca="1" si="135"/>
        <v>-247</v>
      </c>
      <c r="P435" s="10">
        <f t="shared" ca="1" si="136"/>
        <v>-264</v>
      </c>
      <c r="Q435" s="14">
        <v>0</v>
      </c>
      <c r="R435" s="14">
        <v>0</v>
      </c>
      <c r="S435" s="14">
        <v>0</v>
      </c>
      <c r="T435" s="13">
        <f t="shared" ca="1" si="131"/>
        <v>820</v>
      </c>
      <c r="U435" s="12">
        <f t="shared" ca="1" si="138"/>
        <v>2245</v>
      </c>
      <c r="V435" s="12">
        <f t="shared" ca="1" si="137"/>
        <v>2263</v>
      </c>
      <c r="W435" s="12">
        <f t="shared" ca="1" si="139"/>
        <v>2276</v>
      </c>
      <c r="X435" s="13"/>
      <c r="Y435" s="10"/>
      <c r="Z435" s="10"/>
      <c r="AA435" s="10"/>
      <c r="AB435" s="9"/>
    </row>
    <row r="436" spans="1:28" ht="13.15" customHeight="1">
      <c r="A436" s="36">
        <v>422</v>
      </c>
      <c r="B436" s="35">
        <f t="shared" si="132"/>
        <v>45494</v>
      </c>
      <c r="C436" s="16">
        <f t="shared" si="133"/>
        <v>1069</v>
      </c>
      <c r="D436" s="15">
        <f t="shared" si="124"/>
        <v>2016</v>
      </c>
      <c r="E436" s="14">
        <f t="shared" ca="1" si="125"/>
        <v>-700</v>
      </c>
      <c r="F436" s="14">
        <f t="shared" ca="1" si="126"/>
        <v>-668</v>
      </c>
      <c r="G436" s="14">
        <f t="shared" ca="1" si="127"/>
        <v>-651</v>
      </c>
      <c r="H436" s="10">
        <f t="shared" ca="1" si="128"/>
        <v>3785</v>
      </c>
      <c r="I436" s="10">
        <f t="shared" ca="1" si="129"/>
        <v>3753</v>
      </c>
      <c r="J436" s="10">
        <f t="shared" ca="1" si="130"/>
        <v>3736</v>
      </c>
      <c r="K436" s="10">
        <f t="shared" si="140"/>
        <v>4000</v>
      </c>
      <c r="L436" s="10">
        <f t="shared" si="141"/>
        <v>4000</v>
      </c>
      <c r="M436" s="10">
        <f t="shared" si="142"/>
        <v>4000</v>
      </c>
      <c r="N436" s="10">
        <f t="shared" ca="1" si="134"/>
        <v>-215</v>
      </c>
      <c r="O436" s="10">
        <f t="shared" ca="1" si="135"/>
        <v>-247</v>
      </c>
      <c r="P436" s="10">
        <f t="shared" ca="1" si="136"/>
        <v>-264</v>
      </c>
      <c r="Q436" s="14">
        <v>0</v>
      </c>
      <c r="R436" s="14">
        <v>0</v>
      </c>
      <c r="S436" s="14">
        <v>0</v>
      </c>
      <c r="T436" s="13">
        <f t="shared" ca="1" si="131"/>
        <v>822</v>
      </c>
      <c r="U436" s="12">
        <f t="shared" ca="1" si="138"/>
        <v>2245</v>
      </c>
      <c r="V436" s="12">
        <f t="shared" ca="1" si="137"/>
        <v>2263</v>
      </c>
      <c r="W436" s="12">
        <f t="shared" ca="1" si="139"/>
        <v>2276</v>
      </c>
      <c r="X436" s="13"/>
      <c r="Y436" s="10"/>
      <c r="Z436" s="10"/>
      <c r="AA436" s="10"/>
      <c r="AB436" s="9"/>
    </row>
    <row r="437" spans="1:28" ht="13.15" customHeight="1">
      <c r="A437" s="36">
        <v>423</v>
      </c>
      <c r="B437" s="35">
        <f t="shared" si="132"/>
        <v>45495</v>
      </c>
      <c r="C437" s="16">
        <f t="shared" si="133"/>
        <v>1069</v>
      </c>
      <c r="D437" s="15">
        <f t="shared" si="124"/>
        <v>2018</v>
      </c>
      <c r="E437" s="14">
        <f t="shared" ca="1" si="125"/>
        <v>-688</v>
      </c>
      <c r="F437" s="14">
        <f t="shared" ca="1" si="126"/>
        <v>-656</v>
      </c>
      <c r="G437" s="14">
        <f t="shared" ca="1" si="127"/>
        <v>-639</v>
      </c>
      <c r="H437" s="10">
        <f t="shared" ca="1" si="128"/>
        <v>3775</v>
      </c>
      <c r="I437" s="10">
        <f t="shared" ca="1" si="129"/>
        <v>3743</v>
      </c>
      <c r="J437" s="10">
        <f t="shared" ca="1" si="130"/>
        <v>3726</v>
      </c>
      <c r="K437" s="10">
        <f t="shared" si="140"/>
        <v>4000</v>
      </c>
      <c r="L437" s="10">
        <f t="shared" si="141"/>
        <v>4000</v>
      </c>
      <c r="M437" s="10">
        <f t="shared" si="142"/>
        <v>4000</v>
      </c>
      <c r="N437" s="10">
        <f t="shared" ca="1" si="134"/>
        <v>-225</v>
      </c>
      <c r="O437" s="10">
        <f t="shared" ca="1" si="135"/>
        <v>-257</v>
      </c>
      <c r="P437" s="10">
        <f t="shared" ca="1" si="136"/>
        <v>-274</v>
      </c>
      <c r="Q437" s="14">
        <v>10</v>
      </c>
      <c r="R437" s="14">
        <v>10</v>
      </c>
      <c r="S437" s="14">
        <v>10</v>
      </c>
      <c r="T437" s="13">
        <f t="shared" ca="1" si="131"/>
        <v>634</v>
      </c>
      <c r="U437" s="12">
        <f t="shared" ca="1" si="138"/>
        <v>2435</v>
      </c>
      <c r="V437" s="12">
        <f t="shared" ca="1" si="137"/>
        <v>2453</v>
      </c>
      <c r="W437" s="12">
        <f t="shared" ca="1" si="139"/>
        <v>2466</v>
      </c>
      <c r="X437" s="11">
        <v>0.2</v>
      </c>
      <c r="Y437" s="10"/>
      <c r="Z437" s="10"/>
      <c r="AA437" s="10"/>
      <c r="AB437" s="19" t="s">
        <v>6</v>
      </c>
    </row>
    <row r="438" spans="1:28" ht="13.15" customHeight="1">
      <c r="A438" s="36">
        <v>424</v>
      </c>
      <c r="B438" s="35">
        <f t="shared" si="132"/>
        <v>45496</v>
      </c>
      <c r="C438" s="16">
        <f t="shared" si="133"/>
        <v>1069</v>
      </c>
      <c r="D438" s="15">
        <f t="shared" si="124"/>
        <v>2020</v>
      </c>
      <c r="E438" s="14">
        <f t="shared" ca="1" si="125"/>
        <v>-678</v>
      </c>
      <c r="F438" s="14">
        <f t="shared" ca="1" si="126"/>
        <v>-644</v>
      </c>
      <c r="G438" s="14">
        <f t="shared" ca="1" si="127"/>
        <v>-627</v>
      </c>
      <c r="H438" s="10">
        <f t="shared" ca="1" si="128"/>
        <v>3767</v>
      </c>
      <c r="I438" s="10">
        <f t="shared" ca="1" si="129"/>
        <v>3733</v>
      </c>
      <c r="J438" s="10">
        <f t="shared" ca="1" si="130"/>
        <v>3716</v>
      </c>
      <c r="K438" s="10">
        <f t="shared" si="140"/>
        <v>4000</v>
      </c>
      <c r="L438" s="10">
        <f t="shared" si="141"/>
        <v>4000</v>
      </c>
      <c r="M438" s="10">
        <f t="shared" si="142"/>
        <v>4000</v>
      </c>
      <c r="N438" s="10">
        <f t="shared" ca="1" si="134"/>
        <v>-233</v>
      </c>
      <c r="O438" s="10">
        <f t="shared" ca="1" si="135"/>
        <v>-267</v>
      </c>
      <c r="P438" s="10">
        <f t="shared" ca="1" si="136"/>
        <v>-284</v>
      </c>
      <c r="Q438" s="14">
        <v>8</v>
      </c>
      <c r="R438" s="14">
        <v>10</v>
      </c>
      <c r="S438" s="14">
        <v>10</v>
      </c>
      <c r="T438" s="13">
        <f t="shared" ca="1" si="131"/>
        <v>646</v>
      </c>
      <c r="U438" s="12">
        <f t="shared" ca="1" si="138"/>
        <v>2427</v>
      </c>
      <c r="V438" s="12">
        <f t="shared" ca="1" si="137"/>
        <v>2443</v>
      </c>
      <c r="W438" s="12">
        <f t="shared" ca="1" si="139"/>
        <v>2456</v>
      </c>
      <c r="X438" s="11"/>
      <c r="Y438" s="10"/>
      <c r="Z438" s="10"/>
      <c r="AA438" s="10"/>
      <c r="AB438" s="9"/>
    </row>
    <row r="439" spans="1:28" ht="13.15" customHeight="1">
      <c r="A439" s="36">
        <v>425</v>
      </c>
      <c r="B439" s="35">
        <f t="shared" si="132"/>
        <v>45497</v>
      </c>
      <c r="C439" s="16">
        <f t="shared" si="133"/>
        <v>1069</v>
      </c>
      <c r="D439" s="15">
        <f t="shared" si="124"/>
        <v>2022</v>
      </c>
      <c r="E439" s="14">
        <f t="shared" ca="1" si="125"/>
        <v>-670</v>
      </c>
      <c r="F439" s="14">
        <f t="shared" ca="1" si="126"/>
        <v>-636</v>
      </c>
      <c r="G439" s="14">
        <f t="shared" ca="1" si="127"/>
        <v>-615</v>
      </c>
      <c r="H439" s="10">
        <f t="shared" ca="1" si="128"/>
        <v>3761</v>
      </c>
      <c r="I439" s="10">
        <f t="shared" ca="1" si="129"/>
        <v>3727</v>
      </c>
      <c r="J439" s="10">
        <f t="shared" ca="1" si="130"/>
        <v>3706</v>
      </c>
      <c r="K439" s="10">
        <f t="shared" si="140"/>
        <v>4000</v>
      </c>
      <c r="L439" s="10">
        <f t="shared" si="141"/>
        <v>4000</v>
      </c>
      <c r="M439" s="10">
        <f t="shared" si="142"/>
        <v>4000</v>
      </c>
      <c r="N439" s="10">
        <f t="shared" ca="1" si="134"/>
        <v>-239</v>
      </c>
      <c r="O439" s="10">
        <f t="shared" ca="1" si="135"/>
        <v>-273</v>
      </c>
      <c r="P439" s="10">
        <f t="shared" ca="1" si="136"/>
        <v>-294</v>
      </c>
      <c r="Q439" s="14">
        <v>6</v>
      </c>
      <c r="R439" s="14">
        <v>6</v>
      </c>
      <c r="S439" s="14">
        <v>10</v>
      </c>
      <c r="T439" s="13">
        <f t="shared" ca="1" si="131"/>
        <v>654</v>
      </c>
      <c r="U439" s="12">
        <f t="shared" ca="1" si="138"/>
        <v>2421</v>
      </c>
      <c r="V439" s="12">
        <f t="shared" ca="1" si="137"/>
        <v>2437</v>
      </c>
      <c r="W439" s="12">
        <f t="shared" ca="1" si="139"/>
        <v>2446</v>
      </c>
      <c r="X439" s="11"/>
      <c r="Y439" s="10"/>
      <c r="Z439" s="10"/>
      <c r="AA439" s="10"/>
      <c r="AB439" s="9"/>
    </row>
    <row r="440" spans="1:28" ht="13.15" customHeight="1">
      <c r="A440" s="36">
        <v>426</v>
      </c>
      <c r="B440" s="35">
        <f t="shared" si="132"/>
        <v>45498</v>
      </c>
      <c r="C440" s="16">
        <f t="shared" si="133"/>
        <v>1069</v>
      </c>
      <c r="D440" s="15">
        <f t="shared" si="124"/>
        <v>2024</v>
      </c>
      <c r="E440" s="14">
        <f t="shared" ca="1" si="125"/>
        <v>-662</v>
      </c>
      <c r="F440" s="14">
        <f t="shared" ca="1" si="126"/>
        <v>-626</v>
      </c>
      <c r="G440" s="14">
        <f t="shared" ca="1" si="127"/>
        <v>-606</v>
      </c>
      <c r="H440" s="10">
        <f t="shared" ca="1" si="128"/>
        <v>3755</v>
      </c>
      <c r="I440" s="10">
        <f t="shared" ca="1" si="129"/>
        <v>3719</v>
      </c>
      <c r="J440" s="10">
        <f t="shared" ca="1" si="130"/>
        <v>3699</v>
      </c>
      <c r="K440" s="10">
        <f t="shared" si="140"/>
        <v>4000</v>
      </c>
      <c r="L440" s="10">
        <f t="shared" si="141"/>
        <v>4000</v>
      </c>
      <c r="M440" s="10">
        <f t="shared" si="142"/>
        <v>4000</v>
      </c>
      <c r="N440" s="10">
        <f t="shared" ca="1" si="134"/>
        <v>-245</v>
      </c>
      <c r="O440" s="10">
        <f t="shared" ca="1" si="135"/>
        <v>-281</v>
      </c>
      <c r="P440" s="10">
        <f t="shared" ca="1" si="136"/>
        <v>-301</v>
      </c>
      <c r="Q440" s="14">
        <v>6</v>
      </c>
      <c r="R440" s="14">
        <v>8</v>
      </c>
      <c r="S440" s="14">
        <v>7</v>
      </c>
      <c r="T440" s="13">
        <f t="shared" ca="1" si="131"/>
        <v>664</v>
      </c>
      <c r="U440" s="12">
        <f t="shared" ca="1" si="138"/>
        <v>2415</v>
      </c>
      <c r="V440" s="12">
        <f t="shared" ca="1" si="137"/>
        <v>2429</v>
      </c>
      <c r="W440" s="12">
        <f t="shared" ca="1" si="139"/>
        <v>2439</v>
      </c>
      <c r="X440" s="11"/>
      <c r="Y440" s="10"/>
      <c r="Z440" s="10"/>
      <c r="AA440" s="10"/>
      <c r="AB440" s="9"/>
    </row>
    <row r="441" spans="1:28" ht="13.15" customHeight="1">
      <c r="A441" s="36">
        <v>427</v>
      </c>
      <c r="B441" s="35">
        <f t="shared" si="132"/>
        <v>45499</v>
      </c>
      <c r="C441" s="16">
        <f t="shared" si="133"/>
        <v>1069</v>
      </c>
      <c r="D441" s="15">
        <f t="shared" si="124"/>
        <v>2026</v>
      </c>
      <c r="E441" s="14">
        <f t="shared" ca="1" si="125"/>
        <v>-650</v>
      </c>
      <c r="F441" s="14">
        <f t="shared" ca="1" si="126"/>
        <v>-614</v>
      </c>
      <c r="G441" s="14">
        <f t="shared" ca="1" si="127"/>
        <v>-594</v>
      </c>
      <c r="H441" s="10">
        <f t="shared" ca="1" si="128"/>
        <v>3745</v>
      </c>
      <c r="I441" s="10">
        <f t="shared" ca="1" si="129"/>
        <v>3709</v>
      </c>
      <c r="J441" s="10">
        <f t="shared" ca="1" si="130"/>
        <v>3689</v>
      </c>
      <c r="K441" s="10">
        <f t="shared" si="140"/>
        <v>4000</v>
      </c>
      <c r="L441" s="10">
        <f t="shared" si="141"/>
        <v>4000</v>
      </c>
      <c r="M441" s="10">
        <f t="shared" si="142"/>
        <v>4000</v>
      </c>
      <c r="N441" s="10">
        <f t="shared" ca="1" si="134"/>
        <v>-255</v>
      </c>
      <c r="O441" s="10">
        <f t="shared" ca="1" si="135"/>
        <v>-291</v>
      </c>
      <c r="P441" s="10">
        <f t="shared" ca="1" si="136"/>
        <v>-311</v>
      </c>
      <c r="Q441" s="14">
        <v>10</v>
      </c>
      <c r="R441" s="14">
        <v>10</v>
      </c>
      <c r="S441" s="14">
        <v>10</v>
      </c>
      <c r="T441" s="13">
        <f t="shared" ca="1" si="131"/>
        <v>376</v>
      </c>
      <c r="U441" s="12">
        <f t="shared" ca="1" si="138"/>
        <v>2705</v>
      </c>
      <c r="V441" s="12">
        <f t="shared" ca="1" si="137"/>
        <v>2719</v>
      </c>
      <c r="W441" s="12">
        <f t="shared" ca="1" si="139"/>
        <v>2729</v>
      </c>
      <c r="X441" s="11">
        <v>0.3</v>
      </c>
      <c r="Y441" s="10"/>
      <c r="Z441" s="10"/>
      <c r="AA441" s="10"/>
      <c r="AB441" s="19" t="s">
        <v>5</v>
      </c>
    </row>
    <row r="442" spans="1:28" ht="13.15" customHeight="1">
      <c r="A442" s="36">
        <v>428</v>
      </c>
      <c r="B442" s="35">
        <f t="shared" si="132"/>
        <v>45500</v>
      </c>
      <c r="C442" s="16">
        <f t="shared" si="133"/>
        <v>1069</v>
      </c>
      <c r="D442" s="15">
        <f t="shared" si="124"/>
        <v>2028</v>
      </c>
      <c r="E442" s="14">
        <f t="shared" ca="1" si="125"/>
        <v>-638</v>
      </c>
      <c r="F442" s="14">
        <f t="shared" ca="1" si="126"/>
        <v>-603</v>
      </c>
      <c r="G442" s="14">
        <f t="shared" ca="1" si="127"/>
        <v>-582</v>
      </c>
      <c r="H442" s="10">
        <f t="shared" ca="1" si="128"/>
        <v>3735</v>
      </c>
      <c r="I442" s="10">
        <f t="shared" ca="1" si="129"/>
        <v>3700</v>
      </c>
      <c r="J442" s="10">
        <f t="shared" ca="1" si="130"/>
        <v>3679</v>
      </c>
      <c r="K442" s="10">
        <f t="shared" si="140"/>
        <v>4000</v>
      </c>
      <c r="L442" s="10">
        <f t="shared" si="141"/>
        <v>4000</v>
      </c>
      <c r="M442" s="10">
        <f t="shared" si="142"/>
        <v>4000</v>
      </c>
      <c r="N442" s="10">
        <f t="shared" ca="1" si="134"/>
        <v>-265</v>
      </c>
      <c r="O442" s="10">
        <f t="shared" ca="1" si="135"/>
        <v>-300</v>
      </c>
      <c r="P442" s="10">
        <f t="shared" ca="1" si="136"/>
        <v>-321</v>
      </c>
      <c r="Q442" s="14">
        <v>10</v>
      </c>
      <c r="R442" s="14">
        <v>9</v>
      </c>
      <c r="S442" s="14">
        <v>10</v>
      </c>
      <c r="T442" s="13">
        <f t="shared" ca="1" si="131"/>
        <v>387</v>
      </c>
      <c r="U442" s="12">
        <f t="shared" ca="1" si="138"/>
        <v>2695</v>
      </c>
      <c r="V442" s="12">
        <f t="shared" ca="1" si="137"/>
        <v>2710</v>
      </c>
      <c r="W442" s="12">
        <f t="shared" ca="1" si="139"/>
        <v>2719</v>
      </c>
      <c r="X442" s="11"/>
      <c r="Y442" s="10"/>
      <c r="Z442" s="10"/>
      <c r="AA442" s="10"/>
      <c r="AB442" s="9"/>
    </row>
    <row r="443" spans="1:28" ht="13.15" customHeight="1">
      <c r="A443" s="36">
        <v>429</v>
      </c>
      <c r="B443" s="35">
        <f t="shared" si="132"/>
        <v>45501</v>
      </c>
      <c r="C443" s="16">
        <f t="shared" si="133"/>
        <v>1069</v>
      </c>
      <c r="D443" s="15">
        <f t="shared" si="124"/>
        <v>2030</v>
      </c>
      <c r="E443" s="14">
        <f t="shared" ca="1" si="125"/>
        <v>-632</v>
      </c>
      <c r="F443" s="14">
        <f t="shared" ca="1" si="126"/>
        <v>-592</v>
      </c>
      <c r="G443" s="14">
        <f t="shared" ca="1" si="127"/>
        <v>-573</v>
      </c>
      <c r="H443" s="10">
        <f t="shared" ca="1" si="128"/>
        <v>3731</v>
      </c>
      <c r="I443" s="10">
        <f t="shared" ca="1" si="129"/>
        <v>3691</v>
      </c>
      <c r="J443" s="10">
        <f t="shared" ca="1" si="130"/>
        <v>3672</v>
      </c>
      <c r="K443" s="10">
        <f t="shared" si="140"/>
        <v>4000</v>
      </c>
      <c r="L443" s="10">
        <f t="shared" si="141"/>
        <v>4000</v>
      </c>
      <c r="M443" s="10">
        <f t="shared" si="142"/>
        <v>4000</v>
      </c>
      <c r="N443" s="10">
        <f t="shared" ca="1" si="134"/>
        <v>-269</v>
      </c>
      <c r="O443" s="10">
        <f t="shared" ca="1" si="135"/>
        <v>-309</v>
      </c>
      <c r="P443" s="10">
        <f t="shared" ca="1" si="136"/>
        <v>-328</v>
      </c>
      <c r="Q443" s="14">
        <v>4</v>
      </c>
      <c r="R443" s="14">
        <v>9</v>
      </c>
      <c r="S443" s="14">
        <v>7</v>
      </c>
      <c r="T443" s="13">
        <f t="shared" ca="1" si="131"/>
        <v>398</v>
      </c>
      <c r="U443" s="12">
        <f t="shared" ca="1" si="138"/>
        <v>2691</v>
      </c>
      <c r="V443" s="12">
        <f t="shared" ca="1" si="137"/>
        <v>2701</v>
      </c>
      <c r="W443" s="12">
        <f t="shared" ca="1" si="139"/>
        <v>2712</v>
      </c>
      <c r="X443" s="11"/>
      <c r="Y443" s="10"/>
      <c r="Z443" s="10"/>
      <c r="AA443" s="10"/>
      <c r="AB443" s="9"/>
    </row>
    <row r="444" spans="1:28" ht="13.15" customHeight="1">
      <c r="A444" s="36">
        <v>430</v>
      </c>
      <c r="B444" s="35">
        <f t="shared" si="132"/>
        <v>45502</v>
      </c>
      <c r="C444" s="16">
        <f t="shared" si="133"/>
        <v>1069</v>
      </c>
      <c r="D444" s="15">
        <f t="shared" si="124"/>
        <v>2032</v>
      </c>
      <c r="E444" s="14">
        <f t="shared" ca="1" si="125"/>
        <v>-625</v>
      </c>
      <c r="F444" s="14">
        <f t="shared" ca="1" si="126"/>
        <v>-581</v>
      </c>
      <c r="G444" s="14">
        <f t="shared" ca="1" si="127"/>
        <v>-564</v>
      </c>
      <c r="H444" s="10">
        <f t="shared" ca="1" si="128"/>
        <v>3726</v>
      </c>
      <c r="I444" s="10">
        <f t="shared" ca="1" si="129"/>
        <v>3682</v>
      </c>
      <c r="J444" s="10">
        <f t="shared" ca="1" si="130"/>
        <v>3665</v>
      </c>
      <c r="K444" s="10">
        <f t="shared" si="140"/>
        <v>4000</v>
      </c>
      <c r="L444" s="10">
        <f t="shared" si="141"/>
        <v>4000</v>
      </c>
      <c r="M444" s="10">
        <f t="shared" si="142"/>
        <v>4000</v>
      </c>
      <c r="N444" s="10">
        <f t="shared" ca="1" si="134"/>
        <v>-274</v>
      </c>
      <c r="O444" s="10">
        <f t="shared" ca="1" si="135"/>
        <v>-318</v>
      </c>
      <c r="P444" s="10">
        <f t="shared" ca="1" si="136"/>
        <v>-335</v>
      </c>
      <c r="Q444" s="14">
        <v>5</v>
      </c>
      <c r="R444" s="14">
        <v>9</v>
      </c>
      <c r="S444" s="14">
        <v>7</v>
      </c>
      <c r="T444" s="13">
        <f t="shared" ca="1" si="131"/>
        <v>409</v>
      </c>
      <c r="U444" s="12">
        <f t="shared" ca="1" si="138"/>
        <v>2686</v>
      </c>
      <c r="V444" s="12">
        <f t="shared" ca="1" si="137"/>
        <v>2692</v>
      </c>
      <c r="W444" s="12">
        <f t="shared" ca="1" si="139"/>
        <v>2705</v>
      </c>
      <c r="X444" s="11"/>
      <c r="Y444" s="10"/>
      <c r="Z444" s="10"/>
      <c r="AA444" s="10"/>
      <c r="AB444" s="9"/>
    </row>
    <row r="445" spans="1:28" ht="13.15" customHeight="1">
      <c r="A445" s="36">
        <v>431</v>
      </c>
      <c r="B445" s="35">
        <f t="shared" si="132"/>
        <v>45503</v>
      </c>
      <c r="C445" s="16">
        <f t="shared" si="133"/>
        <v>1069</v>
      </c>
      <c r="D445" s="15">
        <f t="shared" si="124"/>
        <v>2034</v>
      </c>
      <c r="E445" s="14">
        <f t="shared" ca="1" si="125"/>
        <v>-617</v>
      </c>
      <c r="F445" s="14">
        <f t="shared" ca="1" si="126"/>
        <v>-571</v>
      </c>
      <c r="G445" s="14">
        <f t="shared" ca="1" si="127"/>
        <v>-555</v>
      </c>
      <c r="H445" s="10">
        <f t="shared" ca="1" si="128"/>
        <v>3720</v>
      </c>
      <c r="I445" s="10">
        <f t="shared" ca="1" si="129"/>
        <v>3674</v>
      </c>
      <c r="J445" s="10">
        <f t="shared" ca="1" si="130"/>
        <v>3658</v>
      </c>
      <c r="K445" s="10">
        <f t="shared" si="140"/>
        <v>4000</v>
      </c>
      <c r="L445" s="10">
        <f t="shared" si="141"/>
        <v>4000</v>
      </c>
      <c r="M445" s="10">
        <f t="shared" si="142"/>
        <v>4000</v>
      </c>
      <c r="N445" s="10">
        <f t="shared" ca="1" si="134"/>
        <v>-280</v>
      </c>
      <c r="O445" s="10">
        <f t="shared" ca="1" si="135"/>
        <v>-326</v>
      </c>
      <c r="P445" s="10">
        <f t="shared" ca="1" si="136"/>
        <v>-342</v>
      </c>
      <c r="Q445" s="14">
        <v>6</v>
      </c>
      <c r="R445" s="14">
        <v>8</v>
      </c>
      <c r="S445" s="14">
        <v>7</v>
      </c>
      <c r="T445" s="13">
        <f t="shared" ca="1" si="131"/>
        <v>419</v>
      </c>
      <c r="U445" s="12">
        <f t="shared" ca="1" si="138"/>
        <v>2680</v>
      </c>
      <c r="V445" s="12">
        <f t="shared" ca="1" si="137"/>
        <v>2684</v>
      </c>
      <c r="W445" s="12">
        <f t="shared" ca="1" si="139"/>
        <v>2698</v>
      </c>
      <c r="X445" s="11"/>
      <c r="Y445" s="10"/>
      <c r="Z445" s="10"/>
      <c r="AA445" s="10"/>
      <c r="AB445" s="9"/>
    </row>
    <row r="446" spans="1:28" ht="13.15" customHeight="1">
      <c r="A446" s="36">
        <v>432</v>
      </c>
      <c r="B446" s="35">
        <f t="shared" si="132"/>
        <v>45504</v>
      </c>
      <c r="C446" s="16">
        <f t="shared" si="133"/>
        <v>1069</v>
      </c>
      <c r="D446" s="15">
        <f t="shared" si="124"/>
        <v>2036</v>
      </c>
      <c r="E446" s="14">
        <f t="shared" ca="1" si="125"/>
        <v>-605</v>
      </c>
      <c r="F446" s="14">
        <f t="shared" ca="1" si="126"/>
        <v>-559</v>
      </c>
      <c r="G446" s="14">
        <f t="shared" ca="1" si="127"/>
        <v>-543</v>
      </c>
      <c r="H446" s="10">
        <f t="shared" ca="1" si="128"/>
        <v>3710</v>
      </c>
      <c r="I446" s="10">
        <f t="shared" ca="1" si="129"/>
        <v>3664</v>
      </c>
      <c r="J446" s="10">
        <f t="shared" ca="1" si="130"/>
        <v>3648</v>
      </c>
      <c r="K446" s="10">
        <f t="shared" si="140"/>
        <v>4000</v>
      </c>
      <c r="L446" s="10">
        <f t="shared" si="141"/>
        <v>4000</v>
      </c>
      <c r="M446" s="10">
        <f t="shared" si="142"/>
        <v>4000</v>
      </c>
      <c r="N446" s="10">
        <f t="shared" ca="1" si="134"/>
        <v>-290</v>
      </c>
      <c r="O446" s="10">
        <f t="shared" ca="1" si="135"/>
        <v>-336</v>
      </c>
      <c r="P446" s="10">
        <f t="shared" ca="1" si="136"/>
        <v>-352</v>
      </c>
      <c r="Q446" s="14">
        <v>10</v>
      </c>
      <c r="R446" s="14">
        <v>10</v>
      </c>
      <c r="S446" s="14">
        <v>10</v>
      </c>
      <c r="T446" s="13">
        <f t="shared" ca="1" si="131"/>
        <v>131</v>
      </c>
      <c r="U446" s="12">
        <f t="shared" ca="1" si="138"/>
        <v>2970</v>
      </c>
      <c r="V446" s="12">
        <f t="shared" ca="1" si="137"/>
        <v>2974</v>
      </c>
      <c r="W446" s="12">
        <f t="shared" ca="1" si="139"/>
        <v>2988</v>
      </c>
      <c r="X446" s="11">
        <v>0.3</v>
      </c>
      <c r="Y446" s="10"/>
      <c r="Z446" s="10"/>
      <c r="AA446" s="10"/>
      <c r="AB446" s="19" t="s">
        <v>4</v>
      </c>
    </row>
    <row r="447" spans="1:28" ht="13.15" customHeight="1">
      <c r="A447" s="36">
        <v>433</v>
      </c>
      <c r="B447" s="35">
        <f t="shared" si="132"/>
        <v>45505</v>
      </c>
      <c r="C447" s="16">
        <f t="shared" si="133"/>
        <v>1069</v>
      </c>
      <c r="D447" s="15">
        <f t="shared" ref="D447:D510" si="143">D446+2</f>
        <v>2038</v>
      </c>
      <c r="E447" s="14">
        <f t="shared" ca="1" si="125"/>
        <v>-593</v>
      </c>
      <c r="F447" s="14">
        <f t="shared" ca="1" si="126"/>
        <v>-548</v>
      </c>
      <c r="G447" s="14">
        <f t="shared" ca="1" si="127"/>
        <v>-531</v>
      </c>
      <c r="H447" s="10">
        <f t="shared" ca="1" si="128"/>
        <v>3700</v>
      </c>
      <c r="I447" s="10">
        <f t="shared" ca="1" si="129"/>
        <v>3655</v>
      </c>
      <c r="J447" s="10">
        <f t="shared" ca="1" si="130"/>
        <v>3638</v>
      </c>
      <c r="K447" s="10">
        <f t="shared" si="140"/>
        <v>4000</v>
      </c>
      <c r="L447" s="10">
        <f t="shared" si="141"/>
        <v>4000</v>
      </c>
      <c r="M447" s="10">
        <f t="shared" si="142"/>
        <v>4000</v>
      </c>
      <c r="N447" s="10">
        <f t="shared" ca="1" si="134"/>
        <v>-300</v>
      </c>
      <c r="O447" s="10">
        <f t="shared" ca="1" si="135"/>
        <v>-345</v>
      </c>
      <c r="P447" s="10">
        <f t="shared" ca="1" si="136"/>
        <v>-362</v>
      </c>
      <c r="Q447" s="14">
        <v>10</v>
      </c>
      <c r="R447" s="14">
        <v>9</v>
      </c>
      <c r="S447" s="14">
        <v>10</v>
      </c>
      <c r="T447" s="13">
        <f t="shared" ca="1" si="131"/>
        <v>142</v>
      </c>
      <c r="U447" s="12">
        <f t="shared" ca="1" si="138"/>
        <v>2960</v>
      </c>
      <c r="V447" s="12">
        <f t="shared" ca="1" si="137"/>
        <v>2965</v>
      </c>
      <c r="W447" s="12">
        <f t="shared" ca="1" si="139"/>
        <v>2978</v>
      </c>
      <c r="X447" s="11"/>
      <c r="Y447" s="10"/>
      <c r="Z447" s="10"/>
      <c r="AA447" s="10"/>
      <c r="AB447" s="9"/>
    </row>
    <row r="448" spans="1:28" ht="13.15" customHeight="1">
      <c r="A448" s="36">
        <v>434</v>
      </c>
      <c r="B448" s="35">
        <f t="shared" si="132"/>
        <v>45506</v>
      </c>
      <c r="C448" s="16">
        <f t="shared" si="133"/>
        <v>1069</v>
      </c>
      <c r="D448" s="15">
        <f t="shared" si="143"/>
        <v>2040</v>
      </c>
      <c r="E448" s="14">
        <f t="shared" ca="1" si="125"/>
        <v>-587</v>
      </c>
      <c r="F448" s="14">
        <f t="shared" ca="1" si="126"/>
        <v>-538</v>
      </c>
      <c r="G448" s="14">
        <f t="shared" ca="1" si="127"/>
        <v>-522</v>
      </c>
      <c r="H448" s="10">
        <f t="shared" ca="1" si="128"/>
        <v>3696</v>
      </c>
      <c r="I448" s="10">
        <f t="shared" ca="1" si="129"/>
        <v>3647</v>
      </c>
      <c r="J448" s="10">
        <f t="shared" ca="1" si="130"/>
        <v>3631</v>
      </c>
      <c r="K448" s="10">
        <f t="shared" si="140"/>
        <v>4000</v>
      </c>
      <c r="L448" s="10">
        <f t="shared" si="141"/>
        <v>4000</v>
      </c>
      <c r="M448" s="10">
        <f t="shared" si="142"/>
        <v>4000</v>
      </c>
      <c r="N448" s="10">
        <f t="shared" ca="1" si="134"/>
        <v>-304</v>
      </c>
      <c r="O448" s="10">
        <f t="shared" ca="1" si="135"/>
        <v>-353</v>
      </c>
      <c r="P448" s="10">
        <f t="shared" ca="1" si="136"/>
        <v>-369</v>
      </c>
      <c r="Q448" s="14">
        <v>4</v>
      </c>
      <c r="R448" s="14">
        <v>8</v>
      </c>
      <c r="S448" s="14">
        <v>7</v>
      </c>
      <c r="T448" s="13">
        <f t="shared" ca="1" si="131"/>
        <v>152</v>
      </c>
      <c r="U448" s="12">
        <f t="shared" ca="1" si="138"/>
        <v>2956</v>
      </c>
      <c r="V448" s="12">
        <f t="shared" ca="1" si="137"/>
        <v>2957</v>
      </c>
      <c r="W448" s="12">
        <f t="shared" ca="1" si="139"/>
        <v>2971</v>
      </c>
      <c r="X448" s="11"/>
      <c r="Y448" s="10"/>
      <c r="Z448" s="10"/>
      <c r="AA448" s="10"/>
      <c r="AB448" s="9"/>
    </row>
    <row r="449" spans="1:28" ht="13.15" customHeight="1">
      <c r="A449" s="36">
        <v>435</v>
      </c>
      <c r="B449" s="35">
        <f t="shared" si="132"/>
        <v>45507</v>
      </c>
      <c r="C449" s="16">
        <f t="shared" si="133"/>
        <v>1069</v>
      </c>
      <c r="D449" s="15">
        <f t="shared" si="143"/>
        <v>2042</v>
      </c>
      <c r="E449" s="14">
        <f t="shared" ca="1" si="125"/>
        <v>-581</v>
      </c>
      <c r="F449" s="14">
        <f t="shared" ca="1" si="126"/>
        <v>-527</v>
      </c>
      <c r="G449" s="14">
        <f t="shared" ca="1" si="127"/>
        <v>-513</v>
      </c>
      <c r="H449" s="10">
        <f t="shared" ca="1" si="128"/>
        <v>3692</v>
      </c>
      <c r="I449" s="10">
        <f t="shared" ca="1" si="129"/>
        <v>3638</v>
      </c>
      <c r="J449" s="10">
        <f t="shared" ca="1" si="130"/>
        <v>3624</v>
      </c>
      <c r="K449" s="10">
        <f t="shared" si="140"/>
        <v>4000</v>
      </c>
      <c r="L449" s="10">
        <f t="shared" si="141"/>
        <v>4000</v>
      </c>
      <c r="M449" s="10">
        <f t="shared" si="142"/>
        <v>4000</v>
      </c>
      <c r="N449" s="10">
        <f t="shared" ca="1" si="134"/>
        <v>-308</v>
      </c>
      <c r="O449" s="10">
        <f t="shared" ca="1" si="135"/>
        <v>-362</v>
      </c>
      <c r="P449" s="10">
        <f t="shared" ca="1" si="136"/>
        <v>-376</v>
      </c>
      <c r="Q449" s="14">
        <v>4</v>
      </c>
      <c r="R449" s="14">
        <v>9</v>
      </c>
      <c r="S449" s="14">
        <v>7</v>
      </c>
      <c r="T449" s="13">
        <f t="shared" ca="1" si="131"/>
        <v>163</v>
      </c>
      <c r="U449" s="12">
        <f t="shared" ca="1" si="138"/>
        <v>2952</v>
      </c>
      <c r="V449" s="12">
        <f t="shared" ca="1" si="137"/>
        <v>2948</v>
      </c>
      <c r="W449" s="12">
        <f t="shared" ca="1" si="139"/>
        <v>2964</v>
      </c>
      <c r="X449" s="11"/>
      <c r="Y449" s="10"/>
      <c r="Z449" s="10"/>
      <c r="AA449" s="10"/>
      <c r="AB449" s="9"/>
    </row>
    <row r="450" spans="1:28" ht="13.15" customHeight="1">
      <c r="A450" s="36">
        <v>436</v>
      </c>
      <c r="B450" s="35">
        <f t="shared" si="132"/>
        <v>45508</v>
      </c>
      <c r="C450" s="16">
        <f t="shared" si="133"/>
        <v>1069</v>
      </c>
      <c r="D450" s="15">
        <f t="shared" si="143"/>
        <v>2044</v>
      </c>
      <c r="E450" s="14">
        <f t="shared" ca="1" si="125"/>
        <v>-573</v>
      </c>
      <c r="F450" s="14">
        <f t="shared" ca="1" si="126"/>
        <v>-517</v>
      </c>
      <c r="G450" s="14">
        <f t="shared" ca="1" si="127"/>
        <v>-504</v>
      </c>
      <c r="H450" s="10">
        <f t="shared" ca="1" si="128"/>
        <v>3686</v>
      </c>
      <c r="I450" s="10">
        <f t="shared" ca="1" si="129"/>
        <v>3630</v>
      </c>
      <c r="J450" s="10">
        <f t="shared" ca="1" si="130"/>
        <v>3617</v>
      </c>
      <c r="K450" s="10">
        <f t="shared" si="140"/>
        <v>4000</v>
      </c>
      <c r="L450" s="10">
        <f t="shared" si="141"/>
        <v>4000</v>
      </c>
      <c r="M450" s="10">
        <f t="shared" si="142"/>
        <v>4000</v>
      </c>
      <c r="N450" s="10">
        <f t="shared" ca="1" si="134"/>
        <v>-314</v>
      </c>
      <c r="O450" s="10">
        <f t="shared" ca="1" si="135"/>
        <v>-370</v>
      </c>
      <c r="P450" s="10">
        <f t="shared" ca="1" si="136"/>
        <v>-383</v>
      </c>
      <c r="Q450" s="14">
        <v>6</v>
      </c>
      <c r="R450" s="14">
        <v>8</v>
      </c>
      <c r="S450" s="14">
        <v>7</v>
      </c>
      <c r="T450" s="13">
        <f t="shared" ca="1" si="131"/>
        <v>173</v>
      </c>
      <c r="U450" s="12">
        <f t="shared" ca="1" si="138"/>
        <v>2946</v>
      </c>
      <c r="V450" s="12">
        <f t="shared" ca="1" si="137"/>
        <v>2940</v>
      </c>
      <c r="W450" s="12">
        <f t="shared" ca="1" si="139"/>
        <v>2957</v>
      </c>
      <c r="X450" s="11"/>
      <c r="Y450" s="10"/>
      <c r="Z450" s="10"/>
      <c r="AA450" s="10"/>
      <c r="AB450" s="9"/>
    </row>
    <row r="451" spans="1:28" ht="13.15" customHeight="1">
      <c r="A451" s="36">
        <v>437</v>
      </c>
      <c r="B451" s="35">
        <f t="shared" si="132"/>
        <v>45509</v>
      </c>
      <c r="C451" s="16">
        <f t="shared" si="133"/>
        <v>1069</v>
      </c>
      <c r="D451" s="15">
        <f t="shared" si="143"/>
        <v>2046</v>
      </c>
      <c r="E451" s="14">
        <f t="shared" ca="1" si="125"/>
        <v>-561</v>
      </c>
      <c r="F451" s="14">
        <f t="shared" ca="1" si="126"/>
        <v>-505</v>
      </c>
      <c r="G451" s="14">
        <f t="shared" ca="1" si="127"/>
        <v>-492</v>
      </c>
      <c r="H451" s="10">
        <f t="shared" ca="1" si="128"/>
        <v>3676</v>
      </c>
      <c r="I451" s="10">
        <f t="shared" ca="1" si="129"/>
        <v>3620</v>
      </c>
      <c r="J451" s="10">
        <f t="shared" ca="1" si="130"/>
        <v>3607</v>
      </c>
      <c r="K451" s="10">
        <f t="shared" si="140"/>
        <v>4000</v>
      </c>
      <c r="L451" s="10">
        <f t="shared" si="141"/>
        <v>4000</v>
      </c>
      <c r="M451" s="10">
        <f t="shared" si="142"/>
        <v>4000</v>
      </c>
      <c r="N451" s="10">
        <f t="shared" ca="1" si="134"/>
        <v>-324</v>
      </c>
      <c r="O451" s="10">
        <f t="shared" ca="1" si="135"/>
        <v>-380</v>
      </c>
      <c r="P451" s="10">
        <f t="shared" ca="1" si="136"/>
        <v>-393</v>
      </c>
      <c r="Q451" s="14">
        <v>10</v>
      </c>
      <c r="R451" s="14">
        <v>10</v>
      </c>
      <c r="S451" s="14">
        <v>10</v>
      </c>
      <c r="T451" s="13">
        <f t="shared" ca="1" si="131"/>
        <v>-115</v>
      </c>
      <c r="U451" s="12">
        <f t="shared" ca="1" si="138"/>
        <v>3236</v>
      </c>
      <c r="V451" s="12">
        <f t="shared" ca="1" si="137"/>
        <v>3230</v>
      </c>
      <c r="W451" s="12">
        <f t="shared" ca="1" si="139"/>
        <v>3247</v>
      </c>
      <c r="X451" s="11">
        <v>0.3</v>
      </c>
      <c r="Y451" s="10"/>
      <c r="Z451" s="10"/>
      <c r="AA451" s="10"/>
      <c r="AB451" s="19" t="s">
        <v>3</v>
      </c>
    </row>
    <row r="452" spans="1:28" ht="13.15" customHeight="1">
      <c r="A452" s="36">
        <v>438</v>
      </c>
      <c r="B452" s="35">
        <f t="shared" si="132"/>
        <v>45510</v>
      </c>
      <c r="C452" s="16">
        <f t="shared" si="133"/>
        <v>1069</v>
      </c>
      <c r="D452" s="15">
        <f t="shared" si="143"/>
        <v>2048</v>
      </c>
      <c r="E452" s="14">
        <f t="shared" ca="1" si="125"/>
        <v>-552</v>
      </c>
      <c r="F452" s="14">
        <f t="shared" ca="1" si="126"/>
        <v>-495</v>
      </c>
      <c r="G452" s="14">
        <f t="shared" ca="1" si="127"/>
        <v>-482</v>
      </c>
      <c r="H452" s="10">
        <f t="shared" ca="1" si="128"/>
        <v>3669</v>
      </c>
      <c r="I452" s="10">
        <f t="shared" ca="1" si="129"/>
        <v>3612</v>
      </c>
      <c r="J452" s="10">
        <f t="shared" ca="1" si="130"/>
        <v>3599</v>
      </c>
      <c r="K452" s="10">
        <f t="shared" si="140"/>
        <v>4000</v>
      </c>
      <c r="L452" s="10">
        <f t="shared" si="141"/>
        <v>4000</v>
      </c>
      <c r="M452" s="10">
        <f t="shared" si="142"/>
        <v>4000</v>
      </c>
      <c r="N452" s="10">
        <f t="shared" ca="1" si="134"/>
        <v>-331</v>
      </c>
      <c r="O452" s="10">
        <f t="shared" ca="1" si="135"/>
        <v>-388</v>
      </c>
      <c r="P452" s="10">
        <f t="shared" ca="1" si="136"/>
        <v>-401</v>
      </c>
      <c r="Q452" s="14">
        <v>7</v>
      </c>
      <c r="R452" s="14">
        <v>8</v>
      </c>
      <c r="S452" s="14">
        <v>8</v>
      </c>
      <c r="T452" s="13">
        <f t="shared" ca="1" si="131"/>
        <v>-105</v>
      </c>
      <c r="U452" s="12">
        <f t="shared" ca="1" si="138"/>
        <v>3229</v>
      </c>
      <c r="V452" s="12">
        <f t="shared" ca="1" si="137"/>
        <v>3222</v>
      </c>
      <c r="W452" s="12">
        <f t="shared" ca="1" si="139"/>
        <v>3239</v>
      </c>
      <c r="X452" s="11"/>
      <c r="Y452" s="10"/>
      <c r="Z452" s="10"/>
      <c r="AA452" s="10"/>
      <c r="AB452" s="9"/>
    </row>
    <row r="453" spans="1:28" ht="13.15" customHeight="1">
      <c r="A453" s="36">
        <v>439</v>
      </c>
      <c r="B453" s="35">
        <f t="shared" si="132"/>
        <v>45511</v>
      </c>
      <c r="C453" s="16">
        <f t="shared" si="133"/>
        <v>1069</v>
      </c>
      <c r="D453" s="15">
        <f t="shared" si="143"/>
        <v>2050</v>
      </c>
      <c r="E453" s="14">
        <f t="shared" ca="1" si="125"/>
        <v>-542</v>
      </c>
      <c r="F453" s="14">
        <f t="shared" ca="1" si="126"/>
        <v>-484</v>
      </c>
      <c r="G453" s="14">
        <f t="shared" ca="1" si="127"/>
        <v>-472</v>
      </c>
      <c r="H453" s="10">
        <f t="shared" ca="1" si="128"/>
        <v>3661</v>
      </c>
      <c r="I453" s="10">
        <f t="shared" ca="1" si="129"/>
        <v>3603</v>
      </c>
      <c r="J453" s="10">
        <f t="shared" ca="1" si="130"/>
        <v>3591</v>
      </c>
      <c r="K453" s="10">
        <f t="shared" si="140"/>
        <v>4000</v>
      </c>
      <c r="L453" s="10">
        <f t="shared" si="141"/>
        <v>4000</v>
      </c>
      <c r="M453" s="10">
        <f t="shared" si="142"/>
        <v>4000</v>
      </c>
      <c r="N453" s="10">
        <f t="shared" ca="1" si="134"/>
        <v>-339</v>
      </c>
      <c r="O453" s="10">
        <f t="shared" ca="1" si="135"/>
        <v>-397</v>
      </c>
      <c r="P453" s="10">
        <f t="shared" ca="1" si="136"/>
        <v>-409</v>
      </c>
      <c r="Q453" s="14">
        <v>8</v>
      </c>
      <c r="R453" s="14">
        <v>9</v>
      </c>
      <c r="S453" s="14">
        <v>8</v>
      </c>
      <c r="T453" s="13">
        <f t="shared" ca="1" si="131"/>
        <v>-94</v>
      </c>
      <c r="U453" s="12">
        <f t="shared" ca="1" si="138"/>
        <v>3221</v>
      </c>
      <c r="V453" s="12">
        <f t="shared" ca="1" si="137"/>
        <v>3213</v>
      </c>
      <c r="W453" s="12">
        <f t="shared" ca="1" si="139"/>
        <v>3231</v>
      </c>
      <c r="X453" s="11"/>
      <c r="Y453" s="10"/>
      <c r="Z453" s="10"/>
      <c r="AA453" s="10"/>
      <c r="AB453" s="9"/>
    </row>
    <row r="454" spans="1:28" ht="13.15" customHeight="1">
      <c r="A454" s="36">
        <v>440</v>
      </c>
      <c r="B454" s="35">
        <f t="shared" si="132"/>
        <v>45512</v>
      </c>
      <c r="C454" s="16">
        <f t="shared" si="133"/>
        <v>1069</v>
      </c>
      <c r="D454" s="15">
        <f t="shared" si="143"/>
        <v>2052</v>
      </c>
      <c r="E454" s="14">
        <f t="shared" ca="1" si="125"/>
        <v>-531</v>
      </c>
      <c r="F454" s="14">
        <f t="shared" ca="1" si="126"/>
        <v>-474</v>
      </c>
      <c r="G454" s="14">
        <f t="shared" ca="1" si="127"/>
        <v>-461</v>
      </c>
      <c r="H454" s="10">
        <f t="shared" ca="1" si="128"/>
        <v>3652</v>
      </c>
      <c r="I454" s="10">
        <f t="shared" ca="1" si="129"/>
        <v>3595</v>
      </c>
      <c r="J454" s="10">
        <f t="shared" ca="1" si="130"/>
        <v>3582</v>
      </c>
      <c r="K454" s="10">
        <f t="shared" si="140"/>
        <v>4000</v>
      </c>
      <c r="L454" s="10">
        <f t="shared" si="141"/>
        <v>4000</v>
      </c>
      <c r="M454" s="10">
        <f t="shared" si="142"/>
        <v>4000</v>
      </c>
      <c r="N454" s="10">
        <f t="shared" ca="1" si="134"/>
        <v>-348</v>
      </c>
      <c r="O454" s="10">
        <f t="shared" ca="1" si="135"/>
        <v>-405</v>
      </c>
      <c r="P454" s="10">
        <f t="shared" ca="1" si="136"/>
        <v>-418</v>
      </c>
      <c r="Q454" s="14">
        <v>9</v>
      </c>
      <c r="R454" s="14">
        <v>8</v>
      </c>
      <c r="S454" s="14">
        <v>9</v>
      </c>
      <c r="T454" s="13">
        <f t="shared" ca="1" si="131"/>
        <v>-84</v>
      </c>
      <c r="U454" s="12">
        <f t="shared" ca="1" si="138"/>
        <v>3212</v>
      </c>
      <c r="V454" s="12">
        <f t="shared" ca="1" si="137"/>
        <v>3205</v>
      </c>
      <c r="W454" s="12">
        <f t="shared" ca="1" si="139"/>
        <v>3222</v>
      </c>
      <c r="X454" s="11"/>
      <c r="Y454" s="10"/>
      <c r="Z454" s="10"/>
      <c r="AA454" s="10"/>
      <c r="AB454" s="9"/>
    </row>
    <row r="455" spans="1:28" ht="13.15" customHeight="1">
      <c r="A455" s="36">
        <v>441</v>
      </c>
      <c r="B455" s="35">
        <f t="shared" si="132"/>
        <v>45513</v>
      </c>
      <c r="C455" s="16">
        <f t="shared" si="133"/>
        <v>1069</v>
      </c>
      <c r="D455" s="15">
        <f t="shared" si="143"/>
        <v>2054</v>
      </c>
      <c r="E455" s="14">
        <f t="shared" ca="1" si="125"/>
        <v>-519</v>
      </c>
      <c r="F455" s="14">
        <f t="shared" ca="1" si="126"/>
        <v>-463</v>
      </c>
      <c r="G455" s="14">
        <f t="shared" ca="1" si="127"/>
        <v>-449</v>
      </c>
      <c r="H455" s="10">
        <f t="shared" ca="1" si="128"/>
        <v>3642</v>
      </c>
      <c r="I455" s="10">
        <f t="shared" ca="1" si="129"/>
        <v>3586</v>
      </c>
      <c r="J455" s="10">
        <f t="shared" ca="1" si="130"/>
        <v>3572</v>
      </c>
      <c r="K455" s="10">
        <f t="shared" si="140"/>
        <v>4000</v>
      </c>
      <c r="L455" s="10">
        <f t="shared" si="141"/>
        <v>4000</v>
      </c>
      <c r="M455" s="10">
        <f t="shared" si="142"/>
        <v>4000</v>
      </c>
      <c r="N455" s="10">
        <f t="shared" ca="1" si="134"/>
        <v>-358</v>
      </c>
      <c r="O455" s="10">
        <f t="shared" ca="1" si="135"/>
        <v>-414</v>
      </c>
      <c r="P455" s="10">
        <f t="shared" ca="1" si="136"/>
        <v>-428</v>
      </c>
      <c r="Q455" s="14">
        <v>10</v>
      </c>
      <c r="R455" s="14">
        <v>9</v>
      </c>
      <c r="S455" s="14">
        <v>10</v>
      </c>
      <c r="T455" s="13">
        <f t="shared" ca="1" si="131"/>
        <v>-373</v>
      </c>
      <c r="U455" s="12">
        <f t="shared" ca="1" si="138"/>
        <v>3502</v>
      </c>
      <c r="V455" s="12">
        <f t="shared" ca="1" si="137"/>
        <v>3496</v>
      </c>
      <c r="W455" s="12">
        <f t="shared" ca="1" si="139"/>
        <v>3512</v>
      </c>
      <c r="X455" s="11">
        <v>0.3</v>
      </c>
      <c r="Y455" s="10"/>
      <c r="Z455" s="10"/>
      <c r="AA455" s="10"/>
      <c r="AB455" s="19" t="s">
        <v>2</v>
      </c>
    </row>
    <row r="456" spans="1:28" ht="13.15" customHeight="1">
      <c r="A456" s="36">
        <v>442</v>
      </c>
      <c r="B456" s="35">
        <f t="shared" si="132"/>
        <v>45514</v>
      </c>
      <c r="C456" s="16">
        <f t="shared" si="133"/>
        <v>1069</v>
      </c>
      <c r="D456" s="15">
        <f t="shared" si="143"/>
        <v>2056</v>
      </c>
      <c r="E456" s="14">
        <f t="shared" ca="1" si="125"/>
        <v>-508</v>
      </c>
      <c r="F456" s="14">
        <f t="shared" ca="1" si="126"/>
        <v>-453</v>
      </c>
      <c r="G456" s="14">
        <f t="shared" ca="1" si="127"/>
        <v>-438</v>
      </c>
      <c r="H456" s="10">
        <f t="shared" ca="1" si="128"/>
        <v>3633</v>
      </c>
      <c r="I456" s="10">
        <f t="shared" ca="1" si="129"/>
        <v>3578</v>
      </c>
      <c r="J456" s="10">
        <f t="shared" ca="1" si="130"/>
        <v>3563</v>
      </c>
      <c r="K456" s="10">
        <f t="shared" si="140"/>
        <v>4000</v>
      </c>
      <c r="L456" s="10">
        <f t="shared" si="141"/>
        <v>4000</v>
      </c>
      <c r="M456" s="10">
        <f t="shared" si="142"/>
        <v>4000</v>
      </c>
      <c r="N456" s="10">
        <f t="shared" ca="1" si="134"/>
        <v>-367</v>
      </c>
      <c r="O456" s="10">
        <f t="shared" ca="1" si="135"/>
        <v>-422</v>
      </c>
      <c r="P456" s="10">
        <f t="shared" ca="1" si="136"/>
        <v>-437</v>
      </c>
      <c r="Q456" s="14">
        <v>9</v>
      </c>
      <c r="R456" s="14">
        <v>8</v>
      </c>
      <c r="S456" s="14">
        <v>9</v>
      </c>
      <c r="T456" s="13">
        <f t="shared" ca="1" si="131"/>
        <v>-363</v>
      </c>
      <c r="U456" s="12">
        <f t="shared" ca="1" si="138"/>
        <v>3493</v>
      </c>
      <c r="V456" s="12">
        <f t="shared" ca="1" si="137"/>
        <v>3488</v>
      </c>
      <c r="W456" s="12">
        <f t="shared" ca="1" si="139"/>
        <v>3503</v>
      </c>
      <c r="X456" s="11"/>
      <c r="Y456" s="10"/>
      <c r="Z456" s="10"/>
      <c r="AA456" s="10"/>
      <c r="AB456" s="9"/>
    </row>
    <row r="457" spans="1:28" ht="13.15" customHeight="1">
      <c r="A457" s="36">
        <v>443</v>
      </c>
      <c r="B457" s="35">
        <f t="shared" si="132"/>
        <v>45515</v>
      </c>
      <c r="C457" s="16">
        <f t="shared" si="133"/>
        <v>1069</v>
      </c>
      <c r="D457" s="15">
        <f t="shared" si="143"/>
        <v>2058</v>
      </c>
      <c r="E457" s="14">
        <f t="shared" ca="1" si="125"/>
        <v>-498</v>
      </c>
      <c r="F457" s="14">
        <f t="shared" ca="1" si="126"/>
        <v>-442</v>
      </c>
      <c r="G457" s="14">
        <f t="shared" ca="1" si="127"/>
        <v>-428</v>
      </c>
      <c r="H457" s="10">
        <f t="shared" ca="1" si="128"/>
        <v>3625</v>
      </c>
      <c r="I457" s="10">
        <f t="shared" ca="1" si="129"/>
        <v>3569</v>
      </c>
      <c r="J457" s="10">
        <f t="shared" ca="1" si="130"/>
        <v>3555</v>
      </c>
      <c r="K457" s="10">
        <f t="shared" si="140"/>
        <v>4000</v>
      </c>
      <c r="L457" s="10">
        <f t="shared" si="141"/>
        <v>4000</v>
      </c>
      <c r="M457" s="10">
        <f t="shared" si="142"/>
        <v>4000</v>
      </c>
      <c r="N457" s="10">
        <f t="shared" ca="1" si="134"/>
        <v>-375</v>
      </c>
      <c r="O457" s="10">
        <f t="shared" ca="1" si="135"/>
        <v>-431</v>
      </c>
      <c r="P457" s="10">
        <f t="shared" ca="1" si="136"/>
        <v>-445</v>
      </c>
      <c r="Q457" s="14">
        <v>8</v>
      </c>
      <c r="R457" s="14">
        <v>9</v>
      </c>
      <c r="S457" s="14">
        <v>8</v>
      </c>
      <c r="T457" s="13">
        <f t="shared" ca="1" si="131"/>
        <v>-352</v>
      </c>
      <c r="U457" s="12">
        <f t="shared" ca="1" si="138"/>
        <v>3485</v>
      </c>
      <c r="V457" s="12">
        <f t="shared" ca="1" si="137"/>
        <v>3479</v>
      </c>
      <c r="W457" s="12">
        <f t="shared" ca="1" si="139"/>
        <v>3495</v>
      </c>
      <c r="X457" s="11"/>
      <c r="Y457" s="10"/>
      <c r="Z457" s="10"/>
      <c r="AA457" s="10"/>
      <c r="AB457" s="9"/>
    </row>
    <row r="458" spans="1:28" ht="13.15" customHeight="1">
      <c r="A458" s="36">
        <v>444</v>
      </c>
      <c r="B458" s="35">
        <f t="shared" si="132"/>
        <v>45516</v>
      </c>
      <c r="C458" s="16">
        <f t="shared" si="133"/>
        <v>1069</v>
      </c>
      <c r="D458" s="15">
        <f t="shared" si="143"/>
        <v>2060</v>
      </c>
      <c r="E458" s="14">
        <f t="shared" ca="1" si="125"/>
        <v>-487</v>
      </c>
      <c r="F458" s="14">
        <f t="shared" ca="1" si="126"/>
        <v>-432</v>
      </c>
      <c r="G458" s="14">
        <f t="shared" ca="1" si="127"/>
        <v>-417</v>
      </c>
      <c r="H458" s="10">
        <f t="shared" ca="1" si="128"/>
        <v>3616</v>
      </c>
      <c r="I458" s="10">
        <f t="shared" ca="1" si="129"/>
        <v>3561</v>
      </c>
      <c r="J458" s="10">
        <f t="shared" ca="1" si="130"/>
        <v>3546</v>
      </c>
      <c r="K458" s="10">
        <f t="shared" si="140"/>
        <v>4000</v>
      </c>
      <c r="L458" s="10">
        <f t="shared" si="141"/>
        <v>4000</v>
      </c>
      <c r="M458" s="10">
        <f t="shared" si="142"/>
        <v>4000</v>
      </c>
      <c r="N458" s="10">
        <f t="shared" ca="1" si="134"/>
        <v>-384</v>
      </c>
      <c r="O458" s="10">
        <f t="shared" ca="1" si="135"/>
        <v>-439</v>
      </c>
      <c r="P458" s="10">
        <f t="shared" ca="1" si="136"/>
        <v>-454</v>
      </c>
      <c r="Q458" s="14">
        <v>9</v>
      </c>
      <c r="R458" s="14">
        <v>8</v>
      </c>
      <c r="S458" s="14">
        <v>9</v>
      </c>
      <c r="T458" s="13">
        <f t="shared" ca="1" si="131"/>
        <v>-342</v>
      </c>
      <c r="U458" s="12">
        <f t="shared" ca="1" si="138"/>
        <v>3476</v>
      </c>
      <c r="V458" s="12">
        <f t="shared" ca="1" si="137"/>
        <v>3471</v>
      </c>
      <c r="W458" s="12">
        <f t="shared" ca="1" si="139"/>
        <v>3486</v>
      </c>
      <c r="X458" s="11"/>
      <c r="Y458" s="10"/>
      <c r="Z458" s="10"/>
      <c r="AA458" s="10"/>
      <c r="AB458" s="9"/>
    </row>
    <row r="459" spans="1:28" ht="13.15" customHeight="1">
      <c r="A459" s="36">
        <v>445</v>
      </c>
      <c r="B459" s="35">
        <f t="shared" si="132"/>
        <v>45517</v>
      </c>
      <c r="C459" s="16">
        <f t="shared" si="133"/>
        <v>1069</v>
      </c>
      <c r="D459" s="15">
        <f t="shared" si="143"/>
        <v>2062</v>
      </c>
      <c r="E459" s="14">
        <f t="shared" ca="1" si="125"/>
        <v>-477</v>
      </c>
      <c r="F459" s="14">
        <f t="shared" ca="1" si="126"/>
        <v>-423</v>
      </c>
      <c r="G459" s="14">
        <f t="shared" ca="1" si="127"/>
        <v>-407</v>
      </c>
      <c r="H459" s="10">
        <f t="shared" ca="1" si="128"/>
        <v>3608</v>
      </c>
      <c r="I459" s="10">
        <f t="shared" ca="1" si="129"/>
        <v>3554</v>
      </c>
      <c r="J459" s="10">
        <f t="shared" ca="1" si="130"/>
        <v>3538</v>
      </c>
      <c r="K459" s="10">
        <f t="shared" si="140"/>
        <v>4000</v>
      </c>
      <c r="L459" s="10">
        <f t="shared" si="141"/>
        <v>4000</v>
      </c>
      <c r="M459" s="10">
        <f t="shared" si="142"/>
        <v>4000</v>
      </c>
      <c r="N459" s="10">
        <f t="shared" ca="1" si="134"/>
        <v>-392</v>
      </c>
      <c r="O459" s="10">
        <f t="shared" ca="1" si="135"/>
        <v>-446</v>
      </c>
      <c r="P459" s="10">
        <f t="shared" ca="1" si="136"/>
        <v>-462</v>
      </c>
      <c r="Q459" s="14">
        <v>8</v>
      </c>
      <c r="R459" s="14">
        <v>7</v>
      </c>
      <c r="S459" s="14">
        <v>8</v>
      </c>
      <c r="T459" s="13">
        <f t="shared" ca="1" si="131"/>
        <v>-333</v>
      </c>
      <c r="U459" s="12">
        <f t="shared" ca="1" si="138"/>
        <v>3468</v>
      </c>
      <c r="V459" s="12">
        <f t="shared" ca="1" si="137"/>
        <v>3464</v>
      </c>
      <c r="W459" s="12">
        <f t="shared" ca="1" si="139"/>
        <v>3478</v>
      </c>
      <c r="X459" s="11"/>
      <c r="Y459" s="10"/>
      <c r="Z459" s="10"/>
      <c r="AA459" s="10"/>
      <c r="AB459" s="9"/>
    </row>
    <row r="460" spans="1:28" ht="13.15" customHeight="1">
      <c r="A460" s="36">
        <v>446</v>
      </c>
      <c r="B460" s="35">
        <f t="shared" si="132"/>
        <v>45518</v>
      </c>
      <c r="C460" s="16">
        <f t="shared" si="133"/>
        <v>1069</v>
      </c>
      <c r="D460" s="15">
        <f t="shared" si="143"/>
        <v>2064</v>
      </c>
      <c r="E460" s="14">
        <f t="shared" ca="1" si="125"/>
        <v>-466</v>
      </c>
      <c r="F460" s="14">
        <f t="shared" ca="1" si="126"/>
        <v>-412</v>
      </c>
      <c r="G460" s="14">
        <f t="shared" ca="1" si="127"/>
        <v>-396</v>
      </c>
      <c r="H460" s="10">
        <f t="shared" ca="1" si="128"/>
        <v>3599</v>
      </c>
      <c r="I460" s="10">
        <f t="shared" ca="1" si="129"/>
        <v>3545</v>
      </c>
      <c r="J460" s="10">
        <f t="shared" ca="1" si="130"/>
        <v>3529</v>
      </c>
      <c r="K460" s="10">
        <f t="shared" si="140"/>
        <v>4000</v>
      </c>
      <c r="L460" s="10">
        <f t="shared" si="141"/>
        <v>4000</v>
      </c>
      <c r="M460" s="10">
        <f t="shared" si="142"/>
        <v>4000</v>
      </c>
      <c r="N460" s="10">
        <f t="shared" ca="1" si="134"/>
        <v>-401</v>
      </c>
      <c r="O460" s="10">
        <f t="shared" ca="1" si="135"/>
        <v>-455</v>
      </c>
      <c r="P460" s="10">
        <f t="shared" ca="1" si="136"/>
        <v>-471</v>
      </c>
      <c r="Q460" s="14">
        <v>9</v>
      </c>
      <c r="R460" s="14">
        <v>9</v>
      </c>
      <c r="S460" s="14">
        <v>9</v>
      </c>
      <c r="T460" s="13">
        <f t="shared" ca="1" si="131"/>
        <v>-622</v>
      </c>
      <c r="U460" s="12">
        <f t="shared" ca="1" si="138"/>
        <v>3759</v>
      </c>
      <c r="V460" s="12">
        <f t="shared" ca="1" si="137"/>
        <v>3755</v>
      </c>
      <c r="W460" s="12">
        <f t="shared" ca="1" si="139"/>
        <v>3769</v>
      </c>
      <c r="X460" s="11">
        <v>0.3</v>
      </c>
      <c r="Y460" s="10"/>
      <c r="Z460" s="10"/>
      <c r="AA460" s="10"/>
      <c r="AB460" s="19" t="s">
        <v>1</v>
      </c>
    </row>
    <row r="461" spans="1:28" ht="13.15" customHeight="1">
      <c r="A461" s="36">
        <v>447</v>
      </c>
      <c r="B461" s="35">
        <f t="shared" si="132"/>
        <v>45519</v>
      </c>
      <c r="C461" s="16">
        <f t="shared" si="133"/>
        <v>1069</v>
      </c>
      <c r="D461" s="15">
        <f t="shared" si="143"/>
        <v>2066</v>
      </c>
      <c r="E461" s="14">
        <f t="shared" ca="1" si="125"/>
        <v>-455</v>
      </c>
      <c r="F461" s="14">
        <f t="shared" ca="1" si="126"/>
        <v>-402</v>
      </c>
      <c r="G461" s="14">
        <f t="shared" ca="1" si="127"/>
        <v>-386</v>
      </c>
      <c r="H461" s="10">
        <f t="shared" ca="1" si="128"/>
        <v>3590</v>
      </c>
      <c r="I461" s="10">
        <f t="shared" ca="1" si="129"/>
        <v>3537</v>
      </c>
      <c r="J461" s="10">
        <f t="shared" ca="1" si="130"/>
        <v>3521</v>
      </c>
      <c r="K461" s="10">
        <f t="shared" si="140"/>
        <v>4000</v>
      </c>
      <c r="L461" s="10">
        <f t="shared" si="141"/>
        <v>4000</v>
      </c>
      <c r="M461" s="10">
        <f t="shared" si="142"/>
        <v>4000</v>
      </c>
      <c r="N461" s="10">
        <f t="shared" ca="1" si="134"/>
        <v>-410</v>
      </c>
      <c r="O461" s="10">
        <f t="shared" ca="1" si="135"/>
        <v>-463</v>
      </c>
      <c r="P461" s="10">
        <f t="shared" ca="1" si="136"/>
        <v>-479</v>
      </c>
      <c r="Q461" s="14">
        <v>9</v>
      </c>
      <c r="R461" s="14">
        <v>8</v>
      </c>
      <c r="S461" s="14">
        <v>8</v>
      </c>
      <c r="T461" s="13">
        <f t="shared" ca="1" si="131"/>
        <v>-612</v>
      </c>
      <c r="U461" s="12">
        <f t="shared" ca="1" si="138"/>
        <v>3750</v>
      </c>
      <c r="V461" s="12">
        <f t="shared" ca="1" si="137"/>
        <v>3747</v>
      </c>
      <c r="W461" s="12">
        <f t="shared" ca="1" si="139"/>
        <v>3761</v>
      </c>
      <c r="X461" s="11"/>
      <c r="Y461" s="10"/>
      <c r="Z461" s="10"/>
      <c r="AA461" s="10"/>
      <c r="AB461" s="9"/>
    </row>
    <row r="462" spans="1:28" ht="13.15" customHeight="1">
      <c r="A462" s="36">
        <v>448</v>
      </c>
      <c r="B462" s="35">
        <f t="shared" si="132"/>
        <v>45520</v>
      </c>
      <c r="C462" s="16">
        <f t="shared" si="133"/>
        <v>1069</v>
      </c>
      <c r="D462" s="15">
        <f t="shared" si="143"/>
        <v>2068</v>
      </c>
      <c r="E462" s="14">
        <f t="shared" ref="E462:E525" ca="1" si="144">C462+D462-H462</f>
        <v>-445</v>
      </c>
      <c r="F462" s="14">
        <f t="shared" ref="F462:F525" ca="1" si="145">C462+D462-I462</f>
        <v>-393</v>
      </c>
      <c r="G462" s="14">
        <f t="shared" ref="G462:G525" ca="1" si="146">D462+C462-J462</f>
        <v>-377</v>
      </c>
      <c r="H462" s="10">
        <f t="shared" ref="H462:H525" ca="1" si="147">K462+N462</f>
        <v>3582</v>
      </c>
      <c r="I462" s="10">
        <f t="shared" ref="I462:I525" ca="1" si="148">L462+O462</f>
        <v>3530</v>
      </c>
      <c r="J462" s="10">
        <f t="shared" ref="J462:J525" ca="1" si="149">M462+P462</f>
        <v>3514</v>
      </c>
      <c r="K462" s="10">
        <f t="shared" si="140"/>
        <v>4000</v>
      </c>
      <c r="L462" s="10">
        <f t="shared" si="141"/>
        <v>4000</v>
      </c>
      <c r="M462" s="10">
        <f t="shared" si="142"/>
        <v>4000</v>
      </c>
      <c r="N462" s="10">
        <f t="shared" ca="1" si="134"/>
        <v>-418</v>
      </c>
      <c r="O462" s="10">
        <f t="shared" ca="1" si="135"/>
        <v>-470</v>
      </c>
      <c r="P462" s="10">
        <f t="shared" ca="1" si="136"/>
        <v>-486</v>
      </c>
      <c r="Q462" s="14">
        <v>8</v>
      </c>
      <c r="R462" s="14">
        <v>7</v>
      </c>
      <c r="S462" s="14">
        <v>7</v>
      </c>
      <c r="T462" s="13">
        <f t="shared" ref="T462:T525" ca="1" si="150">D462+C462-V462</f>
        <v>-603</v>
      </c>
      <c r="U462" s="12">
        <f t="shared" ca="1" si="138"/>
        <v>3742</v>
      </c>
      <c r="V462" s="12">
        <f t="shared" ca="1" si="137"/>
        <v>3740</v>
      </c>
      <c r="W462" s="12">
        <f t="shared" ca="1" si="139"/>
        <v>3754</v>
      </c>
      <c r="X462" s="11"/>
      <c r="Y462" s="10"/>
      <c r="Z462" s="10"/>
      <c r="AA462" s="10"/>
      <c r="AB462" s="9"/>
    </row>
    <row r="463" spans="1:28" ht="13.15" customHeight="1">
      <c r="A463" s="36">
        <v>449</v>
      </c>
      <c r="B463" s="35">
        <f t="shared" ref="B463:B526" si="151">B462+1</f>
        <v>45521</v>
      </c>
      <c r="C463" s="16">
        <f t="shared" ref="C463:C526" si="152">C462</f>
        <v>1069</v>
      </c>
      <c r="D463" s="15">
        <f t="shared" si="143"/>
        <v>2070</v>
      </c>
      <c r="E463" s="14">
        <f t="shared" ca="1" si="144"/>
        <v>-436</v>
      </c>
      <c r="F463" s="14">
        <f t="shared" ca="1" si="145"/>
        <v>-382</v>
      </c>
      <c r="G463" s="14">
        <f t="shared" ca="1" si="146"/>
        <v>-366</v>
      </c>
      <c r="H463" s="10">
        <f t="shared" ca="1" si="147"/>
        <v>3575</v>
      </c>
      <c r="I463" s="10">
        <f t="shared" ca="1" si="148"/>
        <v>3521</v>
      </c>
      <c r="J463" s="10">
        <f t="shared" ca="1" si="149"/>
        <v>3505</v>
      </c>
      <c r="K463" s="10">
        <f t="shared" si="140"/>
        <v>4000</v>
      </c>
      <c r="L463" s="10">
        <f t="shared" si="141"/>
        <v>4000</v>
      </c>
      <c r="M463" s="10">
        <f t="shared" si="142"/>
        <v>4000</v>
      </c>
      <c r="N463" s="10">
        <f t="shared" ref="N463:N526" ca="1" si="153">N462-Q463</f>
        <v>-425</v>
      </c>
      <c r="O463" s="10">
        <f t="shared" ref="O463:O526" ca="1" si="154">O462-R463</f>
        <v>-479</v>
      </c>
      <c r="P463" s="10">
        <f t="shared" ref="P463:P526" ca="1" si="155">P462-S463</f>
        <v>-495</v>
      </c>
      <c r="Q463" s="14">
        <v>7</v>
      </c>
      <c r="R463" s="14">
        <v>9</v>
      </c>
      <c r="S463" s="14">
        <v>9</v>
      </c>
      <c r="T463" s="13">
        <f t="shared" ca="1" si="150"/>
        <v>-592</v>
      </c>
      <c r="U463" s="12">
        <f t="shared" ca="1" si="138"/>
        <v>3735</v>
      </c>
      <c r="V463" s="12">
        <f t="shared" ca="1" si="137"/>
        <v>3731</v>
      </c>
      <c r="W463" s="12">
        <f t="shared" ca="1" si="139"/>
        <v>3745</v>
      </c>
      <c r="X463" s="11"/>
      <c r="Y463" s="10"/>
      <c r="Z463" s="10"/>
      <c r="AA463" s="10"/>
      <c r="AB463" s="9"/>
    </row>
    <row r="464" spans="1:28" ht="13.15" customHeight="1">
      <c r="A464" s="36">
        <v>450</v>
      </c>
      <c r="B464" s="35">
        <f t="shared" si="151"/>
        <v>45522</v>
      </c>
      <c r="C464" s="16">
        <f t="shared" si="152"/>
        <v>1069</v>
      </c>
      <c r="D464" s="15">
        <f t="shared" si="143"/>
        <v>2072</v>
      </c>
      <c r="E464" s="14">
        <f t="shared" ca="1" si="144"/>
        <v>-425</v>
      </c>
      <c r="F464" s="14">
        <f t="shared" ca="1" si="145"/>
        <v>-372</v>
      </c>
      <c r="G464" s="14">
        <f t="shared" ca="1" si="146"/>
        <v>-358</v>
      </c>
      <c r="H464" s="10">
        <f t="shared" ca="1" si="147"/>
        <v>3566</v>
      </c>
      <c r="I464" s="10">
        <f t="shared" ca="1" si="148"/>
        <v>3513</v>
      </c>
      <c r="J464" s="10">
        <f t="shared" ca="1" si="149"/>
        <v>3499</v>
      </c>
      <c r="K464" s="10">
        <f t="shared" si="140"/>
        <v>4000</v>
      </c>
      <c r="L464" s="10">
        <f t="shared" si="141"/>
        <v>4000</v>
      </c>
      <c r="M464" s="10">
        <f t="shared" si="142"/>
        <v>4000</v>
      </c>
      <c r="N464" s="10">
        <f t="shared" ca="1" si="153"/>
        <v>-434</v>
      </c>
      <c r="O464" s="10">
        <f t="shared" ca="1" si="154"/>
        <v>-487</v>
      </c>
      <c r="P464" s="10">
        <f t="shared" ca="1" si="155"/>
        <v>-501</v>
      </c>
      <c r="Q464" s="14">
        <v>9</v>
      </c>
      <c r="R464" s="14">
        <v>8</v>
      </c>
      <c r="S464" s="14">
        <v>6</v>
      </c>
      <c r="T464" s="13">
        <f t="shared" ca="1" si="150"/>
        <v>-582</v>
      </c>
      <c r="U464" s="12">
        <f t="shared" ca="1" si="138"/>
        <v>3726</v>
      </c>
      <c r="V464" s="12">
        <f t="shared" ca="1" si="137"/>
        <v>3723</v>
      </c>
      <c r="W464" s="12">
        <f t="shared" ca="1" si="139"/>
        <v>3739</v>
      </c>
      <c r="X464" s="11"/>
      <c r="Y464" s="10"/>
      <c r="Z464" s="10"/>
      <c r="AA464" s="10"/>
      <c r="AB464" s="9"/>
    </row>
    <row r="465" spans="1:28" ht="13.15" customHeight="1">
      <c r="A465" s="36">
        <v>451</v>
      </c>
      <c r="B465" s="35">
        <f t="shared" si="151"/>
        <v>45523</v>
      </c>
      <c r="C465" s="16">
        <f t="shared" si="152"/>
        <v>1069</v>
      </c>
      <c r="D465" s="15">
        <f t="shared" si="143"/>
        <v>2074</v>
      </c>
      <c r="E465" s="14">
        <f t="shared" ca="1" si="144"/>
        <v>-415</v>
      </c>
      <c r="F465" s="14">
        <f t="shared" ca="1" si="145"/>
        <v>-361</v>
      </c>
      <c r="G465" s="14">
        <f t="shared" ca="1" si="146"/>
        <v>-347</v>
      </c>
      <c r="H465" s="10">
        <f t="shared" ca="1" si="147"/>
        <v>3558</v>
      </c>
      <c r="I465" s="10">
        <f t="shared" ca="1" si="148"/>
        <v>3504</v>
      </c>
      <c r="J465" s="10">
        <f t="shared" ca="1" si="149"/>
        <v>3490</v>
      </c>
      <c r="K465" s="10">
        <f t="shared" si="140"/>
        <v>4000</v>
      </c>
      <c r="L465" s="10">
        <f t="shared" si="141"/>
        <v>4000</v>
      </c>
      <c r="M465" s="10">
        <f t="shared" si="142"/>
        <v>4000</v>
      </c>
      <c r="N465" s="10">
        <f t="shared" ca="1" si="153"/>
        <v>-442</v>
      </c>
      <c r="O465" s="10">
        <f t="shared" ca="1" si="154"/>
        <v>-496</v>
      </c>
      <c r="P465" s="10">
        <f t="shared" ca="1" si="155"/>
        <v>-510</v>
      </c>
      <c r="Q465" s="14">
        <v>8</v>
      </c>
      <c r="R465" s="14">
        <v>9</v>
      </c>
      <c r="S465" s="14">
        <v>9</v>
      </c>
      <c r="T465" s="13">
        <f t="shared" ca="1" si="150"/>
        <v>-571</v>
      </c>
      <c r="U465" s="12">
        <f t="shared" ca="1" si="138"/>
        <v>3718</v>
      </c>
      <c r="V465" s="12">
        <f t="shared" ca="1" si="137"/>
        <v>3714</v>
      </c>
      <c r="W465" s="12">
        <f t="shared" ca="1" si="139"/>
        <v>3730</v>
      </c>
      <c r="X465" s="11"/>
      <c r="Y465" s="10"/>
      <c r="Z465" s="10"/>
      <c r="AA465" s="10"/>
      <c r="AB465" s="9"/>
    </row>
    <row r="466" spans="1:28" ht="13.15" customHeight="1">
      <c r="A466" s="36">
        <v>452</v>
      </c>
      <c r="B466" s="35">
        <f t="shared" si="151"/>
        <v>45524</v>
      </c>
      <c r="C466" s="16">
        <f t="shared" si="152"/>
        <v>1069</v>
      </c>
      <c r="D466" s="15">
        <f t="shared" si="143"/>
        <v>2076</v>
      </c>
      <c r="E466" s="14">
        <f t="shared" ca="1" si="144"/>
        <v>-404</v>
      </c>
      <c r="F466" s="14">
        <f t="shared" ca="1" si="145"/>
        <v>-351</v>
      </c>
      <c r="G466" s="14">
        <f t="shared" ca="1" si="146"/>
        <v>-339</v>
      </c>
      <c r="H466" s="10">
        <f t="shared" ca="1" si="147"/>
        <v>3549</v>
      </c>
      <c r="I466" s="10">
        <f t="shared" ca="1" si="148"/>
        <v>3496</v>
      </c>
      <c r="J466" s="10">
        <f t="shared" ca="1" si="149"/>
        <v>3484</v>
      </c>
      <c r="K466" s="10">
        <f t="shared" si="140"/>
        <v>4000</v>
      </c>
      <c r="L466" s="10">
        <f t="shared" si="141"/>
        <v>4000</v>
      </c>
      <c r="M466" s="10">
        <f t="shared" si="142"/>
        <v>4000</v>
      </c>
      <c r="N466" s="10">
        <f t="shared" ca="1" si="153"/>
        <v>-451</v>
      </c>
      <c r="O466" s="10">
        <f t="shared" ca="1" si="154"/>
        <v>-504</v>
      </c>
      <c r="P466" s="10">
        <f t="shared" ca="1" si="155"/>
        <v>-516</v>
      </c>
      <c r="Q466" s="14">
        <v>9</v>
      </c>
      <c r="R466" s="14">
        <v>8</v>
      </c>
      <c r="S466" s="14">
        <v>6</v>
      </c>
      <c r="T466" s="13">
        <f t="shared" ca="1" si="150"/>
        <v>-561</v>
      </c>
      <c r="U466" s="12">
        <f t="shared" ca="1" si="138"/>
        <v>3709</v>
      </c>
      <c r="V466" s="12">
        <f t="shared" ca="1" si="137"/>
        <v>3706</v>
      </c>
      <c r="W466" s="12">
        <f t="shared" ca="1" si="139"/>
        <v>3724</v>
      </c>
      <c r="X466" s="11"/>
      <c r="Y466" s="10"/>
      <c r="Z466" s="10"/>
      <c r="AA466" s="10"/>
      <c r="AB466" s="9"/>
    </row>
    <row r="467" spans="1:28" ht="13.15" customHeight="1">
      <c r="A467" s="36">
        <v>453</v>
      </c>
      <c r="B467" s="35">
        <f t="shared" si="151"/>
        <v>45525</v>
      </c>
      <c r="C467" s="16">
        <f t="shared" si="152"/>
        <v>1069</v>
      </c>
      <c r="D467" s="15">
        <f t="shared" si="143"/>
        <v>2078</v>
      </c>
      <c r="E467" s="14">
        <f t="shared" ca="1" si="144"/>
        <v>-394</v>
      </c>
      <c r="F467" s="14">
        <f t="shared" ca="1" si="145"/>
        <v>-341</v>
      </c>
      <c r="G467" s="14">
        <f t="shared" ca="1" si="146"/>
        <v>-330</v>
      </c>
      <c r="H467" s="10">
        <f t="shared" ca="1" si="147"/>
        <v>3541</v>
      </c>
      <c r="I467" s="10">
        <f t="shared" ca="1" si="148"/>
        <v>3488</v>
      </c>
      <c r="J467" s="10">
        <f t="shared" ca="1" si="149"/>
        <v>3477</v>
      </c>
      <c r="K467" s="10">
        <f t="shared" si="140"/>
        <v>4000</v>
      </c>
      <c r="L467" s="10">
        <f t="shared" si="141"/>
        <v>4000</v>
      </c>
      <c r="M467" s="10">
        <f t="shared" si="142"/>
        <v>4000</v>
      </c>
      <c r="N467" s="10">
        <f t="shared" ca="1" si="153"/>
        <v>-459</v>
      </c>
      <c r="O467" s="10">
        <f t="shared" ca="1" si="154"/>
        <v>-512</v>
      </c>
      <c r="P467" s="10">
        <f t="shared" ca="1" si="155"/>
        <v>-523</v>
      </c>
      <c r="Q467" s="14">
        <v>8</v>
      </c>
      <c r="R467" s="14">
        <v>8</v>
      </c>
      <c r="S467" s="14">
        <v>7</v>
      </c>
      <c r="T467" s="13">
        <f t="shared" ca="1" si="150"/>
        <v>-551</v>
      </c>
      <c r="U467" s="12">
        <f t="shared" ca="1" si="138"/>
        <v>3701</v>
      </c>
      <c r="V467" s="12">
        <f t="shared" ca="1" si="137"/>
        <v>3698</v>
      </c>
      <c r="W467" s="12">
        <f t="shared" ca="1" si="139"/>
        <v>3717</v>
      </c>
      <c r="X467" s="11"/>
      <c r="Y467" s="10"/>
      <c r="Z467" s="10"/>
      <c r="AA467" s="10"/>
      <c r="AB467" s="9"/>
    </row>
    <row r="468" spans="1:28" ht="13.15" customHeight="1">
      <c r="A468" s="36">
        <v>454</v>
      </c>
      <c r="B468" s="35">
        <f t="shared" si="151"/>
        <v>45526</v>
      </c>
      <c r="C468" s="16">
        <f t="shared" si="152"/>
        <v>1069</v>
      </c>
      <c r="D468" s="15">
        <f t="shared" si="143"/>
        <v>2080</v>
      </c>
      <c r="E468" s="14">
        <f t="shared" ca="1" si="144"/>
        <v>-385</v>
      </c>
      <c r="F468" s="14">
        <f t="shared" ca="1" si="145"/>
        <v>-330</v>
      </c>
      <c r="G468" s="14">
        <f t="shared" ca="1" si="146"/>
        <v>-319</v>
      </c>
      <c r="H468" s="10">
        <f t="shared" ca="1" si="147"/>
        <v>3534</v>
      </c>
      <c r="I468" s="10">
        <f t="shared" ca="1" si="148"/>
        <v>3479</v>
      </c>
      <c r="J468" s="10">
        <f t="shared" ca="1" si="149"/>
        <v>3468</v>
      </c>
      <c r="K468" s="10">
        <f t="shared" si="140"/>
        <v>4000</v>
      </c>
      <c r="L468" s="10">
        <f t="shared" si="141"/>
        <v>4000</v>
      </c>
      <c r="M468" s="10">
        <f t="shared" si="142"/>
        <v>4000</v>
      </c>
      <c r="N468" s="10">
        <f t="shared" ca="1" si="153"/>
        <v>-466</v>
      </c>
      <c r="O468" s="10">
        <f t="shared" ca="1" si="154"/>
        <v>-521</v>
      </c>
      <c r="P468" s="10">
        <f t="shared" ca="1" si="155"/>
        <v>-532</v>
      </c>
      <c r="Q468" s="14">
        <v>7</v>
      </c>
      <c r="R468" s="14">
        <v>9</v>
      </c>
      <c r="S468" s="14">
        <v>9</v>
      </c>
      <c r="T468" s="13">
        <f t="shared" ca="1" si="150"/>
        <v>-540</v>
      </c>
      <c r="U468" s="12">
        <f t="shared" ca="1" si="138"/>
        <v>3694</v>
      </c>
      <c r="V468" s="12">
        <f t="shared" ca="1" si="137"/>
        <v>3689</v>
      </c>
      <c r="W468" s="12">
        <f t="shared" ca="1" si="139"/>
        <v>3708</v>
      </c>
      <c r="X468" s="11"/>
      <c r="Y468" s="10"/>
      <c r="Z468" s="10"/>
      <c r="AA468" s="10"/>
      <c r="AB468" s="9"/>
    </row>
    <row r="469" spans="1:28" ht="13.15" customHeight="1">
      <c r="A469" s="36">
        <v>455</v>
      </c>
      <c r="B469" s="35">
        <f t="shared" si="151"/>
        <v>45527</v>
      </c>
      <c r="C469" s="16">
        <f t="shared" si="152"/>
        <v>1069</v>
      </c>
      <c r="D469" s="15">
        <f t="shared" si="143"/>
        <v>2082</v>
      </c>
      <c r="E469" s="14">
        <f t="shared" ca="1" si="144"/>
        <v>-376</v>
      </c>
      <c r="F469" s="14">
        <f t="shared" ca="1" si="145"/>
        <v>-320</v>
      </c>
      <c r="G469" s="14">
        <f t="shared" ca="1" si="146"/>
        <v>-312</v>
      </c>
      <c r="H469" s="10">
        <f t="shared" ca="1" si="147"/>
        <v>3527</v>
      </c>
      <c r="I469" s="10">
        <f t="shared" ca="1" si="148"/>
        <v>3471</v>
      </c>
      <c r="J469" s="10">
        <f t="shared" ca="1" si="149"/>
        <v>3463</v>
      </c>
      <c r="K469" s="10">
        <f t="shared" si="140"/>
        <v>4000</v>
      </c>
      <c r="L469" s="10">
        <f t="shared" si="141"/>
        <v>4000</v>
      </c>
      <c r="M469" s="10">
        <f t="shared" si="142"/>
        <v>4000</v>
      </c>
      <c r="N469" s="10">
        <f t="shared" ca="1" si="153"/>
        <v>-473</v>
      </c>
      <c r="O469" s="10">
        <f t="shared" ca="1" si="154"/>
        <v>-529</v>
      </c>
      <c r="P469" s="10">
        <f t="shared" ca="1" si="155"/>
        <v>-537</v>
      </c>
      <c r="Q469" s="14">
        <v>7</v>
      </c>
      <c r="R469" s="14">
        <v>8</v>
      </c>
      <c r="S469" s="14">
        <v>5</v>
      </c>
      <c r="T469" s="13">
        <f t="shared" ca="1" si="150"/>
        <v>-530</v>
      </c>
      <c r="U469" s="12">
        <f t="shared" ca="1" si="138"/>
        <v>3687</v>
      </c>
      <c r="V469" s="12">
        <f t="shared" ca="1" si="137"/>
        <v>3681</v>
      </c>
      <c r="W469" s="12">
        <f t="shared" ca="1" si="139"/>
        <v>3703</v>
      </c>
      <c r="X469" s="11"/>
      <c r="Y469" s="10"/>
      <c r="Z469" s="10"/>
      <c r="AA469" s="10"/>
      <c r="AB469" s="9"/>
    </row>
    <row r="470" spans="1:28" ht="13.15" customHeight="1">
      <c r="A470" s="36">
        <v>456</v>
      </c>
      <c r="B470" s="35">
        <f t="shared" si="151"/>
        <v>45528</v>
      </c>
      <c r="C470" s="16">
        <f t="shared" si="152"/>
        <v>1069</v>
      </c>
      <c r="D470" s="15">
        <f t="shared" si="143"/>
        <v>2084</v>
      </c>
      <c r="E470" s="14">
        <f t="shared" ca="1" si="144"/>
        <v>-368</v>
      </c>
      <c r="F470" s="14">
        <f t="shared" ca="1" si="145"/>
        <v>-311</v>
      </c>
      <c r="G470" s="14">
        <f t="shared" ca="1" si="146"/>
        <v>-303</v>
      </c>
      <c r="H470" s="10">
        <f t="shared" ca="1" si="147"/>
        <v>3521</v>
      </c>
      <c r="I470" s="10">
        <f t="shared" ca="1" si="148"/>
        <v>3464</v>
      </c>
      <c r="J470" s="10">
        <f t="shared" ca="1" si="149"/>
        <v>3456</v>
      </c>
      <c r="K470" s="10">
        <f t="shared" si="140"/>
        <v>4000</v>
      </c>
      <c r="L470" s="10">
        <f t="shared" si="141"/>
        <v>4000</v>
      </c>
      <c r="M470" s="10">
        <f t="shared" si="142"/>
        <v>4000</v>
      </c>
      <c r="N470" s="10">
        <f t="shared" ca="1" si="153"/>
        <v>-479</v>
      </c>
      <c r="O470" s="10">
        <f t="shared" ca="1" si="154"/>
        <v>-536</v>
      </c>
      <c r="P470" s="10">
        <f t="shared" ca="1" si="155"/>
        <v>-544</v>
      </c>
      <c r="Q470" s="14">
        <v>6</v>
      </c>
      <c r="R470" s="14">
        <v>7</v>
      </c>
      <c r="S470" s="14">
        <v>7</v>
      </c>
      <c r="T470" s="13">
        <f t="shared" ca="1" si="150"/>
        <v>-521</v>
      </c>
      <c r="U470" s="12">
        <f t="shared" ca="1" si="138"/>
        <v>3681</v>
      </c>
      <c r="V470" s="12">
        <f t="shared" ca="1" si="137"/>
        <v>3674</v>
      </c>
      <c r="W470" s="12">
        <f t="shared" ca="1" si="139"/>
        <v>3696</v>
      </c>
      <c r="X470" s="11"/>
      <c r="Y470" s="10"/>
      <c r="Z470" s="10"/>
      <c r="AA470" s="10"/>
      <c r="AB470" s="9"/>
    </row>
    <row r="471" spans="1:28" ht="13.15" customHeight="1">
      <c r="A471" s="36">
        <v>457</v>
      </c>
      <c r="B471" s="35">
        <f t="shared" si="151"/>
        <v>45529</v>
      </c>
      <c r="C471" s="16">
        <f t="shared" si="152"/>
        <v>1069</v>
      </c>
      <c r="D471" s="15">
        <f t="shared" si="143"/>
        <v>2086</v>
      </c>
      <c r="E471" s="14">
        <f t="shared" ca="1" si="144"/>
        <v>-360</v>
      </c>
      <c r="F471" s="14">
        <f t="shared" ca="1" si="145"/>
        <v>-302</v>
      </c>
      <c r="G471" s="14">
        <f t="shared" ca="1" si="146"/>
        <v>-292</v>
      </c>
      <c r="H471" s="10">
        <f t="shared" ca="1" si="147"/>
        <v>3515</v>
      </c>
      <c r="I471" s="10">
        <f t="shared" ca="1" si="148"/>
        <v>3457</v>
      </c>
      <c r="J471" s="10">
        <f t="shared" ca="1" si="149"/>
        <v>3447</v>
      </c>
      <c r="K471" s="10">
        <f t="shared" si="140"/>
        <v>4000</v>
      </c>
      <c r="L471" s="10">
        <f t="shared" si="141"/>
        <v>4000</v>
      </c>
      <c r="M471" s="10">
        <f t="shared" si="142"/>
        <v>4000</v>
      </c>
      <c r="N471" s="10">
        <f t="shared" ca="1" si="153"/>
        <v>-485</v>
      </c>
      <c r="O471" s="10">
        <f t="shared" ca="1" si="154"/>
        <v>-543</v>
      </c>
      <c r="P471" s="10">
        <f t="shared" ca="1" si="155"/>
        <v>-553</v>
      </c>
      <c r="Q471" s="14">
        <v>6</v>
      </c>
      <c r="R471" s="14">
        <v>7</v>
      </c>
      <c r="S471" s="14">
        <v>9</v>
      </c>
      <c r="T471" s="13">
        <f t="shared" ca="1" si="150"/>
        <v>-512</v>
      </c>
      <c r="U471" s="12">
        <f t="shared" ca="1" si="138"/>
        <v>3675</v>
      </c>
      <c r="V471" s="12">
        <f t="shared" ca="1" si="137"/>
        <v>3667</v>
      </c>
      <c r="W471" s="12">
        <f t="shared" ca="1" si="139"/>
        <v>3687</v>
      </c>
      <c r="X471" s="11"/>
      <c r="Y471" s="10"/>
      <c r="Z471" s="10"/>
      <c r="AA471" s="10"/>
      <c r="AB471" s="9"/>
    </row>
    <row r="472" spans="1:28" ht="13.15" customHeight="1">
      <c r="A472" s="36">
        <v>458</v>
      </c>
      <c r="B472" s="35">
        <f t="shared" si="151"/>
        <v>45530</v>
      </c>
      <c r="C472" s="16">
        <f t="shared" si="152"/>
        <v>1069</v>
      </c>
      <c r="D472" s="15">
        <f t="shared" si="143"/>
        <v>2088</v>
      </c>
      <c r="E472" s="14">
        <f t="shared" ca="1" si="144"/>
        <v>-350</v>
      </c>
      <c r="F472" s="14">
        <f t="shared" ca="1" si="145"/>
        <v>-291</v>
      </c>
      <c r="G472" s="14">
        <f t="shared" ca="1" si="146"/>
        <v>-284</v>
      </c>
      <c r="H472" s="10">
        <f t="shared" ca="1" si="147"/>
        <v>3507</v>
      </c>
      <c r="I472" s="10">
        <f t="shared" ca="1" si="148"/>
        <v>3448</v>
      </c>
      <c r="J472" s="10">
        <f t="shared" ca="1" si="149"/>
        <v>3441</v>
      </c>
      <c r="K472" s="10">
        <f t="shared" si="140"/>
        <v>4000</v>
      </c>
      <c r="L472" s="10">
        <f t="shared" si="141"/>
        <v>4000</v>
      </c>
      <c r="M472" s="10">
        <f t="shared" si="142"/>
        <v>4000</v>
      </c>
      <c r="N472" s="10">
        <f t="shared" ca="1" si="153"/>
        <v>-493</v>
      </c>
      <c r="O472" s="10">
        <f t="shared" ca="1" si="154"/>
        <v>-552</v>
      </c>
      <c r="P472" s="10">
        <f t="shared" ca="1" si="155"/>
        <v>-559</v>
      </c>
      <c r="Q472" s="14">
        <v>8</v>
      </c>
      <c r="R472" s="14">
        <v>9</v>
      </c>
      <c r="S472" s="14">
        <v>6</v>
      </c>
      <c r="T472" s="13">
        <f t="shared" ca="1" si="150"/>
        <v>-501</v>
      </c>
      <c r="U472" s="12">
        <f t="shared" ca="1" si="138"/>
        <v>3667</v>
      </c>
      <c r="V472" s="12">
        <f t="shared" ca="1" si="137"/>
        <v>3658</v>
      </c>
      <c r="W472" s="12">
        <f t="shared" ca="1" si="139"/>
        <v>3681</v>
      </c>
      <c r="X472" s="11"/>
      <c r="Y472" s="10"/>
      <c r="Z472" s="10"/>
      <c r="AA472" s="10"/>
      <c r="AB472" s="9"/>
    </row>
    <row r="473" spans="1:28" ht="13.15" customHeight="1">
      <c r="A473" s="36">
        <v>459</v>
      </c>
      <c r="B473" s="35">
        <f t="shared" si="151"/>
        <v>45531</v>
      </c>
      <c r="C473" s="16">
        <f t="shared" si="152"/>
        <v>1069</v>
      </c>
      <c r="D473" s="15">
        <f t="shared" si="143"/>
        <v>2090</v>
      </c>
      <c r="E473" s="14">
        <f t="shared" ca="1" si="144"/>
        <v>-341</v>
      </c>
      <c r="F473" s="14">
        <f t="shared" ca="1" si="145"/>
        <v>-280</v>
      </c>
      <c r="G473" s="14">
        <f t="shared" ca="1" si="146"/>
        <v>-275</v>
      </c>
      <c r="H473" s="10">
        <f t="shared" ca="1" si="147"/>
        <v>3500</v>
      </c>
      <c r="I473" s="10">
        <f t="shared" ca="1" si="148"/>
        <v>3439</v>
      </c>
      <c r="J473" s="10">
        <f t="shared" ca="1" si="149"/>
        <v>3434</v>
      </c>
      <c r="K473" s="10">
        <f t="shared" si="140"/>
        <v>4000</v>
      </c>
      <c r="L473" s="10">
        <f t="shared" si="141"/>
        <v>4000</v>
      </c>
      <c r="M473" s="10">
        <f t="shared" si="142"/>
        <v>4000</v>
      </c>
      <c r="N473" s="10">
        <f t="shared" ca="1" si="153"/>
        <v>-500</v>
      </c>
      <c r="O473" s="10">
        <f t="shared" ca="1" si="154"/>
        <v>-561</v>
      </c>
      <c r="P473" s="10">
        <f t="shared" ca="1" si="155"/>
        <v>-566</v>
      </c>
      <c r="Q473" s="14">
        <v>7</v>
      </c>
      <c r="R473" s="14">
        <v>9</v>
      </c>
      <c r="S473" s="14">
        <v>7</v>
      </c>
      <c r="T473" s="13">
        <f t="shared" ca="1" si="150"/>
        <v>-490</v>
      </c>
      <c r="U473" s="12">
        <f t="shared" ca="1" si="138"/>
        <v>3660</v>
      </c>
      <c r="V473" s="12">
        <f t="shared" ca="1" si="137"/>
        <v>3649</v>
      </c>
      <c r="W473" s="12">
        <f t="shared" ca="1" si="139"/>
        <v>3674</v>
      </c>
      <c r="X473" s="11"/>
      <c r="Y473" s="10"/>
      <c r="Z473" s="10"/>
      <c r="AA473" s="10"/>
      <c r="AB473" s="9"/>
    </row>
    <row r="474" spans="1:28" ht="13.15" customHeight="1">
      <c r="A474" s="36">
        <v>460</v>
      </c>
      <c r="B474" s="35">
        <f t="shared" si="151"/>
        <v>45532</v>
      </c>
      <c r="C474" s="16">
        <f t="shared" si="152"/>
        <v>1069</v>
      </c>
      <c r="D474" s="15">
        <f t="shared" si="143"/>
        <v>2092</v>
      </c>
      <c r="E474" s="14">
        <f t="shared" ca="1" si="144"/>
        <v>-330</v>
      </c>
      <c r="F474" s="14">
        <f t="shared" ca="1" si="145"/>
        <v>-269</v>
      </c>
      <c r="G474" s="14">
        <f t="shared" ca="1" si="146"/>
        <v>-266</v>
      </c>
      <c r="H474" s="10">
        <f t="shared" ca="1" si="147"/>
        <v>3491</v>
      </c>
      <c r="I474" s="10">
        <f t="shared" ca="1" si="148"/>
        <v>3430</v>
      </c>
      <c r="J474" s="10">
        <f t="shared" ca="1" si="149"/>
        <v>3427</v>
      </c>
      <c r="K474" s="10">
        <f t="shared" si="140"/>
        <v>4000</v>
      </c>
      <c r="L474" s="10">
        <f t="shared" si="141"/>
        <v>4000</v>
      </c>
      <c r="M474" s="10">
        <f t="shared" si="142"/>
        <v>4000</v>
      </c>
      <c r="N474" s="10">
        <f t="shared" ca="1" si="153"/>
        <v>-509</v>
      </c>
      <c r="O474" s="10">
        <f t="shared" ca="1" si="154"/>
        <v>-570</v>
      </c>
      <c r="P474" s="10">
        <f t="shared" ca="1" si="155"/>
        <v>-573</v>
      </c>
      <c r="Q474" s="14">
        <v>9</v>
      </c>
      <c r="R474" s="14">
        <v>9</v>
      </c>
      <c r="S474" s="14">
        <v>7</v>
      </c>
      <c r="T474" s="13">
        <f t="shared" ca="1" si="150"/>
        <v>-479</v>
      </c>
      <c r="U474" s="12">
        <f t="shared" ca="1" si="138"/>
        <v>3651</v>
      </c>
      <c r="V474" s="12">
        <f t="shared" ca="1" si="137"/>
        <v>3640</v>
      </c>
      <c r="W474" s="12">
        <f t="shared" ca="1" si="139"/>
        <v>3667</v>
      </c>
      <c r="X474" s="11"/>
      <c r="Y474" s="10"/>
      <c r="Z474" s="10"/>
      <c r="AA474" s="10"/>
      <c r="AB474" s="9"/>
    </row>
    <row r="475" spans="1:28" ht="13.15" customHeight="1">
      <c r="A475" s="36">
        <v>461</v>
      </c>
      <c r="B475" s="35">
        <f t="shared" si="151"/>
        <v>45533</v>
      </c>
      <c r="C475" s="16">
        <f t="shared" si="152"/>
        <v>1069</v>
      </c>
      <c r="D475" s="15">
        <f t="shared" si="143"/>
        <v>2094</v>
      </c>
      <c r="E475" s="14">
        <f t="shared" ca="1" si="144"/>
        <v>-320</v>
      </c>
      <c r="F475" s="14">
        <f t="shared" ca="1" si="145"/>
        <v>-259</v>
      </c>
      <c r="G475" s="14">
        <f t="shared" ca="1" si="146"/>
        <v>-258</v>
      </c>
      <c r="H475" s="10">
        <f t="shared" ca="1" si="147"/>
        <v>3483</v>
      </c>
      <c r="I475" s="10">
        <f t="shared" ca="1" si="148"/>
        <v>3422</v>
      </c>
      <c r="J475" s="10">
        <f t="shared" ca="1" si="149"/>
        <v>3421</v>
      </c>
      <c r="K475" s="10">
        <f t="shared" si="140"/>
        <v>4000</v>
      </c>
      <c r="L475" s="10">
        <f t="shared" si="141"/>
        <v>4000</v>
      </c>
      <c r="M475" s="10">
        <f t="shared" si="142"/>
        <v>4000</v>
      </c>
      <c r="N475" s="10">
        <f t="shared" ca="1" si="153"/>
        <v>-517</v>
      </c>
      <c r="O475" s="10">
        <f t="shared" ca="1" si="154"/>
        <v>-578</v>
      </c>
      <c r="P475" s="10">
        <f t="shared" ca="1" si="155"/>
        <v>-579</v>
      </c>
      <c r="Q475" s="14">
        <v>8</v>
      </c>
      <c r="R475" s="14">
        <v>8</v>
      </c>
      <c r="S475" s="14">
        <v>6</v>
      </c>
      <c r="T475" s="13">
        <f t="shared" ca="1" si="150"/>
        <v>-469</v>
      </c>
      <c r="U475" s="12">
        <f t="shared" ca="1" si="138"/>
        <v>3643</v>
      </c>
      <c r="V475" s="12">
        <f t="shared" ref="V475:V538" ca="1" si="156">V474+$X475*1000-R475</f>
        <v>3632</v>
      </c>
      <c r="W475" s="12">
        <f t="shared" ca="1" si="139"/>
        <v>3661</v>
      </c>
      <c r="X475" s="11"/>
      <c r="Y475" s="10"/>
      <c r="Z475" s="10"/>
      <c r="AA475" s="10"/>
      <c r="AB475" s="9"/>
    </row>
    <row r="476" spans="1:28" ht="13.15" customHeight="1">
      <c r="A476" s="36">
        <v>462</v>
      </c>
      <c r="B476" s="35">
        <f t="shared" si="151"/>
        <v>45534</v>
      </c>
      <c r="C476" s="16">
        <f t="shared" si="152"/>
        <v>1069</v>
      </c>
      <c r="D476" s="15">
        <f t="shared" si="143"/>
        <v>2096</v>
      </c>
      <c r="E476" s="14">
        <f t="shared" ca="1" si="144"/>
        <v>-309</v>
      </c>
      <c r="F476" s="14">
        <f t="shared" ca="1" si="145"/>
        <v>-250</v>
      </c>
      <c r="G476" s="14">
        <f t="shared" ca="1" si="146"/>
        <v>-250</v>
      </c>
      <c r="H476" s="10">
        <f t="shared" ca="1" si="147"/>
        <v>3474</v>
      </c>
      <c r="I476" s="10">
        <f t="shared" ca="1" si="148"/>
        <v>3415</v>
      </c>
      <c r="J476" s="10">
        <f t="shared" ca="1" si="149"/>
        <v>3415</v>
      </c>
      <c r="K476" s="10">
        <f t="shared" si="140"/>
        <v>4000</v>
      </c>
      <c r="L476" s="10">
        <f t="shared" si="141"/>
        <v>4000</v>
      </c>
      <c r="M476" s="10">
        <f t="shared" si="142"/>
        <v>4000</v>
      </c>
      <c r="N476" s="10">
        <f t="shared" ca="1" si="153"/>
        <v>-526</v>
      </c>
      <c r="O476" s="10">
        <f t="shared" ca="1" si="154"/>
        <v>-585</v>
      </c>
      <c r="P476" s="10">
        <f t="shared" ca="1" si="155"/>
        <v>-585</v>
      </c>
      <c r="Q476" s="14">
        <v>9</v>
      </c>
      <c r="R476" s="14">
        <v>7</v>
      </c>
      <c r="S476" s="14">
        <v>6</v>
      </c>
      <c r="T476" s="13">
        <f t="shared" ca="1" si="150"/>
        <v>-460</v>
      </c>
      <c r="U476" s="12">
        <f t="shared" ref="U476:U539" ca="1" si="157">U475+$X476*1000-Q476</f>
        <v>3634</v>
      </c>
      <c r="V476" s="12">
        <f t="shared" ca="1" si="156"/>
        <v>3625</v>
      </c>
      <c r="W476" s="12">
        <f t="shared" ref="W476:W539" ca="1" si="158">W475+$X476*1000-S476</f>
        <v>3655</v>
      </c>
      <c r="X476" s="11"/>
      <c r="Y476" s="10"/>
      <c r="Z476" s="10"/>
      <c r="AA476" s="10"/>
      <c r="AB476" s="9"/>
    </row>
    <row r="477" spans="1:28" ht="13.15" customHeight="1">
      <c r="A477" s="36">
        <f t="shared" ref="A477:A540" si="159">+A476+1</f>
        <v>463</v>
      </c>
      <c r="B477" s="35">
        <f t="shared" si="151"/>
        <v>45535</v>
      </c>
      <c r="C477" s="16">
        <f t="shared" si="152"/>
        <v>1069</v>
      </c>
      <c r="D477" s="15">
        <f t="shared" si="143"/>
        <v>2098</v>
      </c>
      <c r="E477" s="14">
        <f t="shared" ca="1" si="144"/>
        <v>-299</v>
      </c>
      <c r="F477" s="14">
        <f t="shared" ca="1" si="145"/>
        <v>-240</v>
      </c>
      <c r="G477" s="14">
        <f t="shared" ca="1" si="146"/>
        <v>-240</v>
      </c>
      <c r="H477" s="10">
        <f t="shared" ca="1" si="147"/>
        <v>3466</v>
      </c>
      <c r="I477" s="10">
        <f t="shared" ca="1" si="148"/>
        <v>3407</v>
      </c>
      <c r="J477" s="10">
        <f t="shared" ca="1" si="149"/>
        <v>3407</v>
      </c>
      <c r="K477" s="10">
        <f t="shared" si="140"/>
        <v>4000</v>
      </c>
      <c r="L477" s="10">
        <f t="shared" si="141"/>
        <v>4000</v>
      </c>
      <c r="M477" s="10">
        <f t="shared" si="142"/>
        <v>4000</v>
      </c>
      <c r="N477" s="10">
        <f t="shared" ca="1" si="153"/>
        <v>-534</v>
      </c>
      <c r="O477" s="10">
        <f t="shared" ca="1" si="154"/>
        <v>-593</v>
      </c>
      <c r="P477" s="10">
        <f t="shared" ca="1" si="155"/>
        <v>-593</v>
      </c>
      <c r="Q477" s="14">
        <v>8</v>
      </c>
      <c r="R477" s="14">
        <v>8</v>
      </c>
      <c r="S477" s="14">
        <v>8</v>
      </c>
      <c r="T477" s="13">
        <f t="shared" ca="1" si="150"/>
        <v>-450</v>
      </c>
      <c r="U477" s="12">
        <f t="shared" ca="1" si="157"/>
        <v>3626</v>
      </c>
      <c r="V477" s="12">
        <f t="shared" ca="1" si="156"/>
        <v>3617</v>
      </c>
      <c r="W477" s="12">
        <f t="shared" ca="1" si="158"/>
        <v>3647</v>
      </c>
      <c r="X477" s="11"/>
      <c r="Y477" s="10"/>
      <c r="Z477" s="10"/>
      <c r="AA477" s="10"/>
      <c r="AB477" s="9"/>
    </row>
    <row r="478" spans="1:28" ht="13.15" customHeight="1">
      <c r="A478" s="36">
        <f t="shared" si="159"/>
        <v>464</v>
      </c>
      <c r="B478" s="35">
        <f t="shared" si="151"/>
        <v>45536</v>
      </c>
      <c r="C478" s="16">
        <f t="shared" si="152"/>
        <v>1069</v>
      </c>
      <c r="D478" s="15">
        <f t="shared" si="143"/>
        <v>2100</v>
      </c>
      <c r="E478" s="14">
        <f t="shared" ca="1" si="144"/>
        <v>-290</v>
      </c>
      <c r="F478" s="14">
        <f t="shared" ca="1" si="145"/>
        <v>-229</v>
      </c>
      <c r="G478" s="14">
        <f t="shared" ca="1" si="146"/>
        <v>-231</v>
      </c>
      <c r="H478" s="10">
        <f t="shared" ca="1" si="147"/>
        <v>3459</v>
      </c>
      <c r="I478" s="10">
        <f t="shared" ca="1" si="148"/>
        <v>3398</v>
      </c>
      <c r="J478" s="10">
        <f t="shared" ca="1" si="149"/>
        <v>3400</v>
      </c>
      <c r="K478" s="10">
        <f t="shared" si="140"/>
        <v>4000</v>
      </c>
      <c r="L478" s="10">
        <f t="shared" si="141"/>
        <v>4000</v>
      </c>
      <c r="M478" s="10">
        <f t="shared" si="142"/>
        <v>4000</v>
      </c>
      <c r="N478" s="10">
        <f t="shared" ca="1" si="153"/>
        <v>-541</v>
      </c>
      <c r="O478" s="10">
        <f t="shared" ca="1" si="154"/>
        <v>-602</v>
      </c>
      <c r="P478" s="10">
        <f t="shared" ca="1" si="155"/>
        <v>-600</v>
      </c>
      <c r="Q478" s="14">
        <v>7</v>
      </c>
      <c r="R478" s="14">
        <v>9</v>
      </c>
      <c r="S478" s="14">
        <v>7</v>
      </c>
      <c r="T478" s="13">
        <f t="shared" ca="1" si="150"/>
        <v>-439</v>
      </c>
      <c r="U478" s="12">
        <f t="shared" ca="1" si="157"/>
        <v>3619</v>
      </c>
      <c r="V478" s="12">
        <f t="shared" ca="1" si="156"/>
        <v>3608</v>
      </c>
      <c r="W478" s="12">
        <f t="shared" ca="1" si="158"/>
        <v>3640</v>
      </c>
      <c r="X478" s="11"/>
      <c r="Y478" s="10"/>
      <c r="Z478" s="10"/>
      <c r="AA478" s="10"/>
      <c r="AB478" s="9"/>
    </row>
    <row r="479" spans="1:28" ht="13.15" customHeight="1">
      <c r="A479" s="36">
        <f t="shared" si="159"/>
        <v>465</v>
      </c>
      <c r="B479" s="35">
        <f t="shared" si="151"/>
        <v>45537</v>
      </c>
      <c r="C479" s="16">
        <f t="shared" si="152"/>
        <v>1069</v>
      </c>
      <c r="D479" s="15">
        <f t="shared" si="143"/>
        <v>2102</v>
      </c>
      <c r="E479" s="14">
        <f t="shared" ca="1" si="144"/>
        <v>-279</v>
      </c>
      <c r="F479" s="14">
        <f t="shared" ca="1" si="145"/>
        <v>-219</v>
      </c>
      <c r="G479" s="14">
        <f t="shared" ca="1" si="146"/>
        <v>-220</v>
      </c>
      <c r="H479" s="10">
        <f t="shared" ca="1" si="147"/>
        <v>3450</v>
      </c>
      <c r="I479" s="10">
        <f t="shared" ca="1" si="148"/>
        <v>3390</v>
      </c>
      <c r="J479" s="10">
        <f t="shared" ca="1" si="149"/>
        <v>3391</v>
      </c>
      <c r="K479" s="10">
        <f t="shared" si="140"/>
        <v>4000</v>
      </c>
      <c r="L479" s="10">
        <f t="shared" si="141"/>
        <v>4000</v>
      </c>
      <c r="M479" s="10">
        <f t="shared" si="142"/>
        <v>4000</v>
      </c>
      <c r="N479" s="10">
        <f t="shared" ca="1" si="153"/>
        <v>-550</v>
      </c>
      <c r="O479" s="10">
        <f t="shared" ca="1" si="154"/>
        <v>-610</v>
      </c>
      <c r="P479" s="10">
        <f t="shared" ca="1" si="155"/>
        <v>-609</v>
      </c>
      <c r="Q479" s="14">
        <v>9</v>
      </c>
      <c r="R479" s="14">
        <v>8</v>
      </c>
      <c r="S479" s="14">
        <v>9</v>
      </c>
      <c r="T479" s="13">
        <f t="shared" ca="1" si="150"/>
        <v>-429</v>
      </c>
      <c r="U479" s="12">
        <f t="shared" ca="1" si="157"/>
        <v>3610</v>
      </c>
      <c r="V479" s="12">
        <f t="shared" ca="1" si="156"/>
        <v>3600</v>
      </c>
      <c r="W479" s="12">
        <f t="shared" ca="1" si="158"/>
        <v>3631</v>
      </c>
      <c r="X479" s="11"/>
      <c r="Y479" s="10"/>
      <c r="Z479" s="10"/>
      <c r="AA479" s="10"/>
      <c r="AB479" s="9"/>
    </row>
    <row r="480" spans="1:28" ht="13.15" customHeight="1">
      <c r="A480" s="36">
        <f t="shared" si="159"/>
        <v>466</v>
      </c>
      <c r="B480" s="35">
        <f t="shared" si="151"/>
        <v>45538</v>
      </c>
      <c r="C480" s="16">
        <f t="shared" si="152"/>
        <v>1069</v>
      </c>
      <c r="D480" s="15">
        <f t="shared" si="143"/>
        <v>2104</v>
      </c>
      <c r="E480" s="14">
        <f t="shared" ca="1" si="144"/>
        <v>-269</v>
      </c>
      <c r="F480" s="14">
        <f t="shared" ca="1" si="145"/>
        <v>-210</v>
      </c>
      <c r="G480" s="14">
        <f t="shared" ca="1" si="146"/>
        <v>-216</v>
      </c>
      <c r="H480" s="10">
        <f t="shared" ca="1" si="147"/>
        <v>3442</v>
      </c>
      <c r="I480" s="10">
        <f t="shared" ca="1" si="148"/>
        <v>3383</v>
      </c>
      <c r="J480" s="10">
        <f t="shared" ca="1" si="149"/>
        <v>3389</v>
      </c>
      <c r="K480" s="10">
        <f t="shared" si="140"/>
        <v>4000</v>
      </c>
      <c r="L480" s="10">
        <f t="shared" si="141"/>
        <v>4000</v>
      </c>
      <c r="M480" s="10">
        <f t="shared" si="142"/>
        <v>4000</v>
      </c>
      <c r="N480" s="10">
        <f t="shared" ca="1" si="153"/>
        <v>-558</v>
      </c>
      <c r="O480" s="10">
        <f t="shared" ca="1" si="154"/>
        <v>-617</v>
      </c>
      <c r="P480" s="10">
        <f t="shared" ca="1" si="155"/>
        <v>-611</v>
      </c>
      <c r="Q480" s="14">
        <v>8</v>
      </c>
      <c r="R480" s="14">
        <v>7</v>
      </c>
      <c r="S480" s="14">
        <v>2</v>
      </c>
      <c r="T480" s="13">
        <f t="shared" ca="1" si="150"/>
        <v>-420</v>
      </c>
      <c r="U480" s="12">
        <f t="shared" ca="1" si="157"/>
        <v>3602</v>
      </c>
      <c r="V480" s="12">
        <f t="shared" ca="1" si="156"/>
        <v>3593</v>
      </c>
      <c r="W480" s="12">
        <f t="shared" ca="1" si="158"/>
        <v>3629</v>
      </c>
      <c r="X480" s="11"/>
      <c r="Y480" s="10"/>
      <c r="Z480" s="10"/>
      <c r="AA480" s="10"/>
      <c r="AB480" s="9"/>
    </row>
    <row r="481" spans="1:28" ht="13.15" customHeight="1">
      <c r="A481" s="36">
        <f t="shared" si="159"/>
        <v>467</v>
      </c>
      <c r="B481" s="35">
        <f t="shared" si="151"/>
        <v>45539</v>
      </c>
      <c r="C481" s="16">
        <f t="shared" si="152"/>
        <v>1069</v>
      </c>
      <c r="D481" s="15">
        <f t="shared" si="143"/>
        <v>2106</v>
      </c>
      <c r="E481" s="14">
        <f t="shared" ca="1" si="144"/>
        <v>-258</v>
      </c>
      <c r="F481" s="14">
        <f t="shared" ca="1" si="145"/>
        <v>-199</v>
      </c>
      <c r="G481" s="14">
        <f t="shared" ca="1" si="146"/>
        <v>-205</v>
      </c>
      <c r="H481" s="10">
        <f t="shared" ca="1" si="147"/>
        <v>3433</v>
      </c>
      <c r="I481" s="10">
        <f t="shared" ca="1" si="148"/>
        <v>3374</v>
      </c>
      <c r="J481" s="10">
        <f t="shared" ca="1" si="149"/>
        <v>3380</v>
      </c>
      <c r="K481" s="10">
        <f t="shared" si="140"/>
        <v>4000</v>
      </c>
      <c r="L481" s="10">
        <f t="shared" si="141"/>
        <v>4000</v>
      </c>
      <c r="M481" s="10">
        <f t="shared" si="142"/>
        <v>4000</v>
      </c>
      <c r="N481" s="10">
        <f t="shared" ca="1" si="153"/>
        <v>-567</v>
      </c>
      <c r="O481" s="10">
        <f t="shared" ca="1" si="154"/>
        <v>-626</v>
      </c>
      <c r="P481" s="10">
        <f t="shared" ca="1" si="155"/>
        <v>-620</v>
      </c>
      <c r="Q481" s="14">
        <v>9</v>
      </c>
      <c r="R481" s="14">
        <v>9</v>
      </c>
      <c r="S481" s="14">
        <v>9</v>
      </c>
      <c r="T481" s="13">
        <f t="shared" ca="1" si="150"/>
        <v>-409</v>
      </c>
      <c r="U481" s="12">
        <f t="shared" ca="1" si="157"/>
        <v>3593</v>
      </c>
      <c r="V481" s="12">
        <f t="shared" ca="1" si="156"/>
        <v>3584</v>
      </c>
      <c r="W481" s="12">
        <f t="shared" ca="1" si="158"/>
        <v>3620</v>
      </c>
      <c r="X481" s="11"/>
      <c r="Y481" s="10"/>
      <c r="Z481" s="10"/>
      <c r="AA481" s="10"/>
      <c r="AB481" s="9"/>
    </row>
    <row r="482" spans="1:28" ht="13.15" customHeight="1">
      <c r="A482" s="36">
        <f t="shared" si="159"/>
        <v>468</v>
      </c>
      <c r="B482" s="35">
        <f t="shared" si="151"/>
        <v>45540</v>
      </c>
      <c r="C482" s="16">
        <f t="shared" si="152"/>
        <v>1069</v>
      </c>
      <c r="D482" s="15">
        <f t="shared" si="143"/>
        <v>2108</v>
      </c>
      <c r="E482" s="14">
        <f t="shared" ca="1" si="144"/>
        <v>-248</v>
      </c>
      <c r="F482" s="14">
        <f t="shared" ca="1" si="145"/>
        <v>-189</v>
      </c>
      <c r="G482" s="14">
        <f t="shared" ca="1" si="146"/>
        <v>-195</v>
      </c>
      <c r="H482" s="10">
        <f t="shared" ca="1" si="147"/>
        <v>3425</v>
      </c>
      <c r="I482" s="10">
        <f t="shared" ca="1" si="148"/>
        <v>3366</v>
      </c>
      <c r="J482" s="10">
        <f t="shared" ca="1" si="149"/>
        <v>3372</v>
      </c>
      <c r="K482" s="10">
        <f t="shared" si="140"/>
        <v>4000</v>
      </c>
      <c r="L482" s="10">
        <f t="shared" si="141"/>
        <v>4000</v>
      </c>
      <c r="M482" s="10">
        <f t="shared" si="142"/>
        <v>4000</v>
      </c>
      <c r="N482" s="10">
        <f t="shared" ca="1" si="153"/>
        <v>-575</v>
      </c>
      <c r="O482" s="10">
        <f t="shared" ca="1" si="154"/>
        <v>-634</v>
      </c>
      <c r="P482" s="10">
        <f t="shared" ca="1" si="155"/>
        <v>-628</v>
      </c>
      <c r="Q482" s="14">
        <v>8</v>
      </c>
      <c r="R482" s="14">
        <v>8</v>
      </c>
      <c r="S482" s="14">
        <v>8</v>
      </c>
      <c r="T482" s="13">
        <f t="shared" ca="1" si="150"/>
        <v>-399</v>
      </c>
      <c r="U482" s="12">
        <f t="shared" ca="1" si="157"/>
        <v>3585</v>
      </c>
      <c r="V482" s="12">
        <f t="shared" ca="1" si="156"/>
        <v>3576</v>
      </c>
      <c r="W482" s="12">
        <f t="shared" ca="1" si="158"/>
        <v>3612</v>
      </c>
      <c r="X482" s="11"/>
      <c r="Y482" s="10"/>
      <c r="Z482" s="10"/>
      <c r="AA482" s="10"/>
      <c r="AB482" s="9"/>
    </row>
    <row r="483" spans="1:28" ht="13.15" customHeight="1">
      <c r="A483" s="36">
        <f t="shared" si="159"/>
        <v>469</v>
      </c>
      <c r="B483" s="35">
        <f t="shared" si="151"/>
        <v>45541</v>
      </c>
      <c r="C483" s="16">
        <f t="shared" si="152"/>
        <v>1069</v>
      </c>
      <c r="D483" s="15">
        <f t="shared" si="143"/>
        <v>2110</v>
      </c>
      <c r="E483" s="14">
        <f t="shared" ca="1" si="144"/>
        <v>-239</v>
      </c>
      <c r="F483" s="14">
        <f t="shared" ca="1" si="145"/>
        <v>-178</v>
      </c>
      <c r="G483" s="14">
        <f t="shared" ca="1" si="146"/>
        <v>-186</v>
      </c>
      <c r="H483" s="10">
        <f t="shared" ca="1" si="147"/>
        <v>3418</v>
      </c>
      <c r="I483" s="10">
        <f t="shared" ca="1" si="148"/>
        <v>3357</v>
      </c>
      <c r="J483" s="10">
        <f t="shared" ca="1" si="149"/>
        <v>3365</v>
      </c>
      <c r="K483" s="10">
        <f t="shared" si="140"/>
        <v>4000</v>
      </c>
      <c r="L483" s="10">
        <f t="shared" si="141"/>
        <v>4000</v>
      </c>
      <c r="M483" s="10">
        <f t="shared" si="142"/>
        <v>4000</v>
      </c>
      <c r="N483" s="10">
        <f t="shared" ca="1" si="153"/>
        <v>-582</v>
      </c>
      <c r="O483" s="10">
        <f t="shared" ca="1" si="154"/>
        <v>-643</v>
      </c>
      <c r="P483" s="10">
        <f t="shared" ca="1" si="155"/>
        <v>-635</v>
      </c>
      <c r="Q483" s="14">
        <v>7</v>
      </c>
      <c r="R483" s="14">
        <v>9</v>
      </c>
      <c r="S483" s="14">
        <v>7</v>
      </c>
      <c r="T483" s="13">
        <f t="shared" ca="1" si="150"/>
        <v>-388</v>
      </c>
      <c r="U483" s="12">
        <f t="shared" ca="1" si="157"/>
        <v>3578</v>
      </c>
      <c r="V483" s="12">
        <f t="shared" ca="1" si="156"/>
        <v>3567</v>
      </c>
      <c r="W483" s="12">
        <f t="shared" ca="1" si="158"/>
        <v>3605</v>
      </c>
      <c r="X483" s="11"/>
      <c r="Y483" s="10"/>
      <c r="Z483" s="10"/>
      <c r="AA483" s="10"/>
      <c r="AB483" s="9"/>
    </row>
    <row r="484" spans="1:28" ht="13.15" customHeight="1">
      <c r="A484" s="36">
        <f t="shared" si="159"/>
        <v>470</v>
      </c>
      <c r="B484" s="35">
        <f t="shared" si="151"/>
        <v>45542</v>
      </c>
      <c r="C484" s="16">
        <f t="shared" si="152"/>
        <v>1069</v>
      </c>
      <c r="D484" s="15">
        <f t="shared" si="143"/>
        <v>2112</v>
      </c>
      <c r="E484" s="14">
        <f t="shared" ca="1" si="144"/>
        <v>-233</v>
      </c>
      <c r="F484" s="14">
        <f t="shared" ca="1" si="145"/>
        <v>-168</v>
      </c>
      <c r="G484" s="14">
        <f t="shared" ca="1" si="146"/>
        <v>-177</v>
      </c>
      <c r="H484" s="10">
        <f t="shared" ca="1" si="147"/>
        <v>3414</v>
      </c>
      <c r="I484" s="10">
        <f t="shared" ca="1" si="148"/>
        <v>3349</v>
      </c>
      <c r="J484" s="10">
        <f t="shared" ca="1" si="149"/>
        <v>3358</v>
      </c>
      <c r="K484" s="10">
        <f t="shared" si="140"/>
        <v>4000</v>
      </c>
      <c r="L484" s="10">
        <f t="shared" si="141"/>
        <v>4000</v>
      </c>
      <c r="M484" s="10">
        <f t="shared" si="142"/>
        <v>4000</v>
      </c>
      <c r="N484" s="10">
        <f t="shared" ca="1" si="153"/>
        <v>-586</v>
      </c>
      <c r="O484" s="10">
        <f t="shared" ca="1" si="154"/>
        <v>-651</v>
      </c>
      <c r="P484" s="10">
        <f t="shared" ca="1" si="155"/>
        <v>-642</v>
      </c>
      <c r="Q484" s="14">
        <v>4</v>
      </c>
      <c r="R484" s="14">
        <v>8</v>
      </c>
      <c r="S484" s="14">
        <v>7</v>
      </c>
      <c r="T484" s="13">
        <f t="shared" ca="1" si="150"/>
        <v>-378</v>
      </c>
      <c r="U484" s="12">
        <f t="shared" ca="1" si="157"/>
        <v>3574</v>
      </c>
      <c r="V484" s="12">
        <f t="shared" ca="1" si="156"/>
        <v>3559</v>
      </c>
      <c r="W484" s="12">
        <f t="shared" ca="1" si="158"/>
        <v>3598</v>
      </c>
      <c r="X484" s="11"/>
      <c r="Y484" s="10"/>
      <c r="Z484" s="10"/>
      <c r="AA484" s="10"/>
      <c r="AB484" s="9"/>
    </row>
    <row r="485" spans="1:28" ht="13.15" customHeight="1">
      <c r="A485" s="36">
        <f t="shared" si="159"/>
        <v>471</v>
      </c>
      <c r="B485" s="35">
        <f t="shared" si="151"/>
        <v>45543</v>
      </c>
      <c r="C485" s="16">
        <f t="shared" si="152"/>
        <v>1069</v>
      </c>
      <c r="D485" s="15">
        <f t="shared" si="143"/>
        <v>2114</v>
      </c>
      <c r="E485" s="14">
        <f t="shared" ca="1" si="144"/>
        <v>-228</v>
      </c>
      <c r="F485" s="14">
        <f t="shared" ca="1" si="145"/>
        <v>-159</v>
      </c>
      <c r="G485" s="14">
        <f t="shared" ca="1" si="146"/>
        <v>-169</v>
      </c>
      <c r="H485" s="10">
        <f t="shared" ca="1" si="147"/>
        <v>3411</v>
      </c>
      <c r="I485" s="10">
        <f t="shared" ca="1" si="148"/>
        <v>3342</v>
      </c>
      <c r="J485" s="10">
        <f t="shared" ca="1" si="149"/>
        <v>3352</v>
      </c>
      <c r="K485" s="10">
        <f t="shared" si="140"/>
        <v>4000</v>
      </c>
      <c r="L485" s="10">
        <f t="shared" si="141"/>
        <v>4000</v>
      </c>
      <c r="M485" s="10">
        <f t="shared" si="142"/>
        <v>4000</v>
      </c>
      <c r="N485" s="10">
        <f t="shared" ca="1" si="153"/>
        <v>-589</v>
      </c>
      <c r="O485" s="10">
        <f t="shared" ca="1" si="154"/>
        <v>-658</v>
      </c>
      <c r="P485" s="10">
        <f t="shared" ca="1" si="155"/>
        <v>-648</v>
      </c>
      <c r="Q485" s="14">
        <v>3</v>
      </c>
      <c r="R485" s="14">
        <v>7</v>
      </c>
      <c r="S485" s="14">
        <v>6</v>
      </c>
      <c r="T485" s="13">
        <f t="shared" ca="1" si="150"/>
        <v>-369</v>
      </c>
      <c r="U485" s="12">
        <f t="shared" ca="1" si="157"/>
        <v>3571</v>
      </c>
      <c r="V485" s="12">
        <f t="shared" ca="1" si="156"/>
        <v>3552</v>
      </c>
      <c r="W485" s="12">
        <f t="shared" ca="1" si="158"/>
        <v>3592</v>
      </c>
      <c r="X485" s="11"/>
      <c r="Y485" s="10"/>
      <c r="Z485" s="10"/>
      <c r="AA485" s="10"/>
      <c r="AB485" s="9"/>
    </row>
    <row r="486" spans="1:28" ht="13.15" customHeight="1">
      <c r="A486" s="36">
        <f t="shared" si="159"/>
        <v>472</v>
      </c>
      <c r="B486" s="35">
        <f t="shared" si="151"/>
        <v>45544</v>
      </c>
      <c r="C486" s="16">
        <f t="shared" si="152"/>
        <v>1069</v>
      </c>
      <c r="D486" s="15">
        <f t="shared" si="143"/>
        <v>2116</v>
      </c>
      <c r="E486" s="14">
        <f t="shared" ca="1" si="144"/>
        <v>-224</v>
      </c>
      <c r="F486" s="14">
        <f t="shared" ca="1" si="145"/>
        <v>-153</v>
      </c>
      <c r="G486" s="14">
        <f t="shared" ca="1" si="146"/>
        <v>-161</v>
      </c>
      <c r="H486" s="10">
        <f t="shared" ca="1" si="147"/>
        <v>3409</v>
      </c>
      <c r="I486" s="10">
        <f t="shared" ca="1" si="148"/>
        <v>3338</v>
      </c>
      <c r="J486" s="10">
        <f t="shared" ca="1" si="149"/>
        <v>3346</v>
      </c>
      <c r="K486" s="10">
        <f t="shared" si="140"/>
        <v>4000</v>
      </c>
      <c r="L486" s="10">
        <f t="shared" si="141"/>
        <v>4000</v>
      </c>
      <c r="M486" s="10">
        <f t="shared" si="142"/>
        <v>4000</v>
      </c>
      <c r="N486" s="10">
        <f t="shared" ca="1" si="153"/>
        <v>-591</v>
      </c>
      <c r="O486" s="10">
        <f t="shared" ca="1" si="154"/>
        <v>-662</v>
      </c>
      <c r="P486" s="10">
        <f t="shared" ca="1" si="155"/>
        <v>-654</v>
      </c>
      <c r="Q486" s="14">
        <v>2</v>
      </c>
      <c r="R486" s="14">
        <v>4</v>
      </c>
      <c r="S486" s="14">
        <v>6</v>
      </c>
      <c r="T486" s="13">
        <f t="shared" ca="1" si="150"/>
        <v>-363</v>
      </c>
      <c r="U486" s="12">
        <f t="shared" ca="1" si="157"/>
        <v>3569</v>
      </c>
      <c r="V486" s="12">
        <f t="shared" ca="1" si="156"/>
        <v>3548</v>
      </c>
      <c r="W486" s="12">
        <f t="shared" ca="1" si="158"/>
        <v>3586</v>
      </c>
      <c r="X486" s="11"/>
      <c r="Y486" s="10"/>
      <c r="Z486" s="10"/>
      <c r="AA486" s="10"/>
      <c r="AB486" s="9"/>
    </row>
    <row r="487" spans="1:28" ht="13.15" customHeight="1">
      <c r="A487" s="36">
        <f t="shared" si="159"/>
        <v>473</v>
      </c>
      <c r="B487" s="35">
        <f t="shared" si="151"/>
        <v>45545</v>
      </c>
      <c r="C487" s="16">
        <f t="shared" si="152"/>
        <v>1069</v>
      </c>
      <c r="D487" s="15">
        <f t="shared" si="143"/>
        <v>2118</v>
      </c>
      <c r="E487" s="14">
        <f t="shared" ca="1" si="144"/>
        <v>-220</v>
      </c>
      <c r="F487" s="14">
        <f t="shared" ca="1" si="145"/>
        <v>-148</v>
      </c>
      <c r="G487" s="14">
        <f t="shared" ca="1" si="146"/>
        <v>-151</v>
      </c>
      <c r="H487" s="10">
        <f t="shared" ca="1" si="147"/>
        <v>3407</v>
      </c>
      <c r="I487" s="10">
        <f t="shared" ca="1" si="148"/>
        <v>3335</v>
      </c>
      <c r="J487" s="10">
        <f t="shared" ca="1" si="149"/>
        <v>3338</v>
      </c>
      <c r="K487" s="10">
        <f t="shared" si="140"/>
        <v>4000</v>
      </c>
      <c r="L487" s="10">
        <f t="shared" si="141"/>
        <v>4000</v>
      </c>
      <c r="M487" s="10">
        <f t="shared" si="142"/>
        <v>4000</v>
      </c>
      <c r="N487" s="10">
        <f t="shared" ca="1" si="153"/>
        <v>-593</v>
      </c>
      <c r="O487" s="10">
        <f t="shared" ca="1" si="154"/>
        <v>-665</v>
      </c>
      <c r="P487" s="10">
        <f t="shared" ca="1" si="155"/>
        <v>-662</v>
      </c>
      <c r="Q487" s="14">
        <v>2</v>
      </c>
      <c r="R487" s="14">
        <v>3</v>
      </c>
      <c r="S487" s="14">
        <v>8</v>
      </c>
      <c r="T487" s="13">
        <f t="shared" ca="1" si="150"/>
        <v>-358</v>
      </c>
      <c r="U487" s="12">
        <f t="shared" ca="1" si="157"/>
        <v>3567</v>
      </c>
      <c r="V487" s="12">
        <f t="shared" ca="1" si="156"/>
        <v>3545</v>
      </c>
      <c r="W487" s="12">
        <f t="shared" ca="1" si="158"/>
        <v>3578</v>
      </c>
      <c r="X487" s="11"/>
      <c r="Y487" s="10"/>
      <c r="Z487" s="10"/>
      <c r="AA487" s="10"/>
      <c r="AB487" s="9"/>
    </row>
    <row r="488" spans="1:28" ht="13.15" customHeight="1">
      <c r="A488" s="36">
        <f t="shared" si="159"/>
        <v>474</v>
      </c>
      <c r="B488" s="35">
        <f t="shared" si="151"/>
        <v>45546</v>
      </c>
      <c r="C488" s="16">
        <f t="shared" si="152"/>
        <v>1069</v>
      </c>
      <c r="D488" s="15">
        <f t="shared" si="143"/>
        <v>2120</v>
      </c>
      <c r="E488" s="14">
        <f t="shared" ca="1" si="144"/>
        <v>-217</v>
      </c>
      <c r="F488" s="14">
        <f t="shared" ca="1" si="145"/>
        <v>-144</v>
      </c>
      <c r="G488" s="14">
        <f t="shared" ca="1" si="146"/>
        <v>-142</v>
      </c>
      <c r="H488" s="10">
        <f t="shared" ca="1" si="147"/>
        <v>3406</v>
      </c>
      <c r="I488" s="10">
        <f t="shared" ca="1" si="148"/>
        <v>3333</v>
      </c>
      <c r="J488" s="10">
        <f t="shared" ca="1" si="149"/>
        <v>3331</v>
      </c>
      <c r="K488" s="10">
        <f t="shared" si="140"/>
        <v>4000</v>
      </c>
      <c r="L488" s="10">
        <f t="shared" si="141"/>
        <v>4000</v>
      </c>
      <c r="M488" s="10">
        <f t="shared" si="142"/>
        <v>4000</v>
      </c>
      <c r="N488" s="10">
        <f t="shared" ca="1" si="153"/>
        <v>-594</v>
      </c>
      <c r="O488" s="10">
        <f t="shared" ca="1" si="154"/>
        <v>-667</v>
      </c>
      <c r="P488" s="10">
        <f t="shared" ca="1" si="155"/>
        <v>-669</v>
      </c>
      <c r="Q488" s="14">
        <v>1</v>
      </c>
      <c r="R488" s="14">
        <v>2</v>
      </c>
      <c r="S488" s="14">
        <v>7</v>
      </c>
      <c r="T488" s="13">
        <f t="shared" ca="1" si="150"/>
        <v>-354</v>
      </c>
      <c r="U488" s="12">
        <f t="shared" ca="1" si="157"/>
        <v>3566</v>
      </c>
      <c r="V488" s="12">
        <f t="shared" ca="1" si="156"/>
        <v>3543</v>
      </c>
      <c r="W488" s="12">
        <f t="shared" ca="1" si="158"/>
        <v>3571</v>
      </c>
      <c r="X488" s="11"/>
      <c r="Y488" s="10"/>
      <c r="Z488" s="10"/>
      <c r="AA488" s="10"/>
      <c r="AB488" s="9"/>
    </row>
    <row r="489" spans="1:28" ht="13.15" customHeight="1">
      <c r="A489" s="36">
        <f t="shared" si="159"/>
        <v>475</v>
      </c>
      <c r="B489" s="35">
        <f t="shared" si="151"/>
        <v>45547</v>
      </c>
      <c r="C489" s="16">
        <f t="shared" si="152"/>
        <v>1069</v>
      </c>
      <c r="D489" s="15">
        <f t="shared" si="143"/>
        <v>2122</v>
      </c>
      <c r="E489" s="14">
        <f t="shared" ca="1" si="144"/>
        <v>-212</v>
      </c>
      <c r="F489" s="14">
        <f t="shared" ca="1" si="145"/>
        <v>-140</v>
      </c>
      <c r="G489" s="14">
        <f t="shared" ca="1" si="146"/>
        <v>-131</v>
      </c>
      <c r="H489" s="10">
        <f t="shared" ca="1" si="147"/>
        <v>3403</v>
      </c>
      <c r="I489" s="10">
        <f t="shared" ca="1" si="148"/>
        <v>3331</v>
      </c>
      <c r="J489" s="10">
        <f t="shared" ca="1" si="149"/>
        <v>3322</v>
      </c>
      <c r="K489" s="10">
        <f t="shared" si="140"/>
        <v>4000</v>
      </c>
      <c r="L489" s="10">
        <f t="shared" si="141"/>
        <v>4000</v>
      </c>
      <c r="M489" s="10">
        <f t="shared" si="142"/>
        <v>4000</v>
      </c>
      <c r="N489" s="10">
        <f t="shared" ca="1" si="153"/>
        <v>-597</v>
      </c>
      <c r="O489" s="10">
        <f t="shared" ca="1" si="154"/>
        <v>-669</v>
      </c>
      <c r="P489" s="10">
        <f t="shared" ca="1" si="155"/>
        <v>-678</v>
      </c>
      <c r="Q489" s="14">
        <v>3</v>
      </c>
      <c r="R489" s="14">
        <v>2</v>
      </c>
      <c r="S489" s="14">
        <v>9</v>
      </c>
      <c r="T489" s="13">
        <f t="shared" ca="1" si="150"/>
        <v>-350</v>
      </c>
      <c r="U489" s="12">
        <f t="shared" ca="1" si="157"/>
        <v>3563</v>
      </c>
      <c r="V489" s="12">
        <f t="shared" ca="1" si="156"/>
        <v>3541</v>
      </c>
      <c r="W489" s="12">
        <f t="shared" ca="1" si="158"/>
        <v>3562</v>
      </c>
      <c r="X489" s="11"/>
      <c r="Y489" s="10"/>
      <c r="Z489" s="10"/>
      <c r="AA489" s="10"/>
      <c r="AB489" s="9"/>
    </row>
    <row r="490" spans="1:28" ht="13.15" customHeight="1">
      <c r="A490" s="36">
        <f t="shared" si="159"/>
        <v>476</v>
      </c>
      <c r="B490" s="35">
        <f t="shared" si="151"/>
        <v>45548</v>
      </c>
      <c r="C490" s="16">
        <f t="shared" si="152"/>
        <v>1069</v>
      </c>
      <c r="D490" s="15">
        <f t="shared" si="143"/>
        <v>2124</v>
      </c>
      <c r="E490" s="14">
        <f t="shared" ca="1" si="144"/>
        <v>-208</v>
      </c>
      <c r="F490" s="14">
        <f t="shared" ca="1" si="145"/>
        <v>-136</v>
      </c>
      <c r="G490" s="14">
        <f t="shared" ca="1" si="146"/>
        <v>-129</v>
      </c>
      <c r="H490" s="10">
        <f t="shared" ca="1" si="147"/>
        <v>3401</v>
      </c>
      <c r="I490" s="10">
        <f t="shared" ca="1" si="148"/>
        <v>3329</v>
      </c>
      <c r="J490" s="10">
        <f t="shared" ca="1" si="149"/>
        <v>3322</v>
      </c>
      <c r="K490" s="10">
        <f t="shared" si="140"/>
        <v>4000</v>
      </c>
      <c r="L490" s="10">
        <f t="shared" si="141"/>
        <v>4000</v>
      </c>
      <c r="M490" s="10">
        <f t="shared" si="142"/>
        <v>4000</v>
      </c>
      <c r="N490" s="10">
        <f t="shared" ca="1" si="153"/>
        <v>-599</v>
      </c>
      <c r="O490" s="10">
        <f t="shared" ca="1" si="154"/>
        <v>-671</v>
      </c>
      <c r="P490" s="10">
        <f t="shared" ca="1" si="155"/>
        <v>-678</v>
      </c>
      <c r="Q490" s="14">
        <v>2</v>
      </c>
      <c r="R490" s="14">
        <v>2</v>
      </c>
      <c r="S490" s="14">
        <v>0</v>
      </c>
      <c r="T490" s="13">
        <f t="shared" ca="1" si="150"/>
        <v>-346</v>
      </c>
      <c r="U490" s="12">
        <f t="shared" ca="1" si="157"/>
        <v>3561</v>
      </c>
      <c r="V490" s="12">
        <f t="shared" ca="1" si="156"/>
        <v>3539</v>
      </c>
      <c r="W490" s="12">
        <f t="shared" ca="1" si="158"/>
        <v>3562</v>
      </c>
      <c r="X490" s="11"/>
      <c r="Y490" s="10"/>
      <c r="Z490" s="10"/>
      <c r="AA490" s="10"/>
      <c r="AB490" s="9"/>
    </row>
    <row r="491" spans="1:28" ht="13.15" customHeight="1">
      <c r="A491" s="36">
        <f t="shared" si="159"/>
        <v>477</v>
      </c>
      <c r="B491" s="35">
        <f t="shared" si="151"/>
        <v>45549</v>
      </c>
      <c r="C491" s="16">
        <f t="shared" si="152"/>
        <v>1069</v>
      </c>
      <c r="D491" s="15">
        <f t="shared" si="143"/>
        <v>2126</v>
      </c>
      <c r="E491" s="14">
        <f t="shared" ca="1" si="144"/>
        <v>-203</v>
      </c>
      <c r="F491" s="14">
        <f t="shared" ca="1" si="145"/>
        <v>-126</v>
      </c>
      <c r="G491" s="14">
        <f t="shared" ca="1" si="146"/>
        <v>-127</v>
      </c>
      <c r="H491" s="10">
        <f t="shared" ca="1" si="147"/>
        <v>3398</v>
      </c>
      <c r="I491" s="10">
        <f t="shared" ca="1" si="148"/>
        <v>3321</v>
      </c>
      <c r="J491" s="10">
        <f t="shared" ca="1" si="149"/>
        <v>3322</v>
      </c>
      <c r="K491" s="10">
        <f t="shared" si="140"/>
        <v>4000</v>
      </c>
      <c r="L491" s="10">
        <f t="shared" si="141"/>
        <v>4000</v>
      </c>
      <c r="M491" s="10">
        <f t="shared" si="142"/>
        <v>4000</v>
      </c>
      <c r="N491" s="10">
        <f t="shared" ca="1" si="153"/>
        <v>-602</v>
      </c>
      <c r="O491" s="10">
        <f t="shared" ca="1" si="154"/>
        <v>-679</v>
      </c>
      <c r="P491" s="10">
        <f t="shared" ca="1" si="155"/>
        <v>-678</v>
      </c>
      <c r="Q491" s="14">
        <v>3</v>
      </c>
      <c r="R491" s="14">
        <v>8</v>
      </c>
      <c r="S491" s="14">
        <v>0</v>
      </c>
      <c r="T491" s="13">
        <f t="shared" ca="1" si="150"/>
        <v>-336</v>
      </c>
      <c r="U491" s="12">
        <f t="shared" ca="1" si="157"/>
        <v>3558</v>
      </c>
      <c r="V491" s="12">
        <f t="shared" ca="1" si="156"/>
        <v>3531</v>
      </c>
      <c r="W491" s="12">
        <f t="shared" ca="1" si="158"/>
        <v>3562</v>
      </c>
      <c r="X491" s="11"/>
      <c r="Y491" s="10"/>
      <c r="Z491" s="10"/>
      <c r="AA491" s="10"/>
      <c r="AB491" s="9"/>
    </row>
    <row r="492" spans="1:28" ht="13.15" customHeight="1">
      <c r="A492" s="36">
        <f t="shared" si="159"/>
        <v>478</v>
      </c>
      <c r="B492" s="35">
        <f t="shared" si="151"/>
        <v>45550</v>
      </c>
      <c r="C492" s="16">
        <f t="shared" si="152"/>
        <v>1069</v>
      </c>
      <c r="D492" s="15">
        <f t="shared" si="143"/>
        <v>2128</v>
      </c>
      <c r="E492" s="14">
        <f t="shared" ca="1" si="144"/>
        <v>-199</v>
      </c>
      <c r="F492" s="14">
        <f t="shared" ca="1" si="145"/>
        <v>-115</v>
      </c>
      <c r="G492" s="14">
        <f t="shared" ca="1" si="146"/>
        <v>-125</v>
      </c>
      <c r="H492" s="10">
        <f t="shared" ca="1" si="147"/>
        <v>3396</v>
      </c>
      <c r="I492" s="10">
        <f t="shared" ca="1" si="148"/>
        <v>3312</v>
      </c>
      <c r="J492" s="10">
        <f t="shared" ca="1" si="149"/>
        <v>3322</v>
      </c>
      <c r="K492" s="10">
        <f t="shared" ref="K492:K555" si="160">K491</f>
        <v>4000</v>
      </c>
      <c r="L492" s="10">
        <f t="shared" ref="L492:L555" si="161">L491</f>
        <v>4000</v>
      </c>
      <c r="M492" s="10">
        <f t="shared" ref="M492:M555" si="162">M491</f>
        <v>4000</v>
      </c>
      <c r="N492" s="10">
        <f t="shared" ca="1" si="153"/>
        <v>-604</v>
      </c>
      <c r="O492" s="10">
        <f t="shared" ca="1" si="154"/>
        <v>-688</v>
      </c>
      <c r="P492" s="10">
        <f t="shared" ca="1" si="155"/>
        <v>-678</v>
      </c>
      <c r="Q492" s="14">
        <v>2</v>
      </c>
      <c r="R492" s="14">
        <v>9</v>
      </c>
      <c r="S492" s="14">
        <v>0</v>
      </c>
      <c r="T492" s="13">
        <f t="shared" ca="1" si="150"/>
        <v>-325</v>
      </c>
      <c r="U492" s="12">
        <f t="shared" ca="1" si="157"/>
        <v>3556</v>
      </c>
      <c r="V492" s="12">
        <f t="shared" ca="1" si="156"/>
        <v>3522</v>
      </c>
      <c r="W492" s="12">
        <f t="shared" ca="1" si="158"/>
        <v>3562</v>
      </c>
      <c r="X492" s="11"/>
      <c r="Y492" s="10"/>
      <c r="Z492" s="10"/>
      <c r="AA492" s="10"/>
      <c r="AB492" s="9"/>
    </row>
    <row r="493" spans="1:28" ht="13.15" customHeight="1">
      <c r="A493" s="36">
        <f t="shared" si="159"/>
        <v>479</v>
      </c>
      <c r="B493" s="35">
        <f t="shared" si="151"/>
        <v>45551</v>
      </c>
      <c r="C493" s="16">
        <f t="shared" si="152"/>
        <v>1069</v>
      </c>
      <c r="D493" s="15">
        <f t="shared" si="143"/>
        <v>2130</v>
      </c>
      <c r="E493" s="14">
        <f t="shared" ca="1" si="144"/>
        <v>-196</v>
      </c>
      <c r="F493" s="14">
        <f t="shared" ca="1" si="145"/>
        <v>-105</v>
      </c>
      <c r="G493" s="14">
        <f t="shared" ca="1" si="146"/>
        <v>-121</v>
      </c>
      <c r="H493" s="10">
        <f t="shared" ca="1" si="147"/>
        <v>3395</v>
      </c>
      <c r="I493" s="10">
        <f t="shared" ca="1" si="148"/>
        <v>3304</v>
      </c>
      <c r="J493" s="10">
        <f t="shared" ca="1" si="149"/>
        <v>3320</v>
      </c>
      <c r="K493" s="10">
        <f t="shared" si="160"/>
        <v>4000</v>
      </c>
      <c r="L493" s="10">
        <f t="shared" si="161"/>
        <v>4000</v>
      </c>
      <c r="M493" s="10">
        <f t="shared" si="162"/>
        <v>4000</v>
      </c>
      <c r="N493" s="10">
        <f t="shared" ca="1" si="153"/>
        <v>-605</v>
      </c>
      <c r="O493" s="10">
        <f t="shared" ca="1" si="154"/>
        <v>-696</v>
      </c>
      <c r="P493" s="10">
        <f t="shared" ca="1" si="155"/>
        <v>-680</v>
      </c>
      <c r="Q493" s="14">
        <v>1</v>
      </c>
      <c r="R493" s="14">
        <v>8</v>
      </c>
      <c r="S493" s="14">
        <v>2</v>
      </c>
      <c r="T493" s="13">
        <f t="shared" ca="1" si="150"/>
        <v>-315</v>
      </c>
      <c r="U493" s="12">
        <f t="shared" ca="1" si="157"/>
        <v>3555</v>
      </c>
      <c r="V493" s="12">
        <f t="shared" ca="1" si="156"/>
        <v>3514</v>
      </c>
      <c r="W493" s="12">
        <f t="shared" ca="1" si="158"/>
        <v>3560</v>
      </c>
      <c r="X493" s="11"/>
      <c r="Y493" s="10"/>
      <c r="Z493" s="10"/>
      <c r="AA493" s="10"/>
      <c r="AB493" s="9"/>
    </row>
    <row r="494" spans="1:28" ht="13.15" customHeight="1">
      <c r="A494" s="36">
        <f t="shared" si="159"/>
        <v>480</v>
      </c>
      <c r="B494" s="35">
        <f t="shared" si="151"/>
        <v>45552</v>
      </c>
      <c r="C494" s="16">
        <f t="shared" si="152"/>
        <v>1069</v>
      </c>
      <c r="D494" s="15">
        <f t="shared" si="143"/>
        <v>2132</v>
      </c>
      <c r="E494" s="14">
        <f t="shared" ca="1" si="144"/>
        <v>-192</v>
      </c>
      <c r="F494" s="14">
        <f t="shared" ca="1" si="145"/>
        <v>-96</v>
      </c>
      <c r="G494" s="14">
        <f t="shared" ca="1" si="146"/>
        <v>-119</v>
      </c>
      <c r="H494" s="10">
        <f t="shared" ca="1" si="147"/>
        <v>3393</v>
      </c>
      <c r="I494" s="10">
        <f t="shared" ca="1" si="148"/>
        <v>3297</v>
      </c>
      <c r="J494" s="10">
        <f t="shared" ca="1" si="149"/>
        <v>3320</v>
      </c>
      <c r="K494" s="10">
        <f t="shared" si="160"/>
        <v>4000</v>
      </c>
      <c r="L494" s="10">
        <f t="shared" si="161"/>
        <v>4000</v>
      </c>
      <c r="M494" s="10">
        <f t="shared" si="162"/>
        <v>4000</v>
      </c>
      <c r="N494" s="10">
        <f t="shared" ca="1" si="153"/>
        <v>-607</v>
      </c>
      <c r="O494" s="10">
        <f t="shared" ca="1" si="154"/>
        <v>-703</v>
      </c>
      <c r="P494" s="10">
        <f t="shared" ca="1" si="155"/>
        <v>-680</v>
      </c>
      <c r="Q494" s="14">
        <v>2</v>
      </c>
      <c r="R494" s="14">
        <v>7</v>
      </c>
      <c r="S494" s="14">
        <v>0</v>
      </c>
      <c r="T494" s="13">
        <f t="shared" ca="1" si="150"/>
        <v>-306</v>
      </c>
      <c r="U494" s="12">
        <f t="shared" ca="1" si="157"/>
        <v>3553</v>
      </c>
      <c r="V494" s="12">
        <f t="shared" ca="1" si="156"/>
        <v>3507</v>
      </c>
      <c r="W494" s="12">
        <f t="shared" ca="1" si="158"/>
        <v>3560</v>
      </c>
      <c r="X494" s="11"/>
      <c r="Y494" s="10"/>
      <c r="Z494" s="10"/>
      <c r="AA494" s="10"/>
      <c r="AB494" s="9"/>
    </row>
    <row r="495" spans="1:28" ht="13.15" customHeight="1">
      <c r="A495" s="36">
        <f t="shared" si="159"/>
        <v>481</v>
      </c>
      <c r="B495" s="35">
        <f t="shared" si="151"/>
        <v>45553</v>
      </c>
      <c r="C495" s="16">
        <f t="shared" si="152"/>
        <v>1069</v>
      </c>
      <c r="D495" s="15">
        <f t="shared" si="143"/>
        <v>2134</v>
      </c>
      <c r="E495" s="14">
        <f t="shared" ca="1" si="144"/>
        <v>-188</v>
      </c>
      <c r="F495" s="14">
        <f t="shared" ca="1" si="145"/>
        <v>-85</v>
      </c>
      <c r="G495" s="14">
        <f t="shared" ca="1" si="146"/>
        <v>-117</v>
      </c>
      <c r="H495" s="10">
        <f t="shared" ca="1" si="147"/>
        <v>3391</v>
      </c>
      <c r="I495" s="10">
        <f t="shared" ca="1" si="148"/>
        <v>3288</v>
      </c>
      <c r="J495" s="10">
        <f t="shared" ca="1" si="149"/>
        <v>3320</v>
      </c>
      <c r="K495" s="10">
        <f t="shared" si="160"/>
        <v>4000</v>
      </c>
      <c r="L495" s="10">
        <f t="shared" si="161"/>
        <v>4000</v>
      </c>
      <c r="M495" s="10">
        <f t="shared" si="162"/>
        <v>4000</v>
      </c>
      <c r="N495" s="10">
        <f t="shared" ca="1" si="153"/>
        <v>-609</v>
      </c>
      <c r="O495" s="10">
        <f t="shared" ca="1" si="154"/>
        <v>-712</v>
      </c>
      <c r="P495" s="10">
        <f t="shared" ca="1" si="155"/>
        <v>-680</v>
      </c>
      <c r="Q495" s="14">
        <v>2</v>
      </c>
      <c r="R495" s="14">
        <v>9</v>
      </c>
      <c r="S495" s="14">
        <v>0</v>
      </c>
      <c r="T495" s="13">
        <f t="shared" ca="1" si="150"/>
        <v>-295</v>
      </c>
      <c r="U495" s="12">
        <f t="shared" ca="1" si="157"/>
        <v>3551</v>
      </c>
      <c r="V495" s="12">
        <f t="shared" ca="1" si="156"/>
        <v>3498</v>
      </c>
      <c r="W495" s="12">
        <f t="shared" ca="1" si="158"/>
        <v>3560</v>
      </c>
      <c r="X495" s="11"/>
      <c r="Y495" s="10"/>
      <c r="Z495" s="10"/>
      <c r="AA495" s="10"/>
      <c r="AB495" s="9"/>
    </row>
    <row r="496" spans="1:28" ht="13.15" customHeight="1">
      <c r="A496" s="36">
        <f t="shared" si="159"/>
        <v>482</v>
      </c>
      <c r="B496" s="35">
        <f t="shared" si="151"/>
        <v>45554</v>
      </c>
      <c r="C496" s="16">
        <f t="shared" si="152"/>
        <v>1069</v>
      </c>
      <c r="D496" s="15">
        <f t="shared" si="143"/>
        <v>2136</v>
      </c>
      <c r="E496" s="14">
        <f t="shared" ca="1" si="144"/>
        <v>-184</v>
      </c>
      <c r="F496" s="14">
        <f t="shared" ca="1" si="145"/>
        <v>-75</v>
      </c>
      <c r="G496" s="14">
        <f t="shared" ca="1" si="146"/>
        <v>-115</v>
      </c>
      <c r="H496" s="10">
        <f t="shared" ca="1" si="147"/>
        <v>3389</v>
      </c>
      <c r="I496" s="10">
        <f t="shared" ca="1" si="148"/>
        <v>3280</v>
      </c>
      <c r="J496" s="10">
        <f t="shared" ca="1" si="149"/>
        <v>3320</v>
      </c>
      <c r="K496" s="10">
        <f t="shared" si="160"/>
        <v>4000</v>
      </c>
      <c r="L496" s="10">
        <f t="shared" si="161"/>
        <v>4000</v>
      </c>
      <c r="M496" s="10">
        <f t="shared" si="162"/>
        <v>4000</v>
      </c>
      <c r="N496" s="10">
        <f t="shared" ca="1" si="153"/>
        <v>-611</v>
      </c>
      <c r="O496" s="10">
        <f t="shared" ca="1" si="154"/>
        <v>-720</v>
      </c>
      <c r="P496" s="10">
        <f t="shared" ca="1" si="155"/>
        <v>-680</v>
      </c>
      <c r="Q496" s="14">
        <v>2</v>
      </c>
      <c r="R496" s="14">
        <v>8</v>
      </c>
      <c r="S496" s="14">
        <v>0</v>
      </c>
      <c r="T496" s="13">
        <f t="shared" ca="1" si="150"/>
        <v>-285</v>
      </c>
      <c r="U496" s="12">
        <f t="shared" ca="1" si="157"/>
        <v>3549</v>
      </c>
      <c r="V496" s="12">
        <f t="shared" ca="1" si="156"/>
        <v>3490</v>
      </c>
      <c r="W496" s="12">
        <f t="shared" ca="1" si="158"/>
        <v>3560</v>
      </c>
      <c r="X496" s="11"/>
      <c r="Y496" s="10"/>
      <c r="Z496" s="10"/>
      <c r="AA496" s="10"/>
      <c r="AB496" s="9"/>
    </row>
    <row r="497" spans="1:28" ht="13.15" customHeight="1">
      <c r="A497" s="36">
        <f t="shared" si="159"/>
        <v>483</v>
      </c>
      <c r="B497" s="35">
        <f t="shared" si="151"/>
        <v>45555</v>
      </c>
      <c r="C497" s="16">
        <f t="shared" si="152"/>
        <v>1069</v>
      </c>
      <c r="D497" s="15">
        <f t="shared" si="143"/>
        <v>2138</v>
      </c>
      <c r="E497" s="14">
        <f t="shared" ca="1" si="144"/>
        <v>-180</v>
      </c>
      <c r="F497" s="14">
        <f t="shared" ca="1" si="145"/>
        <v>-64</v>
      </c>
      <c r="G497" s="14">
        <f t="shared" ca="1" si="146"/>
        <v>-113</v>
      </c>
      <c r="H497" s="10">
        <f t="shared" ca="1" si="147"/>
        <v>3387</v>
      </c>
      <c r="I497" s="10">
        <f t="shared" ca="1" si="148"/>
        <v>3271</v>
      </c>
      <c r="J497" s="10">
        <f t="shared" ca="1" si="149"/>
        <v>3320</v>
      </c>
      <c r="K497" s="10">
        <f t="shared" si="160"/>
        <v>4000</v>
      </c>
      <c r="L497" s="10">
        <f t="shared" si="161"/>
        <v>4000</v>
      </c>
      <c r="M497" s="10">
        <f t="shared" si="162"/>
        <v>4000</v>
      </c>
      <c r="N497" s="10">
        <f t="shared" ca="1" si="153"/>
        <v>-613</v>
      </c>
      <c r="O497" s="10">
        <f t="shared" ca="1" si="154"/>
        <v>-729</v>
      </c>
      <c r="P497" s="10">
        <f t="shared" ca="1" si="155"/>
        <v>-680</v>
      </c>
      <c r="Q497" s="14">
        <v>2</v>
      </c>
      <c r="R497" s="14">
        <v>9</v>
      </c>
      <c r="S497" s="14">
        <v>0</v>
      </c>
      <c r="T497" s="13">
        <f t="shared" ca="1" si="150"/>
        <v>-274</v>
      </c>
      <c r="U497" s="12">
        <f t="shared" ca="1" si="157"/>
        <v>3547</v>
      </c>
      <c r="V497" s="12">
        <f t="shared" ca="1" si="156"/>
        <v>3481</v>
      </c>
      <c r="W497" s="12">
        <f t="shared" ca="1" si="158"/>
        <v>3560</v>
      </c>
      <c r="X497" s="11"/>
      <c r="Y497" s="10"/>
      <c r="Z497" s="10"/>
      <c r="AA497" s="10"/>
      <c r="AB497" s="9"/>
    </row>
    <row r="498" spans="1:28" ht="13.15" customHeight="1">
      <c r="A498" s="36">
        <f t="shared" si="159"/>
        <v>484</v>
      </c>
      <c r="B498" s="35">
        <f t="shared" si="151"/>
        <v>45556</v>
      </c>
      <c r="C498" s="16">
        <f t="shared" si="152"/>
        <v>1069</v>
      </c>
      <c r="D498" s="15">
        <f t="shared" si="143"/>
        <v>2140</v>
      </c>
      <c r="E498" s="14">
        <f t="shared" ca="1" si="144"/>
        <v>-178</v>
      </c>
      <c r="F498" s="14">
        <f t="shared" ca="1" si="145"/>
        <v>-54</v>
      </c>
      <c r="G498" s="14">
        <f t="shared" ca="1" si="146"/>
        <v>-111</v>
      </c>
      <c r="H498" s="10">
        <f t="shared" ca="1" si="147"/>
        <v>3387</v>
      </c>
      <c r="I498" s="10">
        <f t="shared" ca="1" si="148"/>
        <v>3263</v>
      </c>
      <c r="J498" s="10">
        <f t="shared" ca="1" si="149"/>
        <v>3320</v>
      </c>
      <c r="K498" s="10">
        <f t="shared" si="160"/>
        <v>4000</v>
      </c>
      <c r="L498" s="10">
        <f t="shared" si="161"/>
        <v>4000</v>
      </c>
      <c r="M498" s="10">
        <f t="shared" si="162"/>
        <v>4000</v>
      </c>
      <c r="N498" s="10">
        <f t="shared" ca="1" si="153"/>
        <v>-613</v>
      </c>
      <c r="O498" s="10">
        <f t="shared" ca="1" si="154"/>
        <v>-737</v>
      </c>
      <c r="P498" s="10">
        <f t="shared" ca="1" si="155"/>
        <v>-680</v>
      </c>
      <c r="Q498" s="14">
        <v>0</v>
      </c>
      <c r="R498" s="14">
        <v>8</v>
      </c>
      <c r="S498" s="14">
        <v>0</v>
      </c>
      <c r="T498" s="13">
        <f t="shared" ca="1" si="150"/>
        <v>-264</v>
      </c>
      <c r="U498" s="12">
        <f t="shared" ca="1" si="157"/>
        <v>3547</v>
      </c>
      <c r="V498" s="12">
        <f t="shared" ca="1" si="156"/>
        <v>3473</v>
      </c>
      <c r="W498" s="12">
        <f t="shared" ca="1" si="158"/>
        <v>3560</v>
      </c>
      <c r="X498" s="11"/>
      <c r="Y498" s="10"/>
      <c r="Z498" s="10"/>
      <c r="AA498" s="10"/>
      <c r="AB498" s="9"/>
    </row>
    <row r="499" spans="1:28" ht="13.15" customHeight="1">
      <c r="A499" s="36">
        <f t="shared" si="159"/>
        <v>485</v>
      </c>
      <c r="B499" s="35">
        <f t="shared" si="151"/>
        <v>45557</v>
      </c>
      <c r="C499" s="16">
        <f t="shared" si="152"/>
        <v>1069</v>
      </c>
      <c r="D499" s="15">
        <f t="shared" si="143"/>
        <v>2142</v>
      </c>
      <c r="E499" s="14">
        <f t="shared" ca="1" si="144"/>
        <v>-174</v>
      </c>
      <c r="F499" s="14">
        <f t="shared" ca="1" si="145"/>
        <v>-45</v>
      </c>
      <c r="G499" s="14">
        <f t="shared" ca="1" si="146"/>
        <v>-109</v>
      </c>
      <c r="H499" s="10">
        <f t="shared" ca="1" si="147"/>
        <v>3385</v>
      </c>
      <c r="I499" s="10">
        <f t="shared" ca="1" si="148"/>
        <v>3256</v>
      </c>
      <c r="J499" s="10">
        <f t="shared" ca="1" si="149"/>
        <v>3320</v>
      </c>
      <c r="K499" s="10">
        <f t="shared" si="160"/>
        <v>4000</v>
      </c>
      <c r="L499" s="10">
        <f t="shared" si="161"/>
        <v>4000</v>
      </c>
      <c r="M499" s="10">
        <f t="shared" si="162"/>
        <v>4000</v>
      </c>
      <c r="N499" s="10">
        <f t="shared" ca="1" si="153"/>
        <v>-615</v>
      </c>
      <c r="O499" s="10">
        <f t="shared" ca="1" si="154"/>
        <v>-744</v>
      </c>
      <c r="P499" s="10">
        <f t="shared" ca="1" si="155"/>
        <v>-680</v>
      </c>
      <c r="Q499" s="14">
        <v>2</v>
      </c>
      <c r="R499" s="14">
        <v>7</v>
      </c>
      <c r="S499" s="14">
        <v>0</v>
      </c>
      <c r="T499" s="13">
        <f t="shared" ca="1" si="150"/>
        <v>-255</v>
      </c>
      <c r="U499" s="12">
        <f t="shared" ca="1" si="157"/>
        <v>3545</v>
      </c>
      <c r="V499" s="12">
        <f t="shared" ca="1" si="156"/>
        <v>3466</v>
      </c>
      <c r="W499" s="12">
        <f t="shared" ca="1" si="158"/>
        <v>3560</v>
      </c>
      <c r="X499" s="11"/>
      <c r="Y499" s="10"/>
      <c r="Z499" s="10"/>
      <c r="AA499" s="10"/>
      <c r="AB499" s="9"/>
    </row>
    <row r="500" spans="1:28" ht="13.15" customHeight="1">
      <c r="A500" s="36">
        <f t="shared" si="159"/>
        <v>486</v>
      </c>
      <c r="B500" s="35">
        <f t="shared" si="151"/>
        <v>45558</v>
      </c>
      <c r="C500" s="16">
        <f t="shared" si="152"/>
        <v>1069</v>
      </c>
      <c r="D500" s="15">
        <f t="shared" si="143"/>
        <v>2144</v>
      </c>
      <c r="E500" s="14">
        <f t="shared" ca="1" si="144"/>
        <v>-172</v>
      </c>
      <c r="F500" s="14">
        <f t="shared" ca="1" si="145"/>
        <v>-39</v>
      </c>
      <c r="G500" s="14">
        <f t="shared" ca="1" si="146"/>
        <v>-106</v>
      </c>
      <c r="H500" s="10">
        <f t="shared" ca="1" si="147"/>
        <v>3385</v>
      </c>
      <c r="I500" s="10">
        <f t="shared" ca="1" si="148"/>
        <v>3252</v>
      </c>
      <c r="J500" s="10">
        <f t="shared" ca="1" si="149"/>
        <v>3319</v>
      </c>
      <c r="K500" s="10">
        <f t="shared" si="160"/>
        <v>4000</v>
      </c>
      <c r="L500" s="10">
        <f t="shared" si="161"/>
        <v>4000</v>
      </c>
      <c r="M500" s="10">
        <f t="shared" si="162"/>
        <v>4000</v>
      </c>
      <c r="N500" s="10">
        <f t="shared" ca="1" si="153"/>
        <v>-615</v>
      </c>
      <c r="O500" s="10">
        <f t="shared" ca="1" si="154"/>
        <v>-748</v>
      </c>
      <c r="P500" s="10">
        <f t="shared" ca="1" si="155"/>
        <v>-681</v>
      </c>
      <c r="Q500" s="14">
        <v>0</v>
      </c>
      <c r="R500" s="14">
        <v>4</v>
      </c>
      <c r="S500" s="14">
        <v>1</v>
      </c>
      <c r="T500" s="13">
        <f t="shared" ca="1" si="150"/>
        <v>-249</v>
      </c>
      <c r="U500" s="12">
        <f t="shared" ca="1" si="157"/>
        <v>3545</v>
      </c>
      <c r="V500" s="12">
        <f t="shared" ca="1" si="156"/>
        <v>3462</v>
      </c>
      <c r="W500" s="12">
        <f t="shared" ca="1" si="158"/>
        <v>3559</v>
      </c>
      <c r="X500" s="11"/>
      <c r="Y500" s="10"/>
      <c r="Z500" s="10"/>
      <c r="AA500" s="10"/>
      <c r="AB500" s="9"/>
    </row>
    <row r="501" spans="1:28" ht="13.15" customHeight="1">
      <c r="A501" s="36">
        <f t="shared" si="159"/>
        <v>487</v>
      </c>
      <c r="B501" s="35">
        <f t="shared" si="151"/>
        <v>45559</v>
      </c>
      <c r="C501" s="16">
        <f t="shared" si="152"/>
        <v>1069</v>
      </c>
      <c r="D501" s="15">
        <f t="shared" si="143"/>
        <v>2146</v>
      </c>
      <c r="E501" s="14">
        <f t="shared" ca="1" si="144"/>
        <v>-168</v>
      </c>
      <c r="F501" s="14">
        <f t="shared" ca="1" si="145"/>
        <v>-34</v>
      </c>
      <c r="G501" s="14">
        <f t="shared" ca="1" si="146"/>
        <v>-104</v>
      </c>
      <c r="H501" s="10">
        <f t="shared" ca="1" si="147"/>
        <v>3383</v>
      </c>
      <c r="I501" s="10">
        <f t="shared" ca="1" si="148"/>
        <v>3249</v>
      </c>
      <c r="J501" s="10">
        <f t="shared" ca="1" si="149"/>
        <v>3319</v>
      </c>
      <c r="K501" s="10">
        <f t="shared" si="160"/>
        <v>4000</v>
      </c>
      <c r="L501" s="10">
        <f t="shared" si="161"/>
        <v>4000</v>
      </c>
      <c r="M501" s="10">
        <f t="shared" si="162"/>
        <v>4000</v>
      </c>
      <c r="N501" s="10">
        <f t="shared" ca="1" si="153"/>
        <v>-617</v>
      </c>
      <c r="O501" s="10">
        <f t="shared" ca="1" si="154"/>
        <v>-751</v>
      </c>
      <c r="P501" s="10">
        <f t="shared" ca="1" si="155"/>
        <v>-681</v>
      </c>
      <c r="Q501" s="14">
        <v>2</v>
      </c>
      <c r="R501" s="14">
        <v>3</v>
      </c>
      <c r="S501" s="14">
        <v>0</v>
      </c>
      <c r="T501" s="13">
        <f t="shared" ca="1" si="150"/>
        <v>-244</v>
      </c>
      <c r="U501" s="12">
        <f t="shared" ca="1" si="157"/>
        <v>3543</v>
      </c>
      <c r="V501" s="12">
        <f t="shared" ca="1" si="156"/>
        <v>3459</v>
      </c>
      <c r="W501" s="12">
        <f t="shared" ca="1" si="158"/>
        <v>3559</v>
      </c>
      <c r="X501" s="11"/>
      <c r="Y501" s="10"/>
      <c r="Z501" s="10"/>
      <c r="AA501" s="10"/>
      <c r="AB501" s="9"/>
    </row>
    <row r="502" spans="1:28" ht="13.15" customHeight="1">
      <c r="A502" s="36">
        <f t="shared" si="159"/>
        <v>488</v>
      </c>
      <c r="B502" s="35">
        <f t="shared" si="151"/>
        <v>45560</v>
      </c>
      <c r="C502" s="16">
        <f t="shared" si="152"/>
        <v>1069</v>
      </c>
      <c r="D502" s="15">
        <f t="shared" si="143"/>
        <v>2148</v>
      </c>
      <c r="E502" s="14">
        <f t="shared" ca="1" si="144"/>
        <v>-166</v>
      </c>
      <c r="F502" s="14">
        <f t="shared" ca="1" si="145"/>
        <v>-30</v>
      </c>
      <c r="G502" s="14">
        <f t="shared" ca="1" si="146"/>
        <v>-102</v>
      </c>
      <c r="H502" s="10">
        <f t="shared" ca="1" si="147"/>
        <v>3383</v>
      </c>
      <c r="I502" s="10">
        <f t="shared" ca="1" si="148"/>
        <v>3247</v>
      </c>
      <c r="J502" s="10">
        <f t="shared" ca="1" si="149"/>
        <v>3319</v>
      </c>
      <c r="K502" s="10">
        <f t="shared" si="160"/>
        <v>4000</v>
      </c>
      <c r="L502" s="10">
        <f t="shared" si="161"/>
        <v>4000</v>
      </c>
      <c r="M502" s="10">
        <f t="shared" si="162"/>
        <v>4000</v>
      </c>
      <c r="N502" s="10">
        <f t="shared" ca="1" si="153"/>
        <v>-617</v>
      </c>
      <c r="O502" s="10">
        <f t="shared" ca="1" si="154"/>
        <v>-753</v>
      </c>
      <c r="P502" s="10">
        <f t="shared" ca="1" si="155"/>
        <v>-681</v>
      </c>
      <c r="Q502" s="14">
        <v>0</v>
      </c>
      <c r="R502" s="14">
        <v>2</v>
      </c>
      <c r="S502" s="14">
        <v>0</v>
      </c>
      <c r="T502" s="13">
        <f t="shared" ca="1" si="150"/>
        <v>-240</v>
      </c>
      <c r="U502" s="12">
        <f t="shared" ca="1" si="157"/>
        <v>3543</v>
      </c>
      <c r="V502" s="12">
        <f t="shared" ca="1" si="156"/>
        <v>3457</v>
      </c>
      <c r="W502" s="12">
        <f t="shared" ca="1" si="158"/>
        <v>3559</v>
      </c>
      <c r="X502" s="11"/>
      <c r="Y502" s="10"/>
      <c r="Z502" s="10"/>
      <c r="AA502" s="10"/>
      <c r="AB502" s="9"/>
    </row>
    <row r="503" spans="1:28" ht="13.15" customHeight="1">
      <c r="A503" s="36">
        <f t="shared" si="159"/>
        <v>489</v>
      </c>
      <c r="B503" s="35">
        <f t="shared" si="151"/>
        <v>45561</v>
      </c>
      <c r="C503" s="16">
        <f t="shared" si="152"/>
        <v>1069</v>
      </c>
      <c r="D503" s="15">
        <f t="shared" si="143"/>
        <v>2150</v>
      </c>
      <c r="E503" s="14">
        <f t="shared" ca="1" si="144"/>
        <v>-163</v>
      </c>
      <c r="F503" s="14">
        <f t="shared" ca="1" si="145"/>
        <v>-26</v>
      </c>
      <c r="G503" s="14">
        <f t="shared" ca="1" si="146"/>
        <v>-100</v>
      </c>
      <c r="H503" s="10">
        <f t="shared" ca="1" si="147"/>
        <v>3382</v>
      </c>
      <c r="I503" s="10">
        <f t="shared" ca="1" si="148"/>
        <v>3245</v>
      </c>
      <c r="J503" s="10">
        <f t="shared" ca="1" si="149"/>
        <v>3319</v>
      </c>
      <c r="K503" s="10">
        <f t="shared" si="160"/>
        <v>4000</v>
      </c>
      <c r="L503" s="10">
        <f t="shared" si="161"/>
        <v>4000</v>
      </c>
      <c r="M503" s="10">
        <f t="shared" si="162"/>
        <v>4000</v>
      </c>
      <c r="N503" s="10">
        <f t="shared" ca="1" si="153"/>
        <v>-618</v>
      </c>
      <c r="O503" s="10">
        <f t="shared" ca="1" si="154"/>
        <v>-755</v>
      </c>
      <c r="P503" s="10">
        <f t="shared" ca="1" si="155"/>
        <v>-681</v>
      </c>
      <c r="Q503" s="14">
        <v>1</v>
      </c>
      <c r="R503" s="14">
        <v>2</v>
      </c>
      <c r="S503" s="14">
        <v>0</v>
      </c>
      <c r="T503" s="13">
        <f t="shared" ca="1" si="150"/>
        <v>-236</v>
      </c>
      <c r="U503" s="12">
        <f t="shared" ca="1" si="157"/>
        <v>3542</v>
      </c>
      <c r="V503" s="12">
        <f t="shared" ca="1" si="156"/>
        <v>3455</v>
      </c>
      <c r="W503" s="12">
        <f t="shared" ca="1" si="158"/>
        <v>3559</v>
      </c>
      <c r="X503" s="11"/>
      <c r="Y503" s="10"/>
      <c r="Z503" s="10"/>
      <c r="AA503" s="10"/>
      <c r="AB503" s="9"/>
    </row>
    <row r="504" spans="1:28" ht="13.15" customHeight="1">
      <c r="A504" s="36">
        <f t="shared" si="159"/>
        <v>490</v>
      </c>
      <c r="B504" s="35">
        <f t="shared" si="151"/>
        <v>45562</v>
      </c>
      <c r="C504" s="16">
        <f t="shared" si="152"/>
        <v>1069</v>
      </c>
      <c r="D504" s="15">
        <f t="shared" si="143"/>
        <v>2152</v>
      </c>
      <c r="E504" s="14">
        <f t="shared" ca="1" si="144"/>
        <v>-161</v>
      </c>
      <c r="F504" s="14">
        <f t="shared" ca="1" si="145"/>
        <v>-21</v>
      </c>
      <c r="G504" s="14">
        <f t="shared" ca="1" si="146"/>
        <v>-98</v>
      </c>
      <c r="H504" s="10">
        <f t="shared" ca="1" si="147"/>
        <v>3382</v>
      </c>
      <c r="I504" s="10">
        <f t="shared" ca="1" si="148"/>
        <v>3242</v>
      </c>
      <c r="J504" s="10">
        <f t="shared" ca="1" si="149"/>
        <v>3319</v>
      </c>
      <c r="K504" s="10">
        <f t="shared" si="160"/>
        <v>4000</v>
      </c>
      <c r="L504" s="10">
        <f t="shared" si="161"/>
        <v>4000</v>
      </c>
      <c r="M504" s="10">
        <f t="shared" si="162"/>
        <v>4000</v>
      </c>
      <c r="N504" s="10">
        <f t="shared" ca="1" si="153"/>
        <v>-618</v>
      </c>
      <c r="O504" s="10">
        <f t="shared" ca="1" si="154"/>
        <v>-758</v>
      </c>
      <c r="P504" s="10">
        <f t="shared" ca="1" si="155"/>
        <v>-681</v>
      </c>
      <c r="Q504" s="14">
        <v>0</v>
      </c>
      <c r="R504" s="14">
        <v>3</v>
      </c>
      <c r="S504" s="14">
        <v>0</v>
      </c>
      <c r="T504" s="13">
        <f t="shared" ca="1" si="150"/>
        <v>-231</v>
      </c>
      <c r="U504" s="12">
        <f t="shared" ca="1" si="157"/>
        <v>3542</v>
      </c>
      <c r="V504" s="12">
        <f t="shared" ca="1" si="156"/>
        <v>3452</v>
      </c>
      <c r="W504" s="12">
        <f t="shared" ca="1" si="158"/>
        <v>3559</v>
      </c>
      <c r="X504" s="11"/>
      <c r="Y504" s="10"/>
      <c r="Z504" s="10"/>
      <c r="AA504" s="10"/>
      <c r="AB504" s="9"/>
    </row>
    <row r="505" spans="1:28" ht="13.15" customHeight="1">
      <c r="A505" s="36">
        <f t="shared" si="159"/>
        <v>491</v>
      </c>
      <c r="B505" s="35">
        <f t="shared" si="151"/>
        <v>45563</v>
      </c>
      <c r="C505" s="16">
        <f t="shared" si="152"/>
        <v>1069</v>
      </c>
      <c r="D505" s="15">
        <f t="shared" si="143"/>
        <v>2154</v>
      </c>
      <c r="E505" s="14">
        <f t="shared" ca="1" si="144"/>
        <v>-159</v>
      </c>
      <c r="F505" s="14">
        <f t="shared" ca="1" si="145"/>
        <v>-17</v>
      </c>
      <c r="G505" s="14">
        <f t="shared" ca="1" si="146"/>
        <v>-96</v>
      </c>
      <c r="H505" s="10">
        <f t="shared" ca="1" si="147"/>
        <v>3382</v>
      </c>
      <c r="I505" s="10">
        <f t="shared" ca="1" si="148"/>
        <v>3240</v>
      </c>
      <c r="J505" s="10">
        <f t="shared" ca="1" si="149"/>
        <v>3319</v>
      </c>
      <c r="K505" s="10">
        <f t="shared" si="160"/>
        <v>4000</v>
      </c>
      <c r="L505" s="10">
        <f t="shared" si="161"/>
        <v>4000</v>
      </c>
      <c r="M505" s="10">
        <f t="shared" si="162"/>
        <v>4000</v>
      </c>
      <c r="N505" s="10">
        <f t="shared" ca="1" si="153"/>
        <v>-618</v>
      </c>
      <c r="O505" s="10">
        <f t="shared" ca="1" si="154"/>
        <v>-760</v>
      </c>
      <c r="P505" s="10">
        <f t="shared" ca="1" si="155"/>
        <v>-681</v>
      </c>
      <c r="Q505" s="14">
        <v>0</v>
      </c>
      <c r="R505" s="14">
        <v>2</v>
      </c>
      <c r="S505" s="14">
        <v>0</v>
      </c>
      <c r="T505" s="13">
        <f t="shared" ca="1" si="150"/>
        <v>-227</v>
      </c>
      <c r="U505" s="12">
        <f t="shared" ca="1" si="157"/>
        <v>3542</v>
      </c>
      <c r="V505" s="12">
        <f t="shared" ca="1" si="156"/>
        <v>3450</v>
      </c>
      <c r="W505" s="12">
        <f t="shared" ca="1" si="158"/>
        <v>3559</v>
      </c>
      <c r="X505" s="11"/>
      <c r="Y505" s="10"/>
      <c r="Z505" s="10"/>
      <c r="AA505" s="10"/>
      <c r="AB505" s="9"/>
    </row>
    <row r="506" spans="1:28" ht="13.15" customHeight="1">
      <c r="A506" s="36">
        <f t="shared" si="159"/>
        <v>492</v>
      </c>
      <c r="B506" s="35">
        <f t="shared" si="151"/>
        <v>45564</v>
      </c>
      <c r="C506" s="16">
        <f t="shared" si="152"/>
        <v>1069</v>
      </c>
      <c r="D506" s="15">
        <f t="shared" si="143"/>
        <v>2156</v>
      </c>
      <c r="E506" s="14">
        <f t="shared" ca="1" si="144"/>
        <v>-157</v>
      </c>
      <c r="F506" s="14">
        <f t="shared" ca="1" si="145"/>
        <v>-12</v>
      </c>
      <c r="G506" s="14">
        <f t="shared" ca="1" si="146"/>
        <v>-94</v>
      </c>
      <c r="H506" s="10">
        <f t="shared" ca="1" si="147"/>
        <v>3382</v>
      </c>
      <c r="I506" s="10">
        <f t="shared" ca="1" si="148"/>
        <v>3237</v>
      </c>
      <c r="J506" s="10">
        <f t="shared" ca="1" si="149"/>
        <v>3319</v>
      </c>
      <c r="K506" s="10">
        <f t="shared" si="160"/>
        <v>4000</v>
      </c>
      <c r="L506" s="10">
        <f t="shared" si="161"/>
        <v>4000</v>
      </c>
      <c r="M506" s="10">
        <f t="shared" si="162"/>
        <v>4000</v>
      </c>
      <c r="N506" s="10">
        <f t="shared" ca="1" si="153"/>
        <v>-618</v>
      </c>
      <c r="O506" s="10">
        <f t="shared" ca="1" si="154"/>
        <v>-763</v>
      </c>
      <c r="P506" s="10">
        <f t="shared" ca="1" si="155"/>
        <v>-681</v>
      </c>
      <c r="Q506" s="14">
        <v>0</v>
      </c>
      <c r="R506" s="14">
        <v>3</v>
      </c>
      <c r="S506" s="14">
        <v>0</v>
      </c>
      <c r="T506" s="13">
        <f t="shared" ca="1" si="150"/>
        <v>-222</v>
      </c>
      <c r="U506" s="12">
        <f t="shared" ca="1" si="157"/>
        <v>3542</v>
      </c>
      <c r="V506" s="12">
        <f t="shared" ca="1" si="156"/>
        <v>3447</v>
      </c>
      <c r="W506" s="12">
        <f t="shared" ca="1" si="158"/>
        <v>3559</v>
      </c>
      <c r="X506" s="11"/>
      <c r="Y506" s="10"/>
      <c r="Z506" s="10"/>
      <c r="AA506" s="10"/>
      <c r="AB506" s="9"/>
    </row>
    <row r="507" spans="1:28" ht="13.15" customHeight="1">
      <c r="A507" s="16">
        <f t="shared" si="159"/>
        <v>493</v>
      </c>
      <c r="B507" s="17">
        <f t="shared" si="151"/>
        <v>45565</v>
      </c>
      <c r="C507" s="16">
        <f t="shared" si="152"/>
        <v>1069</v>
      </c>
      <c r="D507" s="15">
        <f t="shared" si="143"/>
        <v>2158</v>
      </c>
      <c r="E507" s="14">
        <f t="shared" ca="1" si="144"/>
        <v>-153</v>
      </c>
      <c r="F507" s="14">
        <f t="shared" ca="1" si="145"/>
        <v>-8</v>
      </c>
      <c r="G507" s="14">
        <f t="shared" ca="1" si="146"/>
        <v>-92</v>
      </c>
      <c r="H507" s="10">
        <f t="shared" ca="1" si="147"/>
        <v>3380</v>
      </c>
      <c r="I507" s="10">
        <f t="shared" ca="1" si="148"/>
        <v>3235</v>
      </c>
      <c r="J507" s="10">
        <f t="shared" ca="1" si="149"/>
        <v>3319</v>
      </c>
      <c r="K507" s="10">
        <f t="shared" si="160"/>
        <v>4000</v>
      </c>
      <c r="L507" s="10">
        <f t="shared" si="161"/>
        <v>4000</v>
      </c>
      <c r="M507" s="10">
        <f t="shared" si="162"/>
        <v>4000</v>
      </c>
      <c r="N507" s="10">
        <f t="shared" ca="1" si="153"/>
        <v>-620</v>
      </c>
      <c r="O507" s="10">
        <f t="shared" ca="1" si="154"/>
        <v>-765</v>
      </c>
      <c r="P507" s="10">
        <f t="shared" ca="1" si="155"/>
        <v>-681</v>
      </c>
      <c r="Q507" s="14">
        <v>2</v>
      </c>
      <c r="R507" s="14">
        <v>2</v>
      </c>
      <c r="S507" s="14">
        <v>0</v>
      </c>
      <c r="T507" s="13">
        <f t="shared" ca="1" si="150"/>
        <v>-218</v>
      </c>
      <c r="U507" s="12">
        <f t="shared" ca="1" si="157"/>
        <v>3540</v>
      </c>
      <c r="V507" s="12">
        <f t="shared" ca="1" si="156"/>
        <v>3445</v>
      </c>
      <c r="W507" s="12">
        <f t="shared" ca="1" si="158"/>
        <v>3559</v>
      </c>
      <c r="X507" s="11"/>
      <c r="Y507" s="10"/>
      <c r="Z507" s="10"/>
      <c r="AA507" s="10"/>
      <c r="AB507" s="9"/>
    </row>
    <row r="508" spans="1:28" ht="13.15" customHeight="1">
      <c r="A508" s="16">
        <f t="shared" si="159"/>
        <v>494</v>
      </c>
      <c r="B508" s="17">
        <f t="shared" si="151"/>
        <v>45566</v>
      </c>
      <c r="C508" s="16">
        <f t="shared" si="152"/>
        <v>1069</v>
      </c>
      <c r="D508" s="15">
        <f t="shared" si="143"/>
        <v>2160</v>
      </c>
      <c r="E508" s="14">
        <f t="shared" ca="1" si="144"/>
        <v>-151</v>
      </c>
      <c r="F508" s="14">
        <f t="shared" ca="1" si="145"/>
        <v>-5</v>
      </c>
      <c r="G508" s="14">
        <f t="shared" ca="1" si="146"/>
        <v>-89</v>
      </c>
      <c r="H508" s="10">
        <f t="shared" ca="1" si="147"/>
        <v>3380</v>
      </c>
      <c r="I508" s="10">
        <f t="shared" ca="1" si="148"/>
        <v>3234</v>
      </c>
      <c r="J508" s="10">
        <f t="shared" ca="1" si="149"/>
        <v>3318</v>
      </c>
      <c r="K508" s="10">
        <f t="shared" si="160"/>
        <v>4000</v>
      </c>
      <c r="L508" s="10">
        <f t="shared" si="161"/>
        <v>4000</v>
      </c>
      <c r="M508" s="10">
        <f t="shared" si="162"/>
        <v>4000</v>
      </c>
      <c r="N508" s="10">
        <f t="shared" ca="1" si="153"/>
        <v>-620</v>
      </c>
      <c r="O508" s="10">
        <f t="shared" ca="1" si="154"/>
        <v>-766</v>
      </c>
      <c r="P508" s="10">
        <f t="shared" ca="1" si="155"/>
        <v>-682</v>
      </c>
      <c r="Q508" s="14">
        <v>0</v>
      </c>
      <c r="R508" s="14">
        <v>1</v>
      </c>
      <c r="S508" s="14">
        <v>1</v>
      </c>
      <c r="T508" s="13">
        <f t="shared" ca="1" si="150"/>
        <v>-215</v>
      </c>
      <c r="U508" s="12">
        <f t="shared" ca="1" si="157"/>
        <v>3540</v>
      </c>
      <c r="V508" s="12">
        <f t="shared" ca="1" si="156"/>
        <v>3444</v>
      </c>
      <c r="W508" s="12">
        <f t="shared" ca="1" si="158"/>
        <v>3558</v>
      </c>
      <c r="X508" s="11"/>
      <c r="Y508" s="10"/>
      <c r="Z508" s="10"/>
      <c r="AA508" s="10"/>
      <c r="AB508" s="9"/>
    </row>
    <row r="509" spans="1:28" ht="13.15" customHeight="1">
      <c r="A509" s="16">
        <f t="shared" si="159"/>
        <v>495</v>
      </c>
      <c r="B509" s="17">
        <f t="shared" si="151"/>
        <v>45567</v>
      </c>
      <c r="C509" s="16">
        <f t="shared" si="152"/>
        <v>1069</v>
      </c>
      <c r="D509" s="15">
        <f t="shared" si="143"/>
        <v>2162</v>
      </c>
      <c r="E509" s="14">
        <f t="shared" ca="1" si="144"/>
        <v>-149</v>
      </c>
      <c r="F509" s="14">
        <f t="shared" ca="1" si="145"/>
        <v>-1</v>
      </c>
      <c r="G509" s="14">
        <f t="shared" ca="1" si="146"/>
        <v>-87</v>
      </c>
      <c r="H509" s="10">
        <f t="shared" ca="1" si="147"/>
        <v>3380</v>
      </c>
      <c r="I509" s="10">
        <f t="shared" ca="1" si="148"/>
        <v>3232</v>
      </c>
      <c r="J509" s="10">
        <f t="shared" ca="1" si="149"/>
        <v>3318</v>
      </c>
      <c r="K509" s="10">
        <f t="shared" si="160"/>
        <v>4000</v>
      </c>
      <c r="L509" s="10">
        <f t="shared" si="161"/>
        <v>4000</v>
      </c>
      <c r="M509" s="10">
        <f t="shared" si="162"/>
        <v>4000</v>
      </c>
      <c r="N509" s="10">
        <f t="shared" ca="1" si="153"/>
        <v>-620</v>
      </c>
      <c r="O509" s="10">
        <f t="shared" ca="1" si="154"/>
        <v>-768</v>
      </c>
      <c r="P509" s="10">
        <f t="shared" ca="1" si="155"/>
        <v>-682</v>
      </c>
      <c r="Q509" s="14">
        <v>0</v>
      </c>
      <c r="R509" s="14">
        <v>2</v>
      </c>
      <c r="S509" s="14">
        <v>0</v>
      </c>
      <c r="T509" s="13">
        <f t="shared" ca="1" si="150"/>
        <v>-211</v>
      </c>
      <c r="U509" s="12">
        <f t="shared" ca="1" si="157"/>
        <v>3540</v>
      </c>
      <c r="V509" s="12">
        <f t="shared" ca="1" si="156"/>
        <v>3442</v>
      </c>
      <c r="W509" s="12">
        <f t="shared" ca="1" si="158"/>
        <v>3558</v>
      </c>
      <c r="X509" s="11"/>
      <c r="Y509" s="10"/>
      <c r="Z509" s="10"/>
      <c r="AA509" s="10"/>
      <c r="AB509" s="9"/>
    </row>
    <row r="510" spans="1:28" ht="13.15" customHeight="1">
      <c r="A510" s="16">
        <f t="shared" si="159"/>
        <v>496</v>
      </c>
      <c r="B510" s="17">
        <f t="shared" si="151"/>
        <v>45568</v>
      </c>
      <c r="C510" s="16">
        <f t="shared" si="152"/>
        <v>1069</v>
      </c>
      <c r="D510" s="15">
        <f t="shared" si="143"/>
        <v>2164</v>
      </c>
      <c r="E510" s="14">
        <f t="shared" ca="1" si="144"/>
        <v>-147</v>
      </c>
      <c r="F510" s="14">
        <f t="shared" ca="1" si="145"/>
        <v>8</v>
      </c>
      <c r="G510" s="14">
        <f t="shared" ca="1" si="146"/>
        <v>-85</v>
      </c>
      <c r="H510" s="10">
        <f t="shared" ca="1" si="147"/>
        <v>3380</v>
      </c>
      <c r="I510" s="10">
        <f t="shared" ca="1" si="148"/>
        <v>3225</v>
      </c>
      <c r="J510" s="10">
        <f t="shared" ca="1" si="149"/>
        <v>3318</v>
      </c>
      <c r="K510" s="10">
        <f t="shared" si="160"/>
        <v>4000</v>
      </c>
      <c r="L510" s="10">
        <f t="shared" si="161"/>
        <v>4000</v>
      </c>
      <c r="M510" s="10">
        <f t="shared" si="162"/>
        <v>4000</v>
      </c>
      <c r="N510" s="10">
        <f t="shared" ca="1" si="153"/>
        <v>-620</v>
      </c>
      <c r="O510" s="10">
        <f t="shared" ca="1" si="154"/>
        <v>-775</v>
      </c>
      <c r="P510" s="10">
        <f t="shared" ca="1" si="155"/>
        <v>-682</v>
      </c>
      <c r="Q510" s="14">
        <v>0</v>
      </c>
      <c r="R510" s="14">
        <v>7</v>
      </c>
      <c r="S510" s="14">
        <v>0</v>
      </c>
      <c r="T510" s="13">
        <f t="shared" ca="1" si="150"/>
        <v>-202</v>
      </c>
      <c r="U510" s="12">
        <f t="shared" ca="1" si="157"/>
        <v>3540</v>
      </c>
      <c r="V510" s="12">
        <f t="shared" ca="1" si="156"/>
        <v>3435</v>
      </c>
      <c r="W510" s="12">
        <f t="shared" ca="1" si="158"/>
        <v>3558</v>
      </c>
      <c r="X510" s="11"/>
      <c r="Y510" s="10"/>
      <c r="Z510" s="10"/>
      <c r="AA510" s="10"/>
      <c r="AB510" s="9"/>
    </row>
    <row r="511" spans="1:28" ht="13.15" customHeight="1">
      <c r="A511" s="16">
        <f t="shared" si="159"/>
        <v>497</v>
      </c>
      <c r="B511" s="17">
        <f t="shared" si="151"/>
        <v>45569</v>
      </c>
      <c r="C511" s="16">
        <f t="shared" si="152"/>
        <v>1069</v>
      </c>
      <c r="D511" s="15">
        <f t="shared" ref="D511:D574" si="163">D510+2</f>
        <v>2166</v>
      </c>
      <c r="E511" s="14">
        <f t="shared" ca="1" si="144"/>
        <v>-145</v>
      </c>
      <c r="F511" s="14">
        <f t="shared" ca="1" si="145"/>
        <v>12</v>
      </c>
      <c r="G511" s="14">
        <f t="shared" ca="1" si="146"/>
        <v>-83</v>
      </c>
      <c r="H511" s="10">
        <f t="shared" ca="1" si="147"/>
        <v>3380</v>
      </c>
      <c r="I511" s="10">
        <f t="shared" ca="1" si="148"/>
        <v>3223</v>
      </c>
      <c r="J511" s="10">
        <f t="shared" ca="1" si="149"/>
        <v>3318</v>
      </c>
      <c r="K511" s="10">
        <f t="shared" si="160"/>
        <v>4000</v>
      </c>
      <c r="L511" s="10">
        <f t="shared" si="161"/>
        <v>4000</v>
      </c>
      <c r="M511" s="10">
        <f t="shared" si="162"/>
        <v>4000</v>
      </c>
      <c r="N511" s="10">
        <f t="shared" ca="1" si="153"/>
        <v>-620</v>
      </c>
      <c r="O511" s="10">
        <f t="shared" ca="1" si="154"/>
        <v>-777</v>
      </c>
      <c r="P511" s="10">
        <f t="shared" ca="1" si="155"/>
        <v>-682</v>
      </c>
      <c r="Q511" s="14">
        <v>0</v>
      </c>
      <c r="R511" s="14">
        <v>2</v>
      </c>
      <c r="S511" s="14">
        <v>0</v>
      </c>
      <c r="T511" s="13">
        <f t="shared" ca="1" si="150"/>
        <v>-198</v>
      </c>
      <c r="U511" s="12">
        <f t="shared" ca="1" si="157"/>
        <v>3540</v>
      </c>
      <c r="V511" s="12">
        <f t="shared" ca="1" si="156"/>
        <v>3433</v>
      </c>
      <c r="W511" s="12">
        <f t="shared" ca="1" si="158"/>
        <v>3558</v>
      </c>
      <c r="X511" s="11"/>
      <c r="Y511" s="10"/>
      <c r="Z511" s="10"/>
      <c r="AA511" s="10"/>
      <c r="AB511" s="9"/>
    </row>
    <row r="512" spans="1:28" ht="13.15" customHeight="1">
      <c r="A512" s="16">
        <f t="shared" si="159"/>
        <v>498</v>
      </c>
      <c r="B512" s="17">
        <f t="shared" si="151"/>
        <v>45570</v>
      </c>
      <c r="C512" s="16">
        <f t="shared" si="152"/>
        <v>1069</v>
      </c>
      <c r="D512" s="15">
        <f t="shared" si="163"/>
        <v>2168</v>
      </c>
      <c r="E512" s="14">
        <f t="shared" ca="1" si="144"/>
        <v>-142</v>
      </c>
      <c r="F512" s="14">
        <f t="shared" ca="1" si="145"/>
        <v>20</v>
      </c>
      <c r="G512" s="14">
        <f t="shared" ca="1" si="146"/>
        <v>-79</v>
      </c>
      <c r="H512" s="10">
        <f t="shared" ca="1" si="147"/>
        <v>3379</v>
      </c>
      <c r="I512" s="10">
        <f t="shared" ca="1" si="148"/>
        <v>3217</v>
      </c>
      <c r="J512" s="10">
        <f t="shared" ca="1" si="149"/>
        <v>3316</v>
      </c>
      <c r="K512" s="10">
        <f t="shared" si="160"/>
        <v>4000</v>
      </c>
      <c r="L512" s="10">
        <f t="shared" si="161"/>
        <v>4000</v>
      </c>
      <c r="M512" s="10">
        <f t="shared" si="162"/>
        <v>4000</v>
      </c>
      <c r="N512" s="10">
        <f t="shared" ca="1" si="153"/>
        <v>-621</v>
      </c>
      <c r="O512" s="10">
        <f t="shared" ca="1" si="154"/>
        <v>-783</v>
      </c>
      <c r="P512" s="10">
        <f t="shared" ca="1" si="155"/>
        <v>-684</v>
      </c>
      <c r="Q512" s="14">
        <v>1</v>
      </c>
      <c r="R512" s="14">
        <v>6</v>
      </c>
      <c r="S512" s="14">
        <v>2</v>
      </c>
      <c r="T512" s="13">
        <f t="shared" ca="1" si="150"/>
        <v>-190</v>
      </c>
      <c r="U512" s="12">
        <f t="shared" ca="1" si="157"/>
        <v>3539</v>
      </c>
      <c r="V512" s="12">
        <f t="shared" ca="1" si="156"/>
        <v>3427</v>
      </c>
      <c r="W512" s="12">
        <f t="shared" ca="1" si="158"/>
        <v>3556</v>
      </c>
      <c r="X512" s="11"/>
      <c r="Y512" s="10"/>
      <c r="Z512" s="10"/>
      <c r="AA512" s="10"/>
      <c r="AB512" s="9"/>
    </row>
    <row r="513" spans="1:28" ht="13.15" customHeight="1">
      <c r="A513" s="16">
        <f t="shared" si="159"/>
        <v>499</v>
      </c>
      <c r="B513" s="17">
        <f t="shared" si="151"/>
        <v>45571</v>
      </c>
      <c r="C513" s="16">
        <f t="shared" si="152"/>
        <v>1069</v>
      </c>
      <c r="D513" s="15">
        <f t="shared" si="163"/>
        <v>2170</v>
      </c>
      <c r="E513" s="14">
        <f t="shared" ca="1" si="144"/>
        <v>-140</v>
      </c>
      <c r="F513" s="14">
        <f t="shared" ca="1" si="145"/>
        <v>28</v>
      </c>
      <c r="G513" s="14">
        <f t="shared" ca="1" si="146"/>
        <v>-77</v>
      </c>
      <c r="H513" s="10">
        <f t="shared" ca="1" si="147"/>
        <v>3379</v>
      </c>
      <c r="I513" s="10">
        <f t="shared" ca="1" si="148"/>
        <v>3211</v>
      </c>
      <c r="J513" s="10">
        <f t="shared" ca="1" si="149"/>
        <v>3316</v>
      </c>
      <c r="K513" s="10">
        <f t="shared" si="160"/>
        <v>4000</v>
      </c>
      <c r="L513" s="10">
        <f t="shared" si="161"/>
        <v>4000</v>
      </c>
      <c r="M513" s="10">
        <f t="shared" si="162"/>
        <v>4000</v>
      </c>
      <c r="N513" s="10">
        <f t="shared" ca="1" si="153"/>
        <v>-621</v>
      </c>
      <c r="O513" s="10">
        <f t="shared" ca="1" si="154"/>
        <v>-789</v>
      </c>
      <c r="P513" s="10">
        <f t="shared" ca="1" si="155"/>
        <v>-684</v>
      </c>
      <c r="Q513" s="14">
        <v>0</v>
      </c>
      <c r="R513" s="14">
        <v>6</v>
      </c>
      <c r="S513" s="14">
        <v>0</v>
      </c>
      <c r="T513" s="13">
        <f t="shared" ca="1" si="150"/>
        <v>-182</v>
      </c>
      <c r="U513" s="12">
        <f t="shared" ca="1" si="157"/>
        <v>3539</v>
      </c>
      <c r="V513" s="12">
        <f t="shared" ca="1" si="156"/>
        <v>3421</v>
      </c>
      <c r="W513" s="12">
        <f t="shared" ca="1" si="158"/>
        <v>3556</v>
      </c>
      <c r="X513" s="11"/>
      <c r="Y513" s="10"/>
      <c r="Z513" s="10"/>
      <c r="AA513" s="10"/>
      <c r="AB513" s="9"/>
    </row>
    <row r="514" spans="1:28" ht="13.15" customHeight="1">
      <c r="A514" s="16">
        <f t="shared" si="159"/>
        <v>500</v>
      </c>
      <c r="B514" s="17">
        <f t="shared" si="151"/>
        <v>45572</v>
      </c>
      <c r="C514" s="16">
        <f t="shared" si="152"/>
        <v>1069</v>
      </c>
      <c r="D514" s="15">
        <f t="shared" si="163"/>
        <v>2172</v>
      </c>
      <c r="E514" s="14">
        <f t="shared" ca="1" si="144"/>
        <v>-136</v>
      </c>
      <c r="F514" s="14">
        <f t="shared" ca="1" si="145"/>
        <v>38</v>
      </c>
      <c r="G514" s="14">
        <f t="shared" ca="1" si="146"/>
        <v>-75</v>
      </c>
      <c r="H514" s="10">
        <f t="shared" ca="1" si="147"/>
        <v>3377</v>
      </c>
      <c r="I514" s="10">
        <f t="shared" ca="1" si="148"/>
        <v>3203</v>
      </c>
      <c r="J514" s="10">
        <f t="shared" ca="1" si="149"/>
        <v>3316</v>
      </c>
      <c r="K514" s="10">
        <f t="shared" si="160"/>
        <v>4000</v>
      </c>
      <c r="L514" s="10">
        <f t="shared" si="161"/>
        <v>4000</v>
      </c>
      <c r="M514" s="10">
        <f t="shared" si="162"/>
        <v>4000</v>
      </c>
      <c r="N514" s="10">
        <f t="shared" ca="1" si="153"/>
        <v>-623</v>
      </c>
      <c r="O514" s="10">
        <f t="shared" ca="1" si="154"/>
        <v>-797</v>
      </c>
      <c r="P514" s="10">
        <f t="shared" ca="1" si="155"/>
        <v>-684</v>
      </c>
      <c r="Q514" s="14">
        <v>2</v>
      </c>
      <c r="R514" s="14">
        <v>8</v>
      </c>
      <c r="S514" s="14">
        <v>0</v>
      </c>
      <c r="T514" s="13">
        <f t="shared" ca="1" si="150"/>
        <v>-172</v>
      </c>
      <c r="U514" s="12">
        <f t="shared" ca="1" si="157"/>
        <v>3537</v>
      </c>
      <c r="V514" s="12">
        <f t="shared" ca="1" si="156"/>
        <v>3413</v>
      </c>
      <c r="W514" s="12">
        <f t="shared" ca="1" si="158"/>
        <v>3556</v>
      </c>
      <c r="X514" s="11"/>
      <c r="Y514" s="10"/>
      <c r="Z514" s="10"/>
      <c r="AA514" s="10"/>
      <c r="AB514" s="9"/>
    </row>
    <row r="515" spans="1:28" ht="13.15" customHeight="1">
      <c r="A515" s="16">
        <f t="shared" si="159"/>
        <v>501</v>
      </c>
      <c r="B515" s="17">
        <f t="shared" si="151"/>
        <v>45573</v>
      </c>
      <c r="C515" s="16">
        <f t="shared" si="152"/>
        <v>1069</v>
      </c>
      <c r="D515" s="15">
        <f t="shared" si="163"/>
        <v>2174</v>
      </c>
      <c r="E515" s="14">
        <f t="shared" ca="1" si="144"/>
        <v>-134</v>
      </c>
      <c r="F515" s="14">
        <f t="shared" ca="1" si="145"/>
        <v>47</v>
      </c>
      <c r="G515" s="14">
        <f t="shared" ca="1" si="146"/>
        <v>-73</v>
      </c>
      <c r="H515" s="10">
        <f t="shared" ca="1" si="147"/>
        <v>3377</v>
      </c>
      <c r="I515" s="10">
        <f t="shared" ca="1" si="148"/>
        <v>3196</v>
      </c>
      <c r="J515" s="10">
        <f t="shared" ca="1" si="149"/>
        <v>3316</v>
      </c>
      <c r="K515" s="10">
        <f t="shared" si="160"/>
        <v>4000</v>
      </c>
      <c r="L515" s="10">
        <f t="shared" si="161"/>
        <v>4000</v>
      </c>
      <c r="M515" s="10">
        <f t="shared" si="162"/>
        <v>4000</v>
      </c>
      <c r="N515" s="10">
        <f t="shared" ca="1" si="153"/>
        <v>-623</v>
      </c>
      <c r="O515" s="10">
        <f t="shared" ca="1" si="154"/>
        <v>-804</v>
      </c>
      <c r="P515" s="10">
        <f t="shared" ca="1" si="155"/>
        <v>-684</v>
      </c>
      <c r="Q515" s="14">
        <v>0</v>
      </c>
      <c r="R515" s="14">
        <v>7</v>
      </c>
      <c r="S515" s="14">
        <v>0</v>
      </c>
      <c r="T515" s="13">
        <f t="shared" ca="1" si="150"/>
        <v>-163</v>
      </c>
      <c r="U515" s="12">
        <f t="shared" ca="1" si="157"/>
        <v>3537</v>
      </c>
      <c r="V515" s="12">
        <f t="shared" ca="1" si="156"/>
        <v>3406</v>
      </c>
      <c r="W515" s="12">
        <f t="shared" ca="1" si="158"/>
        <v>3556</v>
      </c>
      <c r="X515" s="11"/>
      <c r="Y515" s="10"/>
      <c r="Z515" s="10"/>
      <c r="AA515" s="10"/>
      <c r="AB515" s="9"/>
    </row>
    <row r="516" spans="1:28" ht="13.15" customHeight="1">
      <c r="A516" s="16">
        <f t="shared" si="159"/>
        <v>502</v>
      </c>
      <c r="B516" s="17">
        <f t="shared" si="151"/>
        <v>45574</v>
      </c>
      <c r="C516" s="16">
        <f t="shared" si="152"/>
        <v>1069</v>
      </c>
      <c r="D516" s="15">
        <f t="shared" si="163"/>
        <v>2176</v>
      </c>
      <c r="E516" s="14">
        <f t="shared" ca="1" si="144"/>
        <v>-132</v>
      </c>
      <c r="F516" s="14">
        <f t="shared" ca="1" si="145"/>
        <v>58</v>
      </c>
      <c r="G516" s="14">
        <f t="shared" ca="1" si="146"/>
        <v>-71</v>
      </c>
      <c r="H516" s="10">
        <f t="shared" ca="1" si="147"/>
        <v>3377</v>
      </c>
      <c r="I516" s="10">
        <f t="shared" ca="1" si="148"/>
        <v>3187</v>
      </c>
      <c r="J516" s="10">
        <f t="shared" ca="1" si="149"/>
        <v>3316</v>
      </c>
      <c r="K516" s="10">
        <f t="shared" si="160"/>
        <v>4000</v>
      </c>
      <c r="L516" s="10">
        <f t="shared" si="161"/>
        <v>4000</v>
      </c>
      <c r="M516" s="10">
        <f t="shared" si="162"/>
        <v>4000</v>
      </c>
      <c r="N516" s="10">
        <f t="shared" ca="1" si="153"/>
        <v>-623</v>
      </c>
      <c r="O516" s="10">
        <f t="shared" ca="1" si="154"/>
        <v>-813</v>
      </c>
      <c r="P516" s="10">
        <f t="shared" ca="1" si="155"/>
        <v>-684</v>
      </c>
      <c r="Q516" s="14">
        <v>0</v>
      </c>
      <c r="R516" s="14">
        <v>9</v>
      </c>
      <c r="S516" s="14">
        <v>0</v>
      </c>
      <c r="T516" s="13">
        <f t="shared" ca="1" si="150"/>
        <v>-152</v>
      </c>
      <c r="U516" s="12">
        <f t="shared" ca="1" si="157"/>
        <v>3537</v>
      </c>
      <c r="V516" s="12">
        <f t="shared" ca="1" si="156"/>
        <v>3397</v>
      </c>
      <c r="W516" s="12">
        <f t="shared" ca="1" si="158"/>
        <v>3556</v>
      </c>
      <c r="X516" s="11"/>
      <c r="Y516" s="10"/>
      <c r="Z516" s="10"/>
      <c r="AA516" s="10"/>
      <c r="AB516" s="9"/>
    </row>
    <row r="517" spans="1:28" ht="13.15" customHeight="1">
      <c r="A517" s="16">
        <f t="shared" si="159"/>
        <v>503</v>
      </c>
      <c r="B517" s="17">
        <f t="shared" si="151"/>
        <v>45575</v>
      </c>
      <c r="C517" s="16">
        <f t="shared" si="152"/>
        <v>1069</v>
      </c>
      <c r="D517" s="15">
        <f t="shared" si="163"/>
        <v>2178</v>
      </c>
      <c r="E517" s="14">
        <f t="shared" ca="1" si="144"/>
        <v>-128</v>
      </c>
      <c r="F517" s="14">
        <f t="shared" ca="1" si="145"/>
        <v>68</v>
      </c>
      <c r="G517" s="14">
        <f t="shared" ca="1" si="146"/>
        <v>-68</v>
      </c>
      <c r="H517" s="10">
        <f t="shared" ca="1" si="147"/>
        <v>3375</v>
      </c>
      <c r="I517" s="10">
        <f t="shared" ca="1" si="148"/>
        <v>3179</v>
      </c>
      <c r="J517" s="10">
        <f t="shared" ca="1" si="149"/>
        <v>3315</v>
      </c>
      <c r="K517" s="10">
        <f t="shared" si="160"/>
        <v>4000</v>
      </c>
      <c r="L517" s="10">
        <f t="shared" si="161"/>
        <v>4000</v>
      </c>
      <c r="M517" s="10">
        <f t="shared" si="162"/>
        <v>4000</v>
      </c>
      <c r="N517" s="10">
        <f t="shared" ca="1" si="153"/>
        <v>-625</v>
      </c>
      <c r="O517" s="10">
        <f t="shared" ca="1" si="154"/>
        <v>-821</v>
      </c>
      <c r="P517" s="10">
        <f t="shared" ca="1" si="155"/>
        <v>-685</v>
      </c>
      <c r="Q517" s="14">
        <v>2</v>
      </c>
      <c r="R517" s="14">
        <v>8</v>
      </c>
      <c r="S517" s="14">
        <v>1</v>
      </c>
      <c r="T517" s="13">
        <f t="shared" ca="1" si="150"/>
        <v>-142</v>
      </c>
      <c r="U517" s="12">
        <f t="shared" ca="1" si="157"/>
        <v>3535</v>
      </c>
      <c r="V517" s="12">
        <f t="shared" ca="1" si="156"/>
        <v>3389</v>
      </c>
      <c r="W517" s="12">
        <f t="shared" ca="1" si="158"/>
        <v>3555</v>
      </c>
      <c r="X517" s="11"/>
      <c r="Y517" s="10"/>
      <c r="Z517" s="10"/>
      <c r="AA517" s="10"/>
      <c r="AB517" s="9"/>
    </row>
    <row r="518" spans="1:28" ht="13.15" customHeight="1">
      <c r="A518" s="16">
        <f t="shared" si="159"/>
        <v>504</v>
      </c>
      <c r="B518" s="17">
        <f t="shared" si="151"/>
        <v>45576</v>
      </c>
      <c r="C518" s="16">
        <f t="shared" si="152"/>
        <v>1069</v>
      </c>
      <c r="D518" s="15">
        <f t="shared" si="163"/>
        <v>2180</v>
      </c>
      <c r="E518" s="14">
        <f t="shared" ca="1" si="144"/>
        <v>-126</v>
      </c>
      <c r="F518" s="14">
        <f t="shared" ca="1" si="145"/>
        <v>79</v>
      </c>
      <c r="G518" s="14">
        <f t="shared" ca="1" si="146"/>
        <v>-66</v>
      </c>
      <c r="H518" s="10">
        <f t="shared" ca="1" si="147"/>
        <v>3375</v>
      </c>
      <c r="I518" s="10">
        <f t="shared" ca="1" si="148"/>
        <v>3170</v>
      </c>
      <c r="J518" s="10">
        <f t="shared" ca="1" si="149"/>
        <v>3315</v>
      </c>
      <c r="K518" s="10">
        <f t="shared" si="160"/>
        <v>4000</v>
      </c>
      <c r="L518" s="10">
        <f t="shared" si="161"/>
        <v>4000</v>
      </c>
      <c r="M518" s="10">
        <f t="shared" si="162"/>
        <v>4000</v>
      </c>
      <c r="N518" s="10">
        <f t="shared" ca="1" si="153"/>
        <v>-625</v>
      </c>
      <c r="O518" s="10">
        <f t="shared" ca="1" si="154"/>
        <v>-830</v>
      </c>
      <c r="P518" s="10">
        <f t="shared" ca="1" si="155"/>
        <v>-685</v>
      </c>
      <c r="Q518" s="14">
        <v>0</v>
      </c>
      <c r="R518" s="14">
        <v>9</v>
      </c>
      <c r="S518" s="14">
        <v>0</v>
      </c>
      <c r="T518" s="13">
        <f t="shared" ca="1" si="150"/>
        <v>-131</v>
      </c>
      <c r="U518" s="12">
        <f t="shared" ca="1" si="157"/>
        <v>3535</v>
      </c>
      <c r="V518" s="12">
        <f t="shared" ca="1" si="156"/>
        <v>3380</v>
      </c>
      <c r="W518" s="12">
        <f t="shared" ca="1" si="158"/>
        <v>3555</v>
      </c>
      <c r="X518" s="11"/>
      <c r="Y518" s="10"/>
      <c r="Z518" s="10"/>
      <c r="AA518" s="10"/>
      <c r="AB518" s="9"/>
    </row>
    <row r="519" spans="1:28" ht="13.15" customHeight="1">
      <c r="A519" s="16">
        <f t="shared" si="159"/>
        <v>505</v>
      </c>
      <c r="B519" s="17">
        <f t="shared" si="151"/>
        <v>45577</v>
      </c>
      <c r="C519" s="16">
        <f t="shared" si="152"/>
        <v>1069</v>
      </c>
      <c r="D519" s="15">
        <f t="shared" si="163"/>
        <v>2182</v>
      </c>
      <c r="E519" s="14">
        <f t="shared" ca="1" si="144"/>
        <v>-124</v>
      </c>
      <c r="F519" s="14">
        <f t="shared" ca="1" si="145"/>
        <v>90</v>
      </c>
      <c r="G519" s="14">
        <f t="shared" ca="1" si="146"/>
        <v>-64</v>
      </c>
      <c r="H519" s="10">
        <f t="shared" ca="1" si="147"/>
        <v>3375</v>
      </c>
      <c r="I519" s="10">
        <f t="shared" ca="1" si="148"/>
        <v>3161</v>
      </c>
      <c r="J519" s="10">
        <f t="shared" ca="1" si="149"/>
        <v>3315</v>
      </c>
      <c r="K519" s="10">
        <f t="shared" si="160"/>
        <v>4000</v>
      </c>
      <c r="L519" s="10">
        <f t="shared" si="161"/>
        <v>4000</v>
      </c>
      <c r="M519" s="10">
        <f t="shared" si="162"/>
        <v>4000</v>
      </c>
      <c r="N519" s="10">
        <f t="shared" ca="1" si="153"/>
        <v>-625</v>
      </c>
      <c r="O519" s="10">
        <f t="shared" ca="1" si="154"/>
        <v>-839</v>
      </c>
      <c r="P519" s="10">
        <f t="shared" ca="1" si="155"/>
        <v>-685</v>
      </c>
      <c r="Q519" s="14">
        <v>0</v>
      </c>
      <c r="R519" s="14">
        <v>9</v>
      </c>
      <c r="S519" s="14">
        <v>0</v>
      </c>
      <c r="T519" s="13">
        <f t="shared" ca="1" si="150"/>
        <v>-120</v>
      </c>
      <c r="U519" s="12">
        <f t="shared" ca="1" si="157"/>
        <v>3535</v>
      </c>
      <c r="V519" s="12">
        <f t="shared" ca="1" si="156"/>
        <v>3371</v>
      </c>
      <c r="W519" s="12">
        <f t="shared" ca="1" si="158"/>
        <v>3555</v>
      </c>
      <c r="X519" s="11"/>
      <c r="Y519" s="10"/>
      <c r="Z519" s="10"/>
      <c r="AA519" s="10"/>
      <c r="AB519" s="9"/>
    </row>
    <row r="520" spans="1:28" ht="13.15" customHeight="1">
      <c r="A520" s="16">
        <f t="shared" si="159"/>
        <v>506</v>
      </c>
      <c r="B520" s="17">
        <f t="shared" si="151"/>
        <v>45578</v>
      </c>
      <c r="C520" s="16">
        <f t="shared" si="152"/>
        <v>1069</v>
      </c>
      <c r="D520" s="15">
        <f t="shared" si="163"/>
        <v>2184</v>
      </c>
      <c r="E520" s="14">
        <f t="shared" ca="1" si="144"/>
        <v>-121</v>
      </c>
      <c r="F520" s="14">
        <f t="shared" ca="1" si="145"/>
        <v>100</v>
      </c>
      <c r="G520" s="14">
        <f t="shared" ca="1" si="146"/>
        <v>-62</v>
      </c>
      <c r="H520" s="10">
        <f t="shared" ca="1" si="147"/>
        <v>3374</v>
      </c>
      <c r="I520" s="10">
        <f t="shared" ca="1" si="148"/>
        <v>3153</v>
      </c>
      <c r="J520" s="10">
        <f t="shared" ca="1" si="149"/>
        <v>3315</v>
      </c>
      <c r="K520" s="10">
        <f t="shared" si="160"/>
        <v>4000</v>
      </c>
      <c r="L520" s="10">
        <f t="shared" si="161"/>
        <v>4000</v>
      </c>
      <c r="M520" s="10">
        <f t="shared" si="162"/>
        <v>4000</v>
      </c>
      <c r="N520" s="10">
        <f t="shared" ca="1" si="153"/>
        <v>-626</v>
      </c>
      <c r="O520" s="10">
        <f t="shared" ca="1" si="154"/>
        <v>-847</v>
      </c>
      <c r="P520" s="10">
        <f t="shared" ca="1" si="155"/>
        <v>-685</v>
      </c>
      <c r="Q520" s="14">
        <v>1</v>
      </c>
      <c r="R520" s="14">
        <v>8</v>
      </c>
      <c r="S520" s="14">
        <v>0</v>
      </c>
      <c r="T520" s="13">
        <f t="shared" ca="1" si="150"/>
        <v>-110</v>
      </c>
      <c r="U520" s="12">
        <f t="shared" ca="1" si="157"/>
        <v>3534</v>
      </c>
      <c r="V520" s="12">
        <f t="shared" ca="1" si="156"/>
        <v>3363</v>
      </c>
      <c r="W520" s="12">
        <f t="shared" ca="1" si="158"/>
        <v>3555</v>
      </c>
      <c r="X520" s="11"/>
      <c r="Y520" s="10"/>
      <c r="Z520" s="10"/>
      <c r="AA520" s="10"/>
      <c r="AB520" s="9"/>
    </row>
    <row r="521" spans="1:28" ht="13.15" customHeight="1">
      <c r="A521" s="16">
        <f t="shared" si="159"/>
        <v>507</v>
      </c>
      <c r="B521" s="17">
        <f t="shared" si="151"/>
        <v>45579</v>
      </c>
      <c r="C521" s="16">
        <f t="shared" si="152"/>
        <v>1069</v>
      </c>
      <c r="D521" s="15">
        <f t="shared" si="163"/>
        <v>2186</v>
      </c>
      <c r="E521" s="14">
        <f t="shared" ca="1" si="144"/>
        <v>-119</v>
      </c>
      <c r="F521" s="14">
        <f t="shared" ca="1" si="145"/>
        <v>111</v>
      </c>
      <c r="G521" s="14">
        <f t="shared" ca="1" si="146"/>
        <v>-59</v>
      </c>
      <c r="H521" s="10">
        <f t="shared" ca="1" si="147"/>
        <v>3374</v>
      </c>
      <c r="I521" s="10">
        <f t="shared" ca="1" si="148"/>
        <v>3144</v>
      </c>
      <c r="J521" s="10">
        <f t="shared" ca="1" si="149"/>
        <v>3314</v>
      </c>
      <c r="K521" s="10">
        <f t="shared" si="160"/>
        <v>4000</v>
      </c>
      <c r="L521" s="10">
        <f t="shared" si="161"/>
        <v>4000</v>
      </c>
      <c r="M521" s="10">
        <f t="shared" si="162"/>
        <v>4000</v>
      </c>
      <c r="N521" s="10">
        <f t="shared" ca="1" si="153"/>
        <v>-626</v>
      </c>
      <c r="O521" s="10">
        <f t="shared" ca="1" si="154"/>
        <v>-856</v>
      </c>
      <c r="P521" s="10">
        <f t="shared" ca="1" si="155"/>
        <v>-686</v>
      </c>
      <c r="Q521" s="14">
        <v>0</v>
      </c>
      <c r="R521" s="14">
        <v>9</v>
      </c>
      <c r="S521" s="14">
        <v>1</v>
      </c>
      <c r="T521" s="13">
        <f t="shared" ca="1" si="150"/>
        <v>-99</v>
      </c>
      <c r="U521" s="12">
        <f t="shared" ca="1" si="157"/>
        <v>3534</v>
      </c>
      <c r="V521" s="12">
        <f t="shared" ca="1" si="156"/>
        <v>3354</v>
      </c>
      <c r="W521" s="12">
        <f t="shared" ca="1" si="158"/>
        <v>3554</v>
      </c>
      <c r="X521" s="11"/>
      <c r="Y521" s="10"/>
      <c r="Z521" s="10"/>
      <c r="AA521" s="10"/>
      <c r="AB521" s="9"/>
    </row>
    <row r="522" spans="1:28" ht="13.15" customHeight="1">
      <c r="A522" s="16">
        <f t="shared" si="159"/>
        <v>508</v>
      </c>
      <c r="B522" s="17">
        <f t="shared" si="151"/>
        <v>45580</v>
      </c>
      <c r="C522" s="16">
        <f t="shared" si="152"/>
        <v>1069</v>
      </c>
      <c r="D522" s="15">
        <f t="shared" si="163"/>
        <v>2188</v>
      </c>
      <c r="E522" s="14">
        <f t="shared" ca="1" si="144"/>
        <v>-109</v>
      </c>
      <c r="F522" s="14">
        <f t="shared" ca="1" si="145"/>
        <v>118</v>
      </c>
      <c r="G522" s="14">
        <f t="shared" ca="1" si="146"/>
        <v>-57</v>
      </c>
      <c r="H522" s="10">
        <f t="shared" ca="1" si="147"/>
        <v>3366</v>
      </c>
      <c r="I522" s="10">
        <f t="shared" ca="1" si="148"/>
        <v>3139</v>
      </c>
      <c r="J522" s="10">
        <f t="shared" ca="1" si="149"/>
        <v>3314</v>
      </c>
      <c r="K522" s="10">
        <f t="shared" si="160"/>
        <v>4000</v>
      </c>
      <c r="L522" s="10">
        <f t="shared" si="161"/>
        <v>4000</v>
      </c>
      <c r="M522" s="10">
        <f t="shared" si="162"/>
        <v>4000</v>
      </c>
      <c r="N522" s="10">
        <f t="shared" ca="1" si="153"/>
        <v>-634</v>
      </c>
      <c r="O522" s="10">
        <f t="shared" ca="1" si="154"/>
        <v>-861</v>
      </c>
      <c r="P522" s="10">
        <f t="shared" ca="1" si="155"/>
        <v>-686</v>
      </c>
      <c r="Q522" s="14">
        <v>8</v>
      </c>
      <c r="R522" s="14">
        <v>5</v>
      </c>
      <c r="S522" s="14">
        <v>0</v>
      </c>
      <c r="T522" s="13">
        <f t="shared" ca="1" si="150"/>
        <v>-92</v>
      </c>
      <c r="U522" s="12">
        <f t="shared" ca="1" si="157"/>
        <v>3526</v>
      </c>
      <c r="V522" s="12">
        <f t="shared" ca="1" si="156"/>
        <v>3349</v>
      </c>
      <c r="W522" s="12">
        <f t="shared" ca="1" si="158"/>
        <v>3554</v>
      </c>
      <c r="X522" s="11"/>
      <c r="Y522" s="10"/>
      <c r="Z522" s="10"/>
      <c r="AA522" s="10"/>
      <c r="AB522" s="9"/>
    </row>
    <row r="523" spans="1:28" ht="13.15" customHeight="1">
      <c r="A523" s="16">
        <f t="shared" si="159"/>
        <v>509</v>
      </c>
      <c r="B523" s="17">
        <f t="shared" si="151"/>
        <v>45581</v>
      </c>
      <c r="C523" s="16">
        <f t="shared" si="152"/>
        <v>1069</v>
      </c>
      <c r="D523" s="15">
        <f t="shared" si="163"/>
        <v>2190</v>
      </c>
      <c r="E523" s="14">
        <f t="shared" ca="1" si="144"/>
        <v>-100</v>
      </c>
      <c r="F523" s="14">
        <f t="shared" ca="1" si="145"/>
        <v>127</v>
      </c>
      <c r="G523" s="14">
        <f t="shared" ca="1" si="146"/>
        <v>-55</v>
      </c>
      <c r="H523" s="10">
        <f t="shared" ca="1" si="147"/>
        <v>3359</v>
      </c>
      <c r="I523" s="10">
        <f t="shared" ca="1" si="148"/>
        <v>3132</v>
      </c>
      <c r="J523" s="10">
        <f t="shared" ca="1" si="149"/>
        <v>3314</v>
      </c>
      <c r="K523" s="10">
        <f t="shared" si="160"/>
        <v>4000</v>
      </c>
      <c r="L523" s="10">
        <f t="shared" si="161"/>
        <v>4000</v>
      </c>
      <c r="M523" s="10">
        <f t="shared" si="162"/>
        <v>4000</v>
      </c>
      <c r="N523" s="10">
        <f t="shared" ca="1" si="153"/>
        <v>-641</v>
      </c>
      <c r="O523" s="10">
        <f t="shared" ca="1" si="154"/>
        <v>-868</v>
      </c>
      <c r="P523" s="10">
        <f t="shared" ca="1" si="155"/>
        <v>-686</v>
      </c>
      <c r="Q523" s="14">
        <v>7</v>
      </c>
      <c r="R523" s="14">
        <v>7</v>
      </c>
      <c r="S523" s="14">
        <v>0</v>
      </c>
      <c r="T523" s="13">
        <f t="shared" ca="1" si="150"/>
        <v>-83</v>
      </c>
      <c r="U523" s="12">
        <f t="shared" ca="1" si="157"/>
        <v>3519</v>
      </c>
      <c r="V523" s="12">
        <f t="shared" ca="1" si="156"/>
        <v>3342</v>
      </c>
      <c r="W523" s="12">
        <f t="shared" ca="1" si="158"/>
        <v>3554</v>
      </c>
      <c r="X523" s="11"/>
      <c r="Y523" s="10"/>
      <c r="Z523" s="10"/>
      <c r="AA523" s="10"/>
      <c r="AB523" s="9"/>
    </row>
    <row r="524" spans="1:28" ht="13.15" customHeight="1">
      <c r="A524" s="16">
        <f t="shared" si="159"/>
        <v>510</v>
      </c>
      <c r="B524" s="17">
        <f t="shared" si="151"/>
        <v>45582</v>
      </c>
      <c r="C524" s="16">
        <f t="shared" si="152"/>
        <v>1069</v>
      </c>
      <c r="D524" s="15">
        <f t="shared" si="163"/>
        <v>2192</v>
      </c>
      <c r="E524" s="14">
        <f t="shared" ca="1" si="144"/>
        <v>-94</v>
      </c>
      <c r="F524" s="14">
        <f t="shared" ca="1" si="145"/>
        <v>136</v>
      </c>
      <c r="G524" s="14">
        <f t="shared" ca="1" si="146"/>
        <v>-53</v>
      </c>
      <c r="H524" s="10">
        <f t="shared" ca="1" si="147"/>
        <v>3355</v>
      </c>
      <c r="I524" s="10">
        <f t="shared" ca="1" si="148"/>
        <v>3125</v>
      </c>
      <c r="J524" s="10">
        <f t="shared" ca="1" si="149"/>
        <v>3314</v>
      </c>
      <c r="K524" s="10">
        <f t="shared" si="160"/>
        <v>4000</v>
      </c>
      <c r="L524" s="10">
        <f t="shared" si="161"/>
        <v>4000</v>
      </c>
      <c r="M524" s="10">
        <f t="shared" si="162"/>
        <v>4000</v>
      </c>
      <c r="N524" s="10">
        <f t="shared" ca="1" si="153"/>
        <v>-645</v>
      </c>
      <c r="O524" s="10">
        <f t="shared" ca="1" si="154"/>
        <v>-875</v>
      </c>
      <c r="P524" s="10">
        <f t="shared" ca="1" si="155"/>
        <v>-686</v>
      </c>
      <c r="Q524" s="14">
        <v>4</v>
      </c>
      <c r="R524" s="14">
        <v>7</v>
      </c>
      <c r="S524" s="14">
        <v>0</v>
      </c>
      <c r="T524" s="13">
        <f t="shared" ca="1" si="150"/>
        <v>-74</v>
      </c>
      <c r="U524" s="12">
        <f t="shared" ca="1" si="157"/>
        <v>3515</v>
      </c>
      <c r="V524" s="12">
        <f t="shared" ca="1" si="156"/>
        <v>3335</v>
      </c>
      <c r="W524" s="12">
        <f t="shared" ca="1" si="158"/>
        <v>3554</v>
      </c>
      <c r="X524" s="11"/>
      <c r="Y524" s="10"/>
      <c r="Z524" s="10"/>
      <c r="AA524" s="10"/>
      <c r="AB524" s="9"/>
    </row>
    <row r="525" spans="1:28" ht="13.15" customHeight="1">
      <c r="A525" s="16">
        <f t="shared" si="159"/>
        <v>511</v>
      </c>
      <c r="B525" s="17">
        <f t="shared" si="151"/>
        <v>45583</v>
      </c>
      <c r="C525" s="16">
        <f t="shared" si="152"/>
        <v>1069</v>
      </c>
      <c r="D525" s="15">
        <f t="shared" si="163"/>
        <v>2194</v>
      </c>
      <c r="E525" s="14">
        <f t="shared" ca="1" si="144"/>
        <v>-89</v>
      </c>
      <c r="F525" s="14">
        <f t="shared" ca="1" si="145"/>
        <v>144</v>
      </c>
      <c r="G525" s="14">
        <f t="shared" ca="1" si="146"/>
        <v>-51</v>
      </c>
      <c r="H525" s="10">
        <f t="shared" ca="1" si="147"/>
        <v>3352</v>
      </c>
      <c r="I525" s="10">
        <f t="shared" ca="1" si="148"/>
        <v>3119</v>
      </c>
      <c r="J525" s="10">
        <f t="shared" ca="1" si="149"/>
        <v>3314</v>
      </c>
      <c r="K525" s="10">
        <f t="shared" si="160"/>
        <v>4000</v>
      </c>
      <c r="L525" s="10">
        <f t="shared" si="161"/>
        <v>4000</v>
      </c>
      <c r="M525" s="10">
        <f t="shared" si="162"/>
        <v>4000</v>
      </c>
      <c r="N525" s="10">
        <f t="shared" ca="1" si="153"/>
        <v>-648</v>
      </c>
      <c r="O525" s="10">
        <f t="shared" ca="1" si="154"/>
        <v>-881</v>
      </c>
      <c r="P525" s="10">
        <f t="shared" ca="1" si="155"/>
        <v>-686</v>
      </c>
      <c r="Q525" s="14">
        <v>3</v>
      </c>
      <c r="R525" s="14">
        <v>6</v>
      </c>
      <c r="S525" s="14">
        <v>0</v>
      </c>
      <c r="T525" s="13">
        <f t="shared" ca="1" si="150"/>
        <v>-66</v>
      </c>
      <c r="U525" s="12">
        <f t="shared" ca="1" si="157"/>
        <v>3512</v>
      </c>
      <c r="V525" s="12">
        <f t="shared" ca="1" si="156"/>
        <v>3329</v>
      </c>
      <c r="W525" s="12">
        <f t="shared" ca="1" si="158"/>
        <v>3554</v>
      </c>
      <c r="X525" s="11"/>
      <c r="Y525" s="10"/>
      <c r="Z525" s="10"/>
      <c r="AA525" s="10"/>
      <c r="AB525" s="9"/>
    </row>
    <row r="526" spans="1:28" ht="13.15" customHeight="1">
      <c r="A526" s="16">
        <f t="shared" si="159"/>
        <v>512</v>
      </c>
      <c r="B526" s="17">
        <f t="shared" si="151"/>
        <v>45584</v>
      </c>
      <c r="C526" s="16">
        <f t="shared" si="152"/>
        <v>1069</v>
      </c>
      <c r="D526" s="15">
        <f t="shared" si="163"/>
        <v>2196</v>
      </c>
      <c r="E526" s="14">
        <f t="shared" ref="E526:E589" ca="1" si="164">C526+D526-H526</f>
        <v>-87</v>
      </c>
      <c r="F526" s="14">
        <f t="shared" ref="F526:F589" ca="1" si="165">C526+D526-I526</f>
        <v>148</v>
      </c>
      <c r="G526" s="14">
        <f t="shared" ref="G526:G589" ca="1" si="166">D526+C526-J526</f>
        <v>-49</v>
      </c>
      <c r="H526" s="10">
        <f t="shared" ref="H526:H589" ca="1" si="167">K526+N526</f>
        <v>3352</v>
      </c>
      <c r="I526" s="10">
        <f t="shared" ref="I526:I589" ca="1" si="168">L526+O526</f>
        <v>3117</v>
      </c>
      <c r="J526" s="10">
        <f t="shared" ref="J526:J589" ca="1" si="169">M526+P526</f>
        <v>3314</v>
      </c>
      <c r="K526" s="10">
        <f t="shared" si="160"/>
        <v>4000</v>
      </c>
      <c r="L526" s="10">
        <f t="shared" si="161"/>
        <v>4000</v>
      </c>
      <c r="M526" s="10">
        <f t="shared" si="162"/>
        <v>4000</v>
      </c>
      <c r="N526" s="10">
        <f t="shared" ca="1" si="153"/>
        <v>-648</v>
      </c>
      <c r="O526" s="10">
        <f t="shared" ca="1" si="154"/>
        <v>-883</v>
      </c>
      <c r="P526" s="10">
        <f t="shared" ca="1" si="155"/>
        <v>-686</v>
      </c>
      <c r="Q526" s="14">
        <v>0</v>
      </c>
      <c r="R526" s="14">
        <v>2</v>
      </c>
      <c r="S526" s="14">
        <v>0</v>
      </c>
      <c r="T526" s="13">
        <f t="shared" ref="T526:T589" ca="1" si="170">D526+C526-V526</f>
        <v>-62</v>
      </c>
      <c r="U526" s="12">
        <f t="shared" ca="1" si="157"/>
        <v>3512</v>
      </c>
      <c r="V526" s="12">
        <f t="shared" ca="1" si="156"/>
        <v>3327</v>
      </c>
      <c r="W526" s="12">
        <f t="shared" ca="1" si="158"/>
        <v>3554</v>
      </c>
      <c r="X526" s="11"/>
      <c r="Y526" s="10"/>
      <c r="Z526" s="10"/>
      <c r="AA526" s="10"/>
      <c r="AB526" s="9"/>
    </row>
    <row r="527" spans="1:28" ht="13.15" customHeight="1">
      <c r="A527" s="16">
        <f t="shared" si="159"/>
        <v>513</v>
      </c>
      <c r="B527" s="17">
        <f t="shared" ref="B527:B590" si="171">B526+1</f>
        <v>45585</v>
      </c>
      <c r="C527" s="16">
        <f t="shared" ref="C527:C590" si="172">C526</f>
        <v>1069</v>
      </c>
      <c r="D527" s="15">
        <f t="shared" si="163"/>
        <v>2198</v>
      </c>
      <c r="E527" s="14">
        <f t="shared" ca="1" si="164"/>
        <v>-77</v>
      </c>
      <c r="F527" s="14">
        <f t="shared" ca="1" si="165"/>
        <v>154</v>
      </c>
      <c r="G527" s="14">
        <f t="shared" ca="1" si="166"/>
        <v>-47</v>
      </c>
      <c r="H527" s="10">
        <f t="shared" ca="1" si="167"/>
        <v>3344</v>
      </c>
      <c r="I527" s="10">
        <f t="shared" ca="1" si="168"/>
        <v>3113</v>
      </c>
      <c r="J527" s="10">
        <f t="shared" ca="1" si="169"/>
        <v>3314</v>
      </c>
      <c r="K527" s="10">
        <f t="shared" si="160"/>
        <v>4000</v>
      </c>
      <c r="L527" s="10">
        <f t="shared" si="161"/>
        <v>4000</v>
      </c>
      <c r="M527" s="10">
        <f t="shared" si="162"/>
        <v>4000</v>
      </c>
      <c r="N527" s="10">
        <f t="shared" ref="N527:N590" ca="1" si="173">N526-Q527</f>
        <v>-656</v>
      </c>
      <c r="O527" s="10">
        <f t="shared" ref="O527:O590" ca="1" si="174">O526-R527</f>
        <v>-887</v>
      </c>
      <c r="P527" s="10">
        <f t="shared" ref="P527:P590" ca="1" si="175">P526-S527</f>
        <v>-686</v>
      </c>
      <c r="Q527" s="14">
        <v>8</v>
      </c>
      <c r="R527" s="14">
        <v>4</v>
      </c>
      <c r="S527" s="14">
        <v>0</v>
      </c>
      <c r="T527" s="13">
        <f t="shared" ca="1" si="170"/>
        <v>-56</v>
      </c>
      <c r="U527" s="12">
        <f t="shared" ca="1" si="157"/>
        <v>3504</v>
      </c>
      <c r="V527" s="12">
        <f t="shared" ca="1" si="156"/>
        <v>3323</v>
      </c>
      <c r="W527" s="12">
        <f t="shared" ca="1" si="158"/>
        <v>3554</v>
      </c>
      <c r="X527" s="11"/>
      <c r="Y527" s="10"/>
      <c r="Z527" s="10"/>
      <c r="AA527" s="10"/>
      <c r="AB527" s="9"/>
    </row>
    <row r="528" spans="1:28" ht="13.15" customHeight="1">
      <c r="A528" s="16">
        <f t="shared" si="159"/>
        <v>514</v>
      </c>
      <c r="B528" s="17">
        <f t="shared" si="171"/>
        <v>45586</v>
      </c>
      <c r="C528" s="16">
        <f t="shared" si="172"/>
        <v>1069</v>
      </c>
      <c r="D528" s="15">
        <f t="shared" si="163"/>
        <v>2200</v>
      </c>
      <c r="E528" s="14">
        <f t="shared" ca="1" si="164"/>
        <v>-68</v>
      </c>
      <c r="F528" s="14">
        <f t="shared" ca="1" si="165"/>
        <v>158</v>
      </c>
      <c r="G528" s="14">
        <f t="shared" ca="1" si="166"/>
        <v>-45</v>
      </c>
      <c r="H528" s="10">
        <f t="shared" ca="1" si="167"/>
        <v>3337</v>
      </c>
      <c r="I528" s="10">
        <f t="shared" ca="1" si="168"/>
        <v>3111</v>
      </c>
      <c r="J528" s="10">
        <f t="shared" ca="1" si="169"/>
        <v>3314</v>
      </c>
      <c r="K528" s="10">
        <f t="shared" si="160"/>
        <v>4000</v>
      </c>
      <c r="L528" s="10">
        <f t="shared" si="161"/>
        <v>4000</v>
      </c>
      <c r="M528" s="10">
        <f t="shared" si="162"/>
        <v>4000</v>
      </c>
      <c r="N528" s="10">
        <f t="shared" ca="1" si="173"/>
        <v>-663</v>
      </c>
      <c r="O528" s="10">
        <f t="shared" ca="1" si="174"/>
        <v>-889</v>
      </c>
      <c r="P528" s="10">
        <f t="shared" ca="1" si="175"/>
        <v>-686</v>
      </c>
      <c r="Q528" s="14">
        <v>7</v>
      </c>
      <c r="R528" s="14">
        <v>2</v>
      </c>
      <c r="S528" s="14">
        <v>0</v>
      </c>
      <c r="T528" s="13">
        <f t="shared" ca="1" si="170"/>
        <v>-52</v>
      </c>
      <c r="U528" s="12">
        <f t="shared" ca="1" si="157"/>
        <v>3497</v>
      </c>
      <c r="V528" s="12">
        <f t="shared" ca="1" si="156"/>
        <v>3321</v>
      </c>
      <c r="W528" s="12">
        <f t="shared" ca="1" si="158"/>
        <v>3554</v>
      </c>
      <c r="X528" s="11"/>
      <c r="Y528" s="10"/>
      <c r="Z528" s="10"/>
      <c r="AA528" s="10"/>
      <c r="AB528" s="9"/>
    </row>
    <row r="529" spans="1:28" ht="13.15" customHeight="1">
      <c r="A529" s="16">
        <f t="shared" si="159"/>
        <v>515</v>
      </c>
      <c r="B529" s="17">
        <f t="shared" si="171"/>
        <v>45587</v>
      </c>
      <c r="C529" s="16">
        <f t="shared" si="172"/>
        <v>1069</v>
      </c>
      <c r="D529" s="15">
        <f t="shared" si="163"/>
        <v>2202</v>
      </c>
      <c r="E529" s="14">
        <f t="shared" ca="1" si="164"/>
        <v>-62</v>
      </c>
      <c r="F529" s="14">
        <f t="shared" ca="1" si="165"/>
        <v>162</v>
      </c>
      <c r="G529" s="14">
        <f t="shared" ca="1" si="166"/>
        <v>-43</v>
      </c>
      <c r="H529" s="10">
        <f t="shared" ca="1" si="167"/>
        <v>3333</v>
      </c>
      <c r="I529" s="10">
        <f t="shared" ca="1" si="168"/>
        <v>3109</v>
      </c>
      <c r="J529" s="10">
        <f t="shared" ca="1" si="169"/>
        <v>3314</v>
      </c>
      <c r="K529" s="10">
        <f t="shared" si="160"/>
        <v>4000</v>
      </c>
      <c r="L529" s="10">
        <f t="shared" si="161"/>
        <v>4000</v>
      </c>
      <c r="M529" s="10">
        <f t="shared" si="162"/>
        <v>4000</v>
      </c>
      <c r="N529" s="10">
        <f t="shared" ca="1" si="173"/>
        <v>-667</v>
      </c>
      <c r="O529" s="10">
        <f t="shared" ca="1" si="174"/>
        <v>-891</v>
      </c>
      <c r="P529" s="10">
        <f t="shared" ca="1" si="175"/>
        <v>-686</v>
      </c>
      <c r="Q529" s="14">
        <v>4</v>
      </c>
      <c r="R529" s="14">
        <v>2</v>
      </c>
      <c r="S529" s="14">
        <v>0</v>
      </c>
      <c r="T529" s="13">
        <f t="shared" ca="1" si="170"/>
        <v>-48</v>
      </c>
      <c r="U529" s="12">
        <f t="shared" ca="1" si="157"/>
        <v>3493</v>
      </c>
      <c r="V529" s="12">
        <f t="shared" ca="1" si="156"/>
        <v>3319</v>
      </c>
      <c r="W529" s="12">
        <f t="shared" ca="1" si="158"/>
        <v>3554</v>
      </c>
      <c r="X529" s="11"/>
      <c r="Y529" s="10"/>
      <c r="Z529" s="10"/>
      <c r="AA529" s="10"/>
      <c r="AB529" s="9"/>
    </row>
    <row r="530" spans="1:28" ht="13.15" customHeight="1">
      <c r="A530" s="16">
        <f t="shared" si="159"/>
        <v>516</v>
      </c>
      <c r="B530" s="17">
        <f t="shared" si="171"/>
        <v>45588</v>
      </c>
      <c r="C530" s="16">
        <f t="shared" si="172"/>
        <v>1069</v>
      </c>
      <c r="D530" s="15">
        <f t="shared" si="163"/>
        <v>2204</v>
      </c>
      <c r="E530" s="14">
        <f t="shared" ca="1" si="164"/>
        <v>-57</v>
      </c>
      <c r="F530" s="14">
        <f t="shared" ca="1" si="165"/>
        <v>170</v>
      </c>
      <c r="G530" s="14">
        <f t="shared" ca="1" si="166"/>
        <v>-41</v>
      </c>
      <c r="H530" s="10">
        <f t="shared" ca="1" si="167"/>
        <v>3330</v>
      </c>
      <c r="I530" s="10">
        <f t="shared" ca="1" si="168"/>
        <v>3103</v>
      </c>
      <c r="J530" s="10">
        <f t="shared" ca="1" si="169"/>
        <v>3314</v>
      </c>
      <c r="K530" s="10">
        <f t="shared" si="160"/>
        <v>4000</v>
      </c>
      <c r="L530" s="10">
        <f t="shared" si="161"/>
        <v>4000</v>
      </c>
      <c r="M530" s="10">
        <f t="shared" si="162"/>
        <v>4000</v>
      </c>
      <c r="N530" s="10">
        <f t="shared" ca="1" si="173"/>
        <v>-670</v>
      </c>
      <c r="O530" s="10">
        <f t="shared" ca="1" si="174"/>
        <v>-897</v>
      </c>
      <c r="P530" s="10">
        <f t="shared" ca="1" si="175"/>
        <v>-686</v>
      </c>
      <c r="Q530" s="14">
        <v>3</v>
      </c>
      <c r="R530" s="14">
        <v>6</v>
      </c>
      <c r="S530" s="14">
        <v>0</v>
      </c>
      <c r="T530" s="13">
        <f t="shared" ca="1" si="170"/>
        <v>-40</v>
      </c>
      <c r="U530" s="12">
        <f t="shared" ca="1" si="157"/>
        <v>3490</v>
      </c>
      <c r="V530" s="12">
        <f t="shared" ca="1" si="156"/>
        <v>3313</v>
      </c>
      <c r="W530" s="12">
        <f t="shared" ca="1" si="158"/>
        <v>3554</v>
      </c>
      <c r="X530" s="11"/>
      <c r="Y530" s="10"/>
      <c r="Z530" s="10"/>
      <c r="AA530" s="10"/>
      <c r="AB530" s="9"/>
    </row>
    <row r="531" spans="1:28" ht="13.15" customHeight="1">
      <c r="A531" s="16">
        <f t="shared" si="159"/>
        <v>517</v>
      </c>
      <c r="B531" s="17">
        <f t="shared" si="171"/>
        <v>45589</v>
      </c>
      <c r="C531" s="16">
        <f t="shared" si="172"/>
        <v>1069</v>
      </c>
      <c r="D531" s="15">
        <f t="shared" si="163"/>
        <v>2206</v>
      </c>
      <c r="E531" s="14">
        <f t="shared" ca="1" si="164"/>
        <v>-55</v>
      </c>
      <c r="F531" s="14">
        <f t="shared" ca="1" si="165"/>
        <v>175</v>
      </c>
      <c r="G531" s="14">
        <f t="shared" ca="1" si="166"/>
        <v>-39</v>
      </c>
      <c r="H531" s="10">
        <f t="shared" ca="1" si="167"/>
        <v>3330</v>
      </c>
      <c r="I531" s="10">
        <f t="shared" ca="1" si="168"/>
        <v>3100</v>
      </c>
      <c r="J531" s="10">
        <f t="shared" ca="1" si="169"/>
        <v>3314</v>
      </c>
      <c r="K531" s="10">
        <f t="shared" si="160"/>
        <v>4000</v>
      </c>
      <c r="L531" s="10">
        <f t="shared" si="161"/>
        <v>4000</v>
      </c>
      <c r="M531" s="10">
        <f t="shared" si="162"/>
        <v>4000</v>
      </c>
      <c r="N531" s="10">
        <f t="shared" ca="1" si="173"/>
        <v>-670</v>
      </c>
      <c r="O531" s="10">
        <f t="shared" ca="1" si="174"/>
        <v>-900</v>
      </c>
      <c r="P531" s="10">
        <f t="shared" ca="1" si="175"/>
        <v>-686</v>
      </c>
      <c r="Q531" s="14">
        <v>0</v>
      </c>
      <c r="R531" s="14">
        <v>3</v>
      </c>
      <c r="S531" s="14">
        <v>0</v>
      </c>
      <c r="T531" s="13">
        <f t="shared" ca="1" si="170"/>
        <v>-35</v>
      </c>
      <c r="U531" s="12">
        <f t="shared" ca="1" si="157"/>
        <v>3490</v>
      </c>
      <c r="V531" s="12">
        <f t="shared" ca="1" si="156"/>
        <v>3310</v>
      </c>
      <c r="W531" s="12">
        <f t="shared" ca="1" si="158"/>
        <v>3554</v>
      </c>
      <c r="X531" s="11"/>
      <c r="Y531" s="10"/>
      <c r="Z531" s="10"/>
      <c r="AA531" s="10"/>
      <c r="AB531" s="9"/>
    </row>
    <row r="532" spans="1:28" ht="13.15" customHeight="1">
      <c r="A532" s="16">
        <f t="shared" si="159"/>
        <v>518</v>
      </c>
      <c r="B532" s="17">
        <f t="shared" si="171"/>
        <v>45590</v>
      </c>
      <c r="C532" s="16">
        <f t="shared" si="172"/>
        <v>1069</v>
      </c>
      <c r="D532" s="15">
        <f t="shared" si="163"/>
        <v>2208</v>
      </c>
      <c r="E532" s="14">
        <f t="shared" ca="1" si="164"/>
        <v>-53</v>
      </c>
      <c r="F532" s="14">
        <f t="shared" ca="1" si="165"/>
        <v>179</v>
      </c>
      <c r="G532" s="14">
        <f t="shared" ca="1" si="166"/>
        <v>-35</v>
      </c>
      <c r="H532" s="10">
        <f t="shared" ca="1" si="167"/>
        <v>3330</v>
      </c>
      <c r="I532" s="10">
        <f t="shared" ca="1" si="168"/>
        <v>3098</v>
      </c>
      <c r="J532" s="10">
        <f t="shared" ca="1" si="169"/>
        <v>3312</v>
      </c>
      <c r="K532" s="10">
        <f t="shared" si="160"/>
        <v>4000</v>
      </c>
      <c r="L532" s="10">
        <f t="shared" si="161"/>
        <v>4000</v>
      </c>
      <c r="M532" s="10">
        <f t="shared" si="162"/>
        <v>4000</v>
      </c>
      <c r="N532" s="10">
        <f t="shared" ca="1" si="173"/>
        <v>-670</v>
      </c>
      <c r="O532" s="10">
        <f t="shared" ca="1" si="174"/>
        <v>-902</v>
      </c>
      <c r="P532" s="10">
        <f t="shared" ca="1" si="175"/>
        <v>-688</v>
      </c>
      <c r="Q532" s="14">
        <v>0</v>
      </c>
      <c r="R532" s="14">
        <v>2</v>
      </c>
      <c r="S532" s="14">
        <v>2</v>
      </c>
      <c r="T532" s="13">
        <f t="shared" ca="1" si="170"/>
        <v>-31</v>
      </c>
      <c r="U532" s="12">
        <f t="shared" ca="1" si="157"/>
        <v>3490</v>
      </c>
      <c r="V532" s="12">
        <f t="shared" ca="1" si="156"/>
        <v>3308</v>
      </c>
      <c r="W532" s="12">
        <f t="shared" ca="1" si="158"/>
        <v>3552</v>
      </c>
      <c r="X532" s="11"/>
      <c r="Y532" s="10"/>
      <c r="Z532" s="10"/>
      <c r="AA532" s="10"/>
      <c r="AB532" s="9"/>
    </row>
    <row r="533" spans="1:28" ht="13.15" customHeight="1">
      <c r="A533" s="16">
        <f t="shared" si="159"/>
        <v>519</v>
      </c>
      <c r="B533" s="17">
        <f t="shared" si="171"/>
        <v>45591</v>
      </c>
      <c r="C533" s="16">
        <f t="shared" si="172"/>
        <v>1069</v>
      </c>
      <c r="D533" s="15">
        <f t="shared" si="163"/>
        <v>2210</v>
      </c>
      <c r="E533" s="14">
        <f t="shared" ca="1" si="164"/>
        <v>-51</v>
      </c>
      <c r="F533" s="14">
        <f t="shared" ca="1" si="165"/>
        <v>184</v>
      </c>
      <c r="G533" s="14">
        <f t="shared" ca="1" si="166"/>
        <v>-33</v>
      </c>
      <c r="H533" s="10">
        <f t="shared" ca="1" si="167"/>
        <v>3330</v>
      </c>
      <c r="I533" s="10">
        <f t="shared" ca="1" si="168"/>
        <v>3095</v>
      </c>
      <c r="J533" s="10">
        <f t="shared" ca="1" si="169"/>
        <v>3312</v>
      </c>
      <c r="K533" s="10">
        <f t="shared" si="160"/>
        <v>4000</v>
      </c>
      <c r="L533" s="10">
        <f t="shared" si="161"/>
        <v>4000</v>
      </c>
      <c r="M533" s="10">
        <f t="shared" si="162"/>
        <v>4000</v>
      </c>
      <c r="N533" s="10">
        <f t="shared" ca="1" si="173"/>
        <v>-670</v>
      </c>
      <c r="O533" s="10">
        <f t="shared" ca="1" si="174"/>
        <v>-905</v>
      </c>
      <c r="P533" s="10">
        <f t="shared" ca="1" si="175"/>
        <v>-688</v>
      </c>
      <c r="Q533" s="14">
        <v>0</v>
      </c>
      <c r="R533" s="14">
        <v>3</v>
      </c>
      <c r="S533" s="14">
        <v>0</v>
      </c>
      <c r="T533" s="13">
        <f t="shared" ca="1" si="170"/>
        <v>-26</v>
      </c>
      <c r="U533" s="12">
        <f t="shared" ca="1" si="157"/>
        <v>3490</v>
      </c>
      <c r="V533" s="12">
        <f t="shared" ca="1" si="156"/>
        <v>3305</v>
      </c>
      <c r="W533" s="12">
        <f t="shared" ca="1" si="158"/>
        <v>3552</v>
      </c>
      <c r="X533" s="11"/>
      <c r="Y533" s="10"/>
      <c r="Z533" s="10"/>
      <c r="AA533" s="10"/>
      <c r="AB533" s="9"/>
    </row>
    <row r="534" spans="1:28" ht="13.15" customHeight="1">
      <c r="A534" s="16">
        <f t="shared" si="159"/>
        <v>520</v>
      </c>
      <c r="B534" s="17">
        <f t="shared" si="171"/>
        <v>45592</v>
      </c>
      <c r="C534" s="16">
        <f t="shared" si="172"/>
        <v>1069</v>
      </c>
      <c r="D534" s="15">
        <f t="shared" si="163"/>
        <v>2212</v>
      </c>
      <c r="E534" s="14">
        <f t="shared" ca="1" si="164"/>
        <v>-49</v>
      </c>
      <c r="F534" s="14">
        <f t="shared" ca="1" si="165"/>
        <v>186</v>
      </c>
      <c r="G534" s="14">
        <f t="shared" ca="1" si="166"/>
        <v>-29</v>
      </c>
      <c r="H534" s="10">
        <f t="shared" ca="1" si="167"/>
        <v>3330</v>
      </c>
      <c r="I534" s="10">
        <f t="shared" ca="1" si="168"/>
        <v>3095</v>
      </c>
      <c r="J534" s="10">
        <f t="shared" ca="1" si="169"/>
        <v>3310</v>
      </c>
      <c r="K534" s="10">
        <f t="shared" si="160"/>
        <v>4000</v>
      </c>
      <c r="L534" s="10">
        <f t="shared" si="161"/>
        <v>4000</v>
      </c>
      <c r="M534" s="10">
        <f t="shared" si="162"/>
        <v>4000</v>
      </c>
      <c r="N534" s="10">
        <f t="shared" ca="1" si="173"/>
        <v>-670</v>
      </c>
      <c r="O534" s="10">
        <f t="shared" ca="1" si="174"/>
        <v>-905</v>
      </c>
      <c r="P534" s="10">
        <f t="shared" ca="1" si="175"/>
        <v>-690</v>
      </c>
      <c r="Q534" s="14">
        <v>0</v>
      </c>
      <c r="R534" s="14">
        <v>0</v>
      </c>
      <c r="S534" s="14">
        <v>2</v>
      </c>
      <c r="T534" s="13">
        <f t="shared" ca="1" si="170"/>
        <v>-24</v>
      </c>
      <c r="U534" s="12">
        <f t="shared" ca="1" si="157"/>
        <v>3490</v>
      </c>
      <c r="V534" s="12">
        <f t="shared" ca="1" si="156"/>
        <v>3305</v>
      </c>
      <c r="W534" s="12">
        <f t="shared" ca="1" si="158"/>
        <v>3550</v>
      </c>
      <c r="X534" s="11"/>
      <c r="Y534" s="10"/>
      <c r="Z534" s="10"/>
      <c r="AA534" s="10"/>
      <c r="AB534" s="9"/>
    </row>
    <row r="535" spans="1:28" ht="13.15" customHeight="1">
      <c r="A535" s="16">
        <f t="shared" si="159"/>
        <v>521</v>
      </c>
      <c r="B535" s="17">
        <f t="shared" si="171"/>
        <v>45593</v>
      </c>
      <c r="C535" s="16">
        <f t="shared" si="172"/>
        <v>1069</v>
      </c>
      <c r="D535" s="15">
        <f t="shared" si="163"/>
        <v>2214</v>
      </c>
      <c r="E535" s="14">
        <f t="shared" ca="1" si="164"/>
        <v>-47</v>
      </c>
      <c r="F535" s="14">
        <f t="shared" ca="1" si="165"/>
        <v>190</v>
      </c>
      <c r="G535" s="14">
        <f t="shared" ca="1" si="166"/>
        <v>-27</v>
      </c>
      <c r="H535" s="10">
        <f t="shared" ca="1" si="167"/>
        <v>3330</v>
      </c>
      <c r="I535" s="10">
        <f t="shared" ca="1" si="168"/>
        <v>3093</v>
      </c>
      <c r="J535" s="10">
        <f t="shared" ca="1" si="169"/>
        <v>3310</v>
      </c>
      <c r="K535" s="10">
        <f t="shared" si="160"/>
        <v>4000</v>
      </c>
      <c r="L535" s="10">
        <f t="shared" si="161"/>
        <v>4000</v>
      </c>
      <c r="M535" s="10">
        <f t="shared" si="162"/>
        <v>4000</v>
      </c>
      <c r="N535" s="10">
        <f t="shared" ca="1" si="173"/>
        <v>-670</v>
      </c>
      <c r="O535" s="10">
        <f t="shared" ca="1" si="174"/>
        <v>-907</v>
      </c>
      <c r="P535" s="10">
        <f t="shared" ca="1" si="175"/>
        <v>-690</v>
      </c>
      <c r="Q535" s="14">
        <v>0</v>
      </c>
      <c r="R535" s="14">
        <v>2</v>
      </c>
      <c r="S535" s="14">
        <v>0</v>
      </c>
      <c r="T535" s="13">
        <f t="shared" ca="1" si="170"/>
        <v>-20</v>
      </c>
      <c r="U535" s="12">
        <f t="shared" ca="1" si="157"/>
        <v>3490</v>
      </c>
      <c r="V535" s="12">
        <f t="shared" ca="1" si="156"/>
        <v>3303</v>
      </c>
      <c r="W535" s="12">
        <f t="shared" ca="1" si="158"/>
        <v>3550</v>
      </c>
      <c r="X535" s="11"/>
      <c r="Y535" s="10"/>
      <c r="Z535" s="10"/>
      <c r="AA535" s="10"/>
      <c r="AB535" s="9"/>
    </row>
    <row r="536" spans="1:28" ht="13.15" customHeight="1">
      <c r="A536" s="16">
        <f t="shared" si="159"/>
        <v>522</v>
      </c>
      <c r="B536" s="17">
        <f t="shared" si="171"/>
        <v>45594</v>
      </c>
      <c r="C536" s="16">
        <f t="shared" si="172"/>
        <v>1069</v>
      </c>
      <c r="D536" s="15">
        <f t="shared" si="163"/>
        <v>2216</v>
      </c>
      <c r="E536" s="14">
        <f t="shared" ca="1" si="164"/>
        <v>-45</v>
      </c>
      <c r="F536" s="14">
        <f t="shared" ca="1" si="165"/>
        <v>192</v>
      </c>
      <c r="G536" s="14">
        <f t="shared" ca="1" si="166"/>
        <v>-25</v>
      </c>
      <c r="H536" s="10">
        <f t="shared" ca="1" si="167"/>
        <v>3330</v>
      </c>
      <c r="I536" s="10">
        <f t="shared" ca="1" si="168"/>
        <v>3093</v>
      </c>
      <c r="J536" s="10">
        <f t="shared" ca="1" si="169"/>
        <v>3310</v>
      </c>
      <c r="K536" s="10">
        <f t="shared" si="160"/>
        <v>4000</v>
      </c>
      <c r="L536" s="10">
        <f t="shared" si="161"/>
        <v>4000</v>
      </c>
      <c r="M536" s="10">
        <f t="shared" si="162"/>
        <v>4000</v>
      </c>
      <c r="N536" s="10">
        <f t="shared" ca="1" si="173"/>
        <v>-670</v>
      </c>
      <c r="O536" s="10">
        <f t="shared" ca="1" si="174"/>
        <v>-907</v>
      </c>
      <c r="P536" s="10">
        <f t="shared" ca="1" si="175"/>
        <v>-690</v>
      </c>
      <c r="Q536" s="14">
        <v>0</v>
      </c>
      <c r="R536" s="14">
        <v>0</v>
      </c>
      <c r="S536" s="14">
        <v>0</v>
      </c>
      <c r="T536" s="13">
        <f t="shared" ca="1" si="170"/>
        <v>-18</v>
      </c>
      <c r="U536" s="12">
        <f t="shared" ca="1" si="157"/>
        <v>3490</v>
      </c>
      <c r="V536" s="12">
        <f t="shared" ca="1" si="156"/>
        <v>3303</v>
      </c>
      <c r="W536" s="12">
        <f t="shared" ca="1" si="158"/>
        <v>3550</v>
      </c>
      <c r="X536" s="11"/>
      <c r="Y536" s="10"/>
      <c r="Z536" s="10"/>
      <c r="AA536" s="10"/>
      <c r="AB536" s="9"/>
    </row>
    <row r="537" spans="1:28" ht="13.15" customHeight="1">
      <c r="A537" s="16">
        <f t="shared" si="159"/>
        <v>523</v>
      </c>
      <c r="B537" s="17">
        <f t="shared" si="171"/>
        <v>45595</v>
      </c>
      <c r="C537" s="16">
        <f t="shared" si="172"/>
        <v>1069</v>
      </c>
      <c r="D537" s="15">
        <f t="shared" si="163"/>
        <v>2218</v>
      </c>
      <c r="E537" s="14">
        <f t="shared" ca="1" si="164"/>
        <v>-41</v>
      </c>
      <c r="F537" s="14">
        <f t="shared" ca="1" si="165"/>
        <v>194</v>
      </c>
      <c r="G537" s="14">
        <f t="shared" ca="1" si="166"/>
        <v>-23</v>
      </c>
      <c r="H537" s="10">
        <f t="shared" ca="1" si="167"/>
        <v>3328</v>
      </c>
      <c r="I537" s="10">
        <f t="shared" ca="1" si="168"/>
        <v>3093</v>
      </c>
      <c r="J537" s="10">
        <f t="shared" ca="1" si="169"/>
        <v>3310</v>
      </c>
      <c r="K537" s="10">
        <f t="shared" si="160"/>
        <v>4000</v>
      </c>
      <c r="L537" s="10">
        <f t="shared" si="161"/>
        <v>4000</v>
      </c>
      <c r="M537" s="10">
        <f t="shared" si="162"/>
        <v>4000</v>
      </c>
      <c r="N537" s="10">
        <f t="shared" ca="1" si="173"/>
        <v>-672</v>
      </c>
      <c r="O537" s="10">
        <f t="shared" ca="1" si="174"/>
        <v>-907</v>
      </c>
      <c r="P537" s="10">
        <f t="shared" ca="1" si="175"/>
        <v>-690</v>
      </c>
      <c r="Q537" s="14">
        <v>2</v>
      </c>
      <c r="R537" s="14">
        <v>0</v>
      </c>
      <c r="S537" s="14">
        <v>0</v>
      </c>
      <c r="T537" s="13">
        <f t="shared" ca="1" si="170"/>
        <v>-16</v>
      </c>
      <c r="U537" s="12">
        <f t="shared" ca="1" si="157"/>
        <v>3488</v>
      </c>
      <c r="V537" s="12">
        <f t="shared" ca="1" si="156"/>
        <v>3303</v>
      </c>
      <c r="W537" s="12">
        <f t="shared" ca="1" si="158"/>
        <v>3550</v>
      </c>
      <c r="X537" s="11"/>
      <c r="Y537" s="10"/>
      <c r="Z537" s="10"/>
      <c r="AA537" s="10"/>
      <c r="AB537" s="9"/>
    </row>
    <row r="538" spans="1:28" ht="13.15" customHeight="1">
      <c r="A538" s="16">
        <f t="shared" si="159"/>
        <v>524</v>
      </c>
      <c r="B538" s="17">
        <f t="shared" si="171"/>
        <v>45596</v>
      </c>
      <c r="C538" s="16">
        <f t="shared" si="172"/>
        <v>1069</v>
      </c>
      <c r="D538" s="15">
        <f t="shared" si="163"/>
        <v>2220</v>
      </c>
      <c r="E538" s="14">
        <f t="shared" ca="1" si="164"/>
        <v>-39</v>
      </c>
      <c r="F538" s="14">
        <f t="shared" ca="1" si="165"/>
        <v>198</v>
      </c>
      <c r="G538" s="14">
        <f t="shared" ca="1" si="166"/>
        <v>-21</v>
      </c>
      <c r="H538" s="10">
        <f t="shared" ca="1" si="167"/>
        <v>3328</v>
      </c>
      <c r="I538" s="10">
        <f t="shared" ca="1" si="168"/>
        <v>3091</v>
      </c>
      <c r="J538" s="10">
        <f t="shared" ca="1" si="169"/>
        <v>3310</v>
      </c>
      <c r="K538" s="10">
        <f t="shared" si="160"/>
        <v>4000</v>
      </c>
      <c r="L538" s="10">
        <f t="shared" si="161"/>
        <v>4000</v>
      </c>
      <c r="M538" s="10">
        <f t="shared" si="162"/>
        <v>4000</v>
      </c>
      <c r="N538" s="10">
        <f t="shared" ca="1" si="173"/>
        <v>-672</v>
      </c>
      <c r="O538" s="10">
        <f t="shared" ca="1" si="174"/>
        <v>-909</v>
      </c>
      <c r="P538" s="10">
        <f t="shared" ca="1" si="175"/>
        <v>-690</v>
      </c>
      <c r="Q538" s="14">
        <v>0</v>
      </c>
      <c r="R538" s="14">
        <v>2</v>
      </c>
      <c r="S538" s="14">
        <v>0</v>
      </c>
      <c r="T538" s="13">
        <f t="shared" ca="1" si="170"/>
        <v>-12</v>
      </c>
      <c r="U538" s="12">
        <f t="shared" ca="1" si="157"/>
        <v>3488</v>
      </c>
      <c r="V538" s="12">
        <f t="shared" ca="1" si="156"/>
        <v>3301</v>
      </c>
      <c r="W538" s="12">
        <f t="shared" ca="1" si="158"/>
        <v>3550</v>
      </c>
      <c r="X538" s="11"/>
      <c r="Y538" s="10"/>
      <c r="Z538" s="10"/>
      <c r="AA538" s="10"/>
      <c r="AB538" s="9"/>
    </row>
    <row r="539" spans="1:28" ht="13.15" customHeight="1">
      <c r="A539" s="16">
        <f t="shared" si="159"/>
        <v>525</v>
      </c>
      <c r="B539" s="17">
        <f t="shared" si="171"/>
        <v>45597</v>
      </c>
      <c r="C539" s="16">
        <f t="shared" si="172"/>
        <v>1069</v>
      </c>
      <c r="D539" s="15">
        <f t="shared" si="163"/>
        <v>2222</v>
      </c>
      <c r="E539" s="14">
        <f t="shared" ca="1" si="164"/>
        <v>-37</v>
      </c>
      <c r="F539" s="14">
        <f t="shared" ca="1" si="165"/>
        <v>200</v>
      </c>
      <c r="G539" s="14">
        <f t="shared" ca="1" si="166"/>
        <v>-17</v>
      </c>
      <c r="H539" s="10">
        <f t="shared" ca="1" si="167"/>
        <v>3328</v>
      </c>
      <c r="I539" s="10">
        <f t="shared" ca="1" si="168"/>
        <v>3091</v>
      </c>
      <c r="J539" s="10">
        <f t="shared" ca="1" si="169"/>
        <v>3308</v>
      </c>
      <c r="K539" s="10">
        <f t="shared" si="160"/>
        <v>4000</v>
      </c>
      <c r="L539" s="10">
        <f t="shared" si="161"/>
        <v>4000</v>
      </c>
      <c r="M539" s="10">
        <f t="shared" si="162"/>
        <v>4000</v>
      </c>
      <c r="N539" s="10">
        <f t="shared" ca="1" si="173"/>
        <v>-672</v>
      </c>
      <c r="O539" s="10">
        <f t="shared" ca="1" si="174"/>
        <v>-909</v>
      </c>
      <c r="P539" s="10">
        <f t="shared" ca="1" si="175"/>
        <v>-692</v>
      </c>
      <c r="Q539" s="14">
        <v>0</v>
      </c>
      <c r="R539" s="14">
        <v>0</v>
      </c>
      <c r="S539" s="14">
        <v>2</v>
      </c>
      <c r="T539" s="13">
        <f t="shared" ca="1" si="170"/>
        <v>-10</v>
      </c>
      <c r="U539" s="12">
        <f t="shared" ca="1" si="157"/>
        <v>3488</v>
      </c>
      <c r="V539" s="12">
        <f t="shared" ref="V539:V602" ca="1" si="176">V538+$X539*1000-R539</f>
        <v>3301</v>
      </c>
      <c r="W539" s="12">
        <f t="shared" ca="1" si="158"/>
        <v>3548</v>
      </c>
      <c r="X539" s="11"/>
      <c r="Y539" s="10"/>
      <c r="Z539" s="10"/>
      <c r="AA539" s="10"/>
      <c r="AB539" s="9"/>
    </row>
    <row r="540" spans="1:28" ht="13.15" customHeight="1">
      <c r="A540" s="16">
        <f t="shared" si="159"/>
        <v>526</v>
      </c>
      <c r="B540" s="17">
        <f t="shared" si="171"/>
        <v>45598</v>
      </c>
      <c r="C540" s="16">
        <f t="shared" si="172"/>
        <v>1069</v>
      </c>
      <c r="D540" s="15">
        <f t="shared" si="163"/>
        <v>2224</v>
      </c>
      <c r="E540" s="14">
        <f t="shared" ca="1" si="164"/>
        <v>-33</v>
      </c>
      <c r="F540" s="14">
        <f t="shared" ca="1" si="165"/>
        <v>202</v>
      </c>
      <c r="G540" s="14">
        <f t="shared" ca="1" si="166"/>
        <v>-15</v>
      </c>
      <c r="H540" s="10">
        <f t="shared" ca="1" si="167"/>
        <v>3326</v>
      </c>
      <c r="I540" s="10">
        <f t="shared" ca="1" si="168"/>
        <v>3091</v>
      </c>
      <c r="J540" s="10">
        <f t="shared" ca="1" si="169"/>
        <v>3308</v>
      </c>
      <c r="K540" s="10">
        <f t="shared" si="160"/>
        <v>4000</v>
      </c>
      <c r="L540" s="10">
        <f t="shared" si="161"/>
        <v>4000</v>
      </c>
      <c r="M540" s="10">
        <f t="shared" si="162"/>
        <v>4000</v>
      </c>
      <c r="N540" s="10">
        <f t="shared" ca="1" si="173"/>
        <v>-674</v>
      </c>
      <c r="O540" s="10">
        <f t="shared" ca="1" si="174"/>
        <v>-909</v>
      </c>
      <c r="P540" s="10">
        <f t="shared" ca="1" si="175"/>
        <v>-692</v>
      </c>
      <c r="Q540" s="14">
        <v>2</v>
      </c>
      <c r="R540" s="14">
        <v>0</v>
      </c>
      <c r="S540" s="14">
        <v>0</v>
      </c>
      <c r="T540" s="13">
        <f t="shared" ca="1" si="170"/>
        <v>-8</v>
      </c>
      <c r="U540" s="12">
        <f t="shared" ref="U540:U603" ca="1" si="177">U539+$X540*1000-Q540</f>
        <v>3486</v>
      </c>
      <c r="V540" s="12">
        <f t="shared" ca="1" si="176"/>
        <v>3301</v>
      </c>
      <c r="W540" s="12">
        <f t="shared" ref="W540:W603" ca="1" si="178">W539+$X540*1000-S540</f>
        <v>3548</v>
      </c>
      <c r="X540" s="11"/>
      <c r="Y540" s="10"/>
      <c r="Z540" s="10"/>
      <c r="AA540" s="10"/>
      <c r="AB540" s="9"/>
    </row>
    <row r="541" spans="1:28" ht="13.15" customHeight="1">
      <c r="A541" s="16">
        <f t="shared" ref="A541:A604" si="179">+A540+1</f>
        <v>527</v>
      </c>
      <c r="B541" s="17">
        <f t="shared" si="171"/>
        <v>45599</v>
      </c>
      <c r="C541" s="16">
        <f t="shared" si="172"/>
        <v>1069</v>
      </c>
      <c r="D541" s="15">
        <f t="shared" si="163"/>
        <v>2226</v>
      </c>
      <c r="E541" s="14">
        <f t="shared" ca="1" si="164"/>
        <v>-31</v>
      </c>
      <c r="F541" s="14">
        <f t="shared" ca="1" si="165"/>
        <v>205</v>
      </c>
      <c r="G541" s="14">
        <f t="shared" ca="1" si="166"/>
        <v>-13</v>
      </c>
      <c r="H541" s="10">
        <f t="shared" ca="1" si="167"/>
        <v>3326</v>
      </c>
      <c r="I541" s="10">
        <f t="shared" ca="1" si="168"/>
        <v>3090</v>
      </c>
      <c r="J541" s="10">
        <f t="shared" ca="1" si="169"/>
        <v>3308</v>
      </c>
      <c r="K541" s="10">
        <f t="shared" si="160"/>
        <v>4000</v>
      </c>
      <c r="L541" s="10">
        <f t="shared" si="161"/>
        <v>4000</v>
      </c>
      <c r="M541" s="10">
        <f t="shared" si="162"/>
        <v>4000</v>
      </c>
      <c r="N541" s="10">
        <f t="shared" ca="1" si="173"/>
        <v>-674</v>
      </c>
      <c r="O541" s="10">
        <f t="shared" ca="1" si="174"/>
        <v>-910</v>
      </c>
      <c r="P541" s="10">
        <f t="shared" ca="1" si="175"/>
        <v>-692</v>
      </c>
      <c r="Q541" s="14">
        <v>0</v>
      </c>
      <c r="R541" s="14">
        <v>1</v>
      </c>
      <c r="S541" s="14">
        <v>0</v>
      </c>
      <c r="T541" s="13">
        <f t="shared" ca="1" si="170"/>
        <v>-5</v>
      </c>
      <c r="U541" s="12">
        <f t="shared" ca="1" si="177"/>
        <v>3486</v>
      </c>
      <c r="V541" s="12">
        <f t="shared" ca="1" si="176"/>
        <v>3300</v>
      </c>
      <c r="W541" s="12">
        <f t="shared" ca="1" si="178"/>
        <v>3548</v>
      </c>
      <c r="X541" s="11"/>
      <c r="Y541" s="10"/>
      <c r="Z541" s="10"/>
      <c r="AA541" s="10"/>
      <c r="AB541" s="9"/>
    </row>
    <row r="542" spans="1:28" ht="13.15" customHeight="1">
      <c r="A542" s="16">
        <f t="shared" si="179"/>
        <v>528</v>
      </c>
      <c r="B542" s="17">
        <f t="shared" si="171"/>
        <v>45600</v>
      </c>
      <c r="C542" s="16">
        <f t="shared" si="172"/>
        <v>1069</v>
      </c>
      <c r="D542" s="15">
        <f t="shared" si="163"/>
        <v>2228</v>
      </c>
      <c r="E542" s="14">
        <f t="shared" ca="1" si="164"/>
        <v>-29</v>
      </c>
      <c r="F542" s="14">
        <f t="shared" ca="1" si="165"/>
        <v>207</v>
      </c>
      <c r="G542" s="14">
        <f t="shared" ca="1" si="166"/>
        <v>-11</v>
      </c>
      <c r="H542" s="10">
        <f t="shared" ca="1" si="167"/>
        <v>3326</v>
      </c>
      <c r="I542" s="10">
        <f t="shared" ca="1" si="168"/>
        <v>3090</v>
      </c>
      <c r="J542" s="10">
        <f t="shared" ca="1" si="169"/>
        <v>3308</v>
      </c>
      <c r="K542" s="10">
        <f t="shared" si="160"/>
        <v>4000</v>
      </c>
      <c r="L542" s="10">
        <f t="shared" si="161"/>
        <v>4000</v>
      </c>
      <c r="M542" s="10">
        <f t="shared" si="162"/>
        <v>4000</v>
      </c>
      <c r="N542" s="10">
        <f t="shared" ca="1" si="173"/>
        <v>-674</v>
      </c>
      <c r="O542" s="10">
        <f t="shared" ca="1" si="174"/>
        <v>-910</v>
      </c>
      <c r="P542" s="10">
        <f t="shared" ca="1" si="175"/>
        <v>-692</v>
      </c>
      <c r="Q542" s="14">
        <v>0</v>
      </c>
      <c r="R542" s="14">
        <v>0</v>
      </c>
      <c r="S542" s="14">
        <v>0</v>
      </c>
      <c r="T542" s="13">
        <f t="shared" ca="1" si="170"/>
        <v>-3</v>
      </c>
      <c r="U542" s="12">
        <f t="shared" ca="1" si="177"/>
        <v>3486</v>
      </c>
      <c r="V542" s="12">
        <f t="shared" ca="1" si="176"/>
        <v>3300</v>
      </c>
      <c r="W542" s="12">
        <f t="shared" ca="1" si="178"/>
        <v>3548</v>
      </c>
      <c r="X542" s="11"/>
      <c r="Y542" s="10"/>
      <c r="Z542" s="10"/>
      <c r="AA542" s="10"/>
      <c r="AB542" s="9"/>
    </row>
    <row r="543" spans="1:28" ht="13.15" customHeight="1">
      <c r="A543" s="16">
        <f t="shared" si="179"/>
        <v>529</v>
      </c>
      <c r="B543" s="17">
        <f t="shared" si="171"/>
        <v>45601</v>
      </c>
      <c r="C543" s="16">
        <f t="shared" si="172"/>
        <v>1069</v>
      </c>
      <c r="D543" s="15">
        <f t="shared" si="163"/>
        <v>2230</v>
      </c>
      <c r="E543" s="14">
        <f t="shared" ca="1" si="164"/>
        <v>-26</v>
      </c>
      <c r="F543" s="14">
        <f t="shared" ca="1" si="165"/>
        <v>209</v>
      </c>
      <c r="G543" s="14">
        <f t="shared" ca="1" si="166"/>
        <v>-9</v>
      </c>
      <c r="H543" s="10">
        <f t="shared" ca="1" si="167"/>
        <v>3325</v>
      </c>
      <c r="I543" s="10">
        <f t="shared" ca="1" si="168"/>
        <v>3090</v>
      </c>
      <c r="J543" s="10">
        <f t="shared" ca="1" si="169"/>
        <v>3308</v>
      </c>
      <c r="K543" s="10">
        <f t="shared" si="160"/>
        <v>4000</v>
      </c>
      <c r="L543" s="10">
        <f t="shared" si="161"/>
        <v>4000</v>
      </c>
      <c r="M543" s="10">
        <f t="shared" si="162"/>
        <v>4000</v>
      </c>
      <c r="N543" s="10">
        <f t="shared" ca="1" si="173"/>
        <v>-675</v>
      </c>
      <c r="O543" s="10">
        <f t="shared" ca="1" si="174"/>
        <v>-910</v>
      </c>
      <c r="P543" s="10">
        <f t="shared" ca="1" si="175"/>
        <v>-692</v>
      </c>
      <c r="Q543" s="14">
        <v>1</v>
      </c>
      <c r="R543" s="14">
        <v>0</v>
      </c>
      <c r="S543" s="14">
        <v>0</v>
      </c>
      <c r="T543" s="13">
        <f t="shared" ca="1" si="170"/>
        <v>-1</v>
      </c>
      <c r="U543" s="12">
        <f t="shared" ca="1" si="177"/>
        <v>3485</v>
      </c>
      <c r="V543" s="12">
        <f t="shared" ca="1" si="176"/>
        <v>3300</v>
      </c>
      <c r="W543" s="12">
        <f t="shared" ca="1" si="178"/>
        <v>3548</v>
      </c>
      <c r="X543" s="11"/>
      <c r="Y543" s="10"/>
      <c r="Z543" s="10"/>
      <c r="AA543" s="10"/>
      <c r="AB543" s="9"/>
    </row>
    <row r="544" spans="1:28" ht="13.15" customHeight="1">
      <c r="A544" s="16">
        <f t="shared" si="179"/>
        <v>530</v>
      </c>
      <c r="B544" s="17">
        <f t="shared" si="171"/>
        <v>45602</v>
      </c>
      <c r="C544" s="16">
        <f t="shared" si="172"/>
        <v>1069</v>
      </c>
      <c r="D544" s="15">
        <f t="shared" si="163"/>
        <v>2232</v>
      </c>
      <c r="E544" s="14">
        <f t="shared" ca="1" si="164"/>
        <v>-24</v>
      </c>
      <c r="F544" s="14">
        <f t="shared" ca="1" si="165"/>
        <v>213</v>
      </c>
      <c r="G544" s="14">
        <f t="shared" ca="1" si="166"/>
        <v>-7</v>
      </c>
      <c r="H544" s="10">
        <f t="shared" ca="1" si="167"/>
        <v>3325</v>
      </c>
      <c r="I544" s="10">
        <f t="shared" ca="1" si="168"/>
        <v>3088</v>
      </c>
      <c r="J544" s="10">
        <f t="shared" ca="1" si="169"/>
        <v>3308</v>
      </c>
      <c r="K544" s="10">
        <f t="shared" si="160"/>
        <v>4000</v>
      </c>
      <c r="L544" s="10">
        <f t="shared" si="161"/>
        <v>4000</v>
      </c>
      <c r="M544" s="10">
        <f t="shared" si="162"/>
        <v>4000</v>
      </c>
      <c r="N544" s="10">
        <f t="shared" ca="1" si="173"/>
        <v>-675</v>
      </c>
      <c r="O544" s="10">
        <f t="shared" ca="1" si="174"/>
        <v>-912</v>
      </c>
      <c r="P544" s="10">
        <f t="shared" ca="1" si="175"/>
        <v>-692</v>
      </c>
      <c r="Q544" s="14">
        <v>0</v>
      </c>
      <c r="R544" s="14">
        <v>2</v>
      </c>
      <c r="S544" s="14">
        <v>0</v>
      </c>
      <c r="T544" s="13">
        <f t="shared" ca="1" si="170"/>
        <v>3</v>
      </c>
      <c r="U544" s="12">
        <f t="shared" ca="1" si="177"/>
        <v>3485</v>
      </c>
      <c r="V544" s="12">
        <f t="shared" ca="1" si="176"/>
        <v>3298</v>
      </c>
      <c r="W544" s="12">
        <f t="shared" ca="1" si="178"/>
        <v>3548</v>
      </c>
      <c r="X544" s="11"/>
      <c r="Y544" s="10"/>
      <c r="Z544" s="10"/>
      <c r="AA544" s="10"/>
      <c r="AB544" s="9"/>
    </row>
    <row r="545" spans="1:28" ht="13.15" customHeight="1">
      <c r="A545" s="16">
        <f t="shared" si="179"/>
        <v>531</v>
      </c>
      <c r="B545" s="17">
        <f t="shared" si="171"/>
        <v>45603</v>
      </c>
      <c r="C545" s="16">
        <f t="shared" si="172"/>
        <v>1069</v>
      </c>
      <c r="D545" s="15">
        <f t="shared" si="163"/>
        <v>2234</v>
      </c>
      <c r="E545" s="14">
        <f t="shared" ca="1" si="164"/>
        <v>-22</v>
      </c>
      <c r="F545" s="14">
        <f t="shared" ca="1" si="165"/>
        <v>215</v>
      </c>
      <c r="G545" s="14">
        <f t="shared" ca="1" si="166"/>
        <v>-5</v>
      </c>
      <c r="H545" s="10">
        <f t="shared" ca="1" si="167"/>
        <v>3325</v>
      </c>
      <c r="I545" s="10">
        <f t="shared" ca="1" si="168"/>
        <v>3088</v>
      </c>
      <c r="J545" s="10">
        <f t="shared" ca="1" si="169"/>
        <v>3308</v>
      </c>
      <c r="K545" s="10">
        <f t="shared" si="160"/>
        <v>4000</v>
      </c>
      <c r="L545" s="10">
        <f t="shared" si="161"/>
        <v>4000</v>
      </c>
      <c r="M545" s="10">
        <f t="shared" si="162"/>
        <v>4000</v>
      </c>
      <c r="N545" s="10">
        <f t="shared" ca="1" si="173"/>
        <v>-675</v>
      </c>
      <c r="O545" s="10">
        <f t="shared" ca="1" si="174"/>
        <v>-912</v>
      </c>
      <c r="P545" s="10">
        <f t="shared" ca="1" si="175"/>
        <v>-692</v>
      </c>
      <c r="Q545" s="14">
        <v>0</v>
      </c>
      <c r="R545" s="14">
        <v>0</v>
      </c>
      <c r="S545" s="14">
        <v>0</v>
      </c>
      <c r="T545" s="13">
        <f t="shared" ca="1" si="170"/>
        <v>5</v>
      </c>
      <c r="U545" s="12">
        <f t="shared" ca="1" si="177"/>
        <v>3485</v>
      </c>
      <c r="V545" s="12">
        <f t="shared" ca="1" si="176"/>
        <v>3298</v>
      </c>
      <c r="W545" s="12">
        <f t="shared" ca="1" si="178"/>
        <v>3548</v>
      </c>
      <c r="X545" s="11"/>
      <c r="Y545" s="10"/>
      <c r="Z545" s="10"/>
      <c r="AA545" s="10"/>
      <c r="AB545" s="9"/>
    </row>
    <row r="546" spans="1:28" ht="13.15" customHeight="1">
      <c r="A546" s="16">
        <f t="shared" si="179"/>
        <v>532</v>
      </c>
      <c r="B546" s="17">
        <f t="shared" si="171"/>
        <v>45604</v>
      </c>
      <c r="C546" s="16">
        <f t="shared" si="172"/>
        <v>1069</v>
      </c>
      <c r="D546" s="15">
        <f t="shared" si="163"/>
        <v>2236</v>
      </c>
      <c r="E546" s="14">
        <f t="shared" ca="1" si="164"/>
        <v>-13</v>
      </c>
      <c r="F546" s="14">
        <f t="shared" ca="1" si="165"/>
        <v>218</v>
      </c>
      <c r="G546" s="14">
        <f t="shared" ca="1" si="166"/>
        <v>-3</v>
      </c>
      <c r="H546" s="10">
        <f t="shared" ca="1" si="167"/>
        <v>3318</v>
      </c>
      <c r="I546" s="10">
        <f t="shared" ca="1" si="168"/>
        <v>3087</v>
      </c>
      <c r="J546" s="10">
        <f t="shared" ca="1" si="169"/>
        <v>3308</v>
      </c>
      <c r="K546" s="10">
        <f t="shared" si="160"/>
        <v>4000</v>
      </c>
      <c r="L546" s="10">
        <f t="shared" si="161"/>
        <v>4000</v>
      </c>
      <c r="M546" s="10">
        <f t="shared" si="162"/>
        <v>4000</v>
      </c>
      <c r="N546" s="10">
        <f t="shared" ca="1" si="173"/>
        <v>-682</v>
      </c>
      <c r="O546" s="10">
        <f t="shared" ca="1" si="174"/>
        <v>-913</v>
      </c>
      <c r="P546" s="10">
        <f t="shared" ca="1" si="175"/>
        <v>-692</v>
      </c>
      <c r="Q546" s="14">
        <v>7</v>
      </c>
      <c r="R546" s="14">
        <v>1</v>
      </c>
      <c r="S546" s="14">
        <v>0</v>
      </c>
      <c r="T546" s="13">
        <f t="shared" ca="1" si="170"/>
        <v>8</v>
      </c>
      <c r="U546" s="12">
        <f t="shared" ca="1" si="177"/>
        <v>3478</v>
      </c>
      <c r="V546" s="12">
        <f t="shared" ca="1" si="176"/>
        <v>3297</v>
      </c>
      <c r="W546" s="12">
        <f t="shared" ca="1" si="178"/>
        <v>3548</v>
      </c>
      <c r="X546" s="11"/>
      <c r="Y546" s="10"/>
      <c r="Z546" s="10"/>
      <c r="AA546" s="10"/>
      <c r="AB546" s="9"/>
    </row>
    <row r="547" spans="1:28" ht="13.15" customHeight="1">
      <c r="A547" s="16">
        <f t="shared" si="179"/>
        <v>533</v>
      </c>
      <c r="B547" s="17">
        <f t="shared" si="171"/>
        <v>45605</v>
      </c>
      <c r="C547" s="16">
        <f t="shared" si="172"/>
        <v>1069</v>
      </c>
      <c r="D547" s="15">
        <f t="shared" si="163"/>
        <v>2238</v>
      </c>
      <c r="E547" s="14">
        <f t="shared" ca="1" si="164"/>
        <v>-7</v>
      </c>
      <c r="F547" s="14">
        <f t="shared" ca="1" si="165"/>
        <v>220</v>
      </c>
      <c r="G547" s="14">
        <f t="shared" ca="1" si="166"/>
        <v>-1</v>
      </c>
      <c r="H547" s="10">
        <f t="shared" ca="1" si="167"/>
        <v>3314</v>
      </c>
      <c r="I547" s="10">
        <f t="shared" ca="1" si="168"/>
        <v>3087</v>
      </c>
      <c r="J547" s="10">
        <f t="shared" ca="1" si="169"/>
        <v>3308</v>
      </c>
      <c r="K547" s="10">
        <f t="shared" si="160"/>
        <v>4000</v>
      </c>
      <c r="L547" s="10">
        <f t="shared" si="161"/>
        <v>4000</v>
      </c>
      <c r="M547" s="10">
        <f t="shared" si="162"/>
        <v>4000</v>
      </c>
      <c r="N547" s="10">
        <f t="shared" ca="1" si="173"/>
        <v>-686</v>
      </c>
      <c r="O547" s="10">
        <f t="shared" ca="1" si="174"/>
        <v>-913</v>
      </c>
      <c r="P547" s="10">
        <f t="shared" ca="1" si="175"/>
        <v>-692</v>
      </c>
      <c r="Q547" s="14">
        <v>4</v>
      </c>
      <c r="R547" s="14">
        <v>0</v>
      </c>
      <c r="S547" s="14">
        <v>0</v>
      </c>
      <c r="T547" s="13">
        <f t="shared" ca="1" si="170"/>
        <v>10</v>
      </c>
      <c r="U547" s="12">
        <f t="shared" ca="1" si="177"/>
        <v>3474</v>
      </c>
      <c r="V547" s="12">
        <f t="shared" ca="1" si="176"/>
        <v>3297</v>
      </c>
      <c r="W547" s="12">
        <f t="shared" ca="1" si="178"/>
        <v>3548</v>
      </c>
      <c r="X547" s="11"/>
      <c r="Y547" s="10"/>
      <c r="Z547" s="10"/>
      <c r="AA547" s="10"/>
      <c r="AB547" s="9"/>
    </row>
    <row r="548" spans="1:28" ht="13.15" customHeight="1">
      <c r="A548" s="16">
        <f t="shared" si="179"/>
        <v>534</v>
      </c>
      <c r="B548" s="17">
        <f t="shared" si="171"/>
        <v>45606</v>
      </c>
      <c r="C548" s="16">
        <f t="shared" si="172"/>
        <v>1069</v>
      </c>
      <c r="D548" s="15">
        <f t="shared" si="163"/>
        <v>2240</v>
      </c>
      <c r="E548" s="14">
        <f t="shared" ca="1" si="164"/>
        <v>-2</v>
      </c>
      <c r="F548" s="14">
        <f t="shared" ca="1" si="165"/>
        <v>226</v>
      </c>
      <c r="G548" s="14">
        <f t="shared" ca="1" si="166"/>
        <v>1</v>
      </c>
      <c r="H548" s="10">
        <f t="shared" ca="1" si="167"/>
        <v>3311</v>
      </c>
      <c r="I548" s="10">
        <f t="shared" ca="1" si="168"/>
        <v>3083</v>
      </c>
      <c r="J548" s="10">
        <f t="shared" ca="1" si="169"/>
        <v>3308</v>
      </c>
      <c r="K548" s="10">
        <f t="shared" si="160"/>
        <v>4000</v>
      </c>
      <c r="L548" s="10">
        <f t="shared" si="161"/>
        <v>4000</v>
      </c>
      <c r="M548" s="10">
        <f t="shared" si="162"/>
        <v>4000</v>
      </c>
      <c r="N548" s="10">
        <f t="shared" ca="1" si="173"/>
        <v>-689</v>
      </c>
      <c r="O548" s="10">
        <f t="shared" ca="1" si="174"/>
        <v>-917</v>
      </c>
      <c r="P548" s="10">
        <f t="shared" ca="1" si="175"/>
        <v>-692</v>
      </c>
      <c r="Q548" s="14">
        <v>3</v>
      </c>
      <c r="R548" s="14">
        <v>4</v>
      </c>
      <c r="S548" s="14">
        <v>0</v>
      </c>
      <c r="T548" s="13">
        <f t="shared" ca="1" si="170"/>
        <v>16</v>
      </c>
      <c r="U548" s="12">
        <f t="shared" ca="1" si="177"/>
        <v>3471</v>
      </c>
      <c r="V548" s="12">
        <f t="shared" ca="1" si="176"/>
        <v>3293</v>
      </c>
      <c r="W548" s="12">
        <f t="shared" ca="1" si="178"/>
        <v>3548</v>
      </c>
      <c r="X548" s="11"/>
      <c r="Y548" s="10"/>
      <c r="Z548" s="10"/>
      <c r="AA548" s="10"/>
      <c r="AB548" s="9"/>
    </row>
    <row r="549" spans="1:28" ht="13.15" customHeight="1">
      <c r="A549" s="16">
        <f t="shared" si="179"/>
        <v>535</v>
      </c>
      <c r="B549" s="17">
        <f t="shared" si="171"/>
        <v>45607</v>
      </c>
      <c r="C549" s="16">
        <f t="shared" si="172"/>
        <v>1069</v>
      </c>
      <c r="D549" s="15">
        <f t="shared" si="163"/>
        <v>2242</v>
      </c>
      <c r="E549" s="14">
        <f t="shared" ca="1" si="164"/>
        <v>0</v>
      </c>
      <c r="F549" s="14">
        <f t="shared" ca="1" si="165"/>
        <v>229</v>
      </c>
      <c r="G549" s="14">
        <f t="shared" ca="1" si="166"/>
        <v>4</v>
      </c>
      <c r="H549" s="10">
        <f t="shared" ca="1" si="167"/>
        <v>3311</v>
      </c>
      <c r="I549" s="10">
        <f t="shared" ca="1" si="168"/>
        <v>3082</v>
      </c>
      <c r="J549" s="10">
        <f t="shared" ca="1" si="169"/>
        <v>3307</v>
      </c>
      <c r="K549" s="10">
        <f t="shared" si="160"/>
        <v>4000</v>
      </c>
      <c r="L549" s="10">
        <f t="shared" si="161"/>
        <v>4000</v>
      </c>
      <c r="M549" s="10">
        <f t="shared" si="162"/>
        <v>4000</v>
      </c>
      <c r="N549" s="10">
        <f t="shared" ca="1" si="173"/>
        <v>-689</v>
      </c>
      <c r="O549" s="10">
        <f t="shared" ca="1" si="174"/>
        <v>-918</v>
      </c>
      <c r="P549" s="10">
        <f t="shared" ca="1" si="175"/>
        <v>-693</v>
      </c>
      <c r="Q549" s="14">
        <v>0</v>
      </c>
      <c r="R549" s="14">
        <v>1</v>
      </c>
      <c r="S549" s="14">
        <v>1</v>
      </c>
      <c r="T549" s="13">
        <f t="shared" ca="1" si="170"/>
        <v>19</v>
      </c>
      <c r="U549" s="12">
        <f t="shared" ca="1" si="177"/>
        <v>3471</v>
      </c>
      <c r="V549" s="12">
        <f t="shared" ca="1" si="176"/>
        <v>3292</v>
      </c>
      <c r="W549" s="12">
        <f t="shared" ca="1" si="178"/>
        <v>3547</v>
      </c>
      <c r="X549" s="11"/>
      <c r="Y549" s="10"/>
      <c r="Z549" s="10"/>
      <c r="AA549" s="10"/>
      <c r="AB549" s="9"/>
    </row>
    <row r="550" spans="1:28" ht="13.15" customHeight="1">
      <c r="A550" s="16">
        <f t="shared" si="179"/>
        <v>536</v>
      </c>
      <c r="B550" s="17">
        <f t="shared" si="171"/>
        <v>45608</v>
      </c>
      <c r="C550" s="16">
        <f t="shared" si="172"/>
        <v>1069</v>
      </c>
      <c r="D550" s="15">
        <f t="shared" si="163"/>
        <v>2244</v>
      </c>
      <c r="E550" s="14">
        <f t="shared" ca="1" si="164"/>
        <v>2</v>
      </c>
      <c r="F550" s="14">
        <f t="shared" ca="1" si="165"/>
        <v>231</v>
      </c>
      <c r="G550" s="14">
        <f t="shared" ca="1" si="166"/>
        <v>6</v>
      </c>
      <c r="H550" s="10">
        <f t="shared" ca="1" si="167"/>
        <v>3311</v>
      </c>
      <c r="I550" s="10">
        <f t="shared" ca="1" si="168"/>
        <v>3082</v>
      </c>
      <c r="J550" s="10">
        <f t="shared" ca="1" si="169"/>
        <v>3307</v>
      </c>
      <c r="K550" s="10">
        <f t="shared" si="160"/>
        <v>4000</v>
      </c>
      <c r="L550" s="10">
        <f t="shared" si="161"/>
        <v>4000</v>
      </c>
      <c r="M550" s="10">
        <f t="shared" si="162"/>
        <v>4000</v>
      </c>
      <c r="N550" s="10">
        <f t="shared" ca="1" si="173"/>
        <v>-689</v>
      </c>
      <c r="O550" s="10">
        <f t="shared" ca="1" si="174"/>
        <v>-918</v>
      </c>
      <c r="P550" s="10">
        <f t="shared" ca="1" si="175"/>
        <v>-693</v>
      </c>
      <c r="Q550" s="14">
        <v>0</v>
      </c>
      <c r="R550" s="14">
        <v>0</v>
      </c>
      <c r="S550" s="14">
        <v>0</v>
      </c>
      <c r="T550" s="13">
        <f t="shared" ca="1" si="170"/>
        <v>21</v>
      </c>
      <c r="U550" s="12">
        <f t="shared" ca="1" si="177"/>
        <v>3471</v>
      </c>
      <c r="V550" s="12">
        <f t="shared" ca="1" si="176"/>
        <v>3292</v>
      </c>
      <c r="W550" s="12">
        <f t="shared" ca="1" si="178"/>
        <v>3547</v>
      </c>
      <c r="X550" s="11"/>
      <c r="Y550" s="10"/>
      <c r="Z550" s="10"/>
      <c r="AA550" s="10"/>
      <c r="AB550" s="9"/>
    </row>
    <row r="551" spans="1:28" ht="13.15" customHeight="1">
      <c r="A551" s="16">
        <f t="shared" si="179"/>
        <v>537</v>
      </c>
      <c r="B551" s="17">
        <f t="shared" si="171"/>
        <v>45609</v>
      </c>
      <c r="C551" s="16">
        <f t="shared" si="172"/>
        <v>1069</v>
      </c>
      <c r="D551" s="15">
        <f t="shared" si="163"/>
        <v>2246</v>
      </c>
      <c r="E551" s="14">
        <f t="shared" ca="1" si="164"/>
        <v>6</v>
      </c>
      <c r="F551" s="14">
        <f t="shared" ca="1" si="165"/>
        <v>233</v>
      </c>
      <c r="G551" s="14">
        <f t="shared" ca="1" si="166"/>
        <v>8</v>
      </c>
      <c r="H551" s="10">
        <f t="shared" ca="1" si="167"/>
        <v>3309</v>
      </c>
      <c r="I551" s="10">
        <f t="shared" ca="1" si="168"/>
        <v>3082</v>
      </c>
      <c r="J551" s="10">
        <f t="shared" ca="1" si="169"/>
        <v>3307</v>
      </c>
      <c r="K551" s="10">
        <f t="shared" si="160"/>
        <v>4000</v>
      </c>
      <c r="L551" s="10">
        <f t="shared" si="161"/>
        <v>4000</v>
      </c>
      <c r="M551" s="10">
        <f t="shared" si="162"/>
        <v>4000</v>
      </c>
      <c r="N551" s="10">
        <f t="shared" ca="1" si="173"/>
        <v>-691</v>
      </c>
      <c r="O551" s="10">
        <f t="shared" ca="1" si="174"/>
        <v>-918</v>
      </c>
      <c r="P551" s="10">
        <f t="shared" ca="1" si="175"/>
        <v>-693</v>
      </c>
      <c r="Q551" s="14">
        <v>2</v>
      </c>
      <c r="R551" s="14">
        <v>0</v>
      </c>
      <c r="S551" s="14">
        <v>0</v>
      </c>
      <c r="T551" s="13">
        <f t="shared" ca="1" si="170"/>
        <v>23</v>
      </c>
      <c r="U551" s="12">
        <f t="shared" ca="1" si="177"/>
        <v>3469</v>
      </c>
      <c r="V551" s="12">
        <f t="shared" ca="1" si="176"/>
        <v>3292</v>
      </c>
      <c r="W551" s="12">
        <f t="shared" ca="1" si="178"/>
        <v>3547</v>
      </c>
      <c r="X551" s="11"/>
      <c r="Y551" s="10"/>
      <c r="Z551" s="10"/>
      <c r="AA551" s="10"/>
      <c r="AB551" s="9"/>
    </row>
    <row r="552" spans="1:28" ht="13.15" customHeight="1">
      <c r="A552" s="16">
        <f t="shared" si="179"/>
        <v>538</v>
      </c>
      <c r="B552" s="17">
        <f t="shared" si="171"/>
        <v>45610</v>
      </c>
      <c r="C552" s="16">
        <f t="shared" si="172"/>
        <v>1069</v>
      </c>
      <c r="D552" s="15">
        <f t="shared" si="163"/>
        <v>2248</v>
      </c>
      <c r="E552" s="14">
        <f t="shared" ca="1" si="164"/>
        <v>8</v>
      </c>
      <c r="F552" s="14">
        <f t="shared" ca="1" si="165"/>
        <v>237</v>
      </c>
      <c r="G552" s="14">
        <f t="shared" ca="1" si="166"/>
        <v>10</v>
      </c>
      <c r="H552" s="10">
        <f t="shared" ca="1" si="167"/>
        <v>3309</v>
      </c>
      <c r="I552" s="10">
        <f t="shared" ca="1" si="168"/>
        <v>3080</v>
      </c>
      <c r="J552" s="10">
        <f t="shared" ca="1" si="169"/>
        <v>3307</v>
      </c>
      <c r="K552" s="10">
        <f t="shared" si="160"/>
        <v>4000</v>
      </c>
      <c r="L552" s="10">
        <f t="shared" si="161"/>
        <v>4000</v>
      </c>
      <c r="M552" s="10">
        <f t="shared" si="162"/>
        <v>4000</v>
      </c>
      <c r="N552" s="10">
        <f t="shared" ca="1" si="173"/>
        <v>-691</v>
      </c>
      <c r="O552" s="10">
        <f t="shared" ca="1" si="174"/>
        <v>-920</v>
      </c>
      <c r="P552" s="10">
        <f t="shared" ca="1" si="175"/>
        <v>-693</v>
      </c>
      <c r="Q552" s="14">
        <v>0</v>
      </c>
      <c r="R552" s="14">
        <v>2</v>
      </c>
      <c r="S552" s="14">
        <v>0</v>
      </c>
      <c r="T552" s="13">
        <f t="shared" ca="1" si="170"/>
        <v>27</v>
      </c>
      <c r="U552" s="12">
        <f t="shared" ca="1" si="177"/>
        <v>3469</v>
      </c>
      <c r="V552" s="12">
        <f t="shared" ca="1" si="176"/>
        <v>3290</v>
      </c>
      <c r="W552" s="12">
        <f t="shared" ca="1" si="178"/>
        <v>3547</v>
      </c>
      <c r="X552" s="11"/>
      <c r="Y552" s="10"/>
      <c r="Z552" s="10"/>
      <c r="AA552" s="10"/>
      <c r="AB552" s="9"/>
    </row>
    <row r="553" spans="1:28" ht="13.15" customHeight="1">
      <c r="A553" s="16">
        <f t="shared" si="179"/>
        <v>539</v>
      </c>
      <c r="B553" s="17">
        <f t="shared" si="171"/>
        <v>45611</v>
      </c>
      <c r="C553" s="16">
        <f t="shared" si="172"/>
        <v>1069</v>
      </c>
      <c r="D553" s="15">
        <f t="shared" si="163"/>
        <v>2250</v>
      </c>
      <c r="E553" s="14">
        <f t="shared" ca="1" si="164"/>
        <v>10</v>
      </c>
      <c r="F553" s="14">
        <f t="shared" ca="1" si="165"/>
        <v>240</v>
      </c>
      <c r="G553" s="14">
        <f t="shared" ca="1" si="166"/>
        <v>12</v>
      </c>
      <c r="H553" s="10">
        <f t="shared" ca="1" si="167"/>
        <v>3309</v>
      </c>
      <c r="I553" s="10">
        <f t="shared" ca="1" si="168"/>
        <v>3079</v>
      </c>
      <c r="J553" s="10">
        <f t="shared" ca="1" si="169"/>
        <v>3307</v>
      </c>
      <c r="K553" s="10">
        <f t="shared" si="160"/>
        <v>4000</v>
      </c>
      <c r="L553" s="10">
        <f t="shared" si="161"/>
        <v>4000</v>
      </c>
      <c r="M553" s="10">
        <f t="shared" si="162"/>
        <v>4000</v>
      </c>
      <c r="N553" s="10">
        <f t="shared" ca="1" si="173"/>
        <v>-691</v>
      </c>
      <c r="O553" s="10">
        <f t="shared" ca="1" si="174"/>
        <v>-921</v>
      </c>
      <c r="P553" s="10">
        <f t="shared" ca="1" si="175"/>
        <v>-693</v>
      </c>
      <c r="Q553" s="14">
        <v>0</v>
      </c>
      <c r="R553" s="14">
        <v>1</v>
      </c>
      <c r="S553" s="14">
        <v>0</v>
      </c>
      <c r="T553" s="13">
        <f t="shared" ca="1" si="170"/>
        <v>30</v>
      </c>
      <c r="U553" s="12">
        <f t="shared" ca="1" si="177"/>
        <v>3469</v>
      </c>
      <c r="V553" s="12">
        <f t="shared" ca="1" si="176"/>
        <v>3289</v>
      </c>
      <c r="W553" s="12">
        <f t="shared" ca="1" si="178"/>
        <v>3547</v>
      </c>
      <c r="X553" s="11"/>
      <c r="Y553" s="10"/>
      <c r="Z553" s="10"/>
      <c r="AA553" s="10"/>
      <c r="AB553" s="9"/>
    </row>
    <row r="554" spans="1:28" ht="13.15" customHeight="1">
      <c r="A554" s="16">
        <f t="shared" si="179"/>
        <v>540</v>
      </c>
      <c r="B554" s="17">
        <f t="shared" si="171"/>
        <v>45612</v>
      </c>
      <c r="C554" s="16">
        <f t="shared" si="172"/>
        <v>1069</v>
      </c>
      <c r="D554" s="15">
        <f t="shared" si="163"/>
        <v>2252</v>
      </c>
      <c r="E554" s="14">
        <f t="shared" ca="1" si="164"/>
        <v>13</v>
      </c>
      <c r="F554" s="14">
        <f t="shared" ca="1" si="165"/>
        <v>242</v>
      </c>
      <c r="G554" s="14">
        <f t="shared" ca="1" si="166"/>
        <v>14</v>
      </c>
      <c r="H554" s="10">
        <f t="shared" ca="1" si="167"/>
        <v>3308</v>
      </c>
      <c r="I554" s="10">
        <f t="shared" ca="1" si="168"/>
        <v>3079</v>
      </c>
      <c r="J554" s="10">
        <f t="shared" ca="1" si="169"/>
        <v>3307</v>
      </c>
      <c r="K554" s="10">
        <f t="shared" si="160"/>
        <v>4000</v>
      </c>
      <c r="L554" s="10">
        <f t="shared" si="161"/>
        <v>4000</v>
      </c>
      <c r="M554" s="10">
        <f t="shared" si="162"/>
        <v>4000</v>
      </c>
      <c r="N554" s="10">
        <f t="shared" ca="1" si="173"/>
        <v>-692</v>
      </c>
      <c r="O554" s="10">
        <f t="shared" ca="1" si="174"/>
        <v>-921</v>
      </c>
      <c r="P554" s="10">
        <f t="shared" ca="1" si="175"/>
        <v>-693</v>
      </c>
      <c r="Q554" s="14">
        <v>1</v>
      </c>
      <c r="R554" s="14">
        <v>0</v>
      </c>
      <c r="S554" s="14">
        <v>0</v>
      </c>
      <c r="T554" s="13">
        <f t="shared" ca="1" si="170"/>
        <v>32</v>
      </c>
      <c r="U554" s="12">
        <f t="shared" ca="1" si="177"/>
        <v>3468</v>
      </c>
      <c r="V554" s="12">
        <f t="shared" ca="1" si="176"/>
        <v>3289</v>
      </c>
      <c r="W554" s="12">
        <f t="shared" ca="1" si="178"/>
        <v>3547</v>
      </c>
      <c r="X554" s="11"/>
      <c r="Y554" s="10"/>
      <c r="Z554" s="10"/>
      <c r="AA554" s="10"/>
      <c r="AB554" s="9"/>
    </row>
    <row r="555" spans="1:28" ht="13.15" customHeight="1">
      <c r="A555" s="16">
        <f t="shared" si="179"/>
        <v>541</v>
      </c>
      <c r="B555" s="17">
        <f t="shared" si="171"/>
        <v>45613</v>
      </c>
      <c r="C555" s="16">
        <f t="shared" si="172"/>
        <v>1069</v>
      </c>
      <c r="D555" s="15">
        <f t="shared" si="163"/>
        <v>2254</v>
      </c>
      <c r="E555" s="14">
        <f t="shared" ca="1" si="164"/>
        <v>15</v>
      </c>
      <c r="F555" s="14">
        <f t="shared" ca="1" si="165"/>
        <v>244</v>
      </c>
      <c r="G555" s="14">
        <f t="shared" ca="1" si="166"/>
        <v>16</v>
      </c>
      <c r="H555" s="10">
        <f t="shared" ca="1" si="167"/>
        <v>3308</v>
      </c>
      <c r="I555" s="10">
        <f t="shared" ca="1" si="168"/>
        <v>3079</v>
      </c>
      <c r="J555" s="10">
        <f t="shared" ca="1" si="169"/>
        <v>3307</v>
      </c>
      <c r="K555" s="10">
        <f t="shared" si="160"/>
        <v>4000</v>
      </c>
      <c r="L555" s="10">
        <f t="shared" si="161"/>
        <v>4000</v>
      </c>
      <c r="M555" s="10">
        <f t="shared" si="162"/>
        <v>4000</v>
      </c>
      <c r="N555" s="10">
        <f t="shared" ca="1" si="173"/>
        <v>-692</v>
      </c>
      <c r="O555" s="10">
        <f t="shared" ca="1" si="174"/>
        <v>-921</v>
      </c>
      <c r="P555" s="10">
        <f t="shared" ca="1" si="175"/>
        <v>-693</v>
      </c>
      <c r="Q555" s="14">
        <v>0</v>
      </c>
      <c r="R555" s="14">
        <v>0</v>
      </c>
      <c r="S555" s="14">
        <v>0</v>
      </c>
      <c r="T555" s="13">
        <f t="shared" ca="1" si="170"/>
        <v>34</v>
      </c>
      <c r="U555" s="12">
        <f t="shared" ca="1" si="177"/>
        <v>3468</v>
      </c>
      <c r="V555" s="12">
        <f t="shared" ca="1" si="176"/>
        <v>3289</v>
      </c>
      <c r="W555" s="12">
        <f t="shared" ca="1" si="178"/>
        <v>3547</v>
      </c>
      <c r="X555" s="11"/>
      <c r="Y555" s="10"/>
      <c r="Z555" s="10"/>
      <c r="AA555" s="10"/>
      <c r="AB555" s="9"/>
    </row>
    <row r="556" spans="1:28" ht="13.15" customHeight="1">
      <c r="A556" s="16">
        <f t="shared" si="179"/>
        <v>542</v>
      </c>
      <c r="B556" s="17">
        <f t="shared" si="171"/>
        <v>45614</v>
      </c>
      <c r="C556" s="16">
        <f t="shared" si="172"/>
        <v>1069</v>
      </c>
      <c r="D556" s="15">
        <f t="shared" si="163"/>
        <v>2256</v>
      </c>
      <c r="E556" s="14">
        <f t="shared" ca="1" si="164"/>
        <v>18</v>
      </c>
      <c r="F556" s="14">
        <f t="shared" ca="1" si="165"/>
        <v>249</v>
      </c>
      <c r="G556" s="14">
        <f t="shared" ca="1" si="166"/>
        <v>18</v>
      </c>
      <c r="H556" s="10">
        <f t="shared" ca="1" si="167"/>
        <v>3307</v>
      </c>
      <c r="I556" s="10">
        <f t="shared" ca="1" si="168"/>
        <v>3076</v>
      </c>
      <c r="J556" s="10">
        <f t="shared" ca="1" si="169"/>
        <v>3307</v>
      </c>
      <c r="K556" s="10">
        <f t="shared" ref="K556:K619" si="180">K555</f>
        <v>4000</v>
      </c>
      <c r="L556" s="10">
        <f t="shared" ref="L556:L619" si="181">L555</f>
        <v>4000</v>
      </c>
      <c r="M556" s="10">
        <f t="shared" ref="M556:M619" si="182">M555</f>
        <v>4000</v>
      </c>
      <c r="N556" s="10">
        <f t="shared" ca="1" si="173"/>
        <v>-693</v>
      </c>
      <c r="O556" s="10">
        <f t="shared" ca="1" si="174"/>
        <v>-924</v>
      </c>
      <c r="P556" s="10">
        <f t="shared" ca="1" si="175"/>
        <v>-693</v>
      </c>
      <c r="Q556" s="14">
        <v>1</v>
      </c>
      <c r="R556" s="14">
        <v>3</v>
      </c>
      <c r="S556" s="14">
        <v>0</v>
      </c>
      <c r="T556" s="13">
        <f t="shared" ca="1" si="170"/>
        <v>39</v>
      </c>
      <c r="U556" s="12">
        <f t="shared" ca="1" si="177"/>
        <v>3467</v>
      </c>
      <c r="V556" s="12">
        <f t="shared" ca="1" si="176"/>
        <v>3286</v>
      </c>
      <c r="W556" s="12">
        <f t="shared" ca="1" si="178"/>
        <v>3547</v>
      </c>
      <c r="X556" s="11"/>
      <c r="Y556" s="10"/>
      <c r="Z556" s="10"/>
      <c r="AA556" s="10"/>
      <c r="AB556" s="9"/>
    </row>
    <row r="557" spans="1:28" ht="13.15" customHeight="1">
      <c r="A557" s="16">
        <f t="shared" si="179"/>
        <v>543</v>
      </c>
      <c r="B557" s="17">
        <f t="shared" si="171"/>
        <v>45615</v>
      </c>
      <c r="C557" s="16">
        <f t="shared" si="172"/>
        <v>1069</v>
      </c>
      <c r="D557" s="15">
        <f t="shared" si="163"/>
        <v>2258</v>
      </c>
      <c r="E557" s="14">
        <f t="shared" ca="1" si="164"/>
        <v>20</v>
      </c>
      <c r="F557" s="14">
        <f t="shared" ca="1" si="165"/>
        <v>253</v>
      </c>
      <c r="G557" s="14">
        <f t="shared" ca="1" si="166"/>
        <v>20</v>
      </c>
      <c r="H557" s="10">
        <f t="shared" ca="1" si="167"/>
        <v>3307</v>
      </c>
      <c r="I557" s="10">
        <f t="shared" ca="1" si="168"/>
        <v>3074</v>
      </c>
      <c r="J557" s="10">
        <f t="shared" ca="1" si="169"/>
        <v>3307</v>
      </c>
      <c r="K557" s="10">
        <f t="shared" si="180"/>
        <v>4000</v>
      </c>
      <c r="L557" s="10">
        <f t="shared" si="181"/>
        <v>4000</v>
      </c>
      <c r="M557" s="10">
        <f t="shared" si="182"/>
        <v>4000</v>
      </c>
      <c r="N557" s="10">
        <f t="shared" ca="1" si="173"/>
        <v>-693</v>
      </c>
      <c r="O557" s="10">
        <f t="shared" ca="1" si="174"/>
        <v>-926</v>
      </c>
      <c r="P557" s="10">
        <f t="shared" ca="1" si="175"/>
        <v>-693</v>
      </c>
      <c r="Q557" s="14">
        <v>0</v>
      </c>
      <c r="R557" s="14">
        <v>2</v>
      </c>
      <c r="S557" s="14">
        <v>0</v>
      </c>
      <c r="T557" s="13">
        <f t="shared" ca="1" si="170"/>
        <v>43</v>
      </c>
      <c r="U557" s="12">
        <f t="shared" ca="1" si="177"/>
        <v>3467</v>
      </c>
      <c r="V557" s="12">
        <f t="shared" ca="1" si="176"/>
        <v>3284</v>
      </c>
      <c r="W557" s="12">
        <f t="shared" ca="1" si="178"/>
        <v>3547</v>
      </c>
      <c r="X557" s="11"/>
      <c r="Y557" s="10"/>
      <c r="Z557" s="10"/>
      <c r="AA557" s="10"/>
      <c r="AB557" s="9"/>
    </row>
    <row r="558" spans="1:28" ht="13.15" customHeight="1">
      <c r="A558" s="16">
        <f t="shared" si="179"/>
        <v>544</v>
      </c>
      <c r="B558" s="17">
        <f t="shared" si="171"/>
        <v>45616</v>
      </c>
      <c r="C558" s="16">
        <f t="shared" si="172"/>
        <v>1069</v>
      </c>
      <c r="D558" s="15">
        <f t="shared" si="163"/>
        <v>2260</v>
      </c>
      <c r="E558" s="14">
        <f t="shared" ca="1" si="164"/>
        <v>22</v>
      </c>
      <c r="F558" s="14">
        <f t="shared" ca="1" si="165"/>
        <v>257</v>
      </c>
      <c r="G558" s="14">
        <f t="shared" ca="1" si="166"/>
        <v>22</v>
      </c>
      <c r="H558" s="10">
        <f t="shared" ca="1" si="167"/>
        <v>3307</v>
      </c>
      <c r="I558" s="10">
        <f t="shared" ca="1" si="168"/>
        <v>3072</v>
      </c>
      <c r="J558" s="10">
        <f t="shared" ca="1" si="169"/>
        <v>3307</v>
      </c>
      <c r="K558" s="10">
        <f t="shared" si="180"/>
        <v>4000</v>
      </c>
      <c r="L558" s="10">
        <f t="shared" si="181"/>
        <v>4000</v>
      </c>
      <c r="M558" s="10">
        <f t="shared" si="182"/>
        <v>4000</v>
      </c>
      <c r="N558" s="10">
        <f t="shared" ca="1" si="173"/>
        <v>-693</v>
      </c>
      <c r="O558" s="10">
        <f t="shared" ca="1" si="174"/>
        <v>-928</v>
      </c>
      <c r="P558" s="10">
        <f t="shared" ca="1" si="175"/>
        <v>-693</v>
      </c>
      <c r="Q558" s="14">
        <v>0</v>
      </c>
      <c r="R558" s="14">
        <v>2</v>
      </c>
      <c r="S558" s="14">
        <v>0</v>
      </c>
      <c r="T558" s="13">
        <f t="shared" ca="1" si="170"/>
        <v>47</v>
      </c>
      <c r="U558" s="12">
        <f t="shared" ca="1" si="177"/>
        <v>3467</v>
      </c>
      <c r="V558" s="12">
        <f t="shared" ca="1" si="176"/>
        <v>3282</v>
      </c>
      <c r="W558" s="12">
        <f t="shared" ca="1" si="178"/>
        <v>3547</v>
      </c>
      <c r="X558" s="11"/>
      <c r="Y558" s="10"/>
      <c r="Z558" s="10"/>
      <c r="AA558" s="10"/>
      <c r="AB558" s="9"/>
    </row>
    <row r="559" spans="1:28" ht="13.15" customHeight="1">
      <c r="A559" s="16">
        <f t="shared" si="179"/>
        <v>545</v>
      </c>
      <c r="B559" s="17">
        <f t="shared" si="171"/>
        <v>45617</v>
      </c>
      <c r="C559" s="16">
        <f t="shared" si="172"/>
        <v>1069</v>
      </c>
      <c r="D559" s="15">
        <f t="shared" si="163"/>
        <v>2262</v>
      </c>
      <c r="E559" s="14">
        <f t="shared" ca="1" si="164"/>
        <v>24</v>
      </c>
      <c r="F559" s="14">
        <f t="shared" ca="1" si="165"/>
        <v>259</v>
      </c>
      <c r="G559" s="14">
        <f t="shared" ca="1" si="166"/>
        <v>24</v>
      </c>
      <c r="H559" s="10">
        <f t="shared" ca="1" si="167"/>
        <v>3307</v>
      </c>
      <c r="I559" s="10">
        <f t="shared" ca="1" si="168"/>
        <v>3072</v>
      </c>
      <c r="J559" s="10">
        <f t="shared" ca="1" si="169"/>
        <v>3307</v>
      </c>
      <c r="K559" s="10">
        <f t="shared" si="180"/>
        <v>4000</v>
      </c>
      <c r="L559" s="10">
        <f t="shared" si="181"/>
        <v>4000</v>
      </c>
      <c r="M559" s="10">
        <f t="shared" si="182"/>
        <v>4000</v>
      </c>
      <c r="N559" s="10">
        <f t="shared" ca="1" si="173"/>
        <v>-693</v>
      </c>
      <c r="O559" s="10">
        <f t="shared" ca="1" si="174"/>
        <v>-928</v>
      </c>
      <c r="P559" s="10">
        <f t="shared" ca="1" si="175"/>
        <v>-693</v>
      </c>
      <c r="Q559" s="14">
        <v>0</v>
      </c>
      <c r="R559" s="14">
        <v>0</v>
      </c>
      <c r="S559" s="14">
        <v>0</v>
      </c>
      <c r="T559" s="13">
        <f t="shared" ca="1" si="170"/>
        <v>49</v>
      </c>
      <c r="U559" s="12">
        <f t="shared" ca="1" si="177"/>
        <v>3467</v>
      </c>
      <c r="V559" s="12">
        <f t="shared" ca="1" si="176"/>
        <v>3282</v>
      </c>
      <c r="W559" s="12">
        <f t="shared" ca="1" si="178"/>
        <v>3547</v>
      </c>
      <c r="X559" s="11"/>
      <c r="Y559" s="10"/>
      <c r="Z559" s="10"/>
      <c r="AA559" s="10"/>
      <c r="AB559" s="9"/>
    </row>
    <row r="560" spans="1:28" ht="13.15" customHeight="1">
      <c r="A560" s="16">
        <f t="shared" si="179"/>
        <v>546</v>
      </c>
      <c r="B560" s="17">
        <f t="shared" si="171"/>
        <v>45618</v>
      </c>
      <c r="C560" s="16">
        <f t="shared" si="172"/>
        <v>1069</v>
      </c>
      <c r="D560" s="15">
        <f t="shared" si="163"/>
        <v>2264</v>
      </c>
      <c r="E560" s="14">
        <f t="shared" ca="1" si="164"/>
        <v>26</v>
      </c>
      <c r="F560" s="14">
        <f t="shared" ca="1" si="165"/>
        <v>263</v>
      </c>
      <c r="G560" s="14">
        <f t="shared" ca="1" si="166"/>
        <v>26</v>
      </c>
      <c r="H560" s="10">
        <f t="shared" ca="1" si="167"/>
        <v>3307</v>
      </c>
      <c r="I560" s="10">
        <f t="shared" ca="1" si="168"/>
        <v>3070</v>
      </c>
      <c r="J560" s="10">
        <f t="shared" ca="1" si="169"/>
        <v>3307</v>
      </c>
      <c r="K560" s="10">
        <f t="shared" si="180"/>
        <v>4000</v>
      </c>
      <c r="L560" s="10">
        <f t="shared" si="181"/>
        <v>4000</v>
      </c>
      <c r="M560" s="10">
        <f t="shared" si="182"/>
        <v>4000</v>
      </c>
      <c r="N560" s="10">
        <f t="shared" ca="1" si="173"/>
        <v>-693</v>
      </c>
      <c r="O560" s="10">
        <f t="shared" ca="1" si="174"/>
        <v>-930</v>
      </c>
      <c r="P560" s="10">
        <f t="shared" ca="1" si="175"/>
        <v>-693</v>
      </c>
      <c r="Q560" s="14">
        <v>0</v>
      </c>
      <c r="R560" s="14">
        <v>2</v>
      </c>
      <c r="S560" s="14">
        <v>0</v>
      </c>
      <c r="T560" s="13">
        <f t="shared" ca="1" si="170"/>
        <v>53</v>
      </c>
      <c r="U560" s="12">
        <f t="shared" ca="1" si="177"/>
        <v>3467</v>
      </c>
      <c r="V560" s="12">
        <f t="shared" ca="1" si="176"/>
        <v>3280</v>
      </c>
      <c r="W560" s="12">
        <f t="shared" ca="1" si="178"/>
        <v>3547</v>
      </c>
      <c r="X560" s="11"/>
      <c r="Y560" s="10"/>
      <c r="Z560" s="10"/>
      <c r="AA560" s="10"/>
      <c r="AB560" s="9"/>
    </row>
    <row r="561" spans="1:28" ht="13.15" customHeight="1">
      <c r="A561" s="16">
        <f t="shared" si="179"/>
        <v>547</v>
      </c>
      <c r="B561" s="17">
        <f t="shared" si="171"/>
        <v>45619</v>
      </c>
      <c r="C561" s="16">
        <f t="shared" si="172"/>
        <v>1069</v>
      </c>
      <c r="D561" s="15">
        <f t="shared" si="163"/>
        <v>2266</v>
      </c>
      <c r="E561" s="14">
        <f t="shared" ca="1" si="164"/>
        <v>28</v>
      </c>
      <c r="F561" s="14">
        <f t="shared" ca="1" si="165"/>
        <v>265</v>
      </c>
      <c r="G561" s="14">
        <f t="shared" ca="1" si="166"/>
        <v>28</v>
      </c>
      <c r="H561" s="10">
        <f t="shared" ca="1" si="167"/>
        <v>3307</v>
      </c>
      <c r="I561" s="10">
        <f t="shared" ca="1" si="168"/>
        <v>3070</v>
      </c>
      <c r="J561" s="10">
        <f t="shared" ca="1" si="169"/>
        <v>3307</v>
      </c>
      <c r="K561" s="10">
        <f t="shared" si="180"/>
        <v>4000</v>
      </c>
      <c r="L561" s="10">
        <f t="shared" si="181"/>
        <v>4000</v>
      </c>
      <c r="M561" s="10">
        <f t="shared" si="182"/>
        <v>4000</v>
      </c>
      <c r="N561" s="10">
        <f t="shared" ca="1" si="173"/>
        <v>-693</v>
      </c>
      <c r="O561" s="10">
        <f t="shared" ca="1" si="174"/>
        <v>-930</v>
      </c>
      <c r="P561" s="10">
        <f t="shared" ca="1" si="175"/>
        <v>-693</v>
      </c>
      <c r="Q561" s="14">
        <v>0</v>
      </c>
      <c r="R561" s="14">
        <v>0</v>
      </c>
      <c r="S561" s="14">
        <v>0</v>
      </c>
      <c r="T561" s="13">
        <f t="shared" ca="1" si="170"/>
        <v>55</v>
      </c>
      <c r="U561" s="12">
        <f t="shared" ca="1" si="177"/>
        <v>3467</v>
      </c>
      <c r="V561" s="12">
        <f t="shared" ca="1" si="176"/>
        <v>3280</v>
      </c>
      <c r="W561" s="12">
        <f t="shared" ca="1" si="178"/>
        <v>3547</v>
      </c>
      <c r="X561" s="11"/>
      <c r="Y561" s="10"/>
      <c r="Z561" s="10"/>
      <c r="AA561" s="10"/>
      <c r="AB561" s="9"/>
    </row>
    <row r="562" spans="1:28" ht="13.15" customHeight="1">
      <c r="A562" s="16">
        <f t="shared" si="179"/>
        <v>548</v>
      </c>
      <c r="B562" s="17">
        <f t="shared" si="171"/>
        <v>45620</v>
      </c>
      <c r="C562" s="16">
        <f t="shared" si="172"/>
        <v>1069</v>
      </c>
      <c r="D562" s="15">
        <f t="shared" si="163"/>
        <v>2268</v>
      </c>
      <c r="E562" s="14">
        <f t="shared" ca="1" si="164"/>
        <v>31</v>
      </c>
      <c r="F562" s="14">
        <f t="shared" ca="1" si="165"/>
        <v>269</v>
      </c>
      <c r="G562" s="14">
        <f t="shared" ca="1" si="166"/>
        <v>30</v>
      </c>
      <c r="H562" s="10">
        <f t="shared" ca="1" si="167"/>
        <v>3306</v>
      </c>
      <c r="I562" s="10">
        <f t="shared" ca="1" si="168"/>
        <v>3068</v>
      </c>
      <c r="J562" s="10">
        <f t="shared" ca="1" si="169"/>
        <v>3307</v>
      </c>
      <c r="K562" s="10">
        <f t="shared" si="180"/>
        <v>4000</v>
      </c>
      <c r="L562" s="10">
        <f t="shared" si="181"/>
        <v>4000</v>
      </c>
      <c r="M562" s="10">
        <f t="shared" si="182"/>
        <v>4000</v>
      </c>
      <c r="N562" s="10">
        <f t="shared" ca="1" si="173"/>
        <v>-694</v>
      </c>
      <c r="O562" s="10">
        <f t="shared" ca="1" si="174"/>
        <v>-932</v>
      </c>
      <c r="P562" s="10">
        <f t="shared" ca="1" si="175"/>
        <v>-693</v>
      </c>
      <c r="Q562" s="14">
        <v>1</v>
      </c>
      <c r="R562" s="14">
        <v>2</v>
      </c>
      <c r="S562" s="14">
        <v>0</v>
      </c>
      <c r="T562" s="13">
        <f t="shared" ca="1" si="170"/>
        <v>59</v>
      </c>
      <c r="U562" s="12">
        <f t="shared" ca="1" si="177"/>
        <v>3466</v>
      </c>
      <c r="V562" s="12">
        <f t="shared" ca="1" si="176"/>
        <v>3278</v>
      </c>
      <c r="W562" s="12">
        <f t="shared" ca="1" si="178"/>
        <v>3547</v>
      </c>
      <c r="X562" s="11"/>
      <c r="Y562" s="10"/>
      <c r="Z562" s="10"/>
      <c r="AA562" s="10"/>
      <c r="AB562" s="9"/>
    </row>
    <row r="563" spans="1:28" ht="13.15" customHeight="1">
      <c r="A563" s="16">
        <f t="shared" si="179"/>
        <v>549</v>
      </c>
      <c r="B563" s="17">
        <f t="shared" si="171"/>
        <v>45621</v>
      </c>
      <c r="C563" s="16">
        <f t="shared" si="172"/>
        <v>1069</v>
      </c>
      <c r="D563" s="15">
        <f t="shared" si="163"/>
        <v>2270</v>
      </c>
      <c r="E563" s="14">
        <f t="shared" ca="1" si="164"/>
        <v>36</v>
      </c>
      <c r="F563" s="14">
        <f t="shared" ca="1" si="165"/>
        <v>271</v>
      </c>
      <c r="G563" s="14">
        <f t="shared" ca="1" si="166"/>
        <v>32</v>
      </c>
      <c r="H563" s="10">
        <f t="shared" ca="1" si="167"/>
        <v>3303</v>
      </c>
      <c r="I563" s="10">
        <f t="shared" ca="1" si="168"/>
        <v>3068</v>
      </c>
      <c r="J563" s="10">
        <f t="shared" ca="1" si="169"/>
        <v>3307</v>
      </c>
      <c r="K563" s="10">
        <f t="shared" si="180"/>
        <v>4000</v>
      </c>
      <c r="L563" s="10">
        <f t="shared" si="181"/>
        <v>4000</v>
      </c>
      <c r="M563" s="10">
        <f t="shared" si="182"/>
        <v>4000</v>
      </c>
      <c r="N563" s="10">
        <f t="shared" ca="1" si="173"/>
        <v>-697</v>
      </c>
      <c r="O563" s="10">
        <f t="shared" ca="1" si="174"/>
        <v>-932</v>
      </c>
      <c r="P563" s="10">
        <f t="shared" ca="1" si="175"/>
        <v>-693</v>
      </c>
      <c r="Q563" s="14">
        <v>3</v>
      </c>
      <c r="R563" s="14">
        <v>0</v>
      </c>
      <c r="S563" s="14">
        <v>0</v>
      </c>
      <c r="T563" s="13">
        <f t="shared" ca="1" si="170"/>
        <v>61</v>
      </c>
      <c r="U563" s="12">
        <f t="shared" ca="1" si="177"/>
        <v>3463</v>
      </c>
      <c r="V563" s="12">
        <f t="shared" ca="1" si="176"/>
        <v>3278</v>
      </c>
      <c r="W563" s="12">
        <f t="shared" ca="1" si="178"/>
        <v>3547</v>
      </c>
      <c r="X563" s="11"/>
      <c r="Y563" s="10"/>
      <c r="Z563" s="10"/>
      <c r="AA563" s="10"/>
      <c r="AB563" s="9"/>
    </row>
    <row r="564" spans="1:28" ht="13.15" customHeight="1">
      <c r="A564" s="16">
        <f t="shared" si="179"/>
        <v>550</v>
      </c>
      <c r="B564" s="17">
        <f t="shared" si="171"/>
        <v>45622</v>
      </c>
      <c r="C564" s="16">
        <f t="shared" si="172"/>
        <v>1069</v>
      </c>
      <c r="D564" s="15">
        <f t="shared" si="163"/>
        <v>2272</v>
      </c>
      <c r="E564" s="14">
        <f t="shared" ca="1" si="164"/>
        <v>38</v>
      </c>
      <c r="F564" s="14">
        <f t="shared" ca="1" si="165"/>
        <v>277</v>
      </c>
      <c r="G564" s="14">
        <f t="shared" ca="1" si="166"/>
        <v>34</v>
      </c>
      <c r="H564" s="10">
        <f t="shared" ca="1" si="167"/>
        <v>3303</v>
      </c>
      <c r="I564" s="10">
        <f t="shared" ca="1" si="168"/>
        <v>3064</v>
      </c>
      <c r="J564" s="10">
        <f t="shared" ca="1" si="169"/>
        <v>3307</v>
      </c>
      <c r="K564" s="10">
        <f t="shared" si="180"/>
        <v>4000</v>
      </c>
      <c r="L564" s="10">
        <f t="shared" si="181"/>
        <v>4000</v>
      </c>
      <c r="M564" s="10">
        <f t="shared" si="182"/>
        <v>4000</v>
      </c>
      <c r="N564" s="10">
        <f t="shared" ca="1" si="173"/>
        <v>-697</v>
      </c>
      <c r="O564" s="10">
        <f t="shared" ca="1" si="174"/>
        <v>-936</v>
      </c>
      <c r="P564" s="10">
        <f t="shared" ca="1" si="175"/>
        <v>-693</v>
      </c>
      <c r="Q564" s="14">
        <v>0</v>
      </c>
      <c r="R564" s="14">
        <v>4</v>
      </c>
      <c r="S564" s="14">
        <v>0</v>
      </c>
      <c r="T564" s="13">
        <f t="shared" ca="1" si="170"/>
        <v>67</v>
      </c>
      <c r="U564" s="12">
        <f t="shared" ca="1" si="177"/>
        <v>3463</v>
      </c>
      <c r="V564" s="12">
        <f t="shared" ca="1" si="176"/>
        <v>3274</v>
      </c>
      <c r="W564" s="12">
        <f t="shared" ca="1" si="178"/>
        <v>3547</v>
      </c>
      <c r="X564" s="11"/>
      <c r="Y564" s="10"/>
      <c r="Z564" s="10"/>
      <c r="AA564" s="10"/>
      <c r="AB564" s="9"/>
    </row>
    <row r="565" spans="1:28" ht="13.15" customHeight="1">
      <c r="A565" s="16">
        <f t="shared" si="179"/>
        <v>551</v>
      </c>
      <c r="B565" s="17">
        <f t="shared" si="171"/>
        <v>45623</v>
      </c>
      <c r="C565" s="16">
        <f t="shared" si="172"/>
        <v>1069</v>
      </c>
      <c r="D565" s="15">
        <f t="shared" si="163"/>
        <v>2274</v>
      </c>
      <c r="E565" s="14">
        <f t="shared" ca="1" si="164"/>
        <v>40</v>
      </c>
      <c r="F565" s="14">
        <f t="shared" ca="1" si="165"/>
        <v>279</v>
      </c>
      <c r="G565" s="14">
        <f t="shared" ca="1" si="166"/>
        <v>36</v>
      </c>
      <c r="H565" s="10">
        <f t="shared" ca="1" si="167"/>
        <v>3303</v>
      </c>
      <c r="I565" s="10">
        <f t="shared" ca="1" si="168"/>
        <v>3064</v>
      </c>
      <c r="J565" s="10">
        <f t="shared" ca="1" si="169"/>
        <v>3307</v>
      </c>
      <c r="K565" s="10">
        <f t="shared" si="180"/>
        <v>4000</v>
      </c>
      <c r="L565" s="10">
        <f t="shared" si="181"/>
        <v>4000</v>
      </c>
      <c r="M565" s="10">
        <f t="shared" si="182"/>
        <v>4000</v>
      </c>
      <c r="N565" s="10">
        <f t="shared" ca="1" si="173"/>
        <v>-697</v>
      </c>
      <c r="O565" s="10">
        <f t="shared" ca="1" si="174"/>
        <v>-936</v>
      </c>
      <c r="P565" s="10">
        <f t="shared" ca="1" si="175"/>
        <v>-693</v>
      </c>
      <c r="Q565" s="14">
        <v>0</v>
      </c>
      <c r="R565" s="14">
        <v>0</v>
      </c>
      <c r="S565" s="14">
        <v>0</v>
      </c>
      <c r="T565" s="13">
        <f t="shared" ca="1" si="170"/>
        <v>69</v>
      </c>
      <c r="U565" s="12">
        <f t="shared" ca="1" si="177"/>
        <v>3463</v>
      </c>
      <c r="V565" s="12">
        <f t="shared" ca="1" si="176"/>
        <v>3274</v>
      </c>
      <c r="W565" s="12">
        <f t="shared" ca="1" si="178"/>
        <v>3547</v>
      </c>
      <c r="X565" s="11"/>
      <c r="Y565" s="10"/>
      <c r="Z565" s="10"/>
      <c r="AA565" s="10"/>
      <c r="AB565" s="9"/>
    </row>
    <row r="566" spans="1:28" ht="13.15" customHeight="1">
      <c r="A566" s="16">
        <f t="shared" si="179"/>
        <v>552</v>
      </c>
      <c r="B566" s="17">
        <f t="shared" si="171"/>
        <v>45624</v>
      </c>
      <c r="C566" s="16">
        <f t="shared" si="172"/>
        <v>1069</v>
      </c>
      <c r="D566" s="15">
        <f t="shared" si="163"/>
        <v>2276</v>
      </c>
      <c r="E566" s="14">
        <f t="shared" ca="1" si="164"/>
        <v>43</v>
      </c>
      <c r="F566" s="14">
        <f t="shared" ca="1" si="165"/>
        <v>282</v>
      </c>
      <c r="G566" s="14">
        <f t="shared" ca="1" si="166"/>
        <v>38</v>
      </c>
      <c r="H566" s="10">
        <f t="shared" ca="1" si="167"/>
        <v>3302</v>
      </c>
      <c r="I566" s="10">
        <f t="shared" ca="1" si="168"/>
        <v>3063</v>
      </c>
      <c r="J566" s="10">
        <f t="shared" ca="1" si="169"/>
        <v>3307</v>
      </c>
      <c r="K566" s="10">
        <f t="shared" si="180"/>
        <v>4000</v>
      </c>
      <c r="L566" s="10">
        <f t="shared" si="181"/>
        <v>4000</v>
      </c>
      <c r="M566" s="10">
        <f t="shared" si="182"/>
        <v>4000</v>
      </c>
      <c r="N566" s="10">
        <f t="shared" ca="1" si="173"/>
        <v>-698</v>
      </c>
      <c r="O566" s="10">
        <f t="shared" ca="1" si="174"/>
        <v>-937</v>
      </c>
      <c r="P566" s="10">
        <f t="shared" ca="1" si="175"/>
        <v>-693</v>
      </c>
      <c r="Q566" s="14">
        <v>1</v>
      </c>
      <c r="R566" s="14">
        <v>1</v>
      </c>
      <c r="S566" s="14">
        <v>0</v>
      </c>
      <c r="T566" s="13">
        <f t="shared" ca="1" si="170"/>
        <v>72</v>
      </c>
      <c r="U566" s="12">
        <f t="shared" ca="1" si="177"/>
        <v>3462</v>
      </c>
      <c r="V566" s="12">
        <f t="shared" ca="1" si="176"/>
        <v>3273</v>
      </c>
      <c r="W566" s="12">
        <f t="shared" ca="1" si="178"/>
        <v>3547</v>
      </c>
      <c r="X566" s="11"/>
      <c r="Y566" s="10"/>
      <c r="Z566" s="10"/>
      <c r="AA566" s="10"/>
      <c r="AB566" s="9"/>
    </row>
    <row r="567" spans="1:28" ht="13.15" customHeight="1">
      <c r="A567" s="16">
        <f t="shared" si="179"/>
        <v>553</v>
      </c>
      <c r="B567" s="17">
        <f t="shared" si="171"/>
        <v>45625</v>
      </c>
      <c r="C567" s="16">
        <f t="shared" si="172"/>
        <v>1069</v>
      </c>
      <c r="D567" s="15">
        <f t="shared" si="163"/>
        <v>2278</v>
      </c>
      <c r="E567" s="14">
        <f t="shared" ca="1" si="164"/>
        <v>45</v>
      </c>
      <c r="F567" s="14">
        <f t="shared" ca="1" si="165"/>
        <v>284</v>
      </c>
      <c r="G567" s="14">
        <f t="shared" ca="1" si="166"/>
        <v>40</v>
      </c>
      <c r="H567" s="10">
        <f t="shared" ca="1" si="167"/>
        <v>3302</v>
      </c>
      <c r="I567" s="10">
        <f t="shared" ca="1" si="168"/>
        <v>3063</v>
      </c>
      <c r="J567" s="10">
        <f t="shared" ca="1" si="169"/>
        <v>3307</v>
      </c>
      <c r="K567" s="10">
        <f t="shared" si="180"/>
        <v>4000</v>
      </c>
      <c r="L567" s="10">
        <f t="shared" si="181"/>
        <v>4000</v>
      </c>
      <c r="M567" s="10">
        <f t="shared" si="182"/>
        <v>4000</v>
      </c>
      <c r="N567" s="10">
        <f t="shared" ca="1" si="173"/>
        <v>-698</v>
      </c>
      <c r="O567" s="10">
        <f t="shared" ca="1" si="174"/>
        <v>-937</v>
      </c>
      <c r="P567" s="10">
        <f t="shared" ca="1" si="175"/>
        <v>-693</v>
      </c>
      <c r="Q567" s="14">
        <v>0</v>
      </c>
      <c r="R567" s="14">
        <v>0</v>
      </c>
      <c r="S567" s="14">
        <v>0</v>
      </c>
      <c r="T567" s="13">
        <f t="shared" ca="1" si="170"/>
        <v>74</v>
      </c>
      <c r="U567" s="12">
        <f t="shared" ca="1" si="177"/>
        <v>3462</v>
      </c>
      <c r="V567" s="12">
        <f t="shared" ca="1" si="176"/>
        <v>3273</v>
      </c>
      <c r="W567" s="12">
        <f t="shared" ca="1" si="178"/>
        <v>3547</v>
      </c>
      <c r="X567" s="11"/>
      <c r="Y567" s="10"/>
      <c r="Z567" s="10"/>
      <c r="AA567" s="10"/>
      <c r="AB567" s="9"/>
    </row>
    <row r="568" spans="1:28" ht="13.15" customHeight="1">
      <c r="A568" s="16">
        <f t="shared" si="179"/>
        <v>554</v>
      </c>
      <c r="B568" s="17">
        <f t="shared" si="171"/>
        <v>45626</v>
      </c>
      <c r="C568" s="16">
        <f t="shared" si="172"/>
        <v>1069</v>
      </c>
      <c r="D568" s="15">
        <f t="shared" si="163"/>
        <v>2280</v>
      </c>
      <c r="E568" s="14">
        <f t="shared" ca="1" si="164"/>
        <v>47</v>
      </c>
      <c r="F568" s="14">
        <f t="shared" ca="1" si="165"/>
        <v>286</v>
      </c>
      <c r="G568" s="14">
        <f t="shared" ca="1" si="166"/>
        <v>42</v>
      </c>
      <c r="H568" s="10">
        <f t="shared" ca="1" si="167"/>
        <v>3302</v>
      </c>
      <c r="I568" s="10">
        <f t="shared" ca="1" si="168"/>
        <v>3063</v>
      </c>
      <c r="J568" s="10">
        <f t="shared" ca="1" si="169"/>
        <v>3307</v>
      </c>
      <c r="K568" s="10">
        <f t="shared" si="180"/>
        <v>4000</v>
      </c>
      <c r="L568" s="10">
        <f t="shared" si="181"/>
        <v>4000</v>
      </c>
      <c r="M568" s="10">
        <f t="shared" si="182"/>
        <v>4000</v>
      </c>
      <c r="N568" s="10">
        <f t="shared" ca="1" si="173"/>
        <v>-698</v>
      </c>
      <c r="O568" s="10">
        <f t="shared" ca="1" si="174"/>
        <v>-937</v>
      </c>
      <c r="P568" s="10">
        <f t="shared" ca="1" si="175"/>
        <v>-693</v>
      </c>
      <c r="Q568" s="14">
        <v>0</v>
      </c>
      <c r="R568" s="14">
        <v>0</v>
      </c>
      <c r="S568" s="14">
        <v>0</v>
      </c>
      <c r="T568" s="13">
        <f t="shared" ca="1" si="170"/>
        <v>76</v>
      </c>
      <c r="U568" s="12">
        <f t="shared" ca="1" si="177"/>
        <v>3462</v>
      </c>
      <c r="V568" s="12">
        <f t="shared" ca="1" si="176"/>
        <v>3273</v>
      </c>
      <c r="W568" s="12">
        <f t="shared" ca="1" si="178"/>
        <v>3547</v>
      </c>
      <c r="X568" s="11"/>
      <c r="Y568" s="10"/>
      <c r="Z568" s="10"/>
      <c r="AA568" s="10"/>
      <c r="AB568" s="9"/>
    </row>
    <row r="569" spans="1:28" ht="13.15" customHeight="1">
      <c r="A569" s="16">
        <f t="shared" si="179"/>
        <v>555</v>
      </c>
      <c r="B569" s="17">
        <f t="shared" si="171"/>
        <v>45627</v>
      </c>
      <c r="C569" s="16">
        <f t="shared" si="172"/>
        <v>1069</v>
      </c>
      <c r="D569" s="15">
        <f t="shared" si="163"/>
        <v>2282</v>
      </c>
      <c r="E569" s="14">
        <f t="shared" ca="1" si="164"/>
        <v>49</v>
      </c>
      <c r="F569" s="14">
        <f t="shared" ca="1" si="165"/>
        <v>288</v>
      </c>
      <c r="G569" s="14">
        <f t="shared" ca="1" si="166"/>
        <v>44</v>
      </c>
      <c r="H569" s="10">
        <f t="shared" ca="1" si="167"/>
        <v>3302</v>
      </c>
      <c r="I569" s="10">
        <f t="shared" ca="1" si="168"/>
        <v>3063</v>
      </c>
      <c r="J569" s="10">
        <f t="shared" ca="1" si="169"/>
        <v>3307</v>
      </c>
      <c r="K569" s="10">
        <f t="shared" si="180"/>
        <v>4000</v>
      </c>
      <c r="L569" s="10">
        <f t="shared" si="181"/>
        <v>4000</v>
      </c>
      <c r="M569" s="10">
        <f t="shared" si="182"/>
        <v>4000</v>
      </c>
      <c r="N569" s="10">
        <f t="shared" ca="1" si="173"/>
        <v>-698</v>
      </c>
      <c r="O569" s="10">
        <f t="shared" ca="1" si="174"/>
        <v>-937</v>
      </c>
      <c r="P569" s="10">
        <f t="shared" ca="1" si="175"/>
        <v>-693</v>
      </c>
      <c r="Q569" s="14">
        <v>0</v>
      </c>
      <c r="R569" s="14">
        <v>0</v>
      </c>
      <c r="S569" s="14">
        <v>0</v>
      </c>
      <c r="T569" s="13">
        <f t="shared" ca="1" si="170"/>
        <v>78</v>
      </c>
      <c r="U569" s="12">
        <f t="shared" ca="1" si="177"/>
        <v>3462</v>
      </c>
      <c r="V569" s="12">
        <f t="shared" ca="1" si="176"/>
        <v>3273</v>
      </c>
      <c r="W569" s="12">
        <f t="shared" ca="1" si="178"/>
        <v>3547</v>
      </c>
      <c r="X569" s="11"/>
      <c r="Y569" s="10"/>
      <c r="Z569" s="10"/>
      <c r="AA569" s="10"/>
      <c r="AB569" s="9"/>
    </row>
    <row r="570" spans="1:28" ht="13.15" customHeight="1">
      <c r="A570" s="16">
        <f t="shared" si="179"/>
        <v>556</v>
      </c>
      <c r="B570" s="17">
        <f t="shared" si="171"/>
        <v>45628</v>
      </c>
      <c r="C570" s="16">
        <f t="shared" si="172"/>
        <v>1069</v>
      </c>
      <c r="D570" s="15">
        <f t="shared" si="163"/>
        <v>2284</v>
      </c>
      <c r="E570" s="14">
        <f t="shared" ca="1" si="164"/>
        <v>51</v>
      </c>
      <c r="F570" s="14">
        <f t="shared" ca="1" si="165"/>
        <v>292</v>
      </c>
      <c r="G570" s="14">
        <f t="shared" ca="1" si="166"/>
        <v>46</v>
      </c>
      <c r="H570" s="10">
        <f t="shared" ca="1" si="167"/>
        <v>3302</v>
      </c>
      <c r="I570" s="10">
        <f t="shared" ca="1" si="168"/>
        <v>3061</v>
      </c>
      <c r="J570" s="10">
        <f t="shared" ca="1" si="169"/>
        <v>3307</v>
      </c>
      <c r="K570" s="10">
        <f t="shared" si="180"/>
        <v>4000</v>
      </c>
      <c r="L570" s="10">
        <f t="shared" si="181"/>
        <v>4000</v>
      </c>
      <c r="M570" s="10">
        <f t="shared" si="182"/>
        <v>4000</v>
      </c>
      <c r="N570" s="10">
        <f t="shared" ca="1" si="173"/>
        <v>-698</v>
      </c>
      <c r="O570" s="10">
        <f t="shared" ca="1" si="174"/>
        <v>-939</v>
      </c>
      <c r="P570" s="10">
        <f t="shared" ca="1" si="175"/>
        <v>-693</v>
      </c>
      <c r="Q570" s="14">
        <v>0</v>
      </c>
      <c r="R570" s="14">
        <v>2</v>
      </c>
      <c r="S570" s="14">
        <v>0</v>
      </c>
      <c r="T570" s="13">
        <f t="shared" ca="1" si="170"/>
        <v>82</v>
      </c>
      <c r="U570" s="12">
        <f t="shared" ca="1" si="177"/>
        <v>3462</v>
      </c>
      <c r="V570" s="12">
        <f t="shared" ca="1" si="176"/>
        <v>3271</v>
      </c>
      <c r="W570" s="12">
        <f t="shared" ca="1" si="178"/>
        <v>3547</v>
      </c>
      <c r="X570" s="11"/>
      <c r="Y570" s="10"/>
      <c r="Z570" s="10"/>
      <c r="AA570" s="10"/>
      <c r="AB570" s="9"/>
    </row>
    <row r="571" spans="1:28" ht="13.15" customHeight="1">
      <c r="A571" s="16">
        <f t="shared" si="179"/>
        <v>557</v>
      </c>
      <c r="B571" s="17">
        <f t="shared" si="171"/>
        <v>45629</v>
      </c>
      <c r="C571" s="16">
        <f t="shared" si="172"/>
        <v>1069</v>
      </c>
      <c r="D571" s="15">
        <f t="shared" si="163"/>
        <v>2286</v>
      </c>
      <c r="E571" s="14">
        <f t="shared" ca="1" si="164"/>
        <v>53</v>
      </c>
      <c r="F571" s="14">
        <f t="shared" ca="1" si="165"/>
        <v>294</v>
      </c>
      <c r="G571" s="14">
        <f t="shared" ca="1" si="166"/>
        <v>48</v>
      </c>
      <c r="H571" s="10">
        <f t="shared" ca="1" si="167"/>
        <v>3302</v>
      </c>
      <c r="I571" s="10">
        <f t="shared" ca="1" si="168"/>
        <v>3061</v>
      </c>
      <c r="J571" s="10">
        <f t="shared" ca="1" si="169"/>
        <v>3307</v>
      </c>
      <c r="K571" s="10">
        <f t="shared" si="180"/>
        <v>4000</v>
      </c>
      <c r="L571" s="10">
        <f t="shared" si="181"/>
        <v>4000</v>
      </c>
      <c r="M571" s="10">
        <f t="shared" si="182"/>
        <v>4000</v>
      </c>
      <c r="N571" s="10">
        <f t="shared" ca="1" si="173"/>
        <v>-698</v>
      </c>
      <c r="O571" s="10">
        <f t="shared" ca="1" si="174"/>
        <v>-939</v>
      </c>
      <c r="P571" s="10">
        <f t="shared" ca="1" si="175"/>
        <v>-693</v>
      </c>
      <c r="Q571" s="14">
        <v>0</v>
      </c>
      <c r="R571" s="14">
        <v>0</v>
      </c>
      <c r="S571" s="14">
        <v>0</v>
      </c>
      <c r="T571" s="13">
        <f t="shared" ca="1" si="170"/>
        <v>84</v>
      </c>
      <c r="U571" s="12">
        <f t="shared" ca="1" si="177"/>
        <v>3462</v>
      </c>
      <c r="V571" s="12">
        <f t="shared" ca="1" si="176"/>
        <v>3271</v>
      </c>
      <c r="W571" s="12">
        <f t="shared" ca="1" si="178"/>
        <v>3547</v>
      </c>
      <c r="X571" s="11"/>
      <c r="Y571" s="10"/>
      <c r="Z571" s="10"/>
      <c r="AA571" s="10"/>
      <c r="AB571" s="9"/>
    </row>
    <row r="572" spans="1:28" ht="13.15" customHeight="1">
      <c r="A572" s="16">
        <f t="shared" si="179"/>
        <v>558</v>
      </c>
      <c r="B572" s="17">
        <f t="shared" si="171"/>
        <v>45630</v>
      </c>
      <c r="C572" s="16">
        <f t="shared" si="172"/>
        <v>1069</v>
      </c>
      <c r="D572" s="15">
        <f t="shared" si="163"/>
        <v>2288</v>
      </c>
      <c r="E572" s="14">
        <f t="shared" ca="1" si="164"/>
        <v>55</v>
      </c>
      <c r="F572" s="14">
        <f t="shared" ca="1" si="165"/>
        <v>297</v>
      </c>
      <c r="G572" s="14">
        <f t="shared" ca="1" si="166"/>
        <v>50</v>
      </c>
      <c r="H572" s="10">
        <f t="shared" ca="1" si="167"/>
        <v>3302</v>
      </c>
      <c r="I572" s="10">
        <f t="shared" ca="1" si="168"/>
        <v>3060</v>
      </c>
      <c r="J572" s="10">
        <f t="shared" ca="1" si="169"/>
        <v>3307</v>
      </c>
      <c r="K572" s="10">
        <f t="shared" si="180"/>
        <v>4000</v>
      </c>
      <c r="L572" s="10">
        <f t="shared" si="181"/>
        <v>4000</v>
      </c>
      <c r="M572" s="10">
        <f t="shared" si="182"/>
        <v>4000</v>
      </c>
      <c r="N572" s="10">
        <f t="shared" ca="1" si="173"/>
        <v>-698</v>
      </c>
      <c r="O572" s="10">
        <f t="shared" ca="1" si="174"/>
        <v>-940</v>
      </c>
      <c r="P572" s="10">
        <f t="shared" ca="1" si="175"/>
        <v>-693</v>
      </c>
      <c r="Q572" s="14">
        <v>0</v>
      </c>
      <c r="R572" s="14">
        <v>1</v>
      </c>
      <c r="S572" s="14">
        <v>0</v>
      </c>
      <c r="T572" s="13">
        <f t="shared" ca="1" si="170"/>
        <v>87</v>
      </c>
      <c r="U572" s="12">
        <f t="shared" ca="1" si="177"/>
        <v>3462</v>
      </c>
      <c r="V572" s="12">
        <f t="shared" ca="1" si="176"/>
        <v>3270</v>
      </c>
      <c r="W572" s="12">
        <f t="shared" ca="1" si="178"/>
        <v>3547</v>
      </c>
      <c r="X572" s="11"/>
      <c r="Y572" s="10"/>
      <c r="Z572" s="10"/>
      <c r="AA572" s="10"/>
      <c r="AB572" s="9"/>
    </row>
    <row r="573" spans="1:28" ht="13.15" customHeight="1">
      <c r="A573" s="16">
        <f t="shared" si="179"/>
        <v>559</v>
      </c>
      <c r="B573" s="17">
        <f t="shared" si="171"/>
        <v>45631</v>
      </c>
      <c r="C573" s="16">
        <f t="shared" si="172"/>
        <v>1069</v>
      </c>
      <c r="D573" s="15">
        <f t="shared" si="163"/>
        <v>2290</v>
      </c>
      <c r="E573" s="14">
        <f t="shared" ca="1" si="164"/>
        <v>57</v>
      </c>
      <c r="F573" s="14">
        <f t="shared" ca="1" si="165"/>
        <v>299</v>
      </c>
      <c r="G573" s="14">
        <f t="shared" ca="1" si="166"/>
        <v>52</v>
      </c>
      <c r="H573" s="10">
        <f t="shared" ca="1" si="167"/>
        <v>3302</v>
      </c>
      <c r="I573" s="10">
        <f t="shared" ca="1" si="168"/>
        <v>3060</v>
      </c>
      <c r="J573" s="10">
        <f t="shared" ca="1" si="169"/>
        <v>3307</v>
      </c>
      <c r="K573" s="10">
        <f t="shared" si="180"/>
        <v>4000</v>
      </c>
      <c r="L573" s="10">
        <f t="shared" si="181"/>
        <v>4000</v>
      </c>
      <c r="M573" s="10">
        <f t="shared" si="182"/>
        <v>4000</v>
      </c>
      <c r="N573" s="10">
        <f t="shared" ca="1" si="173"/>
        <v>-698</v>
      </c>
      <c r="O573" s="10">
        <f t="shared" ca="1" si="174"/>
        <v>-940</v>
      </c>
      <c r="P573" s="10">
        <f t="shared" ca="1" si="175"/>
        <v>-693</v>
      </c>
      <c r="Q573" s="14">
        <v>0</v>
      </c>
      <c r="R573" s="14">
        <v>0</v>
      </c>
      <c r="S573" s="14">
        <v>0</v>
      </c>
      <c r="T573" s="13">
        <f t="shared" ca="1" si="170"/>
        <v>89</v>
      </c>
      <c r="U573" s="12">
        <f t="shared" ca="1" si="177"/>
        <v>3462</v>
      </c>
      <c r="V573" s="12">
        <f t="shared" ca="1" si="176"/>
        <v>3270</v>
      </c>
      <c r="W573" s="12">
        <f t="shared" ca="1" si="178"/>
        <v>3547</v>
      </c>
      <c r="X573" s="11"/>
      <c r="Y573" s="10"/>
      <c r="Z573" s="10"/>
      <c r="AA573" s="10"/>
      <c r="AB573" s="9"/>
    </row>
    <row r="574" spans="1:28" ht="13.15" customHeight="1">
      <c r="A574" s="16">
        <f t="shared" si="179"/>
        <v>560</v>
      </c>
      <c r="B574" s="17">
        <f t="shared" si="171"/>
        <v>45632</v>
      </c>
      <c r="C574" s="16">
        <f t="shared" si="172"/>
        <v>1069</v>
      </c>
      <c r="D574" s="15">
        <f t="shared" si="163"/>
        <v>2292</v>
      </c>
      <c r="E574" s="14">
        <f t="shared" ca="1" si="164"/>
        <v>63</v>
      </c>
      <c r="F574" s="14">
        <f t="shared" ca="1" si="165"/>
        <v>301</v>
      </c>
      <c r="G574" s="14">
        <f t="shared" ca="1" si="166"/>
        <v>54</v>
      </c>
      <c r="H574" s="10">
        <f t="shared" ca="1" si="167"/>
        <v>3298</v>
      </c>
      <c r="I574" s="10">
        <f t="shared" ca="1" si="168"/>
        <v>3060</v>
      </c>
      <c r="J574" s="10">
        <f t="shared" ca="1" si="169"/>
        <v>3307</v>
      </c>
      <c r="K574" s="10">
        <f t="shared" si="180"/>
        <v>4000</v>
      </c>
      <c r="L574" s="10">
        <f t="shared" si="181"/>
        <v>4000</v>
      </c>
      <c r="M574" s="10">
        <f t="shared" si="182"/>
        <v>4000</v>
      </c>
      <c r="N574" s="10">
        <f t="shared" ca="1" si="173"/>
        <v>-702</v>
      </c>
      <c r="O574" s="10">
        <f t="shared" ca="1" si="174"/>
        <v>-940</v>
      </c>
      <c r="P574" s="10">
        <f t="shared" ca="1" si="175"/>
        <v>-693</v>
      </c>
      <c r="Q574" s="14">
        <v>4</v>
      </c>
      <c r="R574" s="14">
        <v>0</v>
      </c>
      <c r="S574" s="14">
        <v>0</v>
      </c>
      <c r="T574" s="13">
        <f t="shared" ca="1" si="170"/>
        <v>91</v>
      </c>
      <c r="U574" s="12">
        <f t="shared" ca="1" si="177"/>
        <v>3458</v>
      </c>
      <c r="V574" s="12">
        <f t="shared" ca="1" si="176"/>
        <v>3270</v>
      </c>
      <c r="W574" s="12">
        <f t="shared" ca="1" si="178"/>
        <v>3547</v>
      </c>
      <c r="X574" s="11"/>
      <c r="Y574" s="10"/>
      <c r="Z574" s="10"/>
      <c r="AA574" s="10"/>
      <c r="AB574" s="9"/>
    </row>
    <row r="575" spans="1:28" ht="13.15" customHeight="1">
      <c r="A575" s="16">
        <f t="shared" si="179"/>
        <v>561</v>
      </c>
      <c r="B575" s="17">
        <f t="shared" si="171"/>
        <v>45633</v>
      </c>
      <c r="C575" s="16">
        <f t="shared" si="172"/>
        <v>1069</v>
      </c>
      <c r="D575" s="15">
        <f t="shared" ref="D575:D638" si="183">D574+2</f>
        <v>2294</v>
      </c>
      <c r="E575" s="14">
        <f t="shared" ca="1" si="164"/>
        <v>66</v>
      </c>
      <c r="F575" s="14">
        <f t="shared" ca="1" si="165"/>
        <v>305</v>
      </c>
      <c r="G575" s="14">
        <f t="shared" ca="1" si="166"/>
        <v>56</v>
      </c>
      <c r="H575" s="10">
        <f t="shared" ca="1" si="167"/>
        <v>3297</v>
      </c>
      <c r="I575" s="10">
        <f t="shared" ca="1" si="168"/>
        <v>3058</v>
      </c>
      <c r="J575" s="10">
        <f t="shared" ca="1" si="169"/>
        <v>3307</v>
      </c>
      <c r="K575" s="10">
        <f t="shared" si="180"/>
        <v>4000</v>
      </c>
      <c r="L575" s="10">
        <f t="shared" si="181"/>
        <v>4000</v>
      </c>
      <c r="M575" s="10">
        <f t="shared" si="182"/>
        <v>4000</v>
      </c>
      <c r="N575" s="10">
        <f t="shared" ca="1" si="173"/>
        <v>-703</v>
      </c>
      <c r="O575" s="10">
        <f t="shared" ca="1" si="174"/>
        <v>-942</v>
      </c>
      <c r="P575" s="10">
        <f t="shared" ca="1" si="175"/>
        <v>-693</v>
      </c>
      <c r="Q575" s="14">
        <v>1</v>
      </c>
      <c r="R575" s="14">
        <v>2</v>
      </c>
      <c r="S575" s="14">
        <v>0</v>
      </c>
      <c r="T575" s="13">
        <f t="shared" ca="1" si="170"/>
        <v>95</v>
      </c>
      <c r="U575" s="12">
        <f t="shared" ca="1" si="177"/>
        <v>3457</v>
      </c>
      <c r="V575" s="12">
        <f t="shared" ca="1" si="176"/>
        <v>3268</v>
      </c>
      <c r="W575" s="12">
        <f t="shared" ca="1" si="178"/>
        <v>3547</v>
      </c>
      <c r="X575" s="11"/>
      <c r="Y575" s="10"/>
      <c r="Z575" s="10"/>
      <c r="AA575" s="10"/>
      <c r="AB575" s="9"/>
    </row>
    <row r="576" spans="1:28" ht="13.15" customHeight="1">
      <c r="A576" s="16">
        <f t="shared" si="179"/>
        <v>562</v>
      </c>
      <c r="B576" s="17">
        <f t="shared" si="171"/>
        <v>45634</v>
      </c>
      <c r="C576" s="16">
        <f t="shared" si="172"/>
        <v>1069</v>
      </c>
      <c r="D576" s="15">
        <f t="shared" si="183"/>
        <v>2296</v>
      </c>
      <c r="E576" s="14">
        <f t="shared" ca="1" si="164"/>
        <v>68</v>
      </c>
      <c r="F576" s="14">
        <f t="shared" ca="1" si="165"/>
        <v>307</v>
      </c>
      <c r="G576" s="14">
        <f t="shared" ca="1" si="166"/>
        <v>60</v>
      </c>
      <c r="H576" s="10">
        <f t="shared" ca="1" si="167"/>
        <v>3297</v>
      </c>
      <c r="I576" s="10">
        <f t="shared" ca="1" si="168"/>
        <v>3058</v>
      </c>
      <c r="J576" s="10">
        <f t="shared" ca="1" si="169"/>
        <v>3305</v>
      </c>
      <c r="K576" s="10">
        <f t="shared" si="180"/>
        <v>4000</v>
      </c>
      <c r="L576" s="10">
        <f t="shared" si="181"/>
        <v>4000</v>
      </c>
      <c r="M576" s="10">
        <f t="shared" si="182"/>
        <v>4000</v>
      </c>
      <c r="N576" s="10">
        <f t="shared" ca="1" si="173"/>
        <v>-703</v>
      </c>
      <c r="O576" s="10">
        <f t="shared" ca="1" si="174"/>
        <v>-942</v>
      </c>
      <c r="P576" s="10">
        <f t="shared" ca="1" si="175"/>
        <v>-695</v>
      </c>
      <c r="Q576" s="14">
        <v>0</v>
      </c>
      <c r="R576" s="14">
        <v>0</v>
      </c>
      <c r="S576" s="14">
        <v>2</v>
      </c>
      <c r="T576" s="13">
        <f t="shared" ca="1" si="170"/>
        <v>97</v>
      </c>
      <c r="U576" s="12">
        <f t="shared" ca="1" si="177"/>
        <v>3457</v>
      </c>
      <c r="V576" s="12">
        <f t="shared" ca="1" si="176"/>
        <v>3268</v>
      </c>
      <c r="W576" s="12">
        <f t="shared" ca="1" si="178"/>
        <v>3545</v>
      </c>
      <c r="X576" s="11"/>
      <c r="Y576" s="10"/>
      <c r="Z576" s="10"/>
      <c r="AA576" s="10"/>
      <c r="AB576" s="9"/>
    </row>
    <row r="577" spans="1:28" ht="13.15" customHeight="1">
      <c r="A577" s="16">
        <f t="shared" si="179"/>
        <v>563</v>
      </c>
      <c r="B577" s="17">
        <f t="shared" si="171"/>
        <v>45635</v>
      </c>
      <c r="C577" s="16">
        <f t="shared" si="172"/>
        <v>1069</v>
      </c>
      <c r="D577" s="15">
        <f t="shared" si="183"/>
        <v>2298</v>
      </c>
      <c r="E577" s="14">
        <f t="shared" ca="1" si="164"/>
        <v>70</v>
      </c>
      <c r="F577" s="14">
        <f t="shared" ca="1" si="165"/>
        <v>309</v>
      </c>
      <c r="G577" s="14">
        <f t="shared" ca="1" si="166"/>
        <v>62</v>
      </c>
      <c r="H577" s="10">
        <f t="shared" ca="1" si="167"/>
        <v>3297</v>
      </c>
      <c r="I577" s="10">
        <f t="shared" ca="1" si="168"/>
        <v>3058</v>
      </c>
      <c r="J577" s="10">
        <f t="shared" ca="1" si="169"/>
        <v>3305</v>
      </c>
      <c r="K577" s="10">
        <f t="shared" si="180"/>
        <v>4000</v>
      </c>
      <c r="L577" s="10">
        <f t="shared" si="181"/>
        <v>4000</v>
      </c>
      <c r="M577" s="10">
        <f t="shared" si="182"/>
        <v>4000</v>
      </c>
      <c r="N577" s="10">
        <f t="shared" ca="1" si="173"/>
        <v>-703</v>
      </c>
      <c r="O577" s="10">
        <f t="shared" ca="1" si="174"/>
        <v>-942</v>
      </c>
      <c r="P577" s="10">
        <f t="shared" ca="1" si="175"/>
        <v>-695</v>
      </c>
      <c r="Q577" s="14">
        <v>0</v>
      </c>
      <c r="R577" s="14">
        <v>0</v>
      </c>
      <c r="S577" s="14">
        <v>0</v>
      </c>
      <c r="T577" s="13">
        <f t="shared" ca="1" si="170"/>
        <v>99</v>
      </c>
      <c r="U577" s="12">
        <f t="shared" ca="1" si="177"/>
        <v>3457</v>
      </c>
      <c r="V577" s="12">
        <f t="shared" ca="1" si="176"/>
        <v>3268</v>
      </c>
      <c r="W577" s="12">
        <f t="shared" ca="1" si="178"/>
        <v>3545</v>
      </c>
      <c r="X577" s="11"/>
      <c r="Y577" s="10"/>
      <c r="Z577" s="10"/>
      <c r="AA577" s="10"/>
      <c r="AB577" s="9"/>
    </row>
    <row r="578" spans="1:28" ht="13.15" customHeight="1">
      <c r="A578" s="16">
        <f t="shared" si="179"/>
        <v>564</v>
      </c>
      <c r="B578" s="17">
        <f t="shared" si="171"/>
        <v>45636</v>
      </c>
      <c r="C578" s="16">
        <f t="shared" si="172"/>
        <v>1069</v>
      </c>
      <c r="D578" s="15">
        <f t="shared" si="183"/>
        <v>2300</v>
      </c>
      <c r="E578" s="14">
        <f t="shared" ca="1" si="164"/>
        <v>73</v>
      </c>
      <c r="F578" s="14">
        <f t="shared" ca="1" si="165"/>
        <v>313</v>
      </c>
      <c r="G578" s="14">
        <f t="shared" ca="1" si="166"/>
        <v>64</v>
      </c>
      <c r="H578" s="10">
        <f t="shared" ca="1" si="167"/>
        <v>3296</v>
      </c>
      <c r="I578" s="10">
        <f t="shared" ca="1" si="168"/>
        <v>3056</v>
      </c>
      <c r="J578" s="10">
        <f t="shared" ca="1" si="169"/>
        <v>3305</v>
      </c>
      <c r="K578" s="10">
        <f t="shared" si="180"/>
        <v>4000</v>
      </c>
      <c r="L578" s="10">
        <f t="shared" si="181"/>
        <v>4000</v>
      </c>
      <c r="M578" s="10">
        <f t="shared" si="182"/>
        <v>4000</v>
      </c>
      <c r="N578" s="10">
        <f t="shared" ca="1" si="173"/>
        <v>-704</v>
      </c>
      <c r="O578" s="10">
        <f t="shared" ca="1" si="174"/>
        <v>-944</v>
      </c>
      <c r="P578" s="10">
        <f t="shared" ca="1" si="175"/>
        <v>-695</v>
      </c>
      <c r="Q578" s="14">
        <v>1</v>
      </c>
      <c r="R578" s="14">
        <v>2</v>
      </c>
      <c r="S578" s="14">
        <v>0</v>
      </c>
      <c r="T578" s="13">
        <f t="shared" ca="1" si="170"/>
        <v>103</v>
      </c>
      <c r="U578" s="12">
        <f t="shared" ca="1" si="177"/>
        <v>3456</v>
      </c>
      <c r="V578" s="12">
        <f t="shared" ca="1" si="176"/>
        <v>3266</v>
      </c>
      <c r="W578" s="12">
        <f t="shared" ca="1" si="178"/>
        <v>3545</v>
      </c>
      <c r="X578" s="11"/>
      <c r="Y578" s="10"/>
      <c r="Z578" s="10"/>
      <c r="AA578" s="10"/>
      <c r="AB578" s="9"/>
    </row>
    <row r="579" spans="1:28" ht="13.15" customHeight="1">
      <c r="A579" s="16">
        <f t="shared" si="179"/>
        <v>565</v>
      </c>
      <c r="B579" s="17">
        <f t="shared" si="171"/>
        <v>45637</v>
      </c>
      <c r="C579" s="16">
        <f t="shared" si="172"/>
        <v>1069</v>
      </c>
      <c r="D579" s="15">
        <f t="shared" si="183"/>
        <v>2302</v>
      </c>
      <c r="E579" s="14">
        <f t="shared" ca="1" si="164"/>
        <v>75</v>
      </c>
      <c r="F579" s="14">
        <f t="shared" ca="1" si="165"/>
        <v>315</v>
      </c>
      <c r="G579" s="14">
        <f t="shared" ca="1" si="166"/>
        <v>66</v>
      </c>
      <c r="H579" s="10">
        <f t="shared" ca="1" si="167"/>
        <v>3296</v>
      </c>
      <c r="I579" s="10">
        <f t="shared" ca="1" si="168"/>
        <v>3056</v>
      </c>
      <c r="J579" s="10">
        <f t="shared" ca="1" si="169"/>
        <v>3305</v>
      </c>
      <c r="K579" s="10">
        <f t="shared" si="180"/>
        <v>4000</v>
      </c>
      <c r="L579" s="10">
        <f t="shared" si="181"/>
        <v>4000</v>
      </c>
      <c r="M579" s="10">
        <f t="shared" si="182"/>
        <v>4000</v>
      </c>
      <c r="N579" s="10">
        <f t="shared" ca="1" si="173"/>
        <v>-704</v>
      </c>
      <c r="O579" s="10">
        <f t="shared" ca="1" si="174"/>
        <v>-944</v>
      </c>
      <c r="P579" s="10">
        <f t="shared" ca="1" si="175"/>
        <v>-695</v>
      </c>
      <c r="Q579" s="14">
        <v>0</v>
      </c>
      <c r="R579" s="14">
        <v>0</v>
      </c>
      <c r="S579" s="14">
        <v>0</v>
      </c>
      <c r="T579" s="13">
        <f t="shared" ca="1" si="170"/>
        <v>105</v>
      </c>
      <c r="U579" s="12">
        <f t="shared" ca="1" si="177"/>
        <v>3456</v>
      </c>
      <c r="V579" s="12">
        <f t="shared" ca="1" si="176"/>
        <v>3266</v>
      </c>
      <c r="W579" s="12">
        <f t="shared" ca="1" si="178"/>
        <v>3545</v>
      </c>
      <c r="X579" s="11"/>
      <c r="Y579" s="10"/>
      <c r="Z579" s="10"/>
      <c r="AA579" s="10"/>
      <c r="AB579" s="9"/>
    </row>
    <row r="580" spans="1:28" ht="13.15" customHeight="1">
      <c r="A580" s="16">
        <f t="shared" si="179"/>
        <v>566</v>
      </c>
      <c r="B580" s="17">
        <f t="shared" si="171"/>
        <v>45638</v>
      </c>
      <c r="C580" s="16">
        <f t="shared" si="172"/>
        <v>1069</v>
      </c>
      <c r="D580" s="15">
        <f t="shared" si="183"/>
        <v>2304</v>
      </c>
      <c r="E580" s="14">
        <f t="shared" ca="1" si="164"/>
        <v>81</v>
      </c>
      <c r="F580" s="14">
        <f t="shared" ca="1" si="165"/>
        <v>318</v>
      </c>
      <c r="G580" s="14">
        <f t="shared" ca="1" si="166"/>
        <v>68</v>
      </c>
      <c r="H580" s="10">
        <f t="shared" ca="1" si="167"/>
        <v>3292</v>
      </c>
      <c r="I580" s="10">
        <f t="shared" ca="1" si="168"/>
        <v>3055</v>
      </c>
      <c r="J580" s="10">
        <f t="shared" ca="1" si="169"/>
        <v>3305</v>
      </c>
      <c r="K580" s="10">
        <f t="shared" si="180"/>
        <v>4000</v>
      </c>
      <c r="L580" s="10">
        <f t="shared" si="181"/>
        <v>4000</v>
      </c>
      <c r="M580" s="10">
        <f t="shared" si="182"/>
        <v>4000</v>
      </c>
      <c r="N580" s="10">
        <f t="shared" ca="1" si="173"/>
        <v>-708</v>
      </c>
      <c r="O580" s="10">
        <f t="shared" ca="1" si="174"/>
        <v>-945</v>
      </c>
      <c r="P580" s="10">
        <f t="shared" ca="1" si="175"/>
        <v>-695</v>
      </c>
      <c r="Q580" s="14">
        <v>4</v>
      </c>
      <c r="R580" s="14">
        <v>1</v>
      </c>
      <c r="S580" s="14">
        <v>0</v>
      </c>
      <c r="T580" s="13">
        <f t="shared" ca="1" si="170"/>
        <v>108</v>
      </c>
      <c r="U580" s="12">
        <f t="shared" ca="1" si="177"/>
        <v>3452</v>
      </c>
      <c r="V580" s="12">
        <f t="shared" ca="1" si="176"/>
        <v>3265</v>
      </c>
      <c r="W580" s="12">
        <f t="shared" ca="1" si="178"/>
        <v>3545</v>
      </c>
      <c r="X580" s="11"/>
      <c r="Y580" s="10"/>
      <c r="Z580" s="10"/>
      <c r="AA580" s="10"/>
      <c r="AB580" s="9"/>
    </row>
    <row r="581" spans="1:28" ht="13.15" customHeight="1">
      <c r="A581" s="16">
        <f t="shared" si="179"/>
        <v>567</v>
      </c>
      <c r="B581" s="17">
        <f t="shared" si="171"/>
        <v>45639</v>
      </c>
      <c r="C581" s="16">
        <f t="shared" si="172"/>
        <v>1069</v>
      </c>
      <c r="D581" s="15">
        <f t="shared" si="183"/>
        <v>2306</v>
      </c>
      <c r="E581" s="14">
        <f t="shared" ca="1" si="164"/>
        <v>84</v>
      </c>
      <c r="F581" s="14">
        <f t="shared" ca="1" si="165"/>
        <v>320</v>
      </c>
      <c r="G581" s="14">
        <f t="shared" ca="1" si="166"/>
        <v>70</v>
      </c>
      <c r="H581" s="10">
        <f t="shared" ca="1" si="167"/>
        <v>3291</v>
      </c>
      <c r="I581" s="10">
        <f t="shared" ca="1" si="168"/>
        <v>3055</v>
      </c>
      <c r="J581" s="10">
        <f t="shared" ca="1" si="169"/>
        <v>3305</v>
      </c>
      <c r="K581" s="10">
        <f t="shared" si="180"/>
        <v>4000</v>
      </c>
      <c r="L581" s="10">
        <f t="shared" si="181"/>
        <v>4000</v>
      </c>
      <c r="M581" s="10">
        <f t="shared" si="182"/>
        <v>4000</v>
      </c>
      <c r="N581" s="10">
        <f t="shared" ca="1" si="173"/>
        <v>-709</v>
      </c>
      <c r="O581" s="10">
        <f t="shared" ca="1" si="174"/>
        <v>-945</v>
      </c>
      <c r="P581" s="10">
        <f t="shared" ca="1" si="175"/>
        <v>-695</v>
      </c>
      <c r="Q581" s="14">
        <v>1</v>
      </c>
      <c r="R581" s="14">
        <v>0</v>
      </c>
      <c r="S581" s="14">
        <v>0</v>
      </c>
      <c r="T581" s="13">
        <f t="shared" ca="1" si="170"/>
        <v>110</v>
      </c>
      <c r="U581" s="12">
        <f t="shared" ca="1" si="177"/>
        <v>3451</v>
      </c>
      <c r="V581" s="12">
        <f t="shared" ca="1" si="176"/>
        <v>3265</v>
      </c>
      <c r="W581" s="12">
        <f t="shared" ca="1" si="178"/>
        <v>3545</v>
      </c>
      <c r="X581" s="11"/>
      <c r="Y581" s="10"/>
      <c r="Z581" s="10"/>
      <c r="AA581" s="10"/>
      <c r="AB581" s="9"/>
    </row>
    <row r="582" spans="1:28" ht="13.15" customHeight="1">
      <c r="A582" s="16">
        <f t="shared" si="179"/>
        <v>568</v>
      </c>
      <c r="B582" s="17">
        <f t="shared" si="171"/>
        <v>45640</v>
      </c>
      <c r="C582" s="16">
        <f t="shared" si="172"/>
        <v>1069</v>
      </c>
      <c r="D582" s="15">
        <f t="shared" si="183"/>
        <v>2308</v>
      </c>
      <c r="E582" s="14">
        <f t="shared" ca="1" si="164"/>
        <v>86</v>
      </c>
      <c r="F582" s="14">
        <f t="shared" ca="1" si="165"/>
        <v>322</v>
      </c>
      <c r="G582" s="14">
        <f t="shared" ca="1" si="166"/>
        <v>73</v>
      </c>
      <c r="H582" s="10">
        <f t="shared" ca="1" si="167"/>
        <v>3291</v>
      </c>
      <c r="I582" s="10">
        <f t="shared" ca="1" si="168"/>
        <v>3055</v>
      </c>
      <c r="J582" s="10">
        <f t="shared" ca="1" si="169"/>
        <v>3304</v>
      </c>
      <c r="K582" s="10">
        <f t="shared" si="180"/>
        <v>4000</v>
      </c>
      <c r="L582" s="10">
        <f t="shared" si="181"/>
        <v>4000</v>
      </c>
      <c r="M582" s="10">
        <f t="shared" si="182"/>
        <v>4000</v>
      </c>
      <c r="N582" s="10">
        <f t="shared" ca="1" si="173"/>
        <v>-709</v>
      </c>
      <c r="O582" s="10">
        <f t="shared" ca="1" si="174"/>
        <v>-945</v>
      </c>
      <c r="P582" s="10">
        <f t="shared" ca="1" si="175"/>
        <v>-696</v>
      </c>
      <c r="Q582" s="14">
        <v>0</v>
      </c>
      <c r="R582" s="14">
        <v>0</v>
      </c>
      <c r="S582" s="14">
        <v>1</v>
      </c>
      <c r="T582" s="13">
        <f t="shared" ca="1" si="170"/>
        <v>112</v>
      </c>
      <c r="U582" s="12">
        <f t="shared" ca="1" si="177"/>
        <v>3451</v>
      </c>
      <c r="V582" s="12">
        <f t="shared" ca="1" si="176"/>
        <v>3265</v>
      </c>
      <c r="W582" s="12">
        <f t="shared" ca="1" si="178"/>
        <v>3544</v>
      </c>
      <c r="X582" s="11"/>
      <c r="Y582" s="10"/>
      <c r="Z582" s="10"/>
      <c r="AA582" s="10"/>
      <c r="AB582" s="9"/>
    </row>
    <row r="583" spans="1:28" ht="13.15" customHeight="1">
      <c r="A583" s="16">
        <f t="shared" si="179"/>
        <v>569</v>
      </c>
      <c r="B583" s="17">
        <f t="shared" si="171"/>
        <v>45641</v>
      </c>
      <c r="C583" s="16">
        <f t="shared" si="172"/>
        <v>1069</v>
      </c>
      <c r="D583" s="15">
        <f t="shared" si="183"/>
        <v>2310</v>
      </c>
      <c r="E583" s="14">
        <f t="shared" ca="1" si="164"/>
        <v>92</v>
      </c>
      <c r="F583" s="14">
        <f t="shared" ca="1" si="165"/>
        <v>328</v>
      </c>
      <c r="G583" s="14">
        <f t="shared" ca="1" si="166"/>
        <v>75</v>
      </c>
      <c r="H583" s="10">
        <f t="shared" ca="1" si="167"/>
        <v>3287</v>
      </c>
      <c r="I583" s="10">
        <f t="shared" ca="1" si="168"/>
        <v>3051</v>
      </c>
      <c r="J583" s="10">
        <f t="shared" ca="1" si="169"/>
        <v>3304</v>
      </c>
      <c r="K583" s="10">
        <f t="shared" si="180"/>
        <v>4000</v>
      </c>
      <c r="L583" s="10">
        <f t="shared" si="181"/>
        <v>4000</v>
      </c>
      <c r="M583" s="10">
        <f t="shared" si="182"/>
        <v>4000</v>
      </c>
      <c r="N583" s="10">
        <f t="shared" ca="1" si="173"/>
        <v>-713</v>
      </c>
      <c r="O583" s="10">
        <f t="shared" ca="1" si="174"/>
        <v>-949</v>
      </c>
      <c r="P583" s="10">
        <f t="shared" ca="1" si="175"/>
        <v>-696</v>
      </c>
      <c r="Q583" s="14">
        <v>4</v>
      </c>
      <c r="R583" s="14">
        <v>4</v>
      </c>
      <c r="S583" s="14">
        <v>0</v>
      </c>
      <c r="T583" s="13">
        <f t="shared" ca="1" si="170"/>
        <v>118</v>
      </c>
      <c r="U583" s="12">
        <f t="shared" ca="1" si="177"/>
        <v>3447</v>
      </c>
      <c r="V583" s="12">
        <f t="shared" ca="1" si="176"/>
        <v>3261</v>
      </c>
      <c r="W583" s="12">
        <f t="shared" ca="1" si="178"/>
        <v>3544</v>
      </c>
      <c r="X583" s="11"/>
      <c r="Y583" s="10"/>
      <c r="Z583" s="10"/>
      <c r="AA583" s="10"/>
      <c r="AB583" s="9"/>
    </row>
    <row r="584" spans="1:28" ht="13.15" customHeight="1">
      <c r="A584" s="16">
        <f t="shared" si="179"/>
        <v>570</v>
      </c>
      <c r="B584" s="17">
        <f t="shared" si="171"/>
        <v>45642</v>
      </c>
      <c r="C584" s="16">
        <f t="shared" si="172"/>
        <v>1069</v>
      </c>
      <c r="D584" s="15">
        <f t="shared" si="183"/>
        <v>2312</v>
      </c>
      <c r="E584" s="14">
        <f t="shared" ca="1" si="164"/>
        <v>95</v>
      </c>
      <c r="F584" s="14">
        <f t="shared" ca="1" si="165"/>
        <v>330</v>
      </c>
      <c r="G584" s="14">
        <f t="shared" ca="1" si="166"/>
        <v>77</v>
      </c>
      <c r="H584" s="10">
        <f t="shared" ca="1" si="167"/>
        <v>3286</v>
      </c>
      <c r="I584" s="10">
        <f t="shared" ca="1" si="168"/>
        <v>3051</v>
      </c>
      <c r="J584" s="10">
        <f t="shared" ca="1" si="169"/>
        <v>3304</v>
      </c>
      <c r="K584" s="10">
        <f t="shared" si="180"/>
        <v>4000</v>
      </c>
      <c r="L584" s="10">
        <f t="shared" si="181"/>
        <v>4000</v>
      </c>
      <c r="M584" s="10">
        <f t="shared" si="182"/>
        <v>4000</v>
      </c>
      <c r="N584" s="10">
        <f t="shared" ca="1" si="173"/>
        <v>-714</v>
      </c>
      <c r="O584" s="10">
        <f t="shared" ca="1" si="174"/>
        <v>-949</v>
      </c>
      <c r="P584" s="10">
        <f t="shared" ca="1" si="175"/>
        <v>-696</v>
      </c>
      <c r="Q584" s="14">
        <v>1</v>
      </c>
      <c r="R584" s="14">
        <v>0</v>
      </c>
      <c r="S584" s="14">
        <v>0</v>
      </c>
      <c r="T584" s="13">
        <f t="shared" ca="1" si="170"/>
        <v>120</v>
      </c>
      <c r="U584" s="12">
        <f t="shared" ca="1" si="177"/>
        <v>3446</v>
      </c>
      <c r="V584" s="12">
        <f t="shared" ca="1" si="176"/>
        <v>3261</v>
      </c>
      <c r="W584" s="12">
        <f t="shared" ca="1" si="178"/>
        <v>3544</v>
      </c>
      <c r="X584" s="11"/>
      <c r="Y584" s="10"/>
      <c r="Z584" s="10"/>
      <c r="AA584" s="10"/>
      <c r="AB584" s="9"/>
    </row>
    <row r="585" spans="1:28" ht="13.15" customHeight="1">
      <c r="A585" s="16">
        <f t="shared" si="179"/>
        <v>571</v>
      </c>
      <c r="B585" s="17">
        <f t="shared" si="171"/>
        <v>45643</v>
      </c>
      <c r="C585" s="16">
        <f t="shared" si="172"/>
        <v>1069</v>
      </c>
      <c r="D585" s="15">
        <f t="shared" si="183"/>
        <v>2314</v>
      </c>
      <c r="E585" s="14">
        <f t="shared" ca="1" si="164"/>
        <v>97</v>
      </c>
      <c r="F585" s="14">
        <f t="shared" ca="1" si="165"/>
        <v>332</v>
      </c>
      <c r="G585" s="14">
        <f t="shared" ca="1" si="166"/>
        <v>79</v>
      </c>
      <c r="H585" s="10">
        <f t="shared" ca="1" si="167"/>
        <v>3286</v>
      </c>
      <c r="I585" s="10">
        <f t="shared" ca="1" si="168"/>
        <v>3051</v>
      </c>
      <c r="J585" s="10">
        <f t="shared" ca="1" si="169"/>
        <v>3304</v>
      </c>
      <c r="K585" s="10">
        <f t="shared" si="180"/>
        <v>4000</v>
      </c>
      <c r="L585" s="10">
        <f t="shared" si="181"/>
        <v>4000</v>
      </c>
      <c r="M585" s="10">
        <f t="shared" si="182"/>
        <v>4000</v>
      </c>
      <c r="N585" s="10">
        <f t="shared" ca="1" si="173"/>
        <v>-714</v>
      </c>
      <c r="O585" s="10">
        <f t="shared" ca="1" si="174"/>
        <v>-949</v>
      </c>
      <c r="P585" s="10">
        <f t="shared" ca="1" si="175"/>
        <v>-696</v>
      </c>
      <c r="Q585" s="14">
        <v>0</v>
      </c>
      <c r="R585" s="14">
        <v>0</v>
      </c>
      <c r="S585" s="14">
        <v>0</v>
      </c>
      <c r="T585" s="13">
        <f t="shared" ca="1" si="170"/>
        <v>122</v>
      </c>
      <c r="U585" s="12">
        <f t="shared" ca="1" si="177"/>
        <v>3446</v>
      </c>
      <c r="V585" s="12">
        <f t="shared" ca="1" si="176"/>
        <v>3261</v>
      </c>
      <c r="W585" s="12">
        <f t="shared" ca="1" si="178"/>
        <v>3544</v>
      </c>
      <c r="X585" s="11"/>
      <c r="Y585" s="10"/>
      <c r="Z585" s="10"/>
      <c r="AA585" s="10"/>
      <c r="AB585" s="9"/>
    </row>
    <row r="586" spans="1:28" ht="13.15" customHeight="1">
      <c r="A586" s="16">
        <f t="shared" si="179"/>
        <v>572</v>
      </c>
      <c r="B586" s="17">
        <f t="shared" si="171"/>
        <v>45644</v>
      </c>
      <c r="C586" s="16">
        <f t="shared" si="172"/>
        <v>1069</v>
      </c>
      <c r="D586" s="15">
        <f t="shared" si="183"/>
        <v>2316</v>
      </c>
      <c r="E586" s="14">
        <f t="shared" ca="1" si="164"/>
        <v>99</v>
      </c>
      <c r="F586" s="14">
        <f t="shared" ca="1" si="165"/>
        <v>334</v>
      </c>
      <c r="G586" s="14">
        <f t="shared" ca="1" si="166"/>
        <v>81</v>
      </c>
      <c r="H586" s="10">
        <f t="shared" ca="1" si="167"/>
        <v>3286</v>
      </c>
      <c r="I586" s="10">
        <f t="shared" ca="1" si="168"/>
        <v>3051</v>
      </c>
      <c r="J586" s="10">
        <f t="shared" ca="1" si="169"/>
        <v>3304</v>
      </c>
      <c r="K586" s="10">
        <f t="shared" si="180"/>
        <v>4000</v>
      </c>
      <c r="L586" s="10">
        <f t="shared" si="181"/>
        <v>4000</v>
      </c>
      <c r="M586" s="10">
        <f t="shared" si="182"/>
        <v>4000</v>
      </c>
      <c r="N586" s="10">
        <f t="shared" ca="1" si="173"/>
        <v>-714</v>
      </c>
      <c r="O586" s="10">
        <f t="shared" ca="1" si="174"/>
        <v>-949</v>
      </c>
      <c r="P586" s="10">
        <f t="shared" ca="1" si="175"/>
        <v>-696</v>
      </c>
      <c r="Q586" s="14">
        <v>0</v>
      </c>
      <c r="R586" s="14">
        <v>0</v>
      </c>
      <c r="S586" s="14">
        <v>0</v>
      </c>
      <c r="T586" s="13">
        <f t="shared" ca="1" si="170"/>
        <v>124</v>
      </c>
      <c r="U586" s="12">
        <f t="shared" ca="1" si="177"/>
        <v>3446</v>
      </c>
      <c r="V586" s="12">
        <f t="shared" ca="1" si="176"/>
        <v>3261</v>
      </c>
      <c r="W586" s="12">
        <f t="shared" ca="1" si="178"/>
        <v>3544</v>
      </c>
      <c r="X586" s="11"/>
      <c r="Y586" s="10"/>
      <c r="Z586" s="10"/>
      <c r="AA586" s="10"/>
      <c r="AB586" s="9"/>
    </row>
    <row r="587" spans="1:28" ht="13.15" customHeight="1">
      <c r="A587" s="16">
        <f t="shared" si="179"/>
        <v>573</v>
      </c>
      <c r="B587" s="17">
        <f t="shared" si="171"/>
        <v>45645</v>
      </c>
      <c r="C587" s="16">
        <f t="shared" si="172"/>
        <v>1069</v>
      </c>
      <c r="D587" s="15">
        <f t="shared" si="183"/>
        <v>2318</v>
      </c>
      <c r="E587" s="14">
        <f t="shared" ca="1" si="164"/>
        <v>101</v>
      </c>
      <c r="F587" s="14">
        <f t="shared" ca="1" si="165"/>
        <v>338</v>
      </c>
      <c r="G587" s="14">
        <f t="shared" ca="1" si="166"/>
        <v>83</v>
      </c>
      <c r="H587" s="10">
        <f t="shared" ca="1" si="167"/>
        <v>3286</v>
      </c>
      <c r="I587" s="10">
        <f t="shared" ca="1" si="168"/>
        <v>3049</v>
      </c>
      <c r="J587" s="10">
        <f t="shared" ca="1" si="169"/>
        <v>3304</v>
      </c>
      <c r="K587" s="10">
        <f t="shared" si="180"/>
        <v>4000</v>
      </c>
      <c r="L587" s="10">
        <f t="shared" si="181"/>
        <v>4000</v>
      </c>
      <c r="M587" s="10">
        <f t="shared" si="182"/>
        <v>4000</v>
      </c>
      <c r="N587" s="10">
        <f t="shared" ca="1" si="173"/>
        <v>-714</v>
      </c>
      <c r="O587" s="10">
        <f t="shared" ca="1" si="174"/>
        <v>-951</v>
      </c>
      <c r="P587" s="10">
        <f t="shared" ca="1" si="175"/>
        <v>-696</v>
      </c>
      <c r="Q587" s="14">
        <v>0</v>
      </c>
      <c r="R587" s="14">
        <v>2</v>
      </c>
      <c r="S587" s="14">
        <v>0</v>
      </c>
      <c r="T587" s="13">
        <f t="shared" ca="1" si="170"/>
        <v>128</v>
      </c>
      <c r="U587" s="12">
        <f t="shared" ca="1" si="177"/>
        <v>3446</v>
      </c>
      <c r="V587" s="12">
        <f t="shared" ca="1" si="176"/>
        <v>3259</v>
      </c>
      <c r="W587" s="12">
        <f t="shared" ca="1" si="178"/>
        <v>3544</v>
      </c>
      <c r="X587" s="11"/>
      <c r="Y587" s="10"/>
      <c r="Z587" s="10"/>
      <c r="AA587" s="10"/>
      <c r="AB587" s="9"/>
    </row>
    <row r="588" spans="1:28" ht="13.15" customHeight="1">
      <c r="A588" s="16">
        <f t="shared" si="179"/>
        <v>574</v>
      </c>
      <c r="B588" s="17">
        <f t="shared" si="171"/>
        <v>45646</v>
      </c>
      <c r="C588" s="16">
        <f t="shared" si="172"/>
        <v>1069</v>
      </c>
      <c r="D588" s="15">
        <f t="shared" si="183"/>
        <v>2320</v>
      </c>
      <c r="E588" s="14">
        <f t="shared" ca="1" si="164"/>
        <v>103</v>
      </c>
      <c r="F588" s="14">
        <f t="shared" ca="1" si="165"/>
        <v>340</v>
      </c>
      <c r="G588" s="14">
        <f t="shared" ca="1" si="166"/>
        <v>85</v>
      </c>
      <c r="H588" s="10">
        <f t="shared" ca="1" si="167"/>
        <v>3286</v>
      </c>
      <c r="I588" s="10">
        <f t="shared" ca="1" si="168"/>
        <v>3049</v>
      </c>
      <c r="J588" s="10">
        <f t="shared" ca="1" si="169"/>
        <v>3304</v>
      </c>
      <c r="K588" s="10">
        <f t="shared" si="180"/>
        <v>4000</v>
      </c>
      <c r="L588" s="10">
        <f t="shared" si="181"/>
        <v>4000</v>
      </c>
      <c r="M588" s="10">
        <f t="shared" si="182"/>
        <v>4000</v>
      </c>
      <c r="N588" s="10">
        <f t="shared" ca="1" si="173"/>
        <v>-714</v>
      </c>
      <c r="O588" s="10">
        <f t="shared" ca="1" si="174"/>
        <v>-951</v>
      </c>
      <c r="P588" s="10">
        <f t="shared" ca="1" si="175"/>
        <v>-696</v>
      </c>
      <c r="Q588" s="14">
        <v>0</v>
      </c>
      <c r="R588" s="14">
        <v>0</v>
      </c>
      <c r="S588" s="14">
        <v>0</v>
      </c>
      <c r="T588" s="13">
        <f t="shared" ca="1" si="170"/>
        <v>130</v>
      </c>
      <c r="U588" s="12">
        <f t="shared" ca="1" si="177"/>
        <v>3446</v>
      </c>
      <c r="V588" s="12">
        <f t="shared" ca="1" si="176"/>
        <v>3259</v>
      </c>
      <c r="W588" s="12">
        <f t="shared" ca="1" si="178"/>
        <v>3544</v>
      </c>
      <c r="X588" s="11"/>
      <c r="Y588" s="10"/>
      <c r="Z588" s="10"/>
      <c r="AA588" s="10"/>
      <c r="AB588" s="9"/>
    </row>
    <row r="589" spans="1:28" ht="13.15" customHeight="1">
      <c r="A589" s="16">
        <f t="shared" si="179"/>
        <v>575</v>
      </c>
      <c r="B589" s="17">
        <f t="shared" si="171"/>
        <v>45647</v>
      </c>
      <c r="C589" s="16">
        <f t="shared" si="172"/>
        <v>1069</v>
      </c>
      <c r="D589" s="15">
        <f t="shared" si="183"/>
        <v>2322</v>
      </c>
      <c r="E589" s="14">
        <f t="shared" ca="1" si="164"/>
        <v>105</v>
      </c>
      <c r="F589" s="14">
        <f t="shared" ca="1" si="165"/>
        <v>342</v>
      </c>
      <c r="G589" s="14">
        <f t="shared" ca="1" si="166"/>
        <v>87</v>
      </c>
      <c r="H589" s="10">
        <f t="shared" ca="1" si="167"/>
        <v>3286</v>
      </c>
      <c r="I589" s="10">
        <f t="shared" ca="1" si="168"/>
        <v>3049</v>
      </c>
      <c r="J589" s="10">
        <f t="shared" ca="1" si="169"/>
        <v>3304</v>
      </c>
      <c r="K589" s="10">
        <f t="shared" si="180"/>
        <v>4000</v>
      </c>
      <c r="L589" s="10">
        <f t="shared" si="181"/>
        <v>4000</v>
      </c>
      <c r="M589" s="10">
        <f t="shared" si="182"/>
        <v>4000</v>
      </c>
      <c r="N589" s="10">
        <f t="shared" ca="1" si="173"/>
        <v>-714</v>
      </c>
      <c r="O589" s="10">
        <f t="shared" ca="1" si="174"/>
        <v>-951</v>
      </c>
      <c r="P589" s="10">
        <f t="shared" ca="1" si="175"/>
        <v>-696</v>
      </c>
      <c r="Q589" s="14">
        <v>0</v>
      </c>
      <c r="R589" s="14">
        <v>0</v>
      </c>
      <c r="S589" s="14">
        <v>0</v>
      </c>
      <c r="T589" s="13">
        <f t="shared" ca="1" si="170"/>
        <v>132</v>
      </c>
      <c r="U589" s="12">
        <f t="shared" ca="1" si="177"/>
        <v>3446</v>
      </c>
      <c r="V589" s="12">
        <f t="shared" ca="1" si="176"/>
        <v>3259</v>
      </c>
      <c r="W589" s="12">
        <f t="shared" ca="1" si="178"/>
        <v>3544</v>
      </c>
      <c r="X589" s="11"/>
      <c r="Y589" s="10"/>
      <c r="Z589" s="10"/>
      <c r="AA589" s="10"/>
      <c r="AB589" s="9"/>
    </row>
    <row r="590" spans="1:28" ht="13.15" customHeight="1">
      <c r="A590" s="16">
        <f t="shared" si="179"/>
        <v>576</v>
      </c>
      <c r="B590" s="17">
        <f t="shared" si="171"/>
        <v>45648</v>
      </c>
      <c r="C590" s="16">
        <f t="shared" si="172"/>
        <v>1069</v>
      </c>
      <c r="D590" s="15">
        <f t="shared" si="183"/>
        <v>2324</v>
      </c>
      <c r="E590" s="14">
        <f t="shared" ref="E590:E653" ca="1" si="184">C590+D590-H590</f>
        <v>107</v>
      </c>
      <c r="F590" s="14">
        <f t="shared" ref="F590:F653" ca="1" si="185">C590+D590-I590</f>
        <v>345</v>
      </c>
      <c r="G590" s="14">
        <f t="shared" ref="G590:G653" ca="1" si="186">D590+C590-J590</f>
        <v>89</v>
      </c>
      <c r="H590" s="10">
        <f t="shared" ref="H590:H653" ca="1" si="187">K590+N590</f>
        <v>3286</v>
      </c>
      <c r="I590" s="10">
        <f t="shared" ref="I590:I653" ca="1" si="188">L590+O590</f>
        <v>3048</v>
      </c>
      <c r="J590" s="10">
        <f t="shared" ref="J590:J653" ca="1" si="189">M590+P590</f>
        <v>3304</v>
      </c>
      <c r="K590" s="10">
        <f t="shared" si="180"/>
        <v>4000</v>
      </c>
      <c r="L590" s="10">
        <f t="shared" si="181"/>
        <v>4000</v>
      </c>
      <c r="M590" s="10">
        <f t="shared" si="182"/>
        <v>4000</v>
      </c>
      <c r="N590" s="10">
        <f t="shared" ca="1" si="173"/>
        <v>-714</v>
      </c>
      <c r="O590" s="10">
        <f t="shared" ca="1" si="174"/>
        <v>-952</v>
      </c>
      <c r="P590" s="10">
        <f t="shared" ca="1" si="175"/>
        <v>-696</v>
      </c>
      <c r="Q590" s="14">
        <v>0</v>
      </c>
      <c r="R590" s="14">
        <v>1</v>
      </c>
      <c r="S590" s="14">
        <v>0</v>
      </c>
      <c r="T590" s="13">
        <f t="shared" ref="T590:T653" ca="1" si="190">D590+C590-V590</f>
        <v>135</v>
      </c>
      <c r="U590" s="12">
        <f t="shared" ca="1" si="177"/>
        <v>3446</v>
      </c>
      <c r="V590" s="12">
        <f t="shared" ca="1" si="176"/>
        <v>3258</v>
      </c>
      <c r="W590" s="12">
        <f t="shared" ca="1" si="178"/>
        <v>3544</v>
      </c>
      <c r="X590" s="11"/>
      <c r="Y590" s="10"/>
      <c r="Z590" s="10"/>
      <c r="AA590" s="10"/>
      <c r="AB590" s="9"/>
    </row>
    <row r="591" spans="1:28" ht="13.15" customHeight="1">
      <c r="A591" s="16">
        <f t="shared" si="179"/>
        <v>577</v>
      </c>
      <c r="B591" s="17">
        <f t="shared" ref="B591:B654" si="191">B590+1</f>
        <v>45649</v>
      </c>
      <c r="C591" s="16">
        <f t="shared" ref="C591:C654" si="192">C590</f>
        <v>1069</v>
      </c>
      <c r="D591" s="15">
        <f t="shared" si="183"/>
        <v>2326</v>
      </c>
      <c r="E591" s="14">
        <f t="shared" ca="1" si="184"/>
        <v>111</v>
      </c>
      <c r="F591" s="14">
        <f t="shared" ca="1" si="185"/>
        <v>347</v>
      </c>
      <c r="G591" s="14">
        <f t="shared" ca="1" si="186"/>
        <v>91</v>
      </c>
      <c r="H591" s="10">
        <f t="shared" ca="1" si="187"/>
        <v>3284</v>
      </c>
      <c r="I591" s="10">
        <f t="shared" ca="1" si="188"/>
        <v>3048</v>
      </c>
      <c r="J591" s="10">
        <f t="shared" ca="1" si="189"/>
        <v>3304</v>
      </c>
      <c r="K591" s="10">
        <f t="shared" si="180"/>
        <v>4000</v>
      </c>
      <c r="L591" s="10">
        <f t="shared" si="181"/>
        <v>4000</v>
      </c>
      <c r="M591" s="10">
        <f t="shared" si="182"/>
        <v>4000</v>
      </c>
      <c r="N591" s="10">
        <f t="shared" ref="N591:N654" ca="1" si="193">N590-Q591</f>
        <v>-716</v>
      </c>
      <c r="O591" s="10">
        <f t="shared" ref="O591:O654" ca="1" si="194">O590-R591</f>
        <v>-952</v>
      </c>
      <c r="P591" s="10">
        <f t="shared" ref="P591:P654" ca="1" si="195">P590-S591</f>
        <v>-696</v>
      </c>
      <c r="Q591" s="14">
        <v>2</v>
      </c>
      <c r="R591" s="14">
        <v>0</v>
      </c>
      <c r="S591" s="14">
        <v>0</v>
      </c>
      <c r="T591" s="13">
        <f t="shared" ca="1" si="190"/>
        <v>137</v>
      </c>
      <c r="U591" s="12">
        <f t="shared" ca="1" si="177"/>
        <v>3444</v>
      </c>
      <c r="V591" s="12">
        <f t="shared" ca="1" si="176"/>
        <v>3258</v>
      </c>
      <c r="W591" s="12">
        <f t="shared" ca="1" si="178"/>
        <v>3544</v>
      </c>
      <c r="X591" s="11"/>
      <c r="Y591" s="10"/>
      <c r="Z591" s="10"/>
      <c r="AA591" s="10"/>
      <c r="AB591" s="9"/>
    </row>
    <row r="592" spans="1:28" ht="13.15" customHeight="1">
      <c r="A592" s="16">
        <f t="shared" si="179"/>
        <v>578</v>
      </c>
      <c r="B592" s="17">
        <f t="shared" si="191"/>
        <v>45650</v>
      </c>
      <c r="C592" s="16">
        <f t="shared" si="192"/>
        <v>1069</v>
      </c>
      <c r="D592" s="15">
        <f t="shared" si="183"/>
        <v>2328</v>
      </c>
      <c r="E592" s="14">
        <f t="shared" ca="1" si="184"/>
        <v>113</v>
      </c>
      <c r="F592" s="14">
        <f t="shared" ca="1" si="185"/>
        <v>349</v>
      </c>
      <c r="G592" s="14">
        <f t="shared" ca="1" si="186"/>
        <v>94</v>
      </c>
      <c r="H592" s="10">
        <f t="shared" ca="1" si="187"/>
        <v>3284</v>
      </c>
      <c r="I592" s="10">
        <f t="shared" ca="1" si="188"/>
        <v>3048</v>
      </c>
      <c r="J592" s="10">
        <f t="shared" ca="1" si="189"/>
        <v>3303</v>
      </c>
      <c r="K592" s="10">
        <f t="shared" si="180"/>
        <v>4000</v>
      </c>
      <c r="L592" s="10">
        <f t="shared" si="181"/>
        <v>4000</v>
      </c>
      <c r="M592" s="10">
        <f t="shared" si="182"/>
        <v>4000</v>
      </c>
      <c r="N592" s="10">
        <f t="shared" ca="1" si="193"/>
        <v>-716</v>
      </c>
      <c r="O592" s="10">
        <f t="shared" ca="1" si="194"/>
        <v>-952</v>
      </c>
      <c r="P592" s="10">
        <f t="shared" ca="1" si="195"/>
        <v>-697</v>
      </c>
      <c r="Q592" s="14">
        <v>0</v>
      </c>
      <c r="R592" s="14">
        <v>0</v>
      </c>
      <c r="S592" s="14">
        <v>1</v>
      </c>
      <c r="T592" s="13">
        <f t="shared" ca="1" si="190"/>
        <v>139</v>
      </c>
      <c r="U592" s="12">
        <f t="shared" ca="1" si="177"/>
        <v>3444</v>
      </c>
      <c r="V592" s="12">
        <f t="shared" ca="1" si="176"/>
        <v>3258</v>
      </c>
      <c r="W592" s="12">
        <f t="shared" ca="1" si="178"/>
        <v>3543</v>
      </c>
      <c r="X592" s="11"/>
      <c r="Y592" s="10"/>
      <c r="Z592" s="10"/>
      <c r="AA592" s="10"/>
      <c r="AB592" s="9"/>
    </row>
    <row r="593" spans="1:28" ht="13.15" customHeight="1">
      <c r="A593" s="16">
        <f t="shared" si="179"/>
        <v>579</v>
      </c>
      <c r="B593" s="17">
        <f t="shared" si="191"/>
        <v>45651</v>
      </c>
      <c r="C593" s="16">
        <f t="shared" si="192"/>
        <v>1069</v>
      </c>
      <c r="D593" s="15">
        <f t="shared" si="183"/>
        <v>2330</v>
      </c>
      <c r="E593" s="14">
        <f t="shared" ca="1" si="184"/>
        <v>115</v>
      </c>
      <c r="F593" s="14">
        <f t="shared" ca="1" si="185"/>
        <v>353</v>
      </c>
      <c r="G593" s="14">
        <f t="shared" ca="1" si="186"/>
        <v>96</v>
      </c>
      <c r="H593" s="10">
        <f t="shared" ca="1" si="187"/>
        <v>3284</v>
      </c>
      <c r="I593" s="10">
        <f t="shared" ca="1" si="188"/>
        <v>3046</v>
      </c>
      <c r="J593" s="10">
        <f t="shared" ca="1" si="189"/>
        <v>3303</v>
      </c>
      <c r="K593" s="10">
        <f t="shared" si="180"/>
        <v>4000</v>
      </c>
      <c r="L593" s="10">
        <f t="shared" si="181"/>
        <v>4000</v>
      </c>
      <c r="M593" s="10">
        <f t="shared" si="182"/>
        <v>4000</v>
      </c>
      <c r="N593" s="10">
        <f t="shared" ca="1" si="193"/>
        <v>-716</v>
      </c>
      <c r="O593" s="10">
        <f t="shared" ca="1" si="194"/>
        <v>-954</v>
      </c>
      <c r="P593" s="10">
        <f t="shared" ca="1" si="195"/>
        <v>-697</v>
      </c>
      <c r="Q593" s="14">
        <v>0</v>
      </c>
      <c r="R593" s="14">
        <v>2</v>
      </c>
      <c r="S593" s="14">
        <v>0</v>
      </c>
      <c r="T593" s="13">
        <f t="shared" ca="1" si="190"/>
        <v>143</v>
      </c>
      <c r="U593" s="12">
        <f t="shared" ca="1" si="177"/>
        <v>3444</v>
      </c>
      <c r="V593" s="12">
        <f t="shared" ca="1" si="176"/>
        <v>3256</v>
      </c>
      <c r="W593" s="12">
        <f t="shared" ca="1" si="178"/>
        <v>3543</v>
      </c>
      <c r="X593" s="11"/>
      <c r="Y593" s="10"/>
      <c r="Z593" s="10"/>
      <c r="AA593" s="10"/>
      <c r="AB593" s="9"/>
    </row>
    <row r="594" spans="1:28" ht="13.15" customHeight="1">
      <c r="A594" s="16">
        <f t="shared" si="179"/>
        <v>580</v>
      </c>
      <c r="B594" s="17">
        <f t="shared" si="191"/>
        <v>45652</v>
      </c>
      <c r="C594" s="16">
        <f t="shared" si="192"/>
        <v>1069</v>
      </c>
      <c r="D594" s="15">
        <f t="shared" si="183"/>
        <v>2332</v>
      </c>
      <c r="E594" s="14">
        <f t="shared" ca="1" si="184"/>
        <v>120</v>
      </c>
      <c r="F594" s="14">
        <f t="shared" ca="1" si="185"/>
        <v>355</v>
      </c>
      <c r="G594" s="14">
        <f t="shared" ca="1" si="186"/>
        <v>98</v>
      </c>
      <c r="H594" s="10">
        <f t="shared" ca="1" si="187"/>
        <v>3281</v>
      </c>
      <c r="I594" s="10">
        <f t="shared" ca="1" si="188"/>
        <v>3046</v>
      </c>
      <c r="J594" s="10">
        <f t="shared" ca="1" si="189"/>
        <v>3303</v>
      </c>
      <c r="K594" s="10">
        <f t="shared" si="180"/>
        <v>4000</v>
      </c>
      <c r="L594" s="10">
        <f t="shared" si="181"/>
        <v>4000</v>
      </c>
      <c r="M594" s="10">
        <f t="shared" si="182"/>
        <v>4000</v>
      </c>
      <c r="N594" s="10">
        <f t="shared" ca="1" si="193"/>
        <v>-719</v>
      </c>
      <c r="O594" s="10">
        <f t="shared" ca="1" si="194"/>
        <v>-954</v>
      </c>
      <c r="P594" s="10">
        <f t="shared" ca="1" si="195"/>
        <v>-697</v>
      </c>
      <c r="Q594" s="14">
        <v>3</v>
      </c>
      <c r="R594" s="14">
        <v>0</v>
      </c>
      <c r="S594" s="14">
        <v>0</v>
      </c>
      <c r="T594" s="13">
        <f t="shared" ca="1" si="190"/>
        <v>145</v>
      </c>
      <c r="U594" s="12">
        <f t="shared" ca="1" si="177"/>
        <v>3441</v>
      </c>
      <c r="V594" s="12">
        <f t="shared" ca="1" si="176"/>
        <v>3256</v>
      </c>
      <c r="W594" s="12">
        <f t="shared" ca="1" si="178"/>
        <v>3543</v>
      </c>
      <c r="X594" s="11"/>
      <c r="Y594" s="10"/>
      <c r="Z594" s="10"/>
      <c r="AA594" s="10"/>
      <c r="AB594" s="9"/>
    </row>
    <row r="595" spans="1:28" ht="13.15" customHeight="1">
      <c r="A595" s="16">
        <f t="shared" si="179"/>
        <v>581</v>
      </c>
      <c r="B595" s="17">
        <f t="shared" si="191"/>
        <v>45653</v>
      </c>
      <c r="C595" s="16">
        <f t="shared" si="192"/>
        <v>1069</v>
      </c>
      <c r="D595" s="15">
        <f t="shared" si="183"/>
        <v>2334</v>
      </c>
      <c r="E595" s="14">
        <f t="shared" ca="1" si="184"/>
        <v>122</v>
      </c>
      <c r="F595" s="14">
        <f t="shared" ca="1" si="185"/>
        <v>361</v>
      </c>
      <c r="G595" s="14">
        <f t="shared" ca="1" si="186"/>
        <v>100</v>
      </c>
      <c r="H595" s="10">
        <f t="shared" ca="1" si="187"/>
        <v>3281</v>
      </c>
      <c r="I595" s="10">
        <f t="shared" ca="1" si="188"/>
        <v>3042</v>
      </c>
      <c r="J595" s="10">
        <f t="shared" ca="1" si="189"/>
        <v>3303</v>
      </c>
      <c r="K595" s="10">
        <f t="shared" si="180"/>
        <v>4000</v>
      </c>
      <c r="L595" s="10">
        <f t="shared" si="181"/>
        <v>4000</v>
      </c>
      <c r="M595" s="10">
        <f t="shared" si="182"/>
        <v>4000</v>
      </c>
      <c r="N595" s="10">
        <f t="shared" ca="1" si="193"/>
        <v>-719</v>
      </c>
      <c r="O595" s="10">
        <f t="shared" ca="1" si="194"/>
        <v>-958</v>
      </c>
      <c r="P595" s="10">
        <f t="shared" ca="1" si="195"/>
        <v>-697</v>
      </c>
      <c r="Q595" s="14">
        <v>0</v>
      </c>
      <c r="R595" s="14">
        <v>4</v>
      </c>
      <c r="S595" s="14">
        <v>0</v>
      </c>
      <c r="T595" s="13">
        <f t="shared" ca="1" si="190"/>
        <v>151</v>
      </c>
      <c r="U595" s="12">
        <f t="shared" ca="1" si="177"/>
        <v>3441</v>
      </c>
      <c r="V595" s="12">
        <f t="shared" ca="1" si="176"/>
        <v>3252</v>
      </c>
      <c r="W595" s="12">
        <f t="shared" ca="1" si="178"/>
        <v>3543</v>
      </c>
      <c r="X595" s="11"/>
      <c r="Y595" s="10"/>
      <c r="Z595" s="10"/>
      <c r="AA595" s="10"/>
      <c r="AB595" s="9"/>
    </row>
    <row r="596" spans="1:28" ht="13.15" customHeight="1">
      <c r="A596" s="16">
        <f t="shared" si="179"/>
        <v>582</v>
      </c>
      <c r="B596" s="17">
        <f t="shared" si="191"/>
        <v>45654</v>
      </c>
      <c r="C596" s="16">
        <f t="shared" si="192"/>
        <v>1069</v>
      </c>
      <c r="D596" s="15">
        <f t="shared" si="183"/>
        <v>2336</v>
      </c>
      <c r="E596" s="14">
        <f t="shared" ca="1" si="184"/>
        <v>124</v>
      </c>
      <c r="F596" s="14">
        <f t="shared" ca="1" si="185"/>
        <v>363</v>
      </c>
      <c r="G596" s="14">
        <f t="shared" ca="1" si="186"/>
        <v>102</v>
      </c>
      <c r="H596" s="10">
        <f t="shared" ca="1" si="187"/>
        <v>3281</v>
      </c>
      <c r="I596" s="10">
        <f t="shared" ca="1" si="188"/>
        <v>3042</v>
      </c>
      <c r="J596" s="10">
        <f t="shared" ca="1" si="189"/>
        <v>3303</v>
      </c>
      <c r="K596" s="10">
        <f t="shared" si="180"/>
        <v>4000</v>
      </c>
      <c r="L596" s="10">
        <f t="shared" si="181"/>
        <v>4000</v>
      </c>
      <c r="M596" s="10">
        <f t="shared" si="182"/>
        <v>4000</v>
      </c>
      <c r="N596" s="10">
        <f t="shared" ca="1" si="193"/>
        <v>-719</v>
      </c>
      <c r="O596" s="10">
        <f t="shared" ca="1" si="194"/>
        <v>-958</v>
      </c>
      <c r="P596" s="10">
        <f t="shared" ca="1" si="195"/>
        <v>-697</v>
      </c>
      <c r="Q596" s="14">
        <v>0</v>
      </c>
      <c r="R596" s="14">
        <v>0</v>
      </c>
      <c r="S596" s="14">
        <v>0</v>
      </c>
      <c r="T596" s="13">
        <f t="shared" ca="1" si="190"/>
        <v>153</v>
      </c>
      <c r="U596" s="12">
        <f t="shared" ca="1" si="177"/>
        <v>3441</v>
      </c>
      <c r="V596" s="12">
        <f t="shared" ca="1" si="176"/>
        <v>3252</v>
      </c>
      <c r="W596" s="12">
        <f t="shared" ca="1" si="178"/>
        <v>3543</v>
      </c>
      <c r="X596" s="11"/>
      <c r="Y596" s="10"/>
      <c r="Z596" s="10"/>
      <c r="AA596" s="10"/>
      <c r="AB596" s="9"/>
    </row>
    <row r="597" spans="1:28" ht="13.15" customHeight="1">
      <c r="A597" s="16">
        <f t="shared" si="179"/>
        <v>583</v>
      </c>
      <c r="B597" s="17">
        <f t="shared" si="191"/>
        <v>45655</v>
      </c>
      <c r="C597" s="16">
        <f t="shared" si="192"/>
        <v>1069</v>
      </c>
      <c r="D597" s="15">
        <f t="shared" si="183"/>
        <v>2338</v>
      </c>
      <c r="E597" s="14">
        <f t="shared" ca="1" si="184"/>
        <v>127</v>
      </c>
      <c r="F597" s="14">
        <f t="shared" ca="1" si="185"/>
        <v>365</v>
      </c>
      <c r="G597" s="14">
        <f t="shared" ca="1" si="186"/>
        <v>104</v>
      </c>
      <c r="H597" s="10">
        <f t="shared" ca="1" si="187"/>
        <v>3280</v>
      </c>
      <c r="I597" s="10">
        <f t="shared" ca="1" si="188"/>
        <v>3042</v>
      </c>
      <c r="J597" s="10">
        <f t="shared" ca="1" si="189"/>
        <v>3303</v>
      </c>
      <c r="K597" s="10">
        <f t="shared" si="180"/>
        <v>4000</v>
      </c>
      <c r="L597" s="10">
        <f t="shared" si="181"/>
        <v>4000</v>
      </c>
      <c r="M597" s="10">
        <f t="shared" si="182"/>
        <v>4000</v>
      </c>
      <c r="N597" s="10">
        <f t="shared" ca="1" si="193"/>
        <v>-720</v>
      </c>
      <c r="O597" s="10">
        <f t="shared" ca="1" si="194"/>
        <v>-958</v>
      </c>
      <c r="P597" s="10">
        <f t="shared" ca="1" si="195"/>
        <v>-697</v>
      </c>
      <c r="Q597" s="14">
        <v>1</v>
      </c>
      <c r="R597" s="14">
        <v>0</v>
      </c>
      <c r="S597" s="14">
        <v>0</v>
      </c>
      <c r="T597" s="13">
        <f t="shared" ca="1" si="190"/>
        <v>155</v>
      </c>
      <c r="U597" s="12">
        <f t="shared" ca="1" si="177"/>
        <v>3440</v>
      </c>
      <c r="V597" s="12">
        <f t="shared" ca="1" si="176"/>
        <v>3252</v>
      </c>
      <c r="W597" s="12">
        <f t="shared" ca="1" si="178"/>
        <v>3543</v>
      </c>
      <c r="X597" s="11"/>
      <c r="Y597" s="10"/>
      <c r="Z597" s="10"/>
      <c r="AA597" s="10"/>
      <c r="AB597" s="9"/>
    </row>
    <row r="598" spans="1:28" ht="13.15" customHeight="1">
      <c r="A598" s="16">
        <f t="shared" si="179"/>
        <v>584</v>
      </c>
      <c r="B598" s="17">
        <f t="shared" si="191"/>
        <v>45656</v>
      </c>
      <c r="C598" s="16">
        <f t="shared" si="192"/>
        <v>1069</v>
      </c>
      <c r="D598" s="15">
        <f t="shared" si="183"/>
        <v>2340</v>
      </c>
      <c r="E598" s="14">
        <f t="shared" ca="1" si="184"/>
        <v>129</v>
      </c>
      <c r="F598" s="14">
        <f t="shared" ca="1" si="185"/>
        <v>369</v>
      </c>
      <c r="G598" s="14">
        <f t="shared" ca="1" si="186"/>
        <v>108</v>
      </c>
      <c r="H598" s="10">
        <f t="shared" ca="1" si="187"/>
        <v>3280</v>
      </c>
      <c r="I598" s="10">
        <f t="shared" ca="1" si="188"/>
        <v>3040</v>
      </c>
      <c r="J598" s="10">
        <f t="shared" ca="1" si="189"/>
        <v>3301</v>
      </c>
      <c r="K598" s="10">
        <f t="shared" si="180"/>
        <v>4000</v>
      </c>
      <c r="L598" s="10">
        <f t="shared" si="181"/>
        <v>4000</v>
      </c>
      <c r="M598" s="10">
        <f t="shared" si="182"/>
        <v>4000</v>
      </c>
      <c r="N598" s="10">
        <f t="shared" ca="1" si="193"/>
        <v>-720</v>
      </c>
      <c r="O598" s="10">
        <f t="shared" ca="1" si="194"/>
        <v>-960</v>
      </c>
      <c r="P598" s="10">
        <f t="shared" ca="1" si="195"/>
        <v>-699</v>
      </c>
      <c r="Q598" s="14">
        <v>0</v>
      </c>
      <c r="R598" s="14">
        <v>2</v>
      </c>
      <c r="S598" s="14">
        <v>2</v>
      </c>
      <c r="T598" s="13">
        <f t="shared" ca="1" si="190"/>
        <v>159</v>
      </c>
      <c r="U598" s="12">
        <f t="shared" ca="1" si="177"/>
        <v>3440</v>
      </c>
      <c r="V598" s="12">
        <f t="shared" ca="1" si="176"/>
        <v>3250</v>
      </c>
      <c r="W598" s="12">
        <f t="shared" ca="1" si="178"/>
        <v>3541</v>
      </c>
      <c r="X598" s="11"/>
      <c r="Y598" s="10"/>
      <c r="Z598" s="10"/>
      <c r="AA598" s="10"/>
      <c r="AB598" s="9"/>
    </row>
    <row r="599" spans="1:28" ht="13.15" customHeight="1">
      <c r="A599" s="16">
        <f t="shared" si="179"/>
        <v>585</v>
      </c>
      <c r="B599" s="17">
        <f t="shared" si="191"/>
        <v>45657</v>
      </c>
      <c r="C599" s="16">
        <f t="shared" si="192"/>
        <v>1069</v>
      </c>
      <c r="D599" s="15">
        <f t="shared" si="183"/>
        <v>2342</v>
      </c>
      <c r="E599" s="14">
        <f t="shared" ca="1" si="184"/>
        <v>135</v>
      </c>
      <c r="F599" s="14">
        <f t="shared" ca="1" si="185"/>
        <v>371</v>
      </c>
      <c r="G599" s="14">
        <f t="shared" ca="1" si="186"/>
        <v>110</v>
      </c>
      <c r="H599" s="10">
        <f t="shared" ca="1" si="187"/>
        <v>3276</v>
      </c>
      <c r="I599" s="10">
        <f t="shared" ca="1" si="188"/>
        <v>3040</v>
      </c>
      <c r="J599" s="10">
        <f t="shared" ca="1" si="189"/>
        <v>3301</v>
      </c>
      <c r="K599" s="10">
        <f t="shared" si="180"/>
        <v>4000</v>
      </c>
      <c r="L599" s="10">
        <f t="shared" si="181"/>
        <v>4000</v>
      </c>
      <c r="M599" s="10">
        <f t="shared" si="182"/>
        <v>4000</v>
      </c>
      <c r="N599" s="10">
        <f t="shared" ca="1" si="193"/>
        <v>-724</v>
      </c>
      <c r="O599" s="10">
        <f t="shared" ca="1" si="194"/>
        <v>-960</v>
      </c>
      <c r="P599" s="10">
        <f t="shared" ca="1" si="195"/>
        <v>-699</v>
      </c>
      <c r="Q599" s="14">
        <v>4</v>
      </c>
      <c r="R599" s="14">
        <v>0</v>
      </c>
      <c r="S599" s="14">
        <v>0</v>
      </c>
      <c r="T599" s="13">
        <f t="shared" ca="1" si="190"/>
        <v>161</v>
      </c>
      <c r="U599" s="12">
        <f t="shared" ca="1" si="177"/>
        <v>3436</v>
      </c>
      <c r="V599" s="12">
        <f t="shared" ca="1" si="176"/>
        <v>3250</v>
      </c>
      <c r="W599" s="12">
        <f t="shared" ca="1" si="178"/>
        <v>3541</v>
      </c>
      <c r="X599" s="11"/>
      <c r="Y599" s="10"/>
      <c r="Z599" s="10"/>
      <c r="AA599" s="10"/>
      <c r="AB599" s="9"/>
    </row>
    <row r="600" spans="1:28" ht="13.15" customHeight="1">
      <c r="A600" s="16">
        <f t="shared" si="179"/>
        <v>586</v>
      </c>
      <c r="B600" s="17">
        <f t="shared" si="191"/>
        <v>45658</v>
      </c>
      <c r="C600" s="16">
        <f t="shared" si="192"/>
        <v>1069</v>
      </c>
      <c r="D600" s="15">
        <f t="shared" si="183"/>
        <v>2344</v>
      </c>
      <c r="E600" s="14">
        <f t="shared" ca="1" si="184"/>
        <v>138</v>
      </c>
      <c r="F600" s="14">
        <f t="shared" ca="1" si="185"/>
        <v>373</v>
      </c>
      <c r="G600" s="14">
        <f t="shared" ca="1" si="186"/>
        <v>112</v>
      </c>
      <c r="H600" s="10">
        <f t="shared" ca="1" si="187"/>
        <v>3275</v>
      </c>
      <c r="I600" s="10">
        <f t="shared" ca="1" si="188"/>
        <v>3040</v>
      </c>
      <c r="J600" s="10">
        <f t="shared" ca="1" si="189"/>
        <v>3301</v>
      </c>
      <c r="K600" s="10">
        <f t="shared" si="180"/>
        <v>4000</v>
      </c>
      <c r="L600" s="10">
        <f t="shared" si="181"/>
        <v>4000</v>
      </c>
      <c r="M600" s="10">
        <f t="shared" si="182"/>
        <v>4000</v>
      </c>
      <c r="N600" s="10">
        <f t="shared" ca="1" si="193"/>
        <v>-725</v>
      </c>
      <c r="O600" s="10">
        <f t="shared" ca="1" si="194"/>
        <v>-960</v>
      </c>
      <c r="P600" s="10">
        <f t="shared" ca="1" si="195"/>
        <v>-699</v>
      </c>
      <c r="Q600" s="14">
        <v>1</v>
      </c>
      <c r="R600" s="14">
        <v>0</v>
      </c>
      <c r="S600" s="14">
        <v>0</v>
      </c>
      <c r="T600" s="13">
        <f t="shared" ca="1" si="190"/>
        <v>163</v>
      </c>
      <c r="U600" s="12">
        <f t="shared" ca="1" si="177"/>
        <v>3435</v>
      </c>
      <c r="V600" s="12">
        <f t="shared" ca="1" si="176"/>
        <v>3250</v>
      </c>
      <c r="W600" s="12">
        <f t="shared" ca="1" si="178"/>
        <v>3541</v>
      </c>
      <c r="X600" s="11"/>
      <c r="Y600" s="10"/>
      <c r="Z600" s="10"/>
      <c r="AA600" s="10"/>
      <c r="AB600" s="9"/>
    </row>
    <row r="601" spans="1:28" ht="13.15" customHeight="1">
      <c r="A601" s="16">
        <f t="shared" si="179"/>
        <v>587</v>
      </c>
      <c r="B601" s="17">
        <f t="shared" si="191"/>
        <v>45659</v>
      </c>
      <c r="C601" s="16">
        <f t="shared" si="192"/>
        <v>1069</v>
      </c>
      <c r="D601" s="15">
        <f t="shared" si="183"/>
        <v>2346</v>
      </c>
      <c r="E601" s="14">
        <f t="shared" ca="1" si="184"/>
        <v>140</v>
      </c>
      <c r="F601" s="14">
        <f t="shared" ca="1" si="185"/>
        <v>376</v>
      </c>
      <c r="G601" s="14">
        <f t="shared" ca="1" si="186"/>
        <v>114</v>
      </c>
      <c r="H601" s="10">
        <f t="shared" ca="1" si="187"/>
        <v>3275</v>
      </c>
      <c r="I601" s="10">
        <f t="shared" ca="1" si="188"/>
        <v>3039</v>
      </c>
      <c r="J601" s="10">
        <f t="shared" ca="1" si="189"/>
        <v>3301</v>
      </c>
      <c r="K601" s="10">
        <f t="shared" si="180"/>
        <v>4000</v>
      </c>
      <c r="L601" s="10">
        <f t="shared" si="181"/>
        <v>4000</v>
      </c>
      <c r="M601" s="10">
        <f t="shared" si="182"/>
        <v>4000</v>
      </c>
      <c r="N601" s="10">
        <f t="shared" ca="1" si="193"/>
        <v>-725</v>
      </c>
      <c r="O601" s="10">
        <f t="shared" ca="1" si="194"/>
        <v>-961</v>
      </c>
      <c r="P601" s="10">
        <f t="shared" ca="1" si="195"/>
        <v>-699</v>
      </c>
      <c r="Q601" s="14">
        <v>0</v>
      </c>
      <c r="R601" s="14">
        <v>1</v>
      </c>
      <c r="S601" s="14">
        <v>0</v>
      </c>
      <c r="T601" s="13">
        <f t="shared" ca="1" si="190"/>
        <v>166</v>
      </c>
      <c r="U601" s="12">
        <f t="shared" ca="1" si="177"/>
        <v>3435</v>
      </c>
      <c r="V601" s="12">
        <f t="shared" ca="1" si="176"/>
        <v>3249</v>
      </c>
      <c r="W601" s="12">
        <f t="shared" ca="1" si="178"/>
        <v>3541</v>
      </c>
      <c r="X601" s="11"/>
      <c r="Y601" s="10"/>
      <c r="Z601" s="10"/>
      <c r="AA601" s="10"/>
      <c r="AB601" s="9"/>
    </row>
    <row r="602" spans="1:28" ht="13.15" customHeight="1">
      <c r="A602" s="16">
        <f t="shared" si="179"/>
        <v>588</v>
      </c>
      <c r="B602" s="17">
        <f t="shared" si="191"/>
        <v>45660</v>
      </c>
      <c r="C602" s="16">
        <f t="shared" si="192"/>
        <v>1069</v>
      </c>
      <c r="D602" s="15">
        <f t="shared" si="183"/>
        <v>2348</v>
      </c>
      <c r="E602" s="14">
        <f t="shared" ca="1" si="184"/>
        <v>142</v>
      </c>
      <c r="F602" s="14">
        <f t="shared" ca="1" si="185"/>
        <v>378</v>
      </c>
      <c r="G602" s="14">
        <f t="shared" ca="1" si="186"/>
        <v>116</v>
      </c>
      <c r="H602" s="10">
        <f t="shared" ca="1" si="187"/>
        <v>3275</v>
      </c>
      <c r="I602" s="10">
        <f t="shared" ca="1" si="188"/>
        <v>3039</v>
      </c>
      <c r="J602" s="10">
        <f t="shared" ca="1" si="189"/>
        <v>3301</v>
      </c>
      <c r="K602" s="10">
        <f t="shared" si="180"/>
        <v>4000</v>
      </c>
      <c r="L602" s="10">
        <f t="shared" si="181"/>
        <v>4000</v>
      </c>
      <c r="M602" s="10">
        <f t="shared" si="182"/>
        <v>4000</v>
      </c>
      <c r="N602" s="10">
        <f t="shared" ca="1" si="193"/>
        <v>-725</v>
      </c>
      <c r="O602" s="10">
        <f t="shared" ca="1" si="194"/>
        <v>-961</v>
      </c>
      <c r="P602" s="10">
        <f t="shared" ca="1" si="195"/>
        <v>-699</v>
      </c>
      <c r="Q602" s="14">
        <v>0</v>
      </c>
      <c r="R602" s="14">
        <v>0</v>
      </c>
      <c r="S602" s="14">
        <v>0</v>
      </c>
      <c r="T602" s="13">
        <f t="shared" ca="1" si="190"/>
        <v>168</v>
      </c>
      <c r="U602" s="12">
        <f t="shared" ca="1" si="177"/>
        <v>3435</v>
      </c>
      <c r="V602" s="12">
        <f t="shared" ca="1" si="176"/>
        <v>3249</v>
      </c>
      <c r="W602" s="12">
        <f t="shared" ca="1" si="178"/>
        <v>3541</v>
      </c>
      <c r="X602" s="11"/>
      <c r="Y602" s="10"/>
      <c r="Z602" s="10"/>
      <c r="AA602" s="10"/>
      <c r="AB602" s="9"/>
    </row>
    <row r="603" spans="1:28" ht="13.15" customHeight="1">
      <c r="A603" s="16">
        <f t="shared" si="179"/>
        <v>589</v>
      </c>
      <c r="B603" s="17">
        <f t="shared" si="191"/>
        <v>45661</v>
      </c>
      <c r="C603" s="16">
        <f t="shared" si="192"/>
        <v>1069</v>
      </c>
      <c r="D603" s="15">
        <f t="shared" si="183"/>
        <v>2350</v>
      </c>
      <c r="E603" s="14">
        <f t="shared" ca="1" si="184"/>
        <v>146</v>
      </c>
      <c r="F603" s="14">
        <f t="shared" ca="1" si="185"/>
        <v>380</v>
      </c>
      <c r="G603" s="14">
        <f t="shared" ca="1" si="186"/>
        <v>120</v>
      </c>
      <c r="H603" s="10">
        <f t="shared" ca="1" si="187"/>
        <v>3273</v>
      </c>
      <c r="I603" s="10">
        <f t="shared" ca="1" si="188"/>
        <v>3039</v>
      </c>
      <c r="J603" s="10">
        <f t="shared" ca="1" si="189"/>
        <v>3299</v>
      </c>
      <c r="K603" s="10">
        <f t="shared" si="180"/>
        <v>4000</v>
      </c>
      <c r="L603" s="10">
        <f t="shared" si="181"/>
        <v>4000</v>
      </c>
      <c r="M603" s="10">
        <f t="shared" si="182"/>
        <v>4000</v>
      </c>
      <c r="N603" s="10">
        <f t="shared" ca="1" si="193"/>
        <v>-727</v>
      </c>
      <c r="O603" s="10">
        <f t="shared" ca="1" si="194"/>
        <v>-961</v>
      </c>
      <c r="P603" s="10">
        <f t="shared" ca="1" si="195"/>
        <v>-701</v>
      </c>
      <c r="Q603" s="14">
        <v>2</v>
      </c>
      <c r="R603" s="14">
        <v>0</v>
      </c>
      <c r="S603" s="14">
        <v>2</v>
      </c>
      <c r="T603" s="13">
        <f t="shared" ca="1" si="190"/>
        <v>170</v>
      </c>
      <c r="U603" s="12">
        <f t="shared" ca="1" si="177"/>
        <v>3433</v>
      </c>
      <c r="V603" s="12">
        <f t="shared" ref="V603:V666" ca="1" si="196">V602+$X603*1000-R603</f>
        <v>3249</v>
      </c>
      <c r="W603" s="12">
        <f t="shared" ca="1" si="178"/>
        <v>3539</v>
      </c>
      <c r="X603" s="11"/>
      <c r="Y603" s="10"/>
      <c r="Z603" s="10"/>
      <c r="AA603" s="10"/>
      <c r="AB603" s="9"/>
    </row>
    <row r="604" spans="1:28" ht="13.15" customHeight="1">
      <c r="A604" s="16">
        <f t="shared" si="179"/>
        <v>590</v>
      </c>
      <c r="B604" s="17">
        <f t="shared" si="191"/>
        <v>45662</v>
      </c>
      <c r="C604" s="16">
        <f t="shared" si="192"/>
        <v>1069</v>
      </c>
      <c r="D604" s="15">
        <f t="shared" si="183"/>
        <v>2352</v>
      </c>
      <c r="E604" s="14">
        <f t="shared" ca="1" si="184"/>
        <v>148</v>
      </c>
      <c r="F604" s="14">
        <f t="shared" ca="1" si="185"/>
        <v>382</v>
      </c>
      <c r="G604" s="14">
        <f t="shared" ca="1" si="186"/>
        <v>122</v>
      </c>
      <c r="H604" s="10">
        <f t="shared" ca="1" si="187"/>
        <v>3273</v>
      </c>
      <c r="I604" s="10">
        <f t="shared" ca="1" si="188"/>
        <v>3039</v>
      </c>
      <c r="J604" s="10">
        <f t="shared" ca="1" si="189"/>
        <v>3299</v>
      </c>
      <c r="K604" s="10">
        <f t="shared" si="180"/>
        <v>4000</v>
      </c>
      <c r="L604" s="10">
        <f t="shared" si="181"/>
        <v>4000</v>
      </c>
      <c r="M604" s="10">
        <f t="shared" si="182"/>
        <v>4000</v>
      </c>
      <c r="N604" s="10">
        <f t="shared" ca="1" si="193"/>
        <v>-727</v>
      </c>
      <c r="O604" s="10">
        <f t="shared" ca="1" si="194"/>
        <v>-961</v>
      </c>
      <c r="P604" s="10">
        <f t="shared" ca="1" si="195"/>
        <v>-701</v>
      </c>
      <c r="Q604" s="14">
        <v>0</v>
      </c>
      <c r="R604" s="14">
        <v>0</v>
      </c>
      <c r="S604" s="14">
        <v>0</v>
      </c>
      <c r="T604" s="13">
        <f t="shared" ca="1" si="190"/>
        <v>172</v>
      </c>
      <c r="U604" s="12">
        <f t="shared" ref="U604:U667" ca="1" si="197">U603+$X604*1000-Q604</f>
        <v>3433</v>
      </c>
      <c r="V604" s="12">
        <f t="shared" ca="1" si="196"/>
        <v>3249</v>
      </c>
      <c r="W604" s="12">
        <f t="shared" ref="W604:W667" ca="1" si="198">W603+$X604*1000-S604</f>
        <v>3539</v>
      </c>
      <c r="X604" s="11"/>
      <c r="Y604" s="10"/>
      <c r="Z604" s="10"/>
      <c r="AA604" s="10"/>
      <c r="AB604" s="9"/>
    </row>
    <row r="605" spans="1:28" ht="13.15" customHeight="1">
      <c r="A605" s="16">
        <f t="shared" ref="A605:A668" si="199">+A604+1</f>
        <v>591</v>
      </c>
      <c r="B605" s="17">
        <f t="shared" si="191"/>
        <v>45663</v>
      </c>
      <c r="C605" s="16">
        <f t="shared" si="192"/>
        <v>1069</v>
      </c>
      <c r="D605" s="15">
        <f t="shared" si="183"/>
        <v>2354</v>
      </c>
      <c r="E605" s="14">
        <f t="shared" ca="1" si="184"/>
        <v>150</v>
      </c>
      <c r="F605" s="14">
        <f t="shared" ca="1" si="185"/>
        <v>384</v>
      </c>
      <c r="G605" s="14">
        <f t="shared" ca="1" si="186"/>
        <v>124</v>
      </c>
      <c r="H605" s="10">
        <f t="shared" ca="1" si="187"/>
        <v>3273</v>
      </c>
      <c r="I605" s="10">
        <f t="shared" ca="1" si="188"/>
        <v>3039</v>
      </c>
      <c r="J605" s="10">
        <f t="shared" ca="1" si="189"/>
        <v>3299</v>
      </c>
      <c r="K605" s="10">
        <f t="shared" si="180"/>
        <v>4000</v>
      </c>
      <c r="L605" s="10">
        <f t="shared" si="181"/>
        <v>4000</v>
      </c>
      <c r="M605" s="10">
        <f t="shared" si="182"/>
        <v>4000</v>
      </c>
      <c r="N605" s="10">
        <f t="shared" ca="1" si="193"/>
        <v>-727</v>
      </c>
      <c r="O605" s="10">
        <f t="shared" ca="1" si="194"/>
        <v>-961</v>
      </c>
      <c r="P605" s="10">
        <f t="shared" ca="1" si="195"/>
        <v>-701</v>
      </c>
      <c r="Q605" s="14">
        <v>0</v>
      </c>
      <c r="R605" s="14">
        <v>0</v>
      </c>
      <c r="S605" s="14">
        <v>0</v>
      </c>
      <c r="T605" s="13">
        <f t="shared" ca="1" si="190"/>
        <v>174</v>
      </c>
      <c r="U605" s="12">
        <f t="shared" ca="1" si="197"/>
        <v>3433</v>
      </c>
      <c r="V605" s="12">
        <f t="shared" ca="1" si="196"/>
        <v>3249</v>
      </c>
      <c r="W605" s="12">
        <f t="shared" ca="1" si="198"/>
        <v>3539</v>
      </c>
      <c r="X605" s="11"/>
      <c r="Y605" s="10"/>
      <c r="Z605" s="10"/>
      <c r="AA605" s="10"/>
      <c r="AB605" s="9"/>
    </row>
    <row r="606" spans="1:28" ht="13.15" customHeight="1">
      <c r="A606" s="16">
        <f t="shared" si="199"/>
        <v>592</v>
      </c>
      <c r="B606" s="17">
        <f t="shared" si="191"/>
        <v>45664</v>
      </c>
      <c r="C606" s="16">
        <f t="shared" si="192"/>
        <v>1069</v>
      </c>
      <c r="D606" s="15">
        <f t="shared" si="183"/>
        <v>2356</v>
      </c>
      <c r="E606" s="14">
        <f t="shared" ca="1" si="184"/>
        <v>154</v>
      </c>
      <c r="F606" s="14">
        <f t="shared" ca="1" si="185"/>
        <v>387</v>
      </c>
      <c r="G606" s="14">
        <f t="shared" ca="1" si="186"/>
        <v>126</v>
      </c>
      <c r="H606" s="10">
        <f t="shared" ca="1" si="187"/>
        <v>3271</v>
      </c>
      <c r="I606" s="10">
        <f t="shared" ca="1" si="188"/>
        <v>3038</v>
      </c>
      <c r="J606" s="10">
        <f t="shared" ca="1" si="189"/>
        <v>3299</v>
      </c>
      <c r="K606" s="10">
        <f t="shared" si="180"/>
        <v>4000</v>
      </c>
      <c r="L606" s="10">
        <f t="shared" si="181"/>
        <v>4000</v>
      </c>
      <c r="M606" s="10">
        <f t="shared" si="182"/>
        <v>4000</v>
      </c>
      <c r="N606" s="10">
        <f t="shared" ca="1" si="193"/>
        <v>-729</v>
      </c>
      <c r="O606" s="10">
        <f t="shared" ca="1" si="194"/>
        <v>-962</v>
      </c>
      <c r="P606" s="10">
        <f t="shared" ca="1" si="195"/>
        <v>-701</v>
      </c>
      <c r="Q606" s="14">
        <v>2</v>
      </c>
      <c r="R606" s="14">
        <v>1</v>
      </c>
      <c r="S606" s="14">
        <v>0</v>
      </c>
      <c r="T606" s="13">
        <f t="shared" ca="1" si="190"/>
        <v>177</v>
      </c>
      <c r="U606" s="12">
        <f t="shared" ca="1" si="197"/>
        <v>3431</v>
      </c>
      <c r="V606" s="12">
        <f t="shared" ca="1" si="196"/>
        <v>3248</v>
      </c>
      <c r="W606" s="12">
        <f t="shared" ca="1" si="198"/>
        <v>3539</v>
      </c>
      <c r="X606" s="11"/>
      <c r="Y606" s="10"/>
      <c r="Z606" s="10"/>
      <c r="AA606" s="10"/>
      <c r="AB606" s="9"/>
    </row>
    <row r="607" spans="1:28" ht="13.15" customHeight="1">
      <c r="A607" s="16">
        <f t="shared" si="199"/>
        <v>593</v>
      </c>
      <c r="B607" s="17">
        <f t="shared" si="191"/>
        <v>45665</v>
      </c>
      <c r="C607" s="16">
        <f t="shared" si="192"/>
        <v>1069</v>
      </c>
      <c r="D607" s="15">
        <f t="shared" si="183"/>
        <v>2358</v>
      </c>
      <c r="E607" s="14">
        <f t="shared" ca="1" si="184"/>
        <v>156</v>
      </c>
      <c r="F607" s="14">
        <f t="shared" ca="1" si="185"/>
        <v>389</v>
      </c>
      <c r="G607" s="14">
        <f t="shared" ca="1" si="186"/>
        <v>130</v>
      </c>
      <c r="H607" s="10">
        <f t="shared" ca="1" si="187"/>
        <v>3271</v>
      </c>
      <c r="I607" s="10">
        <f t="shared" ca="1" si="188"/>
        <v>3038</v>
      </c>
      <c r="J607" s="10">
        <f t="shared" ca="1" si="189"/>
        <v>3297</v>
      </c>
      <c r="K607" s="10">
        <f t="shared" si="180"/>
        <v>4000</v>
      </c>
      <c r="L607" s="10">
        <f t="shared" si="181"/>
        <v>4000</v>
      </c>
      <c r="M607" s="10">
        <f t="shared" si="182"/>
        <v>4000</v>
      </c>
      <c r="N607" s="10">
        <f t="shared" ca="1" si="193"/>
        <v>-729</v>
      </c>
      <c r="O607" s="10">
        <f t="shared" ca="1" si="194"/>
        <v>-962</v>
      </c>
      <c r="P607" s="10">
        <f t="shared" ca="1" si="195"/>
        <v>-703</v>
      </c>
      <c r="Q607" s="14">
        <v>0</v>
      </c>
      <c r="R607" s="14">
        <v>0</v>
      </c>
      <c r="S607" s="14">
        <v>2</v>
      </c>
      <c r="T607" s="13">
        <f t="shared" ca="1" si="190"/>
        <v>179</v>
      </c>
      <c r="U607" s="12">
        <f t="shared" ca="1" si="197"/>
        <v>3431</v>
      </c>
      <c r="V607" s="12">
        <f t="shared" ca="1" si="196"/>
        <v>3248</v>
      </c>
      <c r="W607" s="12">
        <f t="shared" ca="1" si="198"/>
        <v>3537</v>
      </c>
      <c r="X607" s="11"/>
      <c r="Y607" s="10"/>
      <c r="Z607" s="10"/>
      <c r="AA607" s="10"/>
      <c r="AB607" s="9"/>
    </row>
    <row r="608" spans="1:28" ht="13.15" customHeight="1">
      <c r="A608" s="16">
        <f t="shared" si="199"/>
        <v>594</v>
      </c>
      <c r="B608" s="17">
        <f t="shared" si="191"/>
        <v>45666</v>
      </c>
      <c r="C608" s="16">
        <f t="shared" si="192"/>
        <v>1069</v>
      </c>
      <c r="D608" s="15">
        <f t="shared" si="183"/>
        <v>2360</v>
      </c>
      <c r="E608" s="14">
        <f t="shared" ca="1" si="184"/>
        <v>158</v>
      </c>
      <c r="F608" s="14">
        <f t="shared" ca="1" si="185"/>
        <v>391</v>
      </c>
      <c r="G608" s="14">
        <f t="shared" ca="1" si="186"/>
        <v>132</v>
      </c>
      <c r="H608" s="10">
        <f t="shared" ca="1" si="187"/>
        <v>3271</v>
      </c>
      <c r="I608" s="10">
        <f t="shared" ca="1" si="188"/>
        <v>3038</v>
      </c>
      <c r="J608" s="10">
        <f t="shared" ca="1" si="189"/>
        <v>3297</v>
      </c>
      <c r="K608" s="10">
        <f t="shared" si="180"/>
        <v>4000</v>
      </c>
      <c r="L608" s="10">
        <f t="shared" si="181"/>
        <v>4000</v>
      </c>
      <c r="M608" s="10">
        <f t="shared" si="182"/>
        <v>4000</v>
      </c>
      <c r="N608" s="10">
        <f t="shared" ca="1" si="193"/>
        <v>-729</v>
      </c>
      <c r="O608" s="10">
        <f t="shared" ca="1" si="194"/>
        <v>-962</v>
      </c>
      <c r="P608" s="10">
        <f t="shared" ca="1" si="195"/>
        <v>-703</v>
      </c>
      <c r="Q608" s="14">
        <v>0</v>
      </c>
      <c r="R608" s="14">
        <v>0</v>
      </c>
      <c r="S608" s="14">
        <v>0</v>
      </c>
      <c r="T608" s="13">
        <f t="shared" ca="1" si="190"/>
        <v>181</v>
      </c>
      <c r="U608" s="12">
        <f t="shared" ca="1" si="197"/>
        <v>3431</v>
      </c>
      <c r="V608" s="12">
        <f t="shared" ca="1" si="196"/>
        <v>3248</v>
      </c>
      <c r="W608" s="12">
        <f t="shared" ca="1" si="198"/>
        <v>3537</v>
      </c>
      <c r="X608" s="11"/>
      <c r="Y608" s="10"/>
      <c r="Z608" s="10"/>
      <c r="AA608" s="10"/>
      <c r="AB608" s="9"/>
    </row>
    <row r="609" spans="1:28" ht="13.15" customHeight="1">
      <c r="A609" s="16">
        <f t="shared" si="199"/>
        <v>595</v>
      </c>
      <c r="B609" s="17">
        <f t="shared" si="191"/>
        <v>45667</v>
      </c>
      <c r="C609" s="16">
        <f t="shared" si="192"/>
        <v>1069</v>
      </c>
      <c r="D609" s="15">
        <f t="shared" si="183"/>
        <v>2362</v>
      </c>
      <c r="E609" s="14">
        <f t="shared" ca="1" si="184"/>
        <v>160</v>
      </c>
      <c r="F609" s="14">
        <f t="shared" ca="1" si="185"/>
        <v>393</v>
      </c>
      <c r="G609" s="14">
        <f t="shared" ca="1" si="186"/>
        <v>134</v>
      </c>
      <c r="H609" s="10">
        <f t="shared" ca="1" si="187"/>
        <v>3271</v>
      </c>
      <c r="I609" s="10">
        <f t="shared" ca="1" si="188"/>
        <v>3038</v>
      </c>
      <c r="J609" s="10">
        <f t="shared" ca="1" si="189"/>
        <v>3297</v>
      </c>
      <c r="K609" s="10">
        <f t="shared" si="180"/>
        <v>4000</v>
      </c>
      <c r="L609" s="10">
        <f t="shared" si="181"/>
        <v>4000</v>
      </c>
      <c r="M609" s="10">
        <f t="shared" si="182"/>
        <v>4000</v>
      </c>
      <c r="N609" s="10">
        <f t="shared" ca="1" si="193"/>
        <v>-729</v>
      </c>
      <c r="O609" s="10">
        <f t="shared" ca="1" si="194"/>
        <v>-962</v>
      </c>
      <c r="P609" s="10">
        <f t="shared" ca="1" si="195"/>
        <v>-703</v>
      </c>
      <c r="Q609" s="14">
        <v>0</v>
      </c>
      <c r="R609" s="14">
        <v>0</v>
      </c>
      <c r="S609" s="14">
        <v>0</v>
      </c>
      <c r="T609" s="13">
        <f t="shared" ca="1" si="190"/>
        <v>183</v>
      </c>
      <c r="U609" s="12">
        <f t="shared" ca="1" si="197"/>
        <v>3431</v>
      </c>
      <c r="V609" s="12">
        <f t="shared" ca="1" si="196"/>
        <v>3248</v>
      </c>
      <c r="W609" s="12">
        <f t="shared" ca="1" si="198"/>
        <v>3537</v>
      </c>
      <c r="X609" s="11"/>
      <c r="Y609" s="10"/>
      <c r="Z609" s="10"/>
      <c r="AA609" s="10"/>
      <c r="AB609" s="9"/>
    </row>
    <row r="610" spans="1:28" ht="13.15" customHeight="1">
      <c r="A610" s="16">
        <f t="shared" si="199"/>
        <v>596</v>
      </c>
      <c r="B610" s="17">
        <f t="shared" si="191"/>
        <v>45668</v>
      </c>
      <c r="C610" s="16">
        <f t="shared" si="192"/>
        <v>1069</v>
      </c>
      <c r="D610" s="15">
        <f t="shared" si="183"/>
        <v>2364</v>
      </c>
      <c r="E610" s="14">
        <f t="shared" ca="1" si="184"/>
        <v>162</v>
      </c>
      <c r="F610" s="14">
        <f t="shared" ca="1" si="185"/>
        <v>395</v>
      </c>
      <c r="G610" s="14">
        <f t="shared" ca="1" si="186"/>
        <v>136</v>
      </c>
      <c r="H610" s="10">
        <f t="shared" ca="1" si="187"/>
        <v>3271</v>
      </c>
      <c r="I610" s="10">
        <f t="shared" ca="1" si="188"/>
        <v>3038</v>
      </c>
      <c r="J610" s="10">
        <f t="shared" ca="1" si="189"/>
        <v>3297</v>
      </c>
      <c r="K610" s="10">
        <f t="shared" si="180"/>
        <v>4000</v>
      </c>
      <c r="L610" s="10">
        <f t="shared" si="181"/>
        <v>4000</v>
      </c>
      <c r="M610" s="10">
        <f t="shared" si="182"/>
        <v>4000</v>
      </c>
      <c r="N610" s="10">
        <f t="shared" ca="1" si="193"/>
        <v>-729</v>
      </c>
      <c r="O610" s="10">
        <f t="shared" ca="1" si="194"/>
        <v>-962</v>
      </c>
      <c r="P610" s="10">
        <f t="shared" ca="1" si="195"/>
        <v>-703</v>
      </c>
      <c r="Q610" s="14">
        <v>0</v>
      </c>
      <c r="R610" s="14">
        <v>0</v>
      </c>
      <c r="S610" s="14">
        <v>0</v>
      </c>
      <c r="T610" s="13">
        <f t="shared" ca="1" si="190"/>
        <v>185</v>
      </c>
      <c r="U610" s="12">
        <f t="shared" ca="1" si="197"/>
        <v>3431</v>
      </c>
      <c r="V610" s="12">
        <f t="shared" ca="1" si="196"/>
        <v>3248</v>
      </c>
      <c r="W610" s="12">
        <f t="shared" ca="1" si="198"/>
        <v>3537</v>
      </c>
      <c r="X610" s="11"/>
      <c r="Y610" s="10"/>
      <c r="Z610" s="10"/>
      <c r="AA610" s="10"/>
      <c r="AB610" s="9"/>
    </row>
    <row r="611" spans="1:28" ht="13.15" customHeight="1">
      <c r="A611" s="16">
        <f t="shared" si="199"/>
        <v>597</v>
      </c>
      <c r="B611" s="17">
        <f t="shared" si="191"/>
        <v>45669</v>
      </c>
      <c r="C611" s="16">
        <f t="shared" si="192"/>
        <v>1069</v>
      </c>
      <c r="D611" s="15">
        <f t="shared" si="183"/>
        <v>2366</v>
      </c>
      <c r="E611" s="14">
        <f t="shared" ca="1" si="184"/>
        <v>164</v>
      </c>
      <c r="F611" s="14">
        <f t="shared" ca="1" si="185"/>
        <v>399</v>
      </c>
      <c r="G611" s="14">
        <f t="shared" ca="1" si="186"/>
        <v>138</v>
      </c>
      <c r="H611" s="10">
        <f t="shared" ca="1" si="187"/>
        <v>3271</v>
      </c>
      <c r="I611" s="10">
        <f t="shared" ca="1" si="188"/>
        <v>3036</v>
      </c>
      <c r="J611" s="10">
        <f t="shared" ca="1" si="189"/>
        <v>3297</v>
      </c>
      <c r="K611" s="10">
        <f t="shared" si="180"/>
        <v>4000</v>
      </c>
      <c r="L611" s="10">
        <f t="shared" si="181"/>
        <v>4000</v>
      </c>
      <c r="M611" s="10">
        <f t="shared" si="182"/>
        <v>4000</v>
      </c>
      <c r="N611" s="10">
        <f t="shared" ca="1" si="193"/>
        <v>-729</v>
      </c>
      <c r="O611" s="10">
        <f t="shared" ca="1" si="194"/>
        <v>-964</v>
      </c>
      <c r="P611" s="10">
        <f t="shared" ca="1" si="195"/>
        <v>-703</v>
      </c>
      <c r="Q611" s="14">
        <v>0</v>
      </c>
      <c r="R611" s="14">
        <v>2</v>
      </c>
      <c r="S611" s="14">
        <v>0</v>
      </c>
      <c r="T611" s="13">
        <f t="shared" ca="1" si="190"/>
        <v>189</v>
      </c>
      <c r="U611" s="12">
        <f t="shared" ca="1" si="197"/>
        <v>3431</v>
      </c>
      <c r="V611" s="12">
        <f t="shared" ca="1" si="196"/>
        <v>3246</v>
      </c>
      <c r="W611" s="12">
        <f t="shared" ca="1" si="198"/>
        <v>3537</v>
      </c>
      <c r="X611" s="11"/>
      <c r="Y611" s="10"/>
      <c r="Z611" s="10"/>
      <c r="AA611" s="10"/>
      <c r="AB611" s="9"/>
    </row>
    <row r="612" spans="1:28" ht="13.15" customHeight="1">
      <c r="A612" s="16">
        <f t="shared" si="199"/>
        <v>598</v>
      </c>
      <c r="B612" s="17">
        <f t="shared" si="191"/>
        <v>45670</v>
      </c>
      <c r="C612" s="16">
        <f t="shared" si="192"/>
        <v>1069</v>
      </c>
      <c r="D612" s="15">
        <f t="shared" si="183"/>
        <v>2368</v>
      </c>
      <c r="E612" s="14">
        <f t="shared" ca="1" si="184"/>
        <v>166</v>
      </c>
      <c r="F612" s="14">
        <f t="shared" ca="1" si="185"/>
        <v>401</v>
      </c>
      <c r="G612" s="14">
        <f t="shared" ca="1" si="186"/>
        <v>141</v>
      </c>
      <c r="H612" s="10">
        <f t="shared" ca="1" si="187"/>
        <v>3271</v>
      </c>
      <c r="I612" s="10">
        <f t="shared" ca="1" si="188"/>
        <v>3036</v>
      </c>
      <c r="J612" s="10">
        <f t="shared" ca="1" si="189"/>
        <v>3296</v>
      </c>
      <c r="K612" s="10">
        <f t="shared" si="180"/>
        <v>4000</v>
      </c>
      <c r="L612" s="10">
        <f t="shared" si="181"/>
        <v>4000</v>
      </c>
      <c r="M612" s="10">
        <f t="shared" si="182"/>
        <v>4000</v>
      </c>
      <c r="N612" s="10">
        <f t="shared" ca="1" si="193"/>
        <v>-729</v>
      </c>
      <c r="O612" s="10">
        <f t="shared" ca="1" si="194"/>
        <v>-964</v>
      </c>
      <c r="P612" s="10">
        <f t="shared" ca="1" si="195"/>
        <v>-704</v>
      </c>
      <c r="Q612" s="14">
        <v>0</v>
      </c>
      <c r="R612" s="14">
        <v>0</v>
      </c>
      <c r="S612" s="14">
        <v>1</v>
      </c>
      <c r="T612" s="13">
        <f t="shared" ca="1" si="190"/>
        <v>191</v>
      </c>
      <c r="U612" s="12">
        <f t="shared" ca="1" si="197"/>
        <v>3431</v>
      </c>
      <c r="V612" s="12">
        <f t="shared" ca="1" si="196"/>
        <v>3246</v>
      </c>
      <c r="W612" s="12">
        <f t="shared" ca="1" si="198"/>
        <v>3536</v>
      </c>
      <c r="X612" s="11"/>
      <c r="Y612" s="10"/>
      <c r="Z612" s="10"/>
      <c r="AA612" s="10"/>
      <c r="AB612" s="9"/>
    </row>
    <row r="613" spans="1:28" ht="13.15" customHeight="1">
      <c r="A613" s="16">
        <f t="shared" si="199"/>
        <v>599</v>
      </c>
      <c r="B613" s="17">
        <f t="shared" si="191"/>
        <v>45671</v>
      </c>
      <c r="C613" s="16">
        <f t="shared" si="192"/>
        <v>1069</v>
      </c>
      <c r="D613" s="15">
        <f t="shared" si="183"/>
        <v>2370</v>
      </c>
      <c r="E613" s="14">
        <f t="shared" ca="1" si="184"/>
        <v>169</v>
      </c>
      <c r="F613" s="14">
        <f t="shared" ca="1" si="185"/>
        <v>403</v>
      </c>
      <c r="G613" s="14">
        <f t="shared" ca="1" si="186"/>
        <v>143</v>
      </c>
      <c r="H613" s="10">
        <f t="shared" ca="1" si="187"/>
        <v>3270</v>
      </c>
      <c r="I613" s="10">
        <f t="shared" ca="1" si="188"/>
        <v>3036</v>
      </c>
      <c r="J613" s="10">
        <f t="shared" ca="1" si="189"/>
        <v>3296</v>
      </c>
      <c r="K613" s="10">
        <f t="shared" si="180"/>
        <v>4000</v>
      </c>
      <c r="L613" s="10">
        <f t="shared" si="181"/>
        <v>4000</v>
      </c>
      <c r="M613" s="10">
        <f t="shared" si="182"/>
        <v>4000</v>
      </c>
      <c r="N613" s="10">
        <f t="shared" ca="1" si="193"/>
        <v>-730</v>
      </c>
      <c r="O613" s="10">
        <f t="shared" ca="1" si="194"/>
        <v>-964</v>
      </c>
      <c r="P613" s="10">
        <f t="shared" ca="1" si="195"/>
        <v>-704</v>
      </c>
      <c r="Q613" s="14">
        <v>1</v>
      </c>
      <c r="R613" s="14">
        <v>0</v>
      </c>
      <c r="S613" s="14">
        <v>0</v>
      </c>
      <c r="T613" s="13">
        <f t="shared" ca="1" si="190"/>
        <v>193</v>
      </c>
      <c r="U613" s="12">
        <f t="shared" ca="1" si="197"/>
        <v>3430</v>
      </c>
      <c r="V613" s="12">
        <f t="shared" ca="1" si="196"/>
        <v>3246</v>
      </c>
      <c r="W613" s="12">
        <f t="shared" ca="1" si="198"/>
        <v>3536</v>
      </c>
      <c r="X613" s="11"/>
      <c r="Y613" s="10"/>
      <c r="Z613" s="10"/>
      <c r="AA613" s="10"/>
      <c r="AB613" s="9"/>
    </row>
    <row r="614" spans="1:28" ht="13.15" customHeight="1">
      <c r="A614" s="16">
        <f t="shared" si="199"/>
        <v>600</v>
      </c>
      <c r="B614" s="17">
        <f t="shared" si="191"/>
        <v>45672</v>
      </c>
      <c r="C614" s="16">
        <f t="shared" si="192"/>
        <v>1069</v>
      </c>
      <c r="D614" s="15">
        <f t="shared" si="183"/>
        <v>2372</v>
      </c>
      <c r="E614" s="14">
        <f t="shared" ca="1" si="184"/>
        <v>171</v>
      </c>
      <c r="F614" s="14">
        <f t="shared" ca="1" si="185"/>
        <v>405</v>
      </c>
      <c r="G614" s="14">
        <f t="shared" ca="1" si="186"/>
        <v>147</v>
      </c>
      <c r="H614" s="10">
        <f t="shared" ca="1" si="187"/>
        <v>3270</v>
      </c>
      <c r="I614" s="10">
        <f t="shared" ca="1" si="188"/>
        <v>3036</v>
      </c>
      <c r="J614" s="10">
        <f t="shared" ca="1" si="189"/>
        <v>3294</v>
      </c>
      <c r="K614" s="10">
        <f t="shared" si="180"/>
        <v>4000</v>
      </c>
      <c r="L614" s="10">
        <f t="shared" si="181"/>
        <v>4000</v>
      </c>
      <c r="M614" s="10">
        <f t="shared" si="182"/>
        <v>4000</v>
      </c>
      <c r="N614" s="10">
        <f t="shared" ca="1" si="193"/>
        <v>-730</v>
      </c>
      <c r="O614" s="10">
        <f t="shared" ca="1" si="194"/>
        <v>-964</v>
      </c>
      <c r="P614" s="10">
        <f t="shared" ca="1" si="195"/>
        <v>-706</v>
      </c>
      <c r="Q614" s="14">
        <v>0</v>
      </c>
      <c r="R614" s="14">
        <v>0</v>
      </c>
      <c r="S614" s="14">
        <v>2</v>
      </c>
      <c r="T614" s="13">
        <f t="shared" ca="1" si="190"/>
        <v>195</v>
      </c>
      <c r="U614" s="12">
        <f t="shared" ca="1" si="197"/>
        <v>3430</v>
      </c>
      <c r="V614" s="12">
        <f t="shared" ca="1" si="196"/>
        <v>3246</v>
      </c>
      <c r="W614" s="12">
        <f t="shared" ca="1" si="198"/>
        <v>3534</v>
      </c>
      <c r="X614" s="11"/>
      <c r="Y614" s="10"/>
      <c r="Z614" s="10"/>
      <c r="AA614" s="10"/>
      <c r="AB614" s="9"/>
    </row>
    <row r="615" spans="1:28" ht="13.15" customHeight="1">
      <c r="A615" s="16">
        <f t="shared" si="199"/>
        <v>601</v>
      </c>
      <c r="B615" s="17">
        <f t="shared" si="191"/>
        <v>45673</v>
      </c>
      <c r="C615" s="16">
        <f t="shared" si="192"/>
        <v>1069</v>
      </c>
      <c r="D615" s="15">
        <f t="shared" si="183"/>
        <v>2374</v>
      </c>
      <c r="E615" s="14">
        <f t="shared" ca="1" si="184"/>
        <v>173</v>
      </c>
      <c r="F615" s="14">
        <f t="shared" ca="1" si="185"/>
        <v>410</v>
      </c>
      <c r="G615" s="14">
        <f t="shared" ca="1" si="186"/>
        <v>149</v>
      </c>
      <c r="H615" s="10">
        <f t="shared" ca="1" si="187"/>
        <v>3270</v>
      </c>
      <c r="I615" s="10">
        <f t="shared" ca="1" si="188"/>
        <v>3033</v>
      </c>
      <c r="J615" s="10">
        <f t="shared" ca="1" si="189"/>
        <v>3294</v>
      </c>
      <c r="K615" s="10">
        <f t="shared" si="180"/>
        <v>4000</v>
      </c>
      <c r="L615" s="10">
        <f t="shared" si="181"/>
        <v>4000</v>
      </c>
      <c r="M615" s="10">
        <f t="shared" si="182"/>
        <v>4000</v>
      </c>
      <c r="N615" s="10">
        <f t="shared" ca="1" si="193"/>
        <v>-730</v>
      </c>
      <c r="O615" s="10">
        <f t="shared" ca="1" si="194"/>
        <v>-967</v>
      </c>
      <c r="P615" s="10">
        <f t="shared" ca="1" si="195"/>
        <v>-706</v>
      </c>
      <c r="Q615" s="14">
        <v>0</v>
      </c>
      <c r="R615" s="14">
        <v>3</v>
      </c>
      <c r="S615" s="14">
        <v>0</v>
      </c>
      <c r="T615" s="13">
        <f t="shared" ca="1" si="190"/>
        <v>200</v>
      </c>
      <c r="U615" s="12">
        <f t="shared" ca="1" si="197"/>
        <v>3430</v>
      </c>
      <c r="V615" s="12">
        <f t="shared" ca="1" si="196"/>
        <v>3243</v>
      </c>
      <c r="W615" s="12">
        <f t="shared" ca="1" si="198"/>
        <v>3534</v>
      </c>
      <c r="X615" s="11"/>
      <c r="Y615" s="10"/>
      <c r="Z615" s="10"/>
      <c r="AA615" s="10"/>
      <c r="AB615" s="9"/>
    </row>
    <row r="616" spans="1:28" ht="13.15" customHeight="1">
      <c r="A616" s="16">
        <f t="shared" si="199"/>
        <v>602</v>
      </c>
      <c r="B616" s="17">
        <f t="shared" si="191"/>
        <v>45674</v>
      </c>
      <c r="C616" s="16">
        <f t="shared" si="192"/>
        <v>1069</v>
      </c>
      <c r="D616" s="15">
        <f t="shared" si="183"/>
        <v>2376</v>
      </c>
      <c r="E616" s="14">
        <f t="shared" ca="1" si="184"/>
        <v>177</v>
      </c>
      <c r="F616" s="14">
        <f t="shared" ca="1" si="185"/>
        <v>412</v>
      </c>
      <c r="G616" s="14">
        <f t="shared" ca="1" si="186"/>
        <v>151</v>
      </c>
      <c r="H616" s="10">
        <f t="shared" ca="1" si="187"/>
        <v>3268</v>
      </c>
      <c r="I616" s="10">
        <f t="shared" ca="1" si="188"/>
        <v>3033</v>
      </c>
      <c r="J616" s="10">
        <f t="shared" ca="1" si="189"/>
        <v>3294</v>
      </c>
      <c r="K616" s="10">
        <f t="shared" si="180"/>
        <v>4000</v>
      </c>
      <c r="L616" s="10">
        <f t="shared" si="181"/>
        <v>4000</v>
      </c>
      <c r="M616" s="10">
        <f t="shared" si="182"/>
        <v>4000</v>
      </c>
      <c r="N616" s="10">
        <f t="shared" ca="1" si="193"/>
        <v>-732</v>
      </c>
      <c r="O616" s="10">
        <f t="shared" ca="1" si="194"/>
        <v>-967</v>
      </c>
      <c r="P616" s="10">
        <f t="shared" ca="1" si="195"/>
        <v>-706</v>
      </c>
      <c r="Q616" s="14">
        <v>2</v>
      </c>
      <c r="R616" s="14">
        <v>0</v>
      </c>
      <c r="S616" s="14">
        <v>0</v>
      </c>
      <c r="T616" s="13">
        <f t="shared" ca="1" si="190"/>
        <v>202</v>
      </c>
      <c r="U616" s="12">
        <f t="shared" ca="1" si="197"/>
        <v>3428</v>
      </c>
      <c r="V616" s="12">
        <f t="shared" ca="1" si="196"/>
        <v>3243</v>
      </c>
      <c r="W616" s="12">
        <f t="shared" ca="1" si="198"/>
        <v>3534</v>
      </c>
      <c r="X616" s="11"/>
      <c r="Y616" s="10"/>
      <c r="Z616" s="10"/>
      <c r="AA616" s="10"/>
      <c r="AB616" s="9"/>
    </row>
    <row r="617" spans="1:28" ht="13.15" customHeight="1">
      <c r="A617" s="16">
        <f t="shared" si="199"/>
        <v>603</v>
      </c>
      <c r="B617" s="17">
        <f t="shared" si="191"/>
        <v>45675</v>
      </c>
      <c r="C617" s="16">
        <f t="shared" si="192"/>
        <v>1069</v>
      </c>
      <c r="D617" s="15">
        <f t="shared" si="183"/>
        <v>2378</v>
      </c>
      <c r="E617" s="14">
        <f t="shared" ca="1" si="184"/>
        <v>179</v>
      </c>
      <c r="F617" s="14">
        <f t="shared" ca="1" si="185"/>
        <v>416</v>
      </c>
      <c r="G617" s="14">
        <f t="shared" ca="1" si="186"/>
        <v>153</v>
      </c>
      <c r="H617" s="10">
        <f t="shared" ca="1" si="187"/>
        <v>3268</v>
      </c>
      <c r="I617" s="10">
        <f t="shared" ca="1" si="188"/>
        <v>3031</v>
      </c>
      <c r="J617" s="10">
        <f t="shared" ca="1" si="189"/>
        <v>3294</v>
      </c>
      <c r="K617" s="10">
        <f t="shared" si="180"/>
        <v>4000</v>
      </c>
      <c r="L617" s="10">
        <f t="shared" si="181"/>
        <v>4000</v>
      </c>
      <c r="M617" s="10">
        <f t="shared" si="182"/>
        <v>4000</v>
      </c>
      <c r="N617" s="10">
        <f t="shared" ca="1" si="193"/>
        <v>-732</v>
      </c>
      <c r="O617" s="10">
        <f t="shared" ca="1" si="194"/>
        <v>-969</v>
      </c>
      <c r="P617" s="10">
        <f t="shared" ca="1" si="195"/>
        <v>-706</v>
      </c>
      <c r="Q617" s="14">
        <v>0</v>
      </c>
      <c r="R617" s="14">
        <v>2</v>
      </c>
      <c r="S617" s="14">
        <v>0</v>
      </c>
      <c r="T617" s="13">
        <f t="shared" ca="1" si="190"/>
        <v>206</v>
      </c>
      <c r="U617" s="12">
        <f t="shared" ca="1" si="197"/>
        <v>3428</v>
      </c>
      <c r="V617" s="12">
        <f t="shared" ca="1" si="196"/>
        <v>3241</v>
      </c>
      <c r="W617" s="12">
        <f t="shared" ca="1" si="198"/>
        <v>3534</v>
      </c>
      <c r="X617" s="11"/>
      <c r="Y617" s="10"/>
      <c r="Z617" s="10"/>
      <c r="AA617" s="10"/>
      <c r="AB617" s="9"/>
    </row>
    <row r="618" spans="1:28" ht="13.15" customHeight="1">
      <c r="A618" s="16">
        <f t="shared" si="199"/>
        <v>604</v>
      </c>
      <c r="B618" s="17">
        <f t="shared" si="191"/>
        <v>45676</v>
      </c>
      <c r="C618" s="16">
        <f t="shared" si="192"/>
        <v>1069</v>
      </c>
      <c r="D618" s="15">
        <f t="shared" si="183"/>
        <v>2380</v>
      </c>
      <c r="E618" s="14">
        <f t="shared" ca="1" si="184"/>
        <v>181</v>
      </c>
      <c r="F618" s="14">
        <f t="shared" ca="1" si="185"/>
        <v>418</v>
      </c>
      <c r="G618" s="14">
        <f t="shared" ca="1" si="186"/>
        <v>155</v>
      </c>
      <c r="H618" s="10">
        <f t="shared" ca="1" si="187"/>
        <v>3268</v>
      </c>
      <c r="I618" s="10">
        <f t="shared" ca="1" si="188"/>
        <v>3031</v>
      </c>
      <c r="J618" s="10">
        <f t="shared" ca="1" si="189"/>
        <v>3294</v>
      </c>
      <c r="K618" s="10">
        <f t="shared" si="180"/>
        <v>4000</v>
      </c>
      <c r="L618" s="10">
        <f t="shared" si="181"/>
        <v>4000</v>
      </c>
      <c r="M618" s="10">
        <f t="shared" si="182"/>
        <v>4000</v>
      </c>
      <c r="N618" s="10">
        <f t="shared" ca="1" si="193"/>
        <v>-732</v>
      </c>
      <c r="O618" s="10">
        <f t="shared" ca="1" si="194"/>
        <v>-969</v>
      </c>
      <c r="P618" s="10">
        <f t="shared" ca="1" si="195"/>
        <v>-706</v>
      </c>
      <c r="Q618" s="14">
        <v>0</v>
      </c>
      <c r="R618" s="14">
        <v>0</v>
      </c>
      <c r="S618" s="14">
        <v>0</v>
      </c>
      <c r="T618" s="13">
        <f t="shared" ca="1" si="190"/>
        <v>208</v>
      </c>
      <c r="U618" s="12">
        <f t="shared" ca="1" si="197"/>
        <v>3428</v>
      </c>
      <c r="V618" s="12">
        <f t="shared" ca="1" si="196"/>
        <v>3241</v>
      </c>
      <c r="W618" s="12">
        <f t="shared" ca="1" si="198"/>
        <v>3534</v>
      </c>
      <c r="X618" s="11"/>
      <c r="Y618" s="10"/>
      <c r="Z618" s="10"/>
      <c r="AA618" s="10"/>
      <c r="AB618" s="9"/>
    </row>
    <row r="619" spans="1:28" ht="13.15" customHeight="1">
      <c r="A619" s="16">
        <f t="shared" si="199"/>
        <v>605</v>
      </c>
      <c r="B619" s="17">
        <f t="shared" si="191"/>
        <v>45677</v>
      </c>
      <c r="C619" s="16">
        <f t="shared" si="192"/>
        <v>1069</v>
      </c>
      <c r="D619" s="15">
        <f t="shared" si="183"/>
        <v>2382</v>
      </c>
      <c r="E619" s="14">
        <f t="shared" ca="1" si="184"/>
        <v>183</v>
      </c>
      <c r="F619" s="14">
        <f t="shared" ca="1" si="185"/>
        <v>420</v>
      </c>
      <c r="G619" s="14">
        <f t="shared" ca="1" si="186"/>
        <v>157</v>
      </c>
      <c r="H619" s="10">
        <f t="shared" ca="1" si="187"/>
        <v>3268</v>
      </c>
      <c r="I619" s="10">
        <f t="shared" ca="1" si="188"/>
        <v>3031</v>
      </c>
      <c r="J619" s="10">
        <f t="shared" ca="1" si="189"/>
        <v>3294</v>
      </c>
      <c r="K619" s="10">
        <f t="shared" si="180"/>
        <v>4000</v>
      </c>
      <c r="L619" s="10">
        <f t="shared" si="181"/>
        <v>4000</v>
      </c>
      <c r="M619" s="10">
        <f t="shared" si="182"/>
        <v>4000</v>
      </c>
      <c r="N619" s="10">
        <f t="shared" ca="1" si="193"/>
        <v>-732</v>
      </c>
      <c r="O619" s="10">
        <f t="shared" ca="1" si="194"/>
        <v>-969</v>
      </c>
      <c r="P619" s="10">
        <f t="shared" ca="1" si="195"/>
        <v>-706</v>
      </c>
      <c r="Q619" s="14">
        <v>0</v>
      </c>
      <c r="R619" s="14">
        <v>0</v>
      </c>
      <c r="S619" s="14">
        <v>0</v>
      </c>
      <c r="T619" s="13">
        <f t="shared" ca="1" si="190"/>
        <v>210</v>
      </c>
      <c r="U619" s="12">
        <f t="shared" ca="1" si="197"/>
        <v>3428</v>
      </c>
      <c r="V619" s="12">
        <f t="shared" ca="1" si="196"/>
        <v>3241</v>
      </c>
      <c r="W619" s="12">
        <f t="shared" ca="1" si="198"/>
        <v>3534</v>
      </c>
      <c r="X619" s="11"/>
      <c r="Y619" s="10"/>
      <c r="Z619" s="10"/>
      <c r="AA619" s="10"/>
      <c r="AB619" s="9"/>
    </row>
    <row r="620" spans="1:28" ht="13.15" customHeight="1">
      <c r="A620" s="16">
        <f t="shared" si="199"/>
        <v>606</v>
      </c>
      <c r="B620" s="17">
        <f t="shared" si="191"/>
        <v>45678</v>
      </c>
      <c r="C620" s="16">
        <f t="shared" si="192"/>
        <v>1069</v>
      </c>
      <c r="D620" s="15">
        <f t="shared" si="183"/>
        <v>2384</v>
      </c>
      <c r="E620" s="14">
        <f t="shared" ca="1" si="184"/>
        <v>187</v>
      </c>
      <c r="F620" s="14">
        <f t="shared" ca="1" si="185"/>
        <v>422</v>
      </c>
      <c r="G620" s="14">
        <f t="shared" ca="1" si="186"/>
        <v>159</v>
      </c>
      <c r="H620" s="10">
        <f t="shared" ca="1" si="187"/>
        <v>3266</v>
      </c>
      <c r="I620" s="10">
        <f t="shared" ca="1" si="188"/>
        <v>3031</v>
      </c>
      <c r="J620" s="10">
        <f t="shared" ca="1" si="189"/>
        <v>3294</v>
      </c>
      <c r="K620" s="10">
        <f t="shared" ref="K620:K683" si="200">K619</f>
        <v>4000</v>
      </c>
      <c r="L620" s="10">
        <f t="shared" ref="L620:L683" si="201">L619</f>
        <v>4000</v>
      </c>
      <c r="M620" s="10">
        <f t="shared" ref="M620:M683" si="202">M619</f>
        <v>4000</v>
      </c>
      <c r="N620" s="10">
        <f t="shared" ca="1" si="193"/>
        <v>-734</v>
      </c>
      <c r="O620" s="10">
        <f t="shared" ca="1" si="194"/>
        <v>-969</v>
      </c>
      <c r="P620" s="10">
        <f t="shared" ca="1" si="195"/>
        <v>-706</v>
      </c>
      <c r="Q620" s="14">
        <v>2</v>
      </c>
      <c r="R620" s="14">
        <v>0</v>
      </c>
      <c r="S620" s="14">
        <v>0</v>
      </c>
      <c r="T620" s="13">
        <f t="shared" ca="1" si="190"/>
        <v>212</v>
      </c>
      <c r="U620" s="12">
        <f t="shared" ca="1" si="197"/>
        <v>3426</v>
      </c>
      <c r="V620" s="12">
        <f t="shared" ca="1" si="196"/>
        <v>3241</v>
      </c>
      <c r="W620" s="12">
        <f t="shared" ca="1" si="198"/>
        <v>3534</v>
      </c>
      <c r="X620" s="11"/>
      <c r="Y620" s="10"/>
      <c r="Z620" s="10"/>
      <c r="AA620" s="10"/>
      <c r="AB620" s="9"/>
    </row>
    <row r="621" spans="1:28" ht="13.15" customHeight="1">
      <c r="A621" s="16">
        <f t="shared" si="199"/>
        <v>607</v>
      </c>
      <c r="B621" s="17">
        <f t="shared" si="191"/>
        <v>45679</v>
      </c>
      <c r="C621" s="16">
        <f t="shared" si="192"/>
        <v>1069</v>
      </c>
      <c r="D621" s="15">
        <f t="shared" si="183"/>
        <v>2386</v>
      </c>
      <c r="E621" s="14">
        <f t="shared" ca="1" si="184"/>
        <v>189</v>
      </c>
      <c r="F621" s="14">
        <f t="shared" ca="1" si="185"/>
        <v>425</v>
      </c>
      <c r="G621" s="14">
        <f t="shared" ca="1" si="186"/>
        <v>163</v>
      </c>
      <c r="H621" s="10">
        <f t="shared" ca="1" si="187"/>
        <v>3266</v>
      </c>
      <c r="I621" s="10">
        <f t="shared" ca="1" si="188"/>
        <v>3030</v>
      </c>
      <c r="J621" s="10">
        <f t="shared" ca="1" si="189"/>
        <v>3292</v>
      </c>
      <c r="K621" s="10">
        <f t="shared" si="200"/>
        <v>4000</v>
      </c>
      <c r="L621" s="10">
        <f t="shared" si="201"/>
        <v>4000</v>
      </c>
      <c r="M621" s="10">
        <f t="shared" si="202"/>
        <v>4000</v>
      </c>
      <c r="N621" s="10">
        <f t="shared" ca="1" si="193"/>
        <v>-734</v>
      </c>
      <c r="O621" s="10">
        <f t="shared" ca="1" si="194"/>
        <v>-970</v>
      </c>
      <c r="P621" s="10">
        <f t="shared" ca="1" si="195"/>
        <v>-708</v>
      </c>
      <c r="Q621" s="14">
        <v>0</v>
      </c>
      <c r="R621" s="14">
        <v>1</v>
      </c>
      <c r="S621" s="14">
        <v>2</v>
      </c>
      <c r="T621" s="13">
        <f t="shared" ca="1" si="190"/>
        <v>215</v>
      </c>
      <c r="U621" s="12">
        <f t="shared" ca="1" si="197"/>
        <v>3426</v>
      </c>
      <c r="V621" s="12">
        <f t="shared" ca="1" si="196"/>
        <v>3240</v>
      </c>
      <c r="W621" s="12">
        <f t="shared" ca="1" si="198"/>
        <v>3532</v>
      </c>
      <c r="X621" s="11"/>
      <c r="Y621" s="10"/>
      <c r="Z621" s="10"/>
      <c r="AA621" s="10"/>
      <c r="AB621" s="9"/>
    </row>
    <row r="622" spans="1:28" ht="13.15" customHeight="1">
      <c r="A622" s="16">
        <f t="shared" si="199"/>
        <v>608</v>
      </c>
      <c r="B622" s="17">
        <f t="shared" si="191"/>
        <v>45680</v>
      </c>
      <c r="C622" s="16">
        <f t="shared" si="192"/>
        <v>1069</v>
      </c>
      <c r="D622" s="15">
        <f t="shared" si="183"/>
        <v>2388</v>
      </c>
      <c r="E622" s="14">
        <f t="shared" ca="1" si="184"/>
        <v>191</v>
      </c>
      <c r="F622" s="14">
        <f t="shared" ca="1" si="185"/>
        <v>427</v>
      </c>
      <c r="G622" s="14">
        <f t="shared" ca="1" si="186"/>
        <v>165</v>
      </c>
      <c r="H622" s="10">
        <f t="shared" ca="1" si="187"/>
        <v>3266</v>
      </c>
      <c r="I622" s="10">
        <f t="shared" ca="1" si="188"/>
        <v>3030</v>
      </c>
      <c r="J622" s="10">
        <f t="shared" ca="1" si="189"/>
        <v>3292</v>
      </c>
      <c r="K622" s="10">
        <f t="shared" si="200"/>
        <v>4000</v>
      </c>
      <c r="L622" s="10">
        <f t="shared" si="201"/>
        <v>4000</v>
      </c>
      <c r="M622" s="10">
        <f t="shared" si="202"/>
        <v>4000</v>
      </c>
      <c r="N622" s="10">
        <f t="shared" ca="1" si="193"/>
        <v>-734</v>
      </c>
      <c r="O622" s="10">
        <f t="shared" ca="1" si="194"/>
        <v>-970</v>
      </c>
      <c r="P622" s="10">
        <f t="shared" ca="1" si="195"/>
        <v>-708</v>
      </c>
      <c r="Q622" s="14">
        <v>0</v>
      </c>
      <c r="R622" s="14">
        <v>0</v>
      </c>
      <c r="S622" s="14">
        <v>0</v>
      </c>
      <c r="T622" s="13">
        <f t="shared" ca="1" si="190"/>
        <v>217</v>
      </c>
      <c r="U622" s="12">
        <f t="shared" ca="1" si="197"/>
        <v>3426</v>
      </c>
      <c r="V622" s="12">
        <f t="shared" ca="1" si="196"/>
        <v>3240</v>
      </c>
      <c r="W622" s="12">
        <f t="shared" ca="1" si="198"/>
        <v>3532</v>
      </c>
      <c r="X622" s="11"/>
      <c r="Y622" s="10"/>
      <c r="Z622" s="10"/>
      <c r="AA622" s="10"/>
      <c r="AB622" s="9"/>
    </row>
    <row r="623" spans="1:28" ht="13.15" customHeight="1">
      <c r="A623" s="16">
        <f t="shared" si="199"/>
        <v>609</v>
      </c>
      <c r="B623" s="17">
        <f t="shared" si="191"/>
        <v>45681</v>
      </c>
      <c r="C623" s="16">
        <f t="shared" si="192"/>
        <v>1069</v>
      </c>
      <c r="D623" s="15">
        <f t="shared" si="183"/>
        <v>2390</v>
      </c>
      <c r="E623" s="14">
        <f t="shared" ca="1" si="184"/>
        <v>193</v>
      </c>
      <c r="F623" s="14">
        <f t="shared" ca="1" si="185"/>
        <v>429</v>
      </c>
      <c r="G623" s="14">
        <f t="shared" ca="1" si="186"/>
        <v>167</v>
      </c>
      <c r="H623" s="10">
        <f t="shared" ca="1" si="187"/>
        <v>3266</v>
      </c>
      <c r="I623" s="10">
        <f t="shared" ca="1" si="188"/>
        <v>3030</v>
      </c>
      <c r="J623" s="10">
        <f t="shared" ca="1" si="189"/>
        <v>3292</v>
      </c>
      <c r="K623" s="10">
        <f t="shared" si="200"/>
        <v>4000</v>
      </c>
      <c r="L623" s="10">
        <f t="shared" si="201"/>
        <v>4000</v>
      </c>
      <c r="M623" s="10">
        <f t="shared" si="202"/>
        <v>4000</v>
      </c>
      <c r="N623" s="10">
        <f t="shared" ca="1" si="193"/>
        <v>-734</v>
      </c>
      <c r="O623" s="10">
        <f t="shared" ca="1" si="194"/>
        <v>-970</v>
      </c>
      <c r="P623" s="10">
        <f t="shared" ca="1" si="195"/>
        <v>-708</v>
      </c>
      <c r="Q623" s="14">
        <v>0</v>
      </c>
      <c r="R623" s="14">
        <v>0</v>
      </c>
      <c r="S623" s="14">
        <v>0</v>
      </c>
      <c r="T623" s="13">
        <f t="shared" ca="1" si="190"/>
        <v>219</v>
      </c>
      <c r="U623" s="12">
        <f t="shared" ca="1" si="197"/>
        <v>3426</v>
      </c>
      <c r="V623" s="12">
        <f t="shared" ca="1" si="196"/>
        <v>3240</v>
      </c>
      <c r="W623" s="12">
        <f t="shared" ca="1" si="198"/>
        <v>3532</v>
      </c>
      <c r="X623" s="11"/>
      <c r="Y623" s="10"/>
      <c r="Z623" s="10"/>
      <c r="AA623" s="10"/>
      <c r="AB623" s="9"/>
    </row>
    <row r="624" spans="1:28" ht="13.15" customHeight="1">
      <c r="A624" s="16">
        <f t="shared" si="199"/>
        <v>610</v>
      </c>
      <c r="B624" s="17">
        <f t="shared" si="191"/>
        <v>45682</v>
      </c>
      <c r="C624" s="16">
        <f t="shared" si="192"/>
        <v>1069</v>
      </c>
      <c r="D624" s="15">
        <f t="shared" si="183"/>
        <v>2392</v>
      </c>
      <c r="E624" s="14">
        <f t="shared" ca="1" si="184"/>
        <v>195</v>
      </c>
      <c r="F624" s="14">
        <f t="shared" ca="1" si="185"/>
        <v>435</v>
      </c>
      <c r="G624" s="14">
        <f t="shared" ca="1" si="186"/>
        <v>169</v>
      </c>
      <c r="H624" s="10">
        <f t="shared" ca="1" si="187"/>
        <v>3266</v>
      </c>
      <c r="I624" s="10">
        <f t="shared" ca="1" si="188"/>
        <v>3026</v>
      </c>
      <c r="J624" s="10">
        <f t="shared" ca="1" si="189"/>
        <v>3292</v>
      </c>
      <c r="K624" s="10">
        <f t="shared" si="200"/>
        <v>4000</v>
      </c>
      <c r="L624" s="10">
        <f t="shared" si="201"/>
        <v>4000</v>
      </c>
      <c r="M624" s="10">
        <f t="shared" si="202"/>
        <v>4000</v>
      </c>
      <c r="N624" s="10">
        <f t="shared" ca="1" si="193"/>
        <v>-734</v>
      </c>
      <c r="O624" s="10">
        <f t="shared" ca="1" si="194"/>
        <v>-974</v>
      </c>
      <c r="P624" s="10">
        <f t="shared" ca="1" si="195"/>
        <v>-708</v>
      </c>
      <c r="Q624" s="14">
        <v>0</v>
      </c>
      <c r="R624" s="14">
        <v>4</v>
      </c>
      <c r="S624" s="14">
        <v>0</v>
      </c>
      <c r="T624" s="13">
        <f t="shared" ca="1" si="190"/>
        <v>225</v>
      </c>
      <c r="U624" s="12">
        <f t="shared" ca="1" si="197"/>
        <v>3426</v>
      </c>
      <c r="V624" s="12">
        <f t="shared" ca="1" si="196"/>
        <v>3236</v>
      </c>
      <c r="W624" s="12">
        <f t="shared" ca="1" si="198"/>
        <v>3532</v>
      </c>
      <c r="X624" s="11"/>
      <c r="Y624" s="10"/>
      <c r="Z624" s="10"/>
      <c r="AA624" s="10"/>
      <c r="AB624" s="9"/>
    </row>
    <row r="625" spans="1:28" ht="13.15" customHeight="1">
      <c r="A625" s="16">
        <f t="shared" si="199"/>
        <v>611</v>
      </c>
      <c r="B625" s="17">
        <f t="shared" si="191"/>
        <v>45683</v>
      </c>
      <c r="C625" s="16">
        <f t="shared" si="192"/>
        <v>1069</v>
      </c>
      <c r="D625" s="15">
        <f t="shared" si="183"/>
        <v>2394</v>
      </c>
      <c r="E625" s="14">
        <f t="shared" ca="1" si="184"/>
        <v>198</v>
      </c>
      <c r="F625" s="14">
        <f t="shared" ca="1" si="185"/>
        <v>437</v>
      </c>
      <c r="G625" s="14">
        <f t="shared" ca="1" si="186"/>
        <v>171</v>
      </c>
      <c r="H625" s="10">
        <f t="shared" ca="1" si="187"/>
        <v>3265</v>
      </c>
      <c r="I625" s="10">
        <f t="shared" ca="1" si="188"/>
        <v>3026</v>
      </c>
      <c r="J625" s="10">
        <f t="shared" ca="1" si="189"/>
        <v>3292</v>
      </c>
      <c r="K625" s="10">
        <f t="shared" si="200"/>
        <v>4000</v>
      </c>
      <c r="L625" s="10">
        <f t="shared" si="201"/>
        <v>4000</v>
      </c>
      <c r="M625" s="10">
        <f t="shared" si="202"/>
        <v>4000</v>
      </c>
      <c r="N625" s="10">
        <f t="shared" ca="1" si="193"/>
        <v>-735</v>
      </c>
      <c r="O625" s="10">
        <f t="shared" ca="1" si="194"/>
        <v>-974</v>
      </c>
      <c r="P625" s="10">
        <f t="shared" ca="1" si="195"/>
        <v>-708</v>
      </c>
      <c r="Q625" s="14">
        <v>1</v>
      </c>
      <c r="R625" s="14">
        <v>0</v>
      </c>
      <c r="S625" s="14">
        <v>0</v>
      </c>
      <c r="T625" s="13">
        <f t="shared" ca="1" si="190"/>
        <v>227</v>
      </c>
      <c r="U625" s="12">
        <f t="shared" ca="1" si="197"/>
        <v>3425</v>
      </c>
      <c r="V625" s="12">
        <f t="shared" ca="1" si="196"/>
        <v>3236</v>
      </c>
      <c r="W625" s="12">
        <f t="shared" ca="1" si="198"/>
        <v>3532</v>
      </c>
      <c r="X625" s="11"/>
      <c r="Y625" s="10"/>
      <c r="Z625" s="10"/>
      <c r="AA625" s="10"/>
      <c r="AB625" s="9"/>
    </row>
    <row r="626" spans="1:28" ht="13.15" customHeight="1">
      <c r="A626" s="16">
        <f t="shared" si="199"/>
        <v>612</v>
      </c>
      <c r="B626" s="17">
        <f t="shared" si="191"/>
        <v>45684</v>
      </c>
      <c r="C626" s="16">
        <f t="shared" si="192"/>
        <v>1069</v>
      </c>
      <c r="D626" s="15">
        <f t="shared" si="183"/>
        <v>2396</v>
      </c>
      <c r="E626" s="14">
        <f t="shared" ca="1" si="184"/>
        <v>200</v>
      </c>
      <c r="F626" s="14">
        <f t="shared" ca="1" si="185"/>
        <v>444</v>
      </c>
      <c r="G626" s="14">
        <f t="shared" ca="1" si="186"/>
        <v>173</v>
      </c>
      <c r="H626" s="10">
        <f t="shared" ca="1" si="187"/>
        <v>3265</v>
      </c>
      <c r="I626" s="10">
        <f t="shared" ca="1" si="188"/>
        <v>3021</v>
      </c>
      <c r="J626" s="10">
        <f t="shared" ca="1" si="189"/>
        <v>3292</v>
      </c>
      <c r="K626" s="10">
        <f t="shared" si="200"/>
        <v>4000</v>
      </c>
      <c r="L626" s="10">
        <f t="shared" si="201"/>
        <v>4000</v>
      </c>
      <c r="M626" s="10">
        <f t="shared" si="202"/>
        <v>4000</v>
      </c>
      <c r="N626" s="10">
        <f t="shared" ca="1" si="193"/>
        <v>-735</v>
      </c>
      <c r="O626" s="10">
        <f t="shared" ca="1" si="194"/>
        <v>-979</v>
      </c>
      <c r="P626" s="10">
        <f t="shared" ca="1" si="195"/>
        <v>-708</v>
      </c>
      <c r="Q626" s="14">
        <v>0</v>
      </c>
      <c r="R626" s="14">
        <v>5</v>
      </c>
      <c r="S626" s="14">
        <v>0</v>
      </c>
      <c r="T626" s="13">
        <f t="shared" ca="1" si="190"/>
        <v>234</v>
      </c>
      <c r="U626" s="12">
        <f t="shared" ca="1" si="197"/>
        <v>3425</v>
      </c>
      <c r="V626" s="12">
        <f t="shared" ca="1" si="196"/>
        <v>3231</v>
      </c>
      <c r="W626" s="12">
        <f t="shared" ca="1" si="198"/>
        <v>3532</v>
      </c>
      <c r="X626" s="11"/>
      <c r="Y626" s="10"/>
      <c r="Z626" s="10"/>
      <c r="AA626" s="10"/>
      <c r="AB626" s="9"/>
    </row>
    <row r="627" spans="1:28" ht="13.15" customHeight="1">
      <c r="A627" s="16">
        <f t="shared" si="199"/>
        <v>613</v>
      </c>
      <c r="B627" s="17">
        <f t="shared" si="191"/>
        <v>45685</v>
      </c>
      <c r="C627" s="16">
        <f t="shared" si="192"/>
        <v>1069</v>
      </c>
      <c r="D627" s="15">
        <f t="shared" si="183"/>
        <v>2398</v>
      </c>
      <c r="E627" s="14">
        <f t="shared" ca="1" si="184"/>
        <v>202</v>
      </c>
      <c r="F627" s="14">
        <f t="shared" ca="1" si="185"/>
        <v>446</v>
      </c>
      <c r="G627" s="14">
        <f t="shared" ca="1" si="186"/>
        <v>175</v>
      </c>
      <c r="H627" s="10">
        <f t="shared" ca="1" si="187"/>
        <v>3265</v>
      </c>
      <c r="I627" s="10">
        <f t="shared" ca="1" si="188"/>
        <v>3021</v>
      </c>
      <c r="J627" s="10">
        <f t="shared" ca="1" si="189"/>
        <v>3292</v>
      </c>
      <c r="K627" s="10">
        <f t="shared" si="200"/>
        <v>4000</v>
      </c>
      <c r="L627" s="10">
        <f t="shared" si="201"/>
        <v>4000</v>
      </c>
      <c r="M627" s="10">
        <f t="shared" si="202"/>
        <v>4000</v>
      </c>
      <c r="N627" s="10">
        <f t="shared" ca="1" si="193"/>
        <v>-735</v>
      </c>
      <c r="O627" s="10">
        <f t="shared" ca="1" si="194"/>
        <v>-979</v>
      </c>
      <c r="P627" s="10">
        <f t="shared" ca="1" si="195"/>
        <v>-708</v>
      </c>
      <c r="Q627" s="14">
        <v>0</v>
      </c>
      <c r="R627" s="14">
        <v>0</v>
      </c>
      <c r="S627" s="14">
        <v>0</v>
      </c>
      <c r="T627" s="13">
        <f t="shared" ca="1" si="190"/>
        <v>236</v>
      </c>
      <c r="U627" s="12">
        <f t="shared" ca="1" si="197"/>
        <v>3425</v>
      </c>
      <c r="V627" s="12">
        <f t="shared" ca="1" si="196"/>
        <v>3231</v>
      </c>
      <c r="W627" s="12">
        <f t="shared" ca="1" si="198"/>
        <v>3532</v>
      </c>
      <c r="X627" s="11"/>
      <c r="Y627" s="10"/>
      <c r="Z627" s="10"/>
      <c r="AA627" s="10"/>
      <c r="AB627" s="9"/>
    </row>
    <row r="628" spans="1:28" ht="13.15" customHeight="1">
      <c r="A628" s="16">
        <f t="shared" si="199"/>
        <v>614</v>
      </c>
      <c r="B628" s="17">
        <f t="shared" si="191"/>
        <v>45686</v>
      </c>
      <c r="C628" s="16">
        <f t="shared" si="192"/>
        <v>1069</v>
      </c>
      <c r="D628" s="15">
        <f t="shared" si="183"/>
        <v>2400</v>
      </c>
      <c r="E628" s="14">
        <f t="shared" ca="1" si="184"/>
        <v>204</v>
      </c>
      <c r="F628" s="14">
        <f t="shared" ca="1" si="185"/>
        <v>449</v>
      </c>
      <c r="G628" s="14">
        <f t="shared" ca="1" si="186"/>
        <v>178</v>
      </c>
      <c r="H628" s="10">
        <f t="shared" ca="1" si="187"/>
        <v>3265</v>
      </c>
      <c r="I628" s="10">
        <f t="shared" ca="1" si="188"/>
        <v>3020</v>
      </c>
      <c r="J628" s="10">
        <f t="shared" ca="1" si="189"/>
        <v>3291</v>
      </c>
      <c r="K628" s="10">
        <f t="shared" si="200"/>
        <v>4000</v>
      </c>
      <c r="L628" s="10">
        <f t="shared" si="201"/>
        <v>4000</v>
      </c>
      <c r="M628" s="10">
        <f t="shared" si="202"/>
        <v>4000</v>
      </c>
      <c r="N628" s="10">
        <f t="shared" ca="1" si="193"/>
        <v>-735</v>
      </c>
      <c r="O628" s="10">
        <f t="shared" ca="1" si="194"/>
        <v>-980</v>
      </c>
      <c r="P628" s="10">
        <f t="shared" ca="1" si="195"/>
        <v>-709</v>
      </c>
      <c r="Q628" s="14">
        <v>0</v>
      </c>
      <c r="R628" s="14">
        <v>1</v>
      </c>
      <c r="S628" s="14">
        <v>1</v>
      </c>
      <c r="T628" s="13">
        <f t="shared" ca="1" si="190"/>
        <v>239</v>
      </c>
      <c r="U628" s="12">
        <f t="shared" ca="1" si="197"/>
        <v>3425</v>
      </c>
      <c r="V628" s="12">
        <f t="shared" ca="1" si="196"/>
        <v>3230</v>
      </c>
      <c r="W628" s="12">
        <f t="shared" ca="1" si="198"/>
        <v>3531</v>
      </c>
      <c r="X628" s="11"/>
      <c r="Y628" s="10"/>
      <c r="Z628" s="10"/>
      <c r="AA628" s="10"/>
      <c r="AB628" s="9"/>
    </row>
    <row r="629" spans="1:28" ht="13.15" customHeight="1">
      <c r="A629" s="16">
        <f t="shared" si="199"/>
        <v>615</v>
      </c>
      <c r="B629" s="17">
        <f t="shared" si="191"/>
        <v>45687</v>
      </c>
      <c r="C629" s="16">
        <f t="shared" si="192"/>
        <v>1069</v>
      </c>
      <c r="D629" s="15">
        <f t="shared" si="183"/>
        <v>2402</v>
      </c>
      <c r="E629" s="14">
        <f t="shared" ca="1" si="184"/>
        <v>208</v>
      </c>
      <c r="F629" s="14">
        <f t="shared" ca="1" si="185"/>
        <v>454</v>
      </c>
      <c r="G629" s="14">
        <f t="shared" ca="1" si="186"/>
        <v>180</v>
      </c>
      <c r="H629" s="10">
        <f t="shared" ca="1" si="187"/>
        <v>3263</v>
      </c>
      <c r="I629" s="10">
        <f t="shared" ca="1" si="188"/>
        <v>3017</v>
      </c>
      <c r="J629" s="10">
        <f t="shared" ca="1" si="189"/>
        <v>3291</v>
      </c>
      <c r="K629" s="10">
        <f t="shared" si="200"/>
        <v>4000</v>
      </c>
      <c r="L629" s="10">
        <f t="shared" si="201"/>
        <v>4000</v>
      </c>
      <c r="M629" s="10">
        <f t="shared" si="202"/>
        <v>4000</v>
      </c>
      <c r="N629" s="10">
        <f t="shared" ca="1" si="193"/>
        <v>-737</v>
      </c>
      <c r="O629" s="10">
        <f t="shared" ca="1" si="194"/>
        <v>-983</v>
      </c>
      <c r="P629" s="10">
        <f t="shared" ca="1" si="195"/>
        <v>-709</v>
      </c>
      <c r="Q629" s="14">
        <v>2</v>
      </c>
      <c r="R629" s="14">
        <v>3</v>
      </c>
      <c r="S629" s="14">
        <v>0</v>
      </c>
      <c r="T629" s="13">
        <f t="shared" ca="1" si="190"/>
        <v>244</v>
      </c>
      <c r="U629" s="12">
        <f t="shared" ca="1" si="197"/>
        <v>3423</v>
      </c>
      <c r="V629" s="12">
        <f t="shared" ca="1" si="196"/>
        <v>3227</v>
      </c>
      <c r="W629" s="12">
        <f t="shared" ca="1" si="198"/>
        <v>3531</v>
      </c>
      <c r="X629" s="11"/>
      <c r="Y629" s="10"/>
      <c r="Z629" s="10"/>
      <c r="AA629" s="10"/>
      <c r="AB629" s="9"/>
    </row>
    <row r="630" spans="1:28" ht="13.15" customHeight="1">
      <c r="A630" s="16">
        <f t="shared" si="199"/>
        <v>616</v>
      </c>
      <c r="B630" s="17">
        <f t="shared" si="191"/>
        <v>45688</v>
      </c>
      <c r="C630" s="16">
        <f t="shared" si="192"/>
        <v>1069</v>
      </c>
      <c r="D630" s="15">
        <f t="shared" si="183"/>
        <v>2404</v>
      </c>
      <c r="E630" s="14">
        <f t="shared" ca="1" si="184"/>
        <v>210</v>
      </c>
      <c r="F630" s="14">
        <f t="shared" ca="1" si="185"/>
        <v>456</v>
      </c>
      <c r="G630" s="14">
        <f t="shared" ca="1" si="186"/>
        <v>182</v>
      </c>
      <c r="H630" s="10">
        <f t="shared" ca="1" si="187"/>
        <v>3263</v>
      </c>
      <c r="I630" s="10">
        <f t="shared" ca="1" si="188"/>
        <v>3017</v>
      </c>
      <c r="J630" s="10">
        <f t="shared" ca="1" si="189"/>
        <v>3291</v>
      </c>
      <c r="K630" s="10">
        <f t="shared" si="200"/>
        <v>4000</v>
      </c>
      <c r="L630" s="10">
        <f t="shared" si="201"/>
        <v>4000</v>
      </c>
      <c r="M630" s="10">
        <f t="shared" si="202"/>
        <v>4000</v>
      </c>
      <c r="N630" s="10">
        <f t="shared" ca="1" si="193"/>
        <v>-737</v>
      </c>
      <c r="O630" s="10">
        <f t="shared" ca="1" si="194"/>
        <v>-983</v>
      </c>
      <c r="P630" s="10">
        <f t="shared" ca="1" si="195"/>
        <v>-709</v>
      </c>
      <c r="Q630" s="14">
        <v>0</v>
      </c>
      <c r="R630" s="14">
        <v>0</v>
      </c>
      <c r="S630" s="14">
        <v>0</v>
      </c>
      <c r="T630" s="13">
        <f t="shared" ca="1" si="190"/>
        <v>246</v>
      </c>
      <c r="U630" s="12">
        <f t="shared" ca="1" si="197"/>
        <v>3423</v>
      </c>
      <c r="V630" s="12">
        <f t="shared" ca="1" si="196"/>
        <v>3227</v>
      </c>
      <c r="W630" s="12">
        <f t="shared" ca="1" si="198"/>
        <v>3531</v>
      </c>
      <c r="X630" s="11"/>
      <c r="Y630" s="10"/>
      <c r="Z630" s="10"/>
      <c r="AA630" s="10"/>
      <c r="AB630" s="9"/>
    </row>
    <row r="631" spans="1:28" ht="13.15" customHeight="1">
      <c r="A631" s="16">
        <f t="shared" si="199"/>
        <v>617</v>
      </c>
      <c r="B631" s="17">
        <f t="shared" si="191"/>
        <v>45689</v>
      </c>
      <c r="C631" s="16">
        <f t="shared" si="192"/>
        <v>1069</v>
      </c>
      <c r="D631" s="15">
        <f t="shared" si="183"/>
        <v>2406</v>
      </c>
      <c r="E631" s="14">
        <f t="shared" ca="1" si="184"/>
        <v>214</v>
      </c>
      <c r="F631" s="14">
        <f t="shared" ca="1" si="185"/>
        <v>459</v>
      </c>
      <c r="G631" s="14">
        <f t="shared" ca="1" si="186"/>
        <v>184</v>
      </c>
      <c r="H631" s="10">
        <f t="shared" ca="1" si="187"/>
        <v>3261</v>
      </c>
      <c r="I631" s="10">
        <f t="shared" ca="1" si="188"/>
        <v>3016</v>
      </c>
      <c r="J631" s="10">
        <f t="shared" ca="1" si="189"/>
        <v>3291</v>
      </c>
      <c r="K631" s="10">
        <f t="shared" si="200"/>
        <v>4000</v>
      </c>
      <c r="L631" s="10">
        <f t="shared" si="201"/>
        <v>4000</v>
      </c>
      <c r="M631" s="10">
        <f t="shared" si="202"/>
        <v>4000</v>
      </c>
      <c r="N631" s="10">
        <f t="shared" ca="1" si="193"/>
        <v>-739</v>
      </c>
      <c r="O631" s="10">
        <f t="shared" ca="1" si="194"/>
        <v>-984</v>
      </c>
      <c r="P631" s="10">
        <f t="shared" ca="1" si="195"/>
        <v>-709</v>
      </c>
      <c r="Q631" s="14">
        <v>2</v>
      </c>
      <c r="R631" s="14">
        <v>1</v>
      </c>
      <c r="S631" s="14">
        <v>0</v>
      </c>
      <c r="T631" s="13">
        <f t="shared" ca="1" si="190"/>
        <v>249</v>
      </c>
      <c r="U631" s="12">
        <f t="shared" ca="1" si="197"/>
        <v>3421</v>
      </c>
      <c r="V631" s="12">
        <f t="shared" ca="1" si="196"/>
        <v>3226</v>
      </c>
      <c r="W631" s="12">
        <f t="shared" ca="1" si="198"/>
        <v>3531</v>
      </c>
      <c r="X631" s="11"/>
      <c r="Y631" s="10"/>
      <c r="Z631" s="10"/>
      <c r="AA631" s="10"/>
      <c r="AB631" s="9"/>
    </row>
    <row r="632" spans="1:28" ht="13.15" customHeight="1">
      <c r="A632" s="16">
        <f t="shared" si="199"/>
        <v>618</v>
      </c>
      <c r="B632" s="17">
        <f t="shared" si="191"/>
        <v>45690</v>
      </c>
      <c r="C632" s="16">
        <f t="shared" si="192"/>
        <v>1069</v>
      </c>
      <c r="D632" s="15">
        <f t="shared" si="183"/>
        <v>2408</v>
      </c>
      <c r="E632" s="14">
        <f t="shared" ca="1" si="184"/>
        <v>216</v>
      </c>
      <c r="F632" s="14">
        <f t="shared" ca="1" si="185"/>
        <v>461</v>
      </c>
      <c r="G632" s="14">
        <f t="shared" ca="1" si="186"/>
        <v>188</v>
      </c>
      <c r="H632" s="10">
        <f t="shared" ca="1" si="187"/>
        <v>3261</v>
      </c>
      <c r="I632" s="10">
        <f t="shared" ca="1" si="188"/>
        <v>3016</v>
      </c>
      <c r="J632" s="10">
        <f t="shared" ca="1" si="189"/>
        <v>3289</v>
      </c>
      <c r="K632" s="10">
        <f t="shared" si="200"/>
        <v>4000</v>
      </c>
      <c r="L632" s="10">
        <f t="shared" si="201"/>
        <v>4000</v>
      </c>
      <c r="M632" s="10">
        <f t="shared" si="202"/>
        <v>4000</v>
      </c>
      <c r="N632" s="10">
        <f t="shared" ca="1" si="193"/>
        <v>-739</v>
      </c>
      <c r="O632" s="10">
        <f t="shared" ca="1" si="194"/>
        <v>-984</v>
      </c>
      <c r="P632" s="10">
        <f t="shared" ca="1" si="195"/>
        <v>-711</v>
      </c>
      <c r="Q632" s="14">
        <v>0</v>
      </c>
      <c r="R632" s="14">
        <v>0</v>
      </c>
      <c r="S632" s="14">
        <v>2</v>
      </c>
      <c r="T632" s="13">
        <f t="shared" ca="1" si="190"/>
        <v>251</v>
      </c>
      <c r="U632" s="12">
        <f t="shared" ca="1" si="197"/>
        <v>3421</v>
      </c>
      <c r="V632" s="12">
        <f t="shared" ca="1" si="196"/>
        <v>3226</v>
      </c>
      <c r="W632" s="12">
        <f t="shared" ca="1" si="198"/>
        <v>3529</v>
      </c>
      <c r="X632" s="11"/>
      <c r="Y632" s="10"/>
      <c r="Z632" s="10"/>
      <c r="AA632" s="10"/>
      <c r="AB632" s="9"/>
    </row>
    <row r="633" spans="1:28" ht="13.15" customHeight="1">
      <c r="A633" s="16">
        <f t="shared" si="199"/>
        <v>619</v>
      </c>
      <c r="B633" s="17">
        <f t="shared" si="191"/>
        <v>45691</v>
      </c>
      <c r="C633" s="16">
        <f t="shared" si="192"/>
        <v>1069</v>
      </c>
      <c r="D633" s="15">
        <f t="shared" si="183"/>
        <v>2410</v>
      </c>
      <c r="E633" s="14">
        <f t="shared" ca="1" si="184"/>
        <v>218</v>
      </c>
      <c r="F633" s="14">
        <f t="shared" ca="1" si="185"/>
        <v>463</v>
      </c>
      <c r="G633" s="14">
        <f t="shared" ca="1" si="186"/>
        <v>190</v>
      </c>
      <c r="H633" s="10">
        <f t="shared" ca="1" si="187"/>
        <v>3261</v>
      </c>
      <c r="I633" s="10">
        <f t="shared" ca="1" si="188"/>
        <v>3016</v>
      </c>
      <c r="J633" s="10">
        <f t="shared" ca="1" si="189"/>
        <v>3289</v>
      </c>
      <c r="K633" s="10">
        <f t="shared" si="200"/>
        <v>4000</v>
      </c>
      <c r="L633" s="10">
        <f t="shared" si="201"/>
        <v>4000</v>
      </c>
      <c r="M633" s="10">
        <f t="shared" si="202"/>
        <v>4000</v>
      </c>
      <c r="N633" s="10">
        <f t="shared" ca="1" si="193"/>
        <v>-739</v>
      </c>
      <c r="O633" s="10">
        <f t="shared" ca="1" si="194"/>
        <v>-984</v>
      </c>
      <c r="P633" s="10">
        <f t="shared" ca="1" si="195"/>
        <v>-711</v>
      </c>
      <c r="Q633" s="14">
        <v>0</v>
      </c>
      <c r="R633" s="14">
        <v>0</v>
      </c>
      <c r="S633" s="14">
        <v>0</v>
      </c>
      <c r="T633" s="13">
        <f t="shared" ca="1" si="190"/>
        <v>253</v>
      </c>
      <c r="U633" s="12">
        <f t="shared" ca="1" si="197"/>
        <v>3421</v>
      </c>
      <c r="V633" s="12">
        <f t="shared" ca="1" si="196"/>
        <v>3226</v>
      </c>
      <c r="W633" s="12">
        <f t="shared" ca="1" si="198"/>
        <v>3529</v>
      </c>
      <c r="X633" s="11"/>
      <c r="Y633" s="10"/>
      <c r="Z633" s="10"/>
      <c r="AA633" s="10"/>
      <c r="AB633" s="9"/>
    </row>
    <row r="634" spans="1:28" ht="13.15" customHeight="1">
      <c r="A634" s="16">
        <f t="shared" si="199"/>
        <v>620</v>
      </c>
      <c r="B634" s="17">
        <f t="shared" si="191"/>
        <v>45692</v>
      </c>
      <c r="C634" s="16">
        <f t="shared" si="192"/>
        <v>1069</v>
      </c>
      <c r="D634" s="15">
        <f t="shared" si="183"/>
        <v>2412</v>
      </c>
      <c r="E634" s="14">
        <f t="shared" ca="1" si="184"/>
        <v>220</v>
      </c>
      <c r="F634" s="14">
        <f t="shared" ca="1" si="185"/>
        <v>467</v>
      </c>
      <c r="G634" s="14">
        <f t="shared" ca="1" si="186"/>
        <v>192</v>
      </c>
      <c r="H634" s="10">
        <f t="shared" ca="1" si="187"/>
        <v>3261</v>
      </c>
      <c r="I634" s="10">
        <f t="shared" ca="1" si="188"/>
        <v>3014</v>
      </c>
      <c r="J634" s="10">
        <f t="shared" ca="1" si="189"/>
        <v>3289</v>
      </c>
      <c r="K634" s="10">
        <f t="shared" si="200"/>
        <v>4000</v>
      </c>
      <c r="L634" s="10">
        <f t="shared" si="201"/>
        <v>4000</v>
      </c>
      <c r="M634" s="10">
        <f t="shared" si="202"/>
        <v>4000</v>
      </c>
      <c r="N634" s="10">
        <f t="shared" ca="1" si="193"/>
        <v>-739</v>
      </c>
      <c r="O634" s="10">
        <f t="shared" ca="1" si="194"/>
        <v>-986</v>
      </c>
      <c r="P634" s="10">
        <f t="shared" ca="1" si="195"/>
        <v>-711</v>
      </c>
      <c r="Q634" s="14">
        <v>0</v>
      </c>
      <c r="R634" s="14">
        <v>2</v>
      </c>
      <c r="S634" s="14">
        <v>0</v>
      </c>
      <c r="T634" s="13">
        <f t="shared" ca="1" si="190"/>
        <v>257</v>
      </c>
      <c r="U634" s="12">
        <f t="shared" ca="1" si="197"/>
        <v>3421</v>
      </c>
      <c r="V634" s="12">
        <f t="shared" ca="1" si="196"/>
        <v>3224</v>
      </c>
      <c r="W634" s="12">
        <f t="shared" ca="1" si="198"/>
        <v>3529</v>
      </c>
      <c r="X634" s="11"/>
      <c r="Y634" s="10"/>
      <c r="Z634" s="10"/>
      <c r="AA634" s="10"/>
      <c r="AB634" s="9"/>
    </row>
    <row r="635" spans="1:28" ht="13.15" customHeight="1">
      <c r="A635" s="16">
        <f t="shared" si="199"/>
        <v>621</v>
      </c>
      <c r="B635" s="17">
        <f t="shared" si="191"/>
        <v>45693</v>
      </c>
      <c r="C635" s="16">
        <f t="shared" si="192"/>
        <v>1069</v>
      </c>
      <c r="D635" s="15">
        <f t="shared" si="183"/>
        <v>2414</v>
      </c>
      <c r="E635" s="14">
        <f t="shared" ca="1" si="184"/>
        <v>224</v>
      </c>
      <c r="F635" s="14">
        <f t="shared" ca="1" si="185"/>
        <v>469</v>
      </c>
      <c r="G635" s="14">
        <f t="shared" ca="1" si="186"/>
        <v>194</v>
      </c>
      <c r="H635" s="10">
        <f t="shared" ca="1" si="187"/>
        <v>3259</v>
      </c>
      <c r="I635" s="10">
        <f t="shared" ca="1" si="188"/>
        <v>3014</v>
      </c>
      <c r="J635" s="10">
        <f t="shared" ca="1" si="189"/>
        <v>3289</v>
      </c>
      <c r="K635" s="10">
        <f t="shared" si="200"/>
        <v>4000</v>
      </c>
      <c r="L635" s="10">
        <f t="shared" si="201"/>
        <v>4000</v>
      </c>
      <c r="M635" s="10">
        <f t="shared" si="202"/>
        <v>4000</v>
      </c>
      <c r="N635" s="10">
        <f t="shared" ca="1" si="193"/>
        <v>-741</v>
      </c>
      <c r="O635" s="10">
        <f t="shared" ca="1" si="194"/>
        <v>-986</v>
      </c>
      <c r="P635" s="10">
        <f t="shared" ca="1" si="195"/>
        <v>-711</v>
      </c>
      <c r="Q635" s="14">
        <v>2</v>
      </c>
      <c r="R635" s="14">
        <v>0</v>
      </c>
      <c r="S635" s="14">
        <v>0</v>
      </c>
      <c r="T635" s="13">
        <f t="shared" ca="1" si="190"/>
        <v>259</v>
      </c>
      <c r="U635" s="12">
        <f t="shared" ca="1" si="197"/>
        <v>3419</v>
      </c>
      <c r="V635" s="12">
        <f t="shared" ca="1" si="196"/>
        <v>3224</v>
      </c>
      <c r="W635" s="12">
        <f t="shared" ca="1" si="198"/>
        <v>3529</v>
      </c>
      <c r="X635" s="11"/>
      <c r="Y635" s="10"/>
      <c r="Z635" s="10"/>
      <c r="AA635" s="10"/>
      <c r="AB635" s="9"/>
    </row>
    <row r="636" spans="1:28" ht="13.15" customHeight="1">
      <c r="A636" s="16">
        <f t="shared" si="199"/>
        <v>622</v>
      </c>
      <c r="B636" s="17">
        <f t="shared" si="191"/>
        <v>45694</v>
      </c>
      <c r="C636" s="16">
        <f t="shared" si="192"/>
        <v>1069</v>
      </c>
      <c r="D636" s="15">
        <f t="shared" si="183"/>
        <v>2416</v>
      </c>
      <c r="E636" s="14">
        <f t="shared" ca="1" si="184"/>
        <v>226</v>
      </c>
      <c r="F636" s="14">
        <f t="shared" ca="1" si="185"/>
        <v>473</v>
      </c>
      <c r="G636" s="14">
        <f t="shared" ca="1" si="186"/>
        <v>197</v>
      </c>
      <c r="H636" s="10">
        <f t="shared" ca="1" si="187"/>
        <v>3259</v>
      </c>
      <c r="I636" s="10">
        <f t="shared" ca="1" si="188"/>
        <v>3012</v>
      </c>
      <c r="J636" s="10">
        <f t="shared" ca="1" si="189"/>
        <v>3288</v>
      </c>
      <c r="K636" s="10">
        <f t="shared" si="200"/>
        <v>4000</v>
      </c>
      <c r="L636" s="10">
        <f t="shared" si="201"/>
        <v>4000</v>
      </c>
      <c r="M636" s="10">
        <f t="shared" si="202"/>
        <v>4000</v>
      </c>
      <c r="N636" s="10">
        <f t="shared" ca="1" si="193"/>
        <v>-741</v>
      </c>
      <c r="O636" s="10">
        <f t="shared" ca="1" si="194"/>
        <v>-988</v>
      </c>
      <c r="P636" s="10">
        <f t="shared" ca="1" si="195"/>
        <v>-712</v>
      </c>
      <c r="Q636" s="14">
        <v>0</v>
      </c>
      <c r="R636" s="14">
        <v>2</v>
      </c>
      <c r="S636" s="14">
        <v>1</v>
      </c>
      <c r="T636" s="13">
        <f t="shared" ca="1" si="190"/>
        <v>263</v>
      </c>
      <c r="U636" s="12">
        <f t="shared" ca="1" si="197"/>
        <v>3419</v>
      </c>
      <c r="V636" s="12">
        <f t="shared" ca="1" si="196"/>
        <v>3222</v>
      </c>
      <c r="W636" s="12">
        <f t="shared" ca="1" si="198"/>
        <v>3528</v>
      </c>
      <c r="X636" s="11"/>
      <c r="Y636" s="10"/>
      <c r="Z636" s="10"/>
      <c r="AA636" s="10"/>
      <c r="AB636" s="9"/>
    </row>
    <row r="637" spans="1:28" ht="13.15" customHeight="1">
      <c r="A637" s="16">
        <f t="shared" si="199"/>
        <v>623</v>
      </c>
      <c r="B637" s="17">
        <f t="shared" si="191"/>
        <v>45695</v>
      </c>
      <c r="C637" s="16">
        <f t="shared" si="192"/>
        <v>1069</v>
      </c>
      <c r="D637" s="15">
        <f t="shared" si="183"/>
        <v>2418</v>
      </c>
      <c r="E637" s="14">
        <f t="shared" ca="1" si="184"/>
        <v>228</v>
      </c>
      <c r="F637" s="14">
        <f t="shared" ca="1" si="185"/>
        <v>475</v>
      </c>
      <c r="G637" s="14">
        <f t="shared" ca="1" si="186"/>
        <v>199</v>
      </c>
      <c r="H637" s="10">
        <f t="shared" ca="1" si="187"/>
        <v>3259</v>
      </c>
      <c r="I637" s="10">
        <f t="shared" ca="1" si="188"/>
        <v>3012</v>
      </c>
      <c r="J637" s="10">
        <f t="shared" ca="1" si="189"/>
        <v>3288</v>
      </c>
      <c r="K637" s="10">
        <f t="shared" si="200"/>
        <v>4000</v>
      </c>
      <c r="L637" s="10">
        <f t="shared" si="201"/>
        <v>4000</v>
      </c>
      <c r="M637" s="10">
        <f t="shared" si="202"/>
        <v>4000</v>
      </c>
      <c r="N637" s="10">
        <f t="shared" ca="1" si="193"/>
        <v>-741</v>
      </c>
      <c r="O637" s="10">
        <f t="shared" ca="1" si="194"/>
        <v>-988</v>
      </c>
      <c r="P637" s="10">
        <f t="shared" ca="1" si="195"/>
        <v>-712</v>
      </c>
      <c r="Q637" s="14">
        <v>0</v>
      </c>
      <c r="R637" s="14">
        <v>0</v>
      </c>
      <c r="S637" s="14">
        <v>0</v>
      </c>
      <c r="T637" s="13">
        <f t="shared" ca="1" si="190"/>
        <v>265</v>
      </c>
      <c r="U637" s="12">
        <f t="shared" ca="1" si="197"/>
        <v>3419</v>
      </c>
      <c r="V637" s="12">
        <f t="shared" ca="1" si="196"/>
        <v>3222</v>
      </c>
      <c r="W637" s="12">
        <f t="shared" ca="1" si="198"/>
        <v>3528</v>
      </c>
      <c r="X637" s="11"/>
      <c r="Y637" s="10"/>
      <c r="Z637" s="10"/>
      <c r="AA637" s="10"/>
      <c r="AB637" s="9"/>
    </row>
    <row r="638" spans="1:28" ht="13.15" customHeight="1">
      <c r="A638" s="16">
        <f t="shared" si="199"/>
        <v>624</v>
      </c>
      <c r="B638" s="17">
        <f t="shared" si="191"/>
        <v>45696</v>
      </c>
      <c r="C638" s="16">
        <f t="shared" si="192"/>
        <v>1069</v>
      </c>
      <c r="D638" s="15">
        <f t="shared" si="183"/>
        <v>2420</v>
      </c>
      <c r="E638" s="14">
        <f t="shared" ca="1" si="184"/>
        <v>230</v>
      </c>
      <c r="F638" s="14">
        <f t="shared" ca="1" si="185"/>
        <v>479</v>
      </c>
      <c r="G638" s="14">
        <f t="shared" ca="1" si="186"/>
        <v>201</v>
      </c>
      <c r="H638" s="10">
        <f t="shared" ca="1" si="187"/>
        <v>3259</v>
      </c>
      <c r="I638" s="10">
        <f t="shared" ca="1" si="188"/>
        <v>3010</v>
      </c>
      <c r="J638" s="10">
        <f t="shared" ca="1" si="189"/>
        <v>3288</v>
      </c>
      <c r="K638" s="10">
        <f t="shared" si="200"/>
        <v>4000</v>
      </c>
      <c r="L638" s="10">
        <f t="shared" si="201"/>
        <v>4000</v>
      </c>
      <c r="M638" s="10">
        <f t="shared" si="202"/>
        <v>4000</v>
      </c>
      <c r="N638" s="10">
        <f t="shared" ca="1" si="193"/>
        <v>-741</v>
      </c>
      <c r="O638" s="10">
        <f t="shared" ca="1" si="194"/>
        <v>-990</v>
      </c>
      <c r="P638" s="10">
        <f t="shared" ca="1" si="195"/>
        <v>-712</v>
      </c>
      <c r="Q638" s="14">
        <v>0</v>
      </c>
      <c r="R638" s="14">
        <v>2</v>
      </c>
      <c r="S638" s="14">
        <v>0</v>
      </c>
      <c r="T638" s="13">
        <f t="shared" ca="1" si="190"/>
        <v>269</v>
      </c>
      <c r="U638" s="12">
        <f t="shared" ca="1" si="197"/>
        <v>3419</v>
      </c>
      <c r="V638" s="12">
        <f t="shared" ca="1" si="196"/>
        <v>3220</v>
      </c>
      <c r="W638" s="12">
        <f t="shared" ca="1" si="198"/>
        <v>3528</v>
      </c>
      <c r="X638" s="11"/>
      <c r="Y638" s="10"/>
      <c r="Z638" s="10"/>
      <c r="AA638" s="10"/>
      <c r="AB638" s="9"/>
    </row>
    <row r="639" spans="1:28" ht="13.15" customHeight="1">
      <c r="A639" s="16">
        <f t="shared" si="199"/>
        <v>625</v>
      </c>
      <c r="B639" s="17">
        <f t="shared" si="191"/>
        <v>45697</v>
      </c>
      <c r="C639" s="16">
        <f t="shared" si="192"/>
        <v>1069</v>
      </c>
      <c r="D639" s="15">
        <f t="shared" ref="D639:D704" si="203">D638+2</f>
        <v>2422</v>
      </c>
      <c r="E639" s="14">
        <f t="shared" ca="1" si="184"/>
        <v>233</v>
      </c>
      <c r="F639" s="14">
        <f t="shared" ca="1" si="185"/>
        <v>481</v>
      </c>
      <c r="G639" s="14">
        <f t="shared" ca="1" si="186"/>
        <v>203</v>
      </c>
      <c r="H639" s="10">
        <f t="shared" ca="1" si="187"/>
        <v>3258</v>
      </c>
      <c r="I639" s="10">
        <f t="shared" ca="1" si="188"/>
        <v>3010</v>
      </c>
      <c r="J639" s="10">
        <f t="shared" ca="1" si="189"/>
        <v>3288</v>
      </c>
      <c r="K639" s="10">
        <f t="shared" si="200"/>
        <v>4000</v>
      </c>
      <c r="L639" s="10">
        <f t="shared" si="201"/>
        <v>4000</v>
      </c>
      <c r="M639" s="10">
        <f t="shared" si="202"/>
        <v>4000</v>
      </c>
      <c r="N639" s="10">
        <f t="shared" ca="1" si="193"/>
        <v>-742</v>
      </c>
      <c r="O639" s="10">
        <f t="shared" ca="1" si="194"/>
        <v>-990</v>
      </c>
      <c r="P639" s="10">
        <f t="shared" ca="1" si="195"/>
        <v>-712</v>
      </c>
      <c r="Q639" s="14">
        <v>1</v>
      </c>
      <c r="R639" s="14">
        <v>0</v>
      </c>
      <c r="S639" s="14">
        <v>0</v>
      </c>
      <c r="T639" s="13">
        <f t="shared" ca="1" si="190"/>
        <v>271</v>
      </c>
      <c r="U639" s="12">
        <f t="shared" ca="1" si="197"/>
        <v>3418</v>
      </c>
      <c r="V639" s="12">
        <f t="shared" ca="1" si="196"/>
        <v>3220</v>
      </c>
      <c r="W639" s="12">
        <f t="shared" ca="1" si="198"/>
        <v>3528</v>
      </c>
      <c r="X639" s="11"/>
      <c r="Y639" s="10"/>
      <c r="Z639" s="10"/>
      <c r="AA639" s="10"/>
      <c r="AB639" s="9"/>
    </row>
    <row r="640" spans="1:28" ht="13.15" customHeight="1">
      <c r="A640" s="16">
        <f t="shared" si="199"/>
        <v>626</v>
      </c>
      <c r="B640" s="17">
        <f t="shared" si="191"/>
        <v>45698</v>
      </c>
      <c r="C640" s="16">
        <f t="shared" si="192"/>
        <v>1069</v>
      </c>
      <c r="D640" s="15">
        <f t="shared" si="203"/>
        <v>2424</v>
      </c>
      <c r="E640" s="14">
        <f t="shared" ca="1" si="184"/>
        <v>235</v>
      </c>
      <c r="F640" s="14">
        <f t="shared" ca="1" si="185"/>
        <v>483</v>
      </c>
      <c r="G640" s="14">
        <f t="shared" ca="1" si="186"/>
        <v>205</v>
      </c>
      <c r="H640" s="10">
        <f t="shared" ca="1" si="187"/>
        <v>3258</v>
      </c>
      <c r="I640" s="10">
        <f t="shared" ca="1" si="188"/>
        <v>3010</v>
      </c>
      <c r="J640" s="10">
        <f t="shared" ca="1" si="189"/>
        <v>3288</v>
      </c>
      <c r="K640" s="10">
        <f t="shared" si="200"/>
        <v>4000</v>
      </c>
      <c r="L640" s="10">
        <f t="shared" si="201"/>
        <v>4000</v>
      </c>
      <c r="M640" s="10">
        <f t="shared" si="202"/>
        <v>4000</v>
      </c>
      <c r="N640" s="10">
        <f t="shared" ca="1" si="193"/>
        <v>-742</v>
      </c>
      <c r="O640" s="10">
        <f t="shared" ca="1" si="194"/>
        <v>-990</v>
      </c>
      <c r="P640" s="10">
        <f t="shared" ca="1" si="195"/>
        <v>-712</v>
      </c>
      <c r="Q640" s="14">
        <v>0</v>
      </c>
      <c r="R640" s="14">
        <v>0</v>
      </c>
      <c r="S640" s="14">
        <v>0</v>
      </c>
      <c r="T640" s="13">
        <f t="shared" ca="1" si="190"/>
        <v>273</v>
      </c>
      <c r="U640" s="12">
        <f t="shared" ca="1" si="197"/>
        <v>3418</v>
      </c>
      <c r="V640" s="12">
        <f t="shared" ca="1" si="196"/>
        <v>3220</v>
      </c>
      <c r="W640" s="12">
        <f t="shared" ca="1" si="198"/>
        <v>3528</v>
      </c>
      <c r="X640" s="11"/>
      <c r="Y640" s="10"/>
      <c r="Z640" s="10"/>
      <c r="AA640" s="10"/>
      <c r="AB640" s="9"/>
    </row>
    <row r="641" spans="1:28" ht="13.15" customHeight="1">
      <c r="A641" s="16">
        <f t="shared" si="199"/>
        <v>627</v>
      </c>
      <c r="B641" s="17">
        <f t="shared" si="191"/>
        <v>45699</v>
      </c>
      <c r="C641" s="16">
        <f t="shared" si="192"/>
        <v>1069</v>
      </c>
      <c r="D641" s="15">
        <f t="shared" si="203"/>
        <v>2426</v>
      </c>
      <c r="E641" s="14">
        <f t="shared" ca="1" si="184"/>
        <v>238</v>
      </c>
      <c r="F641" s="14">
        <f t="shared" ca="1" si="185"/>
        <v>485</v>
      </c>
      <c r="G641" s="14">
        <f t="shared" ca="1" si="186"/>
        <v>207</v>
      </c>
      <c r="H641" s="10">
        <f t="shared" ca="1" si="187"/>
        <v>3257</v>
      </c>
      <c r="I641" s="10">
        <f t="shared" ca="1" si="188"/>
        <v>3010</v>
      </c>
      <c r="J641" s="10">
        <f t="shared" ca="1" si="189"/>
        <v>3288</v>
      </c>
      <c r="K641" s="10">
        <f t="shared" si="200"/>
        <v>4000</v>
      </c>
      <c r="L641" s="10">
        <f t="shared" si="201"/>
        <v>4000</v>
      </c>
      <c r="M641" s="10">
        <f t="shared" si="202"/>
        <v>4000</v>
      </c>
      <c r="N641" s="10">
        <f t="shared" ca="1" si="193"/>
        <v>-743</v>
      </c>
      <c r="O641" s="10">
        <f t="shared" ca="1" si="194"/>
        <v>-990</v>
      </c>
      <c r="P641" s="10">
        <f t="shared" ca="1" si="195"/>
        <v>-712</v>
      </c>
      <c r="Q641" s="14">
        <v>1</v>
      </c>
      <c r="R641" s="14">
        <v>0</v>
      </c>
      <c r="S641" s="14">
        <v>0</v>
      </c>
      <c r="T641" s="13">
        <f t="shared" ca="1" si="190"/>
        <v>275</v>
      </c>
      <c r="U641" s="12">
        <f t="shared" ca="1" si="197"/>
        <v>3417</v>
      </c>
      <c r="V641" s="12">
        <f t="shared" ca="1" si="196"/>
        <v>3220</v>
      </c>
      <c r="W641" s="12">
        <f t="shared" ca="1" si="198"/>
        <v>3528</v>
      </c>
      <c r="X641" s="11"/>
      <c r="Y641" s="10"/>
      <c r="Z641" s="10"/>
      <c r="AA641" s="10"/>
      <c r="AB641" s="9"/>
    </row>
    <row r="642" spans="1:28" ht="13.15" customHeight="1">
      <c r="A642" s="16">
        <f t="shared" si="199"/>
        <v>628</v>
      </c>
      <c r="B642" s="17">
        <f t="shared" si="191"/>
        <v>45700</v>
      </c>
      <c r="C642" s="16">
        <f t="shared" si="192"/>
        <v>1069</v>
      </c>
      <c r="D642" s="15">
        <f t="shared" si="203"/>
        <v>2428</v>
      </c>
      <c r="E642" s="14">
        <f t="shared" ca="1" si="184"/>
        <v>240</v>
      </c>
      <c r="F642" s="14">
        <f t="shared" ca="1" si="185"/>
        <v>487</v>
      </c>
      <c r="G642" s="14">
        <f t="shared" ca="1" si="186"/>
        <v>209</v>
      </c>
      <c r="H642" s="10">
        <f t="shared" ca="1" si="187"/>
        <v>3257</v>
      </c>
      <c r="I642" s="10">
        <f t="shared" ca="1" si="188"/>
        <v>3010</v>
      </c>
      <c r="J642" s="10">
        <f t="shared" ca="1" si="189"/>
        <v>3288</v>
      </c>
      <c r="K642" s="10">
        <f t="shared" si="200"/>
        <v>4000</v>
      </c>
      <c r="L642" s="10">
        <f t="shared" si="201"/>
        <v>4000</v>
      </c>
      <c r="M642" s="10">
        <f t="shared" si="202"/>
        <v>4000</v>
      </c>
      <c r="N642" s="10">
        <f t="shared" ca="1" si="193"/>
        <v>-743</v>
      </c>
      <c r="O642" s="10">
        <f t="shared" ca="1" si="194"/>
        <v>-990</v>
      </c>
      <c r="P642" s="10">
        <f t="shared" ca="1" si="195"/>
        <v>-712</v>
      </c>
      <c r="Q642" s="14">
        <v>0</v>
      </c>
      <c r="R642" s="14">
        <v>0</v>
      </c>
      <c r="S642" s="14">
        <v>0</v>
      </c>
      <c r="T642" s="13">
        <f t="shared" ca="1" si="190"/>
        <v>277</v>
      </c>
      <c r="U642" s="12">
        <f t="shared" ca="1" si="197"/>
        <v>3417</v>
      </c>
      <c r="V642" s="12">
        <f t="shared" ca="1" si="196"/>
        <v>3220</v>
      </c>
      <c r="W642" s="12">
        <f t="shared" ca="1" si="198"/>
        <v>3528</v>
      </c>
      <c r="X642" s="11"/>
      <c r="Y642" s="10"/>
      <c r="Z642" s="10"/>
      <c r="AA642" s="10"/>
      <c r="AB642" s="9"/>
    </row>
    <row r="643" spans="1:28" ht="13.15" customHeight="1">
      <c r="A643" s="16">
        <f t="shared" si="199"/>
        <v>629</v>
      </c>
      <c r="B643" s="17">
        <f t="shared" si="191"/>
        <v>45701</v>
      </c>
      <c r="C643" s="16">
        <f t="shared" si="192"/>
        <v>1069</v>
      </c>
      <c r="D643" s="15">
        <f t="shared" si="203"/>
        <v>2430</v>
      </c>
      <c r="E643" s="14">
        <f t="shared" ca="1" si="184"/>
        <v>242</v>
      </c>
      <c r="F643" s="14">
        <f t="shared" ca="1" si="185"/>
        <v>490</v>
      </c>
      <c r="G643" s="14">
        <f t="shared" ca="1" si="186"/>
        <v>212</v>
      </c>
      <c r="H643" s="10">
        <f t="shared" ca="1" si="187"/>
        <v>3257</v>
      </c>
      <c r="I643" s="10">
        <f t="shared" ca="1" si="188"/>
        <v>3009</v>
      </c>
      <c r="J643" s="10">
        <f t="shared" ca="1" si="189"/>
        <v>3287</v>
      </c>
      <c r="K643" s="10">
        <f t="shared" si="200"/>
        <v>4000</v>
      </c>
      <c r="L643" s="10">
        <f t="shared" si="201"/>
        <v>4000</v>
      </c>
      <c r="M643" s="10">
        <f t="shared" si="202"/>
        <v>4000</v>
      </c>
      <c r="N643" s="10">
        <f t="shared" ca="1" si="193"/>
        <v>-743</v>
      </c>
      <c r="O643" s="10">
        <f t="shared" ca="1" si="194"/>
        <v>-991</v>
      </c>
      <c r="P643" s="10">
        <f t="shared" ca="1" si="195"/>
        <v>-713</v>
      </c>
      <c r="Q643" s="14">
        <v>0</v>
      </c>
      <c r="R643" s="14">
        <v>1</v>
      </c>
      <c r="S643" s="14">
        <v>1</v>
      </c>
      <c r="T643" s="13">
        <f t="shared" ca="1" si="190"/>
        <v>280</v>
      </c>
      <c r="U643" s="12">
        <f t="shared" ca="1" si="197"/>
        <v>3417</v>
      </c>
      <c r="V643" s="12">
        <f t="shared" ca="1" si="196"/>
        <v>3219</v>
      </c>
      <c r="W643" s="12">
        <f t="shared" ca="1" si="198"/>
        <v>3527</v>
      </c>
      <c r="X643" s="11"/>
      <c r="Y643" s="10"/>
      <c r="Z643" s="10"/>
      <c r="AA643" s="10"/>
      <c r="AB643" s="9"/>
    </row>
    <row r="644" spans="1:28" ht="13.15" customHeight="1">
      <c r="A644" s="16">
        <f t="shared" si="199"/>
        <v>630</v>
      </c>
      <c r="B644" s="17">
        <f t="shared" si="191"/>
        <v>45702</v>
      </c>
      <c r="C644" s="16">
        <f t="shared" si="192"/>
        <v>1069</v>
      </c>
      <c r="D644" s="15">
        <f t="shared" si="203"/>
        <v>2432</v>
      </c>
      <c r="E644" s="14">
        <f t="shared" ca="1" si="184"/>
        <v>244</v>
      </c>
      <c r="F644" s="14">
        <f t="shared" ca="1" si="185"/>
        <v>492</v>
      </c>
      <c r="G644" s="14">
        <f t="shared" ca="1" si="186"/>
        <v>214</v>
      </c>
      <c r="H644" s="10">
        <f t="shared" ca="1" si="187"/>
        <v>3257</v>
      </c>
      <c r="I644" s="10">
        <f t="shared" ca="1" si="188"/>
        <v>3009</v>
      </c>
      <c r="J644" s="10">
        <f t="shared" ca="1" si="189"/>
        <v>3287</v>
      </c>
      <c r="K644" s="10">
        <f t="shared" si="200"/>
        <v>4000</v>
      </c>
      <c r="L644" s="10">
        <f t="shared" si="201"/>
        <v>4000</v>
      </c>
      <c r="M644" s="10">
        <f t="shared" si="202"/>
        <v>4000</v>
      </c>
      <c r="N644" s="10">
        <f t="shared" ca="1" si="193"/>
        <v>-743</v>
      </c>
      <c r="O644" s="10">
        <f t="shared" ca="1" si="194"/>
        <v>-991</v>
      </c>
      <c r="P644" s="10">
        <f t="shared" ca="1" si="195"/>
        <v>-713</v>
      </c>
      <c r="Q644" s="14">
        <v>0</v>
      </c>
      <c r="R644" s="14">
        <v>0</v>
      </c>
      <c r="S644" s="14">
        <v>0</v>
      </c>
      <c r="T644" s="13">
        <f t="shared" ca="1" si="190"/>
        <v>282</v>
      </c>
      <c r="U644" s="12">
        <f t="shared" ca="1" si="197"/>
        <v>3417</v>
      </c>
      <c r="V644" s="12">
        <f t="shared" ca="1" si="196"/>
        <v>3219</v>
      </c>
      <c r="W644" s="12">
        <f t="shared" ca="1" si="198"/>
        <v>3527</v>
      </c>
      <c r="X644" s="11"/>
      <c r="Y644" s="10"/>
      <c r="Z644" s="10"/>
      <c r="AA644" s="10"/>
      <c r="AB644" s="9"/>
    </row>
    <row r="645" spans="1:28" ht="13.15" customHeight="1">
      <c r="A645" s="16">
        <f t="shared" si="199"/>
        <v>631</v>
      </c>
      <c r="B645" s="17">
        <f t="shared" si="191"/>
        <v>45703</v>
      </c>
      <c r="C645" s="16">
        <f t="shared" si="192"/>
        <v>1069</v>
      </c>
      <c r="D645" s="15">
        <f t="shared" si="203"/>
        <v>2434</v>
      </c>
      <c r="E645" s="14">
        <f t="shared" ca="1" si="184"/>
        <v>247</v>
      </c>
      <c r="F645" s="14">
        <f t="shared" ca="1" si="185"/>
        <v>495</v>
      </c>
      <c r="G645" s="14">
        <f t="shared" ca="1" si="186"/>
        <v>216</v>
      </c>
      <c r="H645" s="10">
        <f t="shared" ca="1" si="187"/>
        <v>3256</v>
      </c>
      <c r="I645" s="10">
        <f t="shared" ca="1" si="188"/>
        <v>3008</v>
      </c>
      <c r="J645" s="10">
        <f t="shared" ca="1" si="189"/>
        <v>3287</v>
      </c>
      <c r="K645" s="10">
        <f t="shared" si="200"/>
        <v>4000</v>
      </c>
      <c r="L645" s="10">
        <f t="shared" si="201"/>
        <v>4000</v>
      </c>
      <c r="M645" s="10">
        <f t="shared" si="202"/>
        <v>4000</v>
      </c>
      <c r="N645" s="10">
        <f t="shared" ca="1" si="193"/>
        <v>-744</v>
      </c>
      <c r="O645" s="10">
        <f t="shared" ca="1" si="194"/>
        <v>-992</v>
      </c>
      <c r="P645" s="10">
        <f t="shared" ca="1" si="195"/>
        <v>-713</v>
      </c>
      <c r="Q645" s="14">
        <v>1</v>
      </c>
      <c r="R645" s="14">
        <v>1</v>
      </c>
      <c r="S645" s="14">
        <v>0</v>
      </c>
      <c r="T645" s="13">
        <f t="shared" ca="1" si="190"/>
        <v>285</v>
      </c>
      <c r="U645" s="12">
        <f t="shared" ca="1" si="197"/>
        <v>3416</v>
      </c>
      <c r="V645" s="12">
        <f t="shared" ca="1" si="196"/>
        <v>3218</v>
      </c>
      <c r="W645" s="12">
        <f t="shared" ca="1" si="198"/>
        <v>3527</v>
      </c>
      <c r="X645" s="11"/>
      <c r="Y645" s="10"/>
      <c r="Z645" s="10"/>
      <c r="AA645" s="10"/>
      <c r="AB645" s="9"/>
    </row>
    <row r="646" spans="1:28" ht="13.15" customHeight="1">
      <c r="A646" s="16">
        <f t="shared" si="199"/>
        <v>632</v>
      </c>
      <c r="B646" s="17">
        <f t="shared" si="191"/>
        <v>45704</v>
      </c>
      <c r="C646" s="16">
        <f t="shared" si="192"/>
        <v>1069</v>
      </c>
      <c r="D646" s="15">
        <f t="shared" si="203"/>
        <v>2436</v>
      </c>
      <c r="E646" s="14">
        <f t="shared" ca="1" si="184"/>
        <v>249</v>
      </c>
      <c r="F646" s="14">
        <f t="shared" ca="1" si="185"/>
        <v>497</v>
      </c>
      <c r="G646" s="14">
        <f t="shared" ca="1" si="186"/>
        <v>218</v>
      </c>
      <c r="H646" s="10">
        <f t="shared" ca="1" si="187"/>
        <v>3256</v>
      </c>
      <c r="I646" s="10">
        <f t="shared" ca="1" si="188"/>
        <v>3008</v>
      </c>
      <c r="J646" s="10">
        <f t="shared" ca="1" si="189"/>
        <v>3287</v>
      </c>
      <c r="K646" s="10">
        <f t="shared" si="200"/>
        <v>4000</v>
      </c>
      <c r="L646" s="10">
        <f t="shared" si="201"/>
        <v>4000</v>
      </c>
      <c r="M646" s="10">
        <f t="shared" si="202"/>
        <v>4000</v>
      </c>
      <c r="N646" s="10">
        <f t="shared" ca="1" si="193"/>
        <v>-744</v>
      </c>
      <c r="O646" s="10">
        <f t="shared" ca="1" si="194"/>
        <v>-992</v>
      </c>
      <c r="P646" s="10">
        <f t="shared" ca="1" si="195"/>
        <v>-713</v>
      </c>
      <c r="Q646" s="14">
        <v>0</v>
      </c>
      <c r="R646" s="14">
        <v>0</v>
      </c>
      <c r="S646" s="14">
        <v>0</v>
      </c>
      <c r="T646" s="13">
        <f t="shared" ca="1" si="190"/>
        <v>287</v>
      </c>
      <c r="U646" s="12">
        <f t="shared" ca="1" si="197"/>
        <v>3416</v>
      </c>
      <c r="V646" s="12">
        <f t="shared" ca="1" si="196"/>
        <v>3218</v>
      </c>
      <c r="W646" s="12">
        <f t="shared" ca="1" si="198"/>
        <v>3527</v>
      </c>
      <c r="X646" s="11"/>
      <c r="Y646" s="10"/>
      <c r="Z646" s="10"/>
      <c r="AA646" s="10"/>
      <c r="AB646" s="9"/>
    </row>
    <row r="647" spans="1:28" ht="13.15" customHeight="1">
      <c r="A647" s="16">
        <f t="shared" si="199"/>
        <v>633</v>
      </c>
      <c r="B647" s="17">
        <f t="shared" si="191"/>
        <v>45705</v>
      </c>
      <c r="C647" s="16">
        <f t="shared" si="192"/>
        <v>1069</v>
      </c>
      <c r="D647" s="15">
        <f t="shared" si="203"/>
        <v>2438</v>
      </c>
      <c r="E647" s="14">
        <f t="shared" ca="1" si="184"/>
        <v>251</v>
      </c>
      <c r="F647" s="14">
        <f t="shared" ca="1" si="185"/>
        <v>499</v>
      </c>
      <c r="G647" s="14">
        <f t="shared" ca="1" si="186"/>
        <v>220</v>
      </c>
      <c r="H647" s="10">
        <f t="shared" ca="1" si="187"/>
        <v>3256</v>
      </c>
      <c r="I647" s="10">
        <f t="shared" ca="1" si="188"/>
        <v>3008</v>
      </c>
      <c r="J647" s="10">
        <f t="shared" ca="1" si="189"/>
        <v>3287</v>
      </c>
      <c r="K647" s="10">
        <f t="shared" si="200"/>
        <v>4000</v>
      </c>
      <c r="L647" s="10">
        <f t="shared" si="201"/>
        <v>4000</v>
      </c>
      <c r="M647" s="10">
        <f t="shared" si="202"/>
        <v>4000</v>
      </c>
      <c r="N647" s="10">
        <f t="shared" ca="1" si="193"/>
        <v>-744</v>
      </c>
      <c r="O647" s="10">
        <f t="shared" ca="1" si="194"/>
        <v>-992</v>
      </c>
      <c r="P647" s="10">
        <f t="shared" ca="1" si="195"/>
        <v>-713</v>
      </c>
      <c r="Q647" s="14">
        <v>0</v>
      </c>
      <c r="R647" s="14">
        <v>0</v>
      </c>
      <c r="S647" s="14">
        <v>0</v>
      </c>
      <c r="T647" s="13">
        <f t="shared" ca="1" si="190"/>
        <v>289</v>
      </c>
      <c r="U647" s="12">
        <f t="shared" ca="1" si="197"/>
        <v>3416</v>
      </c>
      <c r="V647" s="12">
        <f t="shared" ca="1" si="196"/>
        <v>3218</v>
      </c>
      <c r="W647" s="12">
        <f t="shared" ca="1" si="198"/>
        <v>3527</v>
      </c>
      <c r="X647" s="11"/>
      <c r="Y647" s="10"/>
      <c r="Z647" s="10"/>
      <c r="AA647" s="10"/>
      <c r="AB647" s="9"/>
    </row>
    <row r="648" spans="1:28" ht="13.15" customHeight="1">
      <c r="A648" s="16">
        <f t="shared" si="199"/>
        <v>634</v>
      </c>
      <c r="B648" s="17">
        <f t="shared" si="191"/>
        <v>45706</v>
      </c>
      <c r="C648" s="16">
        <f t="shared" si="192"/>
        <v>1069</v>
      </c>
      <c r="D648" s="15">
        <f t="shared" si="203"/>
        <v>2440</v>
      </c>
      <c r="E648" s="14">
        <f t="shared" ca="1" si="184"/>
        <v>255</v>
      </c>
      <c r="F648" s="14">
        <f t="shared" ca="1" si="185"/>
        <v>501</v>
      </c>
      <c r="G648" s="14">
        <f t="shared" ca="1" si="186"/>
        <v>222</v>
      </c>
      <c r="H648" s="10">
        <f t="shared" ca="1" si="187"/>
        <v>3254</v>
      </c>
      <c r="I648" s="10">
        <f t="shared" ca="1" si="188"/>
        <v>3008</v>
      </c>
      <c r="J648" s="10">
        <f t="shared" ca="1" si="189"/>
        <v>3287</v>
      </c>
      <c r="K648" s="10">
        <f t="shared" si="200"/>
        <v>4000</v>
      </c>
      <c r="L648" s="10">
        <f t="shared" si="201"/>
        <v>4000</v>
      </c>
      <c r="M648" s="10">
        <f t="shared" si="202"/>
        <v>4000</v>
      </c>
      <c r="N648" s="10">
        <f t="shared" ca="1" si="193"/>
        <v>-746</v>
      </c>
      <c r="O648" s="10">
        <f t="shared" ca="1" si="194"/>
        <v>-992</v>
      </c>
      <c r="P648" s="10">
        <f t="shared" ca="1" si="195"/>
        <v>-713</v>
      </c>
      <c r="Q648" s="14">
        <v>2</v>
      </c>
      <c r="R648" s="14">
        <v>0</v>
      </c>
      <c r="S648" s="14">
        <v>0</v>
      </c>
      <c r="T648" s="13">
        <f t="shared" ca="1" si="190"/>
        <v>291</v>
      </c>
      <c r="U648" s="12">
        <f t="shared" ca="1" si="197"/>
        <v>3414</v>
      </c>
      <c r="V648" s="12">
        <f t="shared" ca="1" si="196"/>
        <v>3218</v>
      </c>
      <c r="W648" s="12">
        <f t="shared" ca="1" si="198"/>
        <v>3527</v>
      </c>
      <c r="X648" s="11"/>
      <c r="Y648" s="10"/>
      <c r="Z648" s="10"/>
      <c r="AA648" s="10"/>
      <c r="AB648" s="9"/>
    </row>
    <row r="649" spans="1:28" ht="13.15" customHeight="1">
      <c r="A649" s="16">
        <f t="shared" si="199"/>
        <v>635</v>
      </c>
      <c r="B649" s="17">
        <f t="shared" si="191"/>
        <v>45707</v>
      </c>
      <c r="C649" s="16">
        <f t="shared" si="192"/>
        <v>1069</v>
      </c>
      <c r="D649" s="15">
        <f t="shared" si="203"/>
        <v>2442</v>
      </c>
      <c r="E649" s="14">
        <f t="shared" ca="1" si="184"/>
        <v>260</v>
      </c>
      <c r="F649" s="14">
        <f t="shared" ca="1" si="185"/>
        <v>503</v>
      </c>
      <c r="G649" s="14">
        <f t="shared" ca="1" si="186"/>
        <v>224</v>
      </c>
      <c r="H649" s="10">
        <f t="shared" ca="1" si="187"/>
        <v>3251</v>
      </c>
      <c r="I649" s="10">
        <f t="shared" ca="1" si="188"/>
        <v>3008</v>
      </c>
      <c r="J649" s="10">
        <f t="shared" ca="1" si="189"/>
        <v>3287</v>
      </c>
      <c r="K649" s="10">
        <f t="shared" si="200"/>
        <v>4000</v>
      </c>
      <c r="L649" s="10">
        <f t="shared" si="201"/>
        <v>4000</v>
      </c>
      <c r="M649" s="10">
        <f t="shared" si="202"/>
        <v>4000</v>
      </c>
      <c r="N649" s="10">
        <f t="shared" ca="1" si="193"/>
        <v>-749</v>
      </c>
      <c r="O649" s="10">
        <f t="shared" ca="1" si="194"/>
        <v>-992</v>
      </c>
      <c r="P649" s="10">
        <f t="shared" ca="1" si="195"/>
        <v>-713</v>
      </c>
      <c r="Q649" s="14">
        <v>3</v>
      </c>
      <c r="R649" s="14">
        <v>0</v>
      </c>
      <c r="S649" s="14">
        <v>0</v>
      </c>
      <c r="T649" s="13">
        <f t="shared" ca="1" si="190"/>
        <v>293</v>
      </c>
      <c r="U649" s="12">
        <f t="shared" ca="1" si="197"/>
        <v>3411</v>
      </c>
      <c r="V649" s="12">
        <f t="shared" ca="1" si="196"/>
        <v>3218</v>
      </c>
      <c r="W649" s="12">
        <f t="shared" ca="1" si="198"/>
        <v>3527</v>
      </c>
      <c r="X649" s="11"/>
      <c r="Y649" s="10"/>
      <c r="Z649" s="10"/>
      <c r="AA649" s="10"/>
      <c r="AB649" s="9"/>
    </row>
    <row r="650" spans="1:28" ht="13.15" customHeight="1">
      <c r="A650" s="16">
        <f t="shared" si="199"/>
        <v>636</v>
      </c>
      <c r="B650" s="17">
        <f t="shared" si="191"/>
        <v>45708</v>
      </c>
      <c r="C650" s="16">
        <f t="shared" si="192"/>
        <v>1069</v>
      </c>
      <c r="D650" s="15">
        <f t="shared" si="203"/>
        <v>2444</v>
      </c>
      <c r="E650" s="14">
        <f t="shared" ca="1" si="184"/>
        <v>264</v>
      </c>
      <c r="F650" s="14">
        <f t="shared" ca="1" si="185"/>
        <v>505</v>
      </c>
      <c r="G650" s="14">
        <f t="shared" ca="1" si="186"/>
        <v>228</v>
      </c>
      <c r="H650" s="10">
        <f t="shared" ca="1" si="187"/>
        <v>3249</v>
      </c>
      <c r="I650" s="10">
        <f t="shared" ca="1" si="188"/>
        <v>3008</v>
      </c>
      <c r="J650" s="10">
        <f t="shared" ca="1" si="189"/>
        <v>3285</v>
      </c>
      <c r="K650" s="10">
        <f t="shared" si="200"/>
        <v>4000</v>
      </c>
      <c r="L650" s="10">
        <f t="shared" si="201"/>
        <v>4000</v>
      </c>
      <c r="M650" s="10">
        <f t="shared" si="202"/>
        <v>4000</v>
      </c>
      <c r="N650" s="10">
        <f t="shared" ca="1" si="193"/>
        <v>-751</v>
      </c>
      <c r="O650" s="10">
        <f t="shared" ca="1" si="194"/>
        <v>-992</v>
      </c>
      <c r="P650" s="10">
        <f t="shared" ca="1" si="195"/>
        <v>-715</v>
      </c>
      <c r="Q650" s="14">
        <v>2</v>
      </c>
      <c r="R650" s="14">
        <v>0</v>
      </c>
      <c r="S650" s="14">
        <v>2</v>
      </c>
      <c r="T650" s="13">
        <f t="shared" ca="1" si="190"/>
        <v>295</v>
      </c>
      <c r="U650" s="12">
        <f t="shared" ca="1" si="197"/>
        <v>3409</v>
      </c>
      <c r="V650" s="12">
        <f t="shared" ca="1" si="196"/>
        <v>3218</v>
      </c>
      <c r="W650" s="12">
        <f t="shared" ca="1" si="198"/>
        <v>3525</v>
      </c>
      <c r="X650" s="11"/>
      <c r="Y650" s="10"/>
      <c r="Z650" s="10"/>
      <c r="AA650" s="10"/>
      <c r="AB650" s="9"/>
    </row>
    <row r="651" spans="1:28" ht="13.15" customHeight="1">
      <c r="A651" s="16">
        <f t="shared" si="199"/>
        <v>637</v>
      </c>
      <c r="B651" s="17">
        <f t="shared" si="191"/>
        <v>45709</v>
      </c>
      <c r="C651" s="16">
        <f t="shared" si="192"/>
        <v>1069</v>
      </c>
      <c r="D651" s="15">
        <f t="shared" si="203"/>
        <v>2446</v>
      </c>
      <c r="E651" s="14">
        <f t="shared" ca="1" si="184"/>
        <v>268</v>
      </c>
      <c r="F651" s="14">
        <f t="shared" ca="1" si="185"/>
        <v>507</v>
      </c>
      <c r="G651" s="14">
        <f t="shared" ca="1" si="186"/>
        <v>230</v>
      </c>
      <c r="H651" s="10">
        <f t="shared" ca="1" si="187"/>
        <v>3247</v>
      </c>
      <c r="I651" s="10">
        <f t="shared" ca="1" si="188"/>
        <v>3008</v>
      </c>
      <c r="J651" s="10">
        <f t="shared" ca="1" si="189"/>
        <v>3285</v>
      </c>
      <c r="K651" s="10">
        <f t="shared" si="200"/>
        <v>4000</v>
      </c>
      <c r="L651" s="10">
        <f t="shared" si="201"/>
        <v>4000</v>
      </c>
      <c r="M651" s="10">
        <f t="shared" si="202"/>
        <v>4000</v>
      </c>
      <c r="N651" s="10">
        <f t="shared" ca="1" si="193"/>
        <v>-753</v>
      </c>
      <c r="O651" s="10">
        <f t="shared" ca="1" si="194"/>
        <v>-992</v>
      </c>
      <c r="P651" s="10">
        <f t="shared" ca="1" si="195"/>
        <v>-715</v>
      </c>
      <c r="Q651" s="14">
        <v>2</v>
      </c>
      <c r="R651" s="14">
        <v>0</v>
      </c>
      <c r="S651" s="14">
        <v>0</v>
      </c>
      <c r="T651" s="13">
        <f t="shared" ca="1" si="190"/>
        <v>297</v>
      </c>
      <c r="U651" s="12">
        <f t="shared" ca="1" si="197"/>
        <v>3407</v>
      </c>
      <c r="V651" s="12">
        <f t="shared" ca="1" si="196"/>
        <v>3218</v>
      </c>
      <c r="W651" s="12">
        <f t="shared" ca="1" si="198"/>
        <v>3525</v>
      </c>
      <c r="X651" s="11"/>
      <c r="Y651" s="10"/>
      <c r="Z651" s="10"/>
      <c r="AA651" s="10"/>
      <c r="AB651" s="9"/>
    </row>
    <row r="652" spans="1:28" ht="13.15" customHeight="1">
      <c r="A652" s="16">
        <f t="shared" si="199"/>
        <v>638</v>
      </c>
      <c r="B652" s="17">
        <f t="shared" si="191"/>
        <v>45710</v>
      </c>
      <c r="C652" s="16">
        <f t="shared" si="192"/>
        <v>1069</v>
      </c>
      <c r="D652" s="15">
        <f t="shared" si="203"/>
        <v>2448</v>
      </c>
      <c r="E652" s="14">
        <f t="shared" ca="1" si="184"/>
        <v>272</v>
      </c>
      <c r="F652" s="14">
        <f t="shared" ca="1" si="185"/>
        <v>509</v>
      </c>
      <c r="G652" s="14">
        <f t="shared" ca="1" si="186"/>
        <v>232</v>
      </c>
      <c r="H652" s="10">
        <f t="shared" ca="1" si="187"/>
        <v>3245</v>
      </c>
      <c r="I652" s="10">
        <f t="shared" ca="1" si="188"/>
        <v>3008</v>
      </c>
      <c r="J652" s="10">
        <f t="shared" ca="1" si="189"/>
        <v>3285</v>
      </c>
      <c r="K652" s="10">
        <f t="shared" si="200"/>
        <v>4000</v>
      </c>
      <c r="L652" s="10">
        <f t="shared" si="201"/>
        <v>4000</v>
      </c>
      <c r="M652" s="10">
        <f t="shared" si="202"/>
        <v>4000</v>
      </c>
      <c r="N652" s="10">
        <f t="shared" ca="1" si="193"/>
        <v>-755</v>
      </c>
      <c r="O652" s="10">
        <f t="shared" ca="1" si="194"/>
        <v>-992</v>
      </c>
      <c r="P652" s="10">
        <f t="shared" ca="1" si="195"/>
        <v>-715</v>
      </c>
      <c r="Q652" s="14">
        <v>2</v>
      </c>
      <c r="R652" s="14">
        <v>0</v>
      </c>
      <c r="S652" s="14">
        <v>0</v>
      </c>
      <c r="T652" s="13">
        <f t="shared" ca="1" si="190"/>
        <v>299</v>
      </c>
      <c r="U652" s="12">
        <f t="shared" ca="1" si="197"/>
        <v>3405</v>
      </c>
      <c r="V652" s="12">
        <f t="shared" ca="1" si="196"/>
        <v>3218</v>
      </c>
      <c r="W652" s="12">
        <f t="shared" ca="1" si="198"/>
        <v>3525</v>
      </c>
      <c r="X652" s="11"/>
      <c r="Y652" s="10"/>
      <c r="Z652" s="10"/>
      <c r="AA652" s="10"/>
      <c r="AB652" s="9"/>
    </row>
    <row r="653" spans="1:28" ht="13.15" customHeight="1">
      <c r="A653" s="16">
        <f t="shared" si="199"/>
        <v>639</v>
      </c>
      <c r="B653" s="17">
        <f t="shared" si="191"/>
        <v>45711</v>
      </c>
      <c r="C653" s="16">
        <f t="shared" si="192"/>
        <v>1069</v>
      </c>
      <c r="D653" s="15">
        <f t="shared" si="203"/>
        <v>2450</v>
      </c>
      <c r="E653" s="14">
        <f t="shared" ca="1" si="184"/>
        <v>276</v>
      </c>
      <c r="F653" s="14">
        <f t="shared" ca="1" si="185"/>
        <v>512</v>
      </c>
      <c r="G653" s="14">
        <f t="shared" ca="1" si="186"/>
        <v>234</v>
      </c>
      <c r="H653" s="10">
        <f t="shared" ca="1" si="187"/>
        <v>3243</v>
      </c>
      <c r="I653" s="10">
        <f t="shared" ca="1" si="188"/>
        <v>3007</v>
      </c>
      <c r="J653" s="10">
        <f t="shared" ca="1" si="189"/>
        <v>3285</v>
      </c>
      <c r="K653" s="10">
        <f t="shared" si="200"/>
        <v>4000</v>
      </c>
      <c r="L653" s="10">
        <f t="shared" si="201"/>
        <v>4000</v>
      </c>
      <c r="M653" s="10">
        <f t="shared" si="202"/>
        <v>4000</v>
      </c>
      <c r="N653" s="10">
        <f t="shared" ca="1" si="193"/>
        <v>-757</v>
      </c>
      <c r="O653" s="10">
        <f t="shared" ca="1" si="194"/>
        <v>-993</v>
      </c>
      <c r="P653" s="10">
        <f t="shared" ca="1" si="195"/>
        <v>-715</v>
      </c>
      <c r="Q653" s="14">
        <v>2</v>
      </c>
      <c r="R653" s="14">
        <v>1</v>
      </c>
      <c r="S653" s="14">
        <v>0</v>
      </c>
      <c r="T653" s="13">
        <f t="shared" ca="1" si="190"/>
        <v>302</v>
      </c>
      <c r="U653" s="12">
        <f t="shared" ca="1" si="197"/>
        <v>3403</v>
      </c>
      <c r="V653" s="12">
        <f t="shared" ca="1" si="196"/>
        <v>3217</v>
      </c>
      <c r="W653" s="12">
        <f t="shared" ca="1" si="198"/>
        <v>3525</v>
      </c>
      <c r="X653" s="11"/>
      <c r="Y653" s="10"/>
      <c r="Z653" s="10"/>
      <c r="AA653" s="10"/>
      <c r="AB653" s="9"/>
    </row>
    <row r="654" spans="1:28" ht="13.15" customHeight="1">
      <c r="A654" s="16">
        <f t="shared" si="199"/>
        <v>640</v>
      </c>
      <c r="B654" s="17">
        <f t="shared" si="191"/>
        <v>45712</v>
      </c>
      <c r="C654" s="16">
        <f t="shared" si="192"/>
        <v>1069</v>
      </c>
      <c r="D654" s="15">
        <f t="shared" si="203"/>
        <v>2452</v>
      </c>
      <c r="E654" s="14">
        <f t="shared" ref="E654:E704" ca="1" si="204">C654+D654-H654</f>
        <v>280</v>
      </c>
      <c r="F654" s="14">
        <f t="shared" ref="F654:F704" ca="1" si="205">C654+D654-I654</f>
        <v>514</v>
      </c>
      <c r="G654" s="14">
        <f t="shared" ref="G654:G704" ca="1" si="206">D654+C654-J654</f>
        <v>236</v>
      </c>
      <c r="H654" s="10">
        <f t="shared" ref="H654:H704" ca="1" si="207">K654+N654</f>
        <v>3241</v>
      </c>
      <c r="I654" s="10">
        <f t="shared" ref="I654:I704" ca="1" si="208">L654+O654</f>
        <v>3007</v>
      </c>
      <c r="J654" s="10">
        <f t="shared" ref="J654:J704" ca="1" si="209">M654+P654</f>
        <v>3285</v>
      </c>
      <c r="K654" s="10">
        <f t="shared" si="200"/>
        <v>4000</v>
      </c>
      <c r="L654" s="10">
        <f t="shared" si="201"/>
        <v>4000</v>
      </c>
      <c r="M654" s="10">
        <f t="shared" si="202"/>
        <v>4000</v>
      </c>
      <c r="N654" s="10">
        <f t="shared" ca="1" si="193"/>
        <v>-759</v>
      </c>
      <c r="O654" s="10">
        <f t="shared" ca="1" si="194"/>
        <v>-993</v>
      </c>
      <c r="P654" s="10">
        <f t="shared" ca="1" si="195"/>
        <v>-715</v>
      </c>
      <c r="Q654" s="14">
        <v>2</v>
      </c>
      <c r="R654" s="14">
        <v>0</v>
      </c>
      <c r="S654" s="14">
        <v>0</v>
      </c>
      <c r="T654" s="13">
        <f t="shared" ref="T654:T704" ca="1" si="210">D654+C654-V654</f>
        <v>304</v>
      </c>
      <c r="U654" s="12">
        <f t="shared" ca="1" si="197"/>
        <v>3401</v>
      </c>
      <c r="V654" s="12">
        <f t="shared" ca="1" si="196"/>
        <v>3217</v>
      </c>
      <c r="W654" s="12">
        <f t="shared" ca="1" si="198"/>
        <v>3525</v>
      </c>
      <c r="X654" s="11"/>
      <c r="Y654" s="10"/>
      <c r="Z654" s="10"/>
      <c r="AA654" s="10"/>
      <c r="AB654" s="9"/>
    </row>
    <row r="655" spans="1:28" ht="13.15" customHeight="1">
      <c r="A655" s="16">
        <f t="shared" si="199"/>
        <v>641</v>
      </c>
      <c r="B655" s="17">
        <f t="shared" ref="B655:B694" si="211">B654+1</f>
        <v>45713</v>
      </c>
      <c r="C655" s="16">
        <f t="shared" ref="C655:C704" si="212">C654</f>
        <v>1069</v>
      </c>
      <c r="D655" s="15">
        <f t="shared" si="203"/>
        <v>2454</v>
      </c>
      <c r="E655" s="14">
        <f t="shared" ca="1" si="204"/>
        <v>284</v>
      </c>
      <c r="F655" s="14">
        <f t="shared" ca="1" si="205"/>
        <v>516</v>
      </c>
      <c r="G655" s="14">
        <f t="shared" ca="1" si="206"/>
        <v>238</v>
      </c>
      <c r="H655" s="10">
        <f t="shared" ca="1" si="207"/>
        <v>3239</v>
      </c>
      <c r="I655" s="10">
        <f t="shared" ca="1" si="208"/>
        <v>3007</v>
      </c>
      <c r="J655" s="10">
        <f t="shared" ca="1" si="209"/>
        <v>3285</v>
      </c>
      <c r="K655" s="10">
        <f t="shared" si="200"/>
        <v>4000</v>
      </c>
      <c r="L655" s="10">
        <f t="shared" si="201"/>
        <v>4000</v>
      </c>
      <c r="M655" s="10">
        <f t="shared" si="202"/>
        <v>4000</v>
      </c>
      <c r="N655" s="10">
        <f t="shared" ref="N655:N704" ca="1" si="213">N654-Q655</f>
        <v>-761</v>
      </c>
      <c r="O655" s="10">
        <f t="shared" ref="O655:O704" ca="1" si="214">O654-R655</f>
        <v>-993</v>
      </c>
      <c r="P655" s="10">
        <f t="shared" ref="P655:P704" ca="1" si="215">P654-S655</f>
        <v>-715</v>
      </c>
      <c r="Q655" s="14">
        <v>2</v>
      </c>
      <c r="R655" s="14">
        <v>0</v>
      </c>
      <c r="S655" s="14">
        <v>0</v>
      </c>
      <c r="T655" s="13">
        <f t="shared" ca="1" si="210"/>
        <v>306</v>
      </c>
      <c r="U655" s="12">
        <f t="shared" ca="1" si="197"/>
        <v>3399</v>
      </c>
      <c r="V655" s="12">
        <f t="shared" ca="1" si="196"/>
        <v>3217</v>
      </c>
      <c r="W655" s="12">
        <f t="shared" ca="1" si="198"/>
        <v>3525</v>
      </c>
      <c r="X655" s="11"/>
      <c r="Y655" s="10"/>
      <c r="Z655" s="10"/>
      <c r="AA655" s="10"/>
      <c r="AB655" s="9"/>
    </row>
    <row r="656" spans="1:28" ht="13.15" customHeight="1">
      <c r="A656" s="16">
        <f t="shared" si="199"/>
        <v>642</v>
      </c>
      <c r="B656" s="17">
        <f t="shared" si="211"/>
        <v>45714</v>
      </c>
      <c r="C656" s="16">
        <f t="shared" si="212"/>
        <v>1069</v>
      </c>
      <c r="D656" s="15">
        <f t="shared" si="203"/>
        <v>2456</v>
      </c>
      <c r="E656" s="14">
        <f t="shared" ca="1" si="204"/>
        <v>289</v>
      </c>
      <c r="F656" s="14">
        <f t="shared" ca="1" si="205"/>
        <v>518</v>
      </c>
      <c r="G656" s="14">
        <f t="shared" ca="1" si="206"/>
        <v>240</v>
      </c>
      <c r="H656" s="10">
        <f t="shared" ca="1" si="207"/>
        <v>3236</v>
      </c>
      <c r="I656" s="10">
        <f t="shared" ca="1" si="208"/>
        <v>3007</v>
      </c>
      <c r="J656" s="10">
        <f t="shared" ca="1" si="209"/>
        <v>3285</v>
      </c>
      <c r="K656" s="10">
        <f t="shared" si="200"/>
        <v>4000</v>
      </c>
      <c r="L656" s="10">
        <f t="shared" si="201"/>
        <v>4000</v>
      </c>
      <c r="M656" s="10">
        <f t="shared" si="202"/>
        <v>4000</v>
      </c>
      <c r="N656" s="10">
        <f t="shared" ca="1" si="213"/>
        <v>-764</v>
      </c>
      <c r="O656" s="10">
        <f t="shared" ca="1" si="214"/>
        <v>-993</v>
      </c>
      <c r="P656" s="10">
        <f t="shared" ca="1" si="215"/>
        <v>-715</v>
      </c>
      <c r="Q656" s="14">
        <v>3</v>
      </c>
      <c r="R656" s="14">
        <v>0</v>
      </c>
      <c r="S656" s="14">
        <v>0</v>
      </c>
      <c r="T656" s="13">
        <f t="shared" ca="1" si="210"/>
        <v>308</v>
      </c>
      <c r="U656" s="12">
        <f t="shared" ca="1" si="197"/>
        <v>3396</v>
      </c>
      <c r="V656" s="12">
        <f t="shared" ca="1" si="196"/>
        <v>3217</v>
      </c>
      <c r="W656" s="12">
        <f t="shared" ca="1" si="198"/>
        <v>3525</v>
      </c>
      <c r="X656" s="11"/>
      <c r="Y656" s="10"/>
      <c r="Z656" s="10"/>
      <c r="AA656" s="10"/>
      <c r="AB656" s="9"/>
    </row>
    <row r="657" spans="1:28" ht="13.15" customHeight="1">
      <c r="A657" s="16">
        <f t="shared" si="199"/>
        <v>643</v>
      </c>
      <c r="B657" s="17">
        <f t="shared" si="211"/>
        <v>45715</v>
      </c>
      <c r="C657" s="16">
        <f t="shared" si="212"/>
        <v>1069</v>
      </c>
      <c r="D657" s="15">
        <f t="shared" si="203"/>
        <v>2458</v>
      </c>
      <c r="E657" s="14">
        <f t="shared" ca="1" si="204"/>
        <v>301</v>
      </c>
      <c r="F657" s="14">
        <f t="shared" ca="1" si="205"/>
        <v>530</v>
      </c>
      <c r="G657" s="14">
        <f t="shared" ca="1" si="206"/>
        <v>247</v>
      </c>
      <c r="H657" s="10">
        <f t="shared" ca="1" si="207"/>
        <v>3226</v>
      </c>
      <c r="I657" s="10">
        <f t="shared" ca="1" si="208"/>
        <v>2997</v>
      </c>
      <c r="J657" s="10">
        <f t="shared" ca="1" si="209"/>
        <v>3280</v>
      </c>
      <c r="K657" s="10">
        <f t="shared" si="200"/>
        <v>4000</v>
      </c>
      <c r="L657" s="10">
        <f t="shared" si="201"/>
        <v>4000</v>
      </c>
      <c r="M657" s="10">
        <f t="shared" si="202"/>
        <v>4000</v>
      </c>
      <c r="N657" s="10">
        <f t="shared" ca="1" si="213"/>
        <v>-774</v>
      </c>
      <c r="O657" s="10">
        <f t="shared" ca="1" si="214"/>
        <v>-1003</v>
      </c>
      <c r="P657" s="10">
        <f t="shared" ca="1" si="215"/>
        <v>-720</v>
      </c>
      <c r="Q657" s="14">
        <v>10</v>
      </c>
      <c r="R657" s="14">
        <v>10</v>
      </c>
      <c r="S657" s="14">
        <v>5</v>
      </c>
      <c r="T657" s="13">
        <f t="shared" ca="1" si="210"/>
        <v>-20</v>
      </c>
      <c r="U657" s="12">
        <f t="shared" ca="1" si="197"/>
        <v>3726</v>
      </c>
      <c r="V657" s="12">
        <f t="shared" ca="1" si="196"/>
        <v>3547</v>
      </c>
      <c r="W657" s="12">
        <f t="shared" ca="1" si="198"/>
        <v>3860</v>
      </c>
      <c r="X657" s="11">
        <v>0.34</v>
      </c>
      <c r="Y657" s="10"/>
      <c r="Z657" s="10"/>
      <c r="AA657" s="10"/>
      <c r="AB657" s="9" t="s">
        <v>75</v>
      </c>
    </row>
    <row r="658" spans="1:28" ht="13.15" customHeight="1">
      <c r="A658" s="16">
        <f t="shared" si="199"/>
        <v>644</v>
      </c>
      <c r="B658" s="17">
        <f t="shared" si="211"/>
        <v>45716</v>
      </c>
      <c r="C658" s="16">
        <f t="shared" si="212"/>
        <v>1069</v>
      </c>
      <c r="D658" s="15">
        <f t="shared" si="203"/>
        <v>2460</v>
      </c>
      <c r="E658" s="14">
        <f t="shared" ca="1" si="204"/>
        <v>313</v>
      </c>
      <c r="F658" s="14">
        <f t="shared" ca="1" si="205"/>
        <v>542</v>
      </c>
      <c r="G658" s="14">
        <f t="shared" ca="1" si="206"/>
        <v>255</v>
      </c>
      <c r="H658" s="10">
        <f t="shared" ca="1" si="207"/>
        <v>3216</v>
      </c>
      <c r="I658" s="10">
        <f t="shared" ca="1" si="208"/>
        <v>2987</v>
      </c>
      <c r="J658" s="10">
        <f t="shared" ca="1" si="209"/>
        <v>3274</v>
      </c>
      <c r="K658" s="10">
        <f t="shared" si="200"/>
        <v>4000</v>
      </c>
      <c r="L658" s="10">
        <f t="shared" si="201"/>
        <v>4000</v>
      </c>
      <c r="M658" s="10">
        <f t="shared" si="202"/>
        <v>4000</v>
      </c>
      <c r="N658" s="10">
        <f t="shared" ca="1" si="213"/>
        <v>-784</v>
      </c>
      <c r="O658" s="10">
        <f t="shared" ca="1" si="214"/>
        <v>-1013</v>
      </c>
      <c r="P658" s="10">
        <f t="shared" ca="1" si="215"/>
        <v>-726</v>
      </c>
      <c r="Q658" s="14">
        <v>10</v>
      </c>
      <c r="R658" s="14">
        <v>10</v>
      </c>
      <c r="S658" s="14">
        <v>6</v>
      </c>
      <c r="T658" s="13">
        <f t="shared" ca="1" si="210"/>
        <v>-8</v>
      </c>
      <c r="U658" s="12">
        <f t="shared" ca="1" si="197"/>
        <v>3716</v>
      </c>
      <c r="V658" s="12">
        <f t="shared" ca="1" si="196"/>
        <v>3537</v>
      </c>
      <c r="W658" s="12">
        <f t="shared" ca="1" si="198"/>
        <v>3854</v>
      </c>
      <c r="X658" s="11"/>
      <c r="Y658" s="10"/>
      <c r="Z658" s="10"/>
      <c r="AA658" s="10"/>
      <c r="AB658" s="9"/>
    </row>
    <row r="659" spans="1:28" ht="13.15" customHeight="1">
      <c r="A659" s="16">
        <f t="shared" si="199"/>
        <v>645</v>
      </c>
      <c r="B659" s="17">
        <f t="shared" si="211"/>
        <v>45717</v>
      </c>
      <c r="C659" s="16">
        <f t="shared" si="212"/>
        <v>1069</v>
      </c>
      <c r="D659" s="15">
        <f t="shared" si="203"/>
        <v>2462</v>
      </c>
      <c r="E659" s="14">
        <f t="shared" ca="1" si="204"/>
        <v>325</v>
      </c>
      <c r="F659" s="14">
        <f t="shared" ca="1" si="205"/>
        <v>554</v>
      </c>
      <c r="G659" s="14">
        <f t="shared" ca="1" si="206"/>
        <v>264</v>
      </c>
      <c r="H659" s="10">
        <f t="shared" ca="1" si="207"/>
        <v>3206</v>
      </c>
      <c r="I659" s="10">
        <f t="shared" ca="1" si="208"/>
        <v>2977</v>
      </c>
      <c r="J659" s="10">
        <f t="shared" ca="1" si="209"/>
        <v>3267</v>
      </c>
      <c r="K659" s="10">
        <f t="shared" si="200"/>
        <v>4000</v>
      </c>
      <c r="L659" s="10">
        <f t="shared" si="201"/>
        <v>4000</v>
      </c>
      <c r="M659" s="10">
        <f t="shared" si="202"/>
        <v>4000</v>
      </c>
      <c r="N659" s="10">
        <f t="shared" ca="1" si="213"/>
        <v>-794</v>
      </c>
      <c r="O659" s="10">
        <f t="shared" ca="1" si="214"/>
        <v>-1023</v>
      </c>
      <c r="P659" s="10">
        <f t="shared" ca="1" si="215"/>
        <v>-733</v>
      </c>
      <c r="Q659" s="14">
        <v>10</v>
      </c>
      <c r="R659" s="14">
        <v>10</v>
      </c>
      <c r="S659" s="14">
        <v>7</v>
      </c>
      <c r="T659" s="13">
        <f t="shared" ca="1" si="210"/>
        <v>4</v>
      </c>
      <c r="U659" s="12">
        <f t="shared" ca="1" si="197"/>
        <v>3706</v>
      </c>
      <c r="V659" s="12">
        <f t="shared" ca="1" si="196"/>
        <v>3527</v>
      </c>
      <c r="W659" s="12">
        <f t="shared" ca="1" si="198"/>
        <v>3847</v>
      </c>
      <c r="X659" s="11"/>
      <c r="Y659" s="10"/>
      <c r="Z659" s="10"/>
      <c r="AA659" s="10"/>
      <c r="AB659" s="9"/>
    </row>
    <row r="660" spans="1:28" ht="13.15" customHeight="1">
      <c r="A660" s="16">
        <f t="shared" si="199"/>
        <v>646</v>
      </c>
      <c r="B660" s="17">
        <f t="shared" si="211"/>
        <v>45718</v>
      </c>
      <c r="C660" s="16">
        <f t="shared" si="212"/>
        <v>1069</v>
      </c>
      <c r="D660" s="15">
        <f t="shared" si="203"/>
        <v>2464</v>
      </c>
      <c r="E660" s="14">
        <f t="shared" ca="1" si="204"/>
        <v>337</v>
      </c>
      <c r="F660" s="14">
        <f t="shared" ca="1" si="205"/>
        <v>566</v>
      </c>
      <c r="G660" s="14">
        <f t="shared" ca="1" si="206"/>
        <v>275</v>
      </c>
      <c r="H660" s="10">
        <f t="shared" ca="1" si="207"/>
        <v>3196</v>
      </c>
      <c r="I660" s="10">
        <f t="shared" ca="1" si="208"/>
        <v>2967</v>
      </c>
      <c r="J660" s="10">
        <f t="shared" ca="1" si="209"/>
        <v>3258</v>
      </c>
      <c r="K660" s="10">
        <f t="shared" si="200"/>
        <v>4000</v>
      </c>
      <c r="L660" s="10">
        <f t="shared" si="201"/>
        <v>4000</v>
      </c>
      <c r="M660" s="10">
        <f t="shared" si="202"/>
        <v>4000</v>
      </c>
      <c r="N660" s="10">
        <f t="shared" ca="1" si="213"/>
        <v>-804</v>
      </c>
      <c r="O660" s="10">
        <f t="shared" ca="1" si="214"/>
        <v>-1033</v>
      </c>
      <c r="P660" s="10">
        <f t="shared" ca="1" si="215"/>
        <v>-742</v>
      </c>
      <c r="Q660" s="14">
        <v>10</v>
      </c>
      <c r="R660" s="14">
        <v>10</v>
      </c>
      <c r="S660" s="14">
        <v>9</v>
      </c>
      <c r="T660" s="13">
        <f t="shared" ca="1" si="210"/>
        <v>16</v>
      </c>
      <c r="U660" s="12">
        <f t="shared" ca="1" si="197"/>
        <v>3696</v>
      </c>
      <c r="V660" s="12">
        <f t="shared" ca="1" si="196"/>
        <v>3517</v>
      </c>
      <c r="W660" s="12">
        <f t="shared" ca="1" si="198"/>
        <v>3838</v>
      </c>
      <c r="X660" s="11"/>
      <c r="Y660" s="10"/>
      <c r="Z660" s="10"/>
      <c r="AA660" s="10"/>
      <c r="AB660" s="9"/>
    </row>
    <row r="661" spans="1:28" ht="13.15" customHeight="1">
      <c r="A661" s="16">
        <f t="shared" si="199"/>
        <v>647</v>
      </c>
      <c r="B661" s="17">
        <f t="shared" si="211"/>
        <v>45719</v>
      </c>
      <c r="C661" s="16">
        <f t="shared" si="212"/>
        <v>1069</v>
      </c>
      <c r="D661" s="15">
        <f t="shared" si="203"/>
        <v>2466</v>
      </c>
      <c r="E661" s="14">
        <f t="shared" ca="1" si="204"/>
        <v>349</v>
      </c>
      <c r="F661" s="14">
        <f t="shared" ca="1" si="205"/>
        <v>578</v>
      </c>
      <c r="G661" s="14">
        <f t="shared" ca="1" si="206"/>
        <v>283</v>
      </c>
      <c r="H661" s="10">
        <f t="shared" ca="1" si="207"/>
        <v>3186</v>
      </c>
      <c r="I661" s="10">
        <f t="shared" ca="1" si="208"/>
        <v>2957</v>
      </c>
      <c r="J661" s="10">
        <f t="shared" ca="1" si="209"/>
        <v>3252</v>
      </c>
      <c r="K661" s="10">
        <f t="shared" si="200"/>
        <v>4000</v>
      </c>
      <c r="L661" s="10">
        <f t="shared" si="201"/>
        <v>4000</v>
      </c>
      <c r="M661" s="10">
        <f t="shared" si="202"/>
        <v>4000</v>
      </c>
      <c r="N661" s="10">
        <f t="shared" ca="1" si="213"/>
        <v>-814</v>
      </c>
      <c r="O661" s="10">
        <f t="shared" ca="1" si="214"/>
        <v>-1043</v>
      </c>
      <c r="P661" s="10">
        <f t="shared" ca="1" si="215"/>
        <v>-748</v>
      </c>
      <c r="Q661" s="14">
        <v>10</v>
      </c>
      <c r="R661" s="14">
        <v>10</v>
      </c>
      <c r="S661" s="14">
        <v>6</v>
      </c>
      <c r="T661" s="13">
        <f t="shared" ca="1" si="210"/>
        <v>28</v>
      </c>
      <c r="U661" s="12">
        <f t="shared" ca="1" si="197"/>
        <v>3686</v>
      </c>
      <c r="V661" s="12">
        <f t="shared" ca="1" si="196"/>
        <v>3507</v>
      </c>
      <c r="W661" s="12">
        <f t="shared" ca="1" si="198"/>
        <v>3832</v>
      </c>
      <c r="X661" s="11"/>
      <c r="Y661" s="10"/>
      <c r="Z661" s="10"/>
      <c r="AA661" s="10"/>
      <c r="AB661" s="9"/>
    </row>
    <row r="662" spans="1:28" ht="13.15" customHeight="1">
      <c r="A662" s="16">
        <f t="shared" si="199"/>
        <v>648</v>
      </c>
      <c r="B662" s="17">
        <f t="shared" si="211"/>
        <v>45720</v>
      </c>
      <c r="C662" s="16">
        <f t="shared" si="212"/>
        <v>1069</v>
      </c>
      <c r="D662" s="15">
        <f t="shared" si="203"/>
        <v>2468</v>
      </c>
      <c r="E662" s="14">
        <f t="shared" ca="1" si="204"/>
        <v>361</v>
      </c>
      <c r="F662" s="14">
        <f t="shared" ca="1" si="205"/>
        <v>590</v>
      </c>
      <c r="G662" s="14">
        <f t="shared" ca="1" si="206"/>
        <v>293</v>
      </c>
      <c r="H662" s="10">
        <f t="shared" ca="1" si="207"/>
        <v>3176</v>
      </c>
      <c r="I662" s="10">
        <f t="shared" ca="1" si="208"/>
        <v>2947</v>
      </c>
      <c r="J662" s="10">
        <f t="shared" ca="1" si="209"/>
        <v>3244</v>
      </c>
      <c r="K662" s="10">
        <f t="shared" si="200"/>
        <v>4000</v>
      </c>
      <c r="L662" s="10">
        <f t="shared" si="201"/>
        <v>4000</v>
      </c>
      <c r="M662" s="10">
        <f t="shared" si="202"/>
        <v>4000</v>
      </c>
      <c r="N662" s="10">
        <f t="shared" ca="1" si="213"/>
        <v>-824</v>
      </c>
      <c r="O662" s="10">
        <f t="shared" ca="1" si="214"/>
        <v>-1053</v>
      </c>
      <c r="P662" s="10">
        <f t="shared" ca="1" si="215"/>
        <v>-756</v>
      </c>
      <c r="Q662" s="14">
        <v>10</v>
      </c>
      <c r="R662" s="14">
        <v>10</v>
      </c>
      <c r="S662" s="14">
        <v>8</v>
      </c>
      <c r="T662" s="13">
        <f t="shared" ca="1" si="210"/>
        <v>-260</v>
      </c>
      <c r="U662" s="12">
        <f t="shared" ca="1" si="197"/>
        <v>3976</v>
      </c>
      <c r="V662" s="12">
        <f t="shared" ca="1" si="196"/>
        <v>3797</v>
      </c>
      <c r="W662" s="12">
        <f t="shared" ca="1" si="198"/>
        <v>4124</v>
      </c>
      <c r="X662" s="11">
        <v>0.3</v>
      </c>
      <c r="Y662" s="10"/>
      <c r="Z662" s="10"/>
      <c r="AA662" s="10"/>
      <c r="AB662" s="9" t="s">
        <v>76</v>
      </c>
    </row>
    <row r="663" spans="1:28" ht="13.15" customHeight="1">
      <c r="A663" s="16">
        <f t="shared" si="199"/>
        <v>649</v>
      </c>
      <c r="B663" s="17">
        <f t="shared" si="211"/>
        <v>45721</v>
      </c>
      <c r="C663" s="16">
        <f t="shared" si="212"/>
        <v>1069</v>
      </c>
      <c r="D663" s="15">
        <f t="shared" si="203"/>
        <v>2470</v>
      </c>
      <c r="E663" s="14">
        <f t="shared" ca="1" si="204"/>
        <v>373</v>
      </c>
      <c r="F663" s="14">
        <f t="shared" ca="1" si="205"/>
        <v>602</v>
      </c>
      <c r="G663" s="14">
        <f t="shared" ca="1" si="206"/>
        <v>301</v>
      </c>
      <c r="H663" s="10">
        <f t="shared" ca="1" si="207"/>
        <v>3166</v>
      </c>
      <c r="I663" s="10">
        <f t="shared" ca="1" si="208"/>
        <v>2937</v>
      </c>
      <c r="J663" s="10">
        <f t="shared" ca="1" si="209"/>
        <v>3238</v>
      </c>
      <c r="K663" s="10">
        <f t="shared" si="200"/>
        <v>4000</v>
      </c>
      <c r="L663" s="10">
        <f t="shared" si="201"/>
        <v>4000</v>
      </c>
      <c r="M663" s="10">
        <f t="shared" si="202"/>
        <v>4000</v>
      </c>
      <c r="N663" s="10">
        <f t="shared" ca="1" si="213"/>
        <v>-834</v>
      </c>
      <c r="O663" s="10">
        <f t="shared" ca="1" si="214"/>
        <v>-1063</v>
      </c>
      <c r="P663" s="10">
        <f t="shared" ca="1" si="215"/>
        <v>-762</v>
      </c>
      <c r="Q663" s="14">
        <v>10</v>
      </c>
      <c r="R663" s="14">
        <v>10</v>
      </c>
      <c r="S663" s="14">
        <v>6</v>
      </c>
      <c r="T663" s="13">
        <f t="shared" ca="1" si="210"/>
        <v>-248</v>
      </c>
      <c r="U663" s="12">
        <f t="shared" ca="1" si="197"/>
        <v>3966</v>
      </c>
      <c r="V663" s="12">
        <f t="shared" ca="1" si="196"/>
        <v>3787</v>
      </c>
      <c r="W663" s="12">
        <f t="shared" ca="1" si="198"/>
        <v>4118</v>
      </c>
      <c r="X663" s="11"/>
      <c r="Y663" s="10"/>
      <c r="Z663" s="10"/>
      <c r="AA663" s="10"/>
      <c r="AB663" s="9"/>
    </row>
    <row r="664" spans="1:28" ht="13.15" customHeight="1">
      <c r="A664" s="16">
        <f t="shared" si="199"/>
        <v>650</v>
      </c>
      <c r="B664" s="17">
        <f t="shared" si="211"/>
        <v>45722</v>
      </c>
      <c r="C664" s="16">
        <f t="shared" si="212"/>
        <v>1069</v>
      </c>
      <c r="D664" s="15">
        <f t="shared" si="203"/>
        <v>2472</v>
      </c>
      <c r="E664" s="14">
        <f t="shared" ca="1" si="204"/>
        <v>385</v>
      </c>
      <c r="F664" s="14">
        <f t="shared" ca="1" si="205"/>
        <v>614</v>
      </c>
      <c r="G664" s="14">
        <f t="shared" ca="1" si="206"/>
        <v>312</v>
      </c>
      <c r="H664" s="10">
        <f t="shared" ca="1" si="207"/>
        <v>3156</v>
      </c>
      <c r="I664" s="10">
        <f t="shared" ca="1" si="208"/>
        <v>2927</v>
      </c>
      <c r="J664" s="10">
        <f t="shared" ca="1" si="209"/>
        <v>3229</v>
      </c>
      <c r="K664" s="10">
        <f t="shared" si="200"/>
        <v>4000</v>
      </c>
      <c r="L664" s="10">
        <f t="shared" si="201"/>
        <v>4000</v>
      </c>
      <c r="M664" s="10">
        <f t="shared" si="202"/>
        <v>4000</v>
      </c>
      <c r="N664" s="10">
        <f t="shared" ca="1" si="213"/>
        <v>-844</v>
      </c>
      <c r="O664" s="10">
        <f t="shared" ca="1" si="214"/>
        <v>-1073</v>
      </c>
      <c r="P664" s="10">
        <f t="shared" ca="1" si="215"/>
        <v>-771</v>
      </c>
      <c r="Q664" s="14">
        <v>10</v>
      </c>
      <c r="R664" s="14">
        <v>10</v>
      </c>
      <c r="S664" s="14">
        <v>9</v>
      </c>
      <c r="T664" s="13">
        <f t="shared" ca="1" si="210"/>
        <v>-236</v>
      </c>
      <c r="U664" s="12">
        <f t="shared" ca="1" si="197"/>
        <v>3956</v>
      </c>
      <c r="V664" s="12">
        <f t="shared" ca="1" si="196"/>
        <v>3777</v>
      </c>
      <c r="W664" s="12">
        <f t="shared" ca="1" si="198"/>
        <v>4109</v>
      </c>
      <c r="X664" s="11"/>
      <c r="Y664" s="10"/>
      <c r="Z664" s="10"/>
      <c r="AA664" s="10"/>
      <c r="AB664" s="9"/>
    </row>
    <row r="665" spans="1:28" ht="13.15" customHeight="1">
      <c r="A665" s="16">
        <f t="shared" si="199"/>
        <v>651</v>
      </c>
      <c r="B665" s="17">
        <f t="shared" si="211"/>
        <v>45723</v>
      </c>
      <c r="C665" s="16">
        <f t="shared" si="212"/>
        <v>1069</v>
      </c>
      <c r="D665" s="15">
        <f t="shared" si="203"/>
        <v>2474</v>
      </c>
      <c r="E665" s="14">
        <f t="shared" ca="1" si="204"/>
        <v>397</v>
      </c>
      <c r="F665" s="14">
        <f t="shared" ca="1" si="205"/>
        <v>626</v>
      </c>
      <c r="G665" s="14">
        <f t="shared" ca="1" si="206"/>
        <v>323</v>
      </c>
      <c r="H665" s="10">
        <f t="shared" ca="1" si="207"/>
        <v>3146</v>
      </c>
      <c r="I665" s="10">
        <f t="shared" ca="1" si="208"/>
        <v>2917</v>
      </c>
      <c r="J665" s="10">
        <f t="shared" ca="1" si="209"/>
        <v>3220</v>
      </c>
      <c r="K665" s="10">
        <f t="shared" si="200"/>
        <v>4000</v>
      </c>
      <c r="L665" s="10">
        <f t="shared" si="201"/>
        <v>4000</v>
      </c>
      <c r="M665" s="10">
        <f t="shared" si="202"/>
        <v>4000</v>
      </c>
      <c r="N665" s="10">
        <f t="shared" ca="1" si="213"/>
        <v>-854</v>
      </c>
      <c r="O665" s="10">
        <f t="shared" ca="1" si="214"/>
        <v>-1083</v>
      </c>
      <c r="P665" s="10">
        <f t="shared" ca="1" si="215"/>
        <v>-780</v>
      </c>
      <c r="Q665" s="14">
        <v>10</v>
      </c>
      <c r="R665" s="14">
        <v>10</v>
      </c>
      <c r="S665" s="14">
        <v>9</v>
      </c>
      <c r="T665" s="13">
        <f t="shared" ca="1" si="210"/>
        <v>-224</v>
      </c>
      <c r="U665" s="12">
        <f t="shared" ca="1" si="197"/>
        <v>3946</v>
      </c>
      <c r="V665" s="12">
        <f t="shared" ca="1" si="196"/>
        <v>3767</v>
      </c>
      <c r="W665" s="12">
        <f t="shared" ca="1" si="198"/>
        <v>4100</v>
      </c>
      <c r="X665" s="11"/>
      <c r="Y665" s="10"/>
      <c r="Z665" s="10"/>
      <c r="AA665" s="10"/>
      <c r="AB665" s="9"/>
    </row>
    <row r="666" spans="1:28" ht="13.15" customHeight="1">
      <c r="A666" s="16">
        <f t="shared" si="199"/>
        <v>652</v>
      </c>
      <c r="B666" s="17">
        <f t="shared" si="211"/>
        <v>45724</v>
      </c>
      <c r="C666" s="16">
        <f t="shared" si="212"/>
        <v>1069</v>
      </c>
      <c r="D666" s="15">
        <f t="shared" si="203"/>
        <v>2476</v>
      </c>
      <c r="E666" s="14">
        <f t="shared" ca="1" si="204"/>
        <v>409</v>
      </c>
      <c r="F666" s="14">
        <f t="shared" ca="1" si="205"/>
        <v>638</v>
      </c>
      <c r="G666" s="14">
        <f t="shared" ca="1" si="206"/>
        <v>334</v>
      </c>
      <c r="H666" s="10">
        <f t="shared" ca="1" si="207"/>
        <v>3136</v>
      </c>
      <c r="I666" s="10">
        <f t="shared" ca="1" si="208"/>
        <v>2907</v>
      </c>
      <c r="J666" s="10">
        <f t="shared" ca="1" si="209"/>
        <v>3211</v>
      </c>
      <c r="K666" s="10">
        <f t="shared" si="200"/>
        <v>4000</v>
      </c>
      <c r="L666" s="10">
        <f t="shared" si="201"/>
        <v>4000</v>
      </c>
      <c r="M666" s="10">
        <f t="shared" si="202"/>
        <v>4000</v>
      </c>
      <c r="N666" s="10">
        <f t="shared" ca="1" si="213"/>
        <v>-864</v>
      </c>
      <c r="O666" s="10">
        <f t="shared" ca="1" si="214"/>
        <v>-1093</v>
      </c>
      <c r="P666" s="10">
        <f t="shared" ca="1" si="215"/>
        <v>-789</v>
      </c>
      <c r="Q666" s="14">
        <v>10</v>
      </c>
      <c r="R666" s="14">
        <v>10</v>
      </c>
      <c r="S666" s="14">
        <v>9</v>
      </c>
      <c r="T666" s="13">
        <f t="shared" ca="1" si="210"/>
        <v>-212</v>
      </c>
      <c r="U666" s="12">
        <f t="shared" ca="1" si="197"/>
        <v>3936</v>
      </c>
      <c r="V666" s="12">
        <f t="shared" ca="1" si="196"/>
        <v>3757</v>
      </c>
      <c r="W666" s="12">
        <f t="shared" ca="1" si="198"/>
        <v>4091</v>
      </c>
      <c r="X666" s="11"/>
      <c r="Y666" s="10"/>
      <c r="Z666" s="10"/>
      <c r="AA666" s="10"/>
      <c r="AB666" s="9"/>
    </row>
    <row r="667" spans="1:28" ht="13.15" customHeight="1">
      <c r="A667" s="16">
        <f t="shared" si="199"/>
        <v>653</v>
      </c>
      <c r="B667" s="17">
        <f t="shared" si="211"/>
        <v>45725</v>
      </c>
      <c r="C667" s="16">
        <f t="shared" si="212"/>
        <v>1069</v>
      </c>
      <c r="D667" s="15">
        <f t="shared" si="203"/>
        <v>2478</v>
      </c>
      <c r="E667" s="14">
        <f t="shared" ca="1" si="204"/>
        <v>421</v>
      </c>
      <c r="F667" s="14">
        <f t="shared" ca="1" si="205"/>
        <v>648</v>
      </c>
      <c r="G667" s="14">
        <f t="shared" ca="1" si="206"/>
        <v>341</v>
      </c>
      <c r="H667" s="10">
        <f t="shared" ca="1" si="207"/>
        <v>3126</v>
      </c>
      <c r="I667" s="10">
        <f t="shared" ca="1" si="208"/>
        <v>2899</v>
      </c>
      <c r="J667" s="10">
        <f t="shared" ca="1" si="209"/>
        <v>3206</v>
      </c>
      <c r="K667" s="10">
        <f t="shared" si="200"/>
        <v>4000</v>
      </c>
      <c r="L667" s="10">
        <f t="shared" si="201"/>
        <v>4000</v>
      </c>
      <c r="M667" s="10">
        <f t="shared" si="202"/>
        <v>4000</v>
      </c>
      <c r="N667" s="10">
        <f t="shared" ca="1" si="213"/>
        <v>-874</v>
      </c>
      <c r="O667" s="10">
        <f t="shared" ca="1" si="214"/>
        <v>-1101</v>
      </c>
      <c r="P667" s="10">
        <f t="shared" ca="1" si="215"/>
        <v>-794</v>
      </c>
      <c r="Q667" s="14">
        <v>10</v>
      </c>
      <c r="R667" s="14">
        <v>8</v>
      </c>
      <c r="S667" s="14">
        <v>5</v>
      </c>
      <c r="T667" s="13">
        <f t="shared" ca="1" si="210"/>
        <v>-542</v>
      </c>
      <c r="U667" s="12">
        <f t="shared" ca="1" si="197"/>
        <v>4266</v>
      </c>
      <c r="V667" s="12">
        <f t="shared" ref="V667:V704" ca="1" si="216">V666+$X667*1000-R667</f>
        <v>4089</v>
      </c>
      <c r="W667" s="12">
        <f t="shared" ca="1" si="198"/>
        <v>4426</v>
      </c>
      <c r="X667" s="11">
        <v>0.34</v>
      </c>
      <c r="Y667" s="10"/>
      <c r="Z667" s="10"/>
      <c r="AA667" s="10"/>
      <c r="AB667" s="9" t="s">
        <v>77</v>
      </c>
    </row>
    <row r="668" spans="1:28" ht="13.15" customHeight="1">
      <c r="A668" s="16">
        <f t="shared" si="199"/>
        <v>654</v>
      </c>
      <c r="B668" s="17">
        <f t="shared" si="211"/>
        <v>45726</v>
      </c>
      <c r="C668" s="16">
        <f t="shared" si="212"/>
        <v>1069</v>
      </c>
      <c r="D668" s="15">
        <f t="shared" si="203"/>
        <v>2480</v>
      </c>
      <c r="E668" s="14">
        <f t="shared" ca="1" si="204"/>
        <v>433</v>
      </c>
      <c r="F668" s="14">
        <f t="shared" ca="1" si="205"/>
        <v>660</v>
      </c>
      <c r="G668" s="14">
        <f t="shared" ca="1" si="206"/>
        <v>351</v>
      </c>
      <c r="H668" s="10">
        <f t="shared" ca="1" si="207"/>
        <v>3116</v>
      </c>
      <c r="I668" s="10">
        <f t="shared" ca="1" si="208"/>
        <v>2889</v>
      </c>
      <c r="J668" s="10">
        <f t="shared" ca="1" si="209"/>
        <v>3198</v>
      </c>
      <c r="K668" s="10">
        <f t="shared" si="200"/>
        <v>4000</v>
      </c>
      <c r="L668" s="10">
        <f t="shared" si="201"/>
        <v>4000</v>
      </c>
      <c r="M668" s="10">
        <f t="shared" si="202"/>
        <v>4000</v>
      </c>
      <c r="N668" s="10">
        <f t="shared" ca="1" si="213"/>
        <v>-884</v>
      </c>
      <c r="O668" s="10">
        <f t="shared" ca="1" si="214"/>
        <v>-1111</v>
      </c>
      <c r="P668" s="10">
        <f t="shared" ca="1" si="215"/>
        <v>-802</v>
      </c>
      <c r="Q668" s="14">
        <v>10</v>
      </c>
      <c r="R668" s="14">
        <v>10</v>
      </c>
      <c r="S668" s="14">
        <v>8</v>
      </c>
      <c r="T668" s="13">
        <f t="shared" ca="1" si="210"/>
        <v>-530</v>
      </c>
      <c r="U668" s="12">
        <f t="shared" ref="U668:U704" ca="1" si="217">U667+$X668*1000-Q668</f>
        <v>4256</v>
      </c>
      <c r="V668" s="12">
        <f t="shared" ca="1" si="216"/>
        <v>4079</v>
      </c>
      <c r="W668" s="12">
        <f t="shared" ref="W668:W704" ca="1" si="218">W667+$X668*1000-S668</f>
        <v>4418</v>
      </c>
      <c r="X668" s="11"/>
      <c r="Y668" s="10"/>
      <c r="Z668" s="10"/>
      <c r="AA668" s="10"/>
      <c r="AB668" s="9"/>
    </row>
    <row r="669" spans="1:28" ht="13.15" customHeight="1">
      <c r="A669" s="16">
        <f t="shared" ref="A669:A714" si="219">+A668+1</f>
        <v>655</v>
      </c>
      <c r="B669" s="17">
        <f t="shared" si="211"/>
        <v>45727</v>
      </c>
      <c r="C669" s="16">
        <f t="shared" si="212"/>
        <v>1069</v>
      </c>
      <c r="D669" s="15">
        <f t="shared" si="203"/>
        <v>2482</v>
      </c>
      <c r="E669" s="14">
        <f t="shared" ca="1" si="204"/>
        <v>445</v>
      </c>
      <c r="F669" s="14">
        <f t="shared" ca="1" si="205"/>
        <v>672</v>
      </c>
      <c r="G669" s="14">
        <f t="shared" ca="1" si="206"/>
        <v>360</v>
      </c>
      <c r="H669" s="10">
        <f t="shared" ca="1" si="207"/>
        <v>3106</v>
      </c>
      <c r="I669" s="10">
        <f t="shared" ca="1" si="208"/>
        <v>2879</v>
      </c>
      <c r="J669" s="10">
        <f t="shared" ca="1" si="209"/>
        <v>3191</v>
      </c>
      <c r="K669" s="10">
        <f t="shared" si="200"/>
        <v>4000</v>
      </c>
      <c r="L669" s="10">
        <f t="shared" si="201"/>
        <v>4000</v>
      </c>
      <c r="M669" s="10">
        <f t="shared" si="202"/>
        <v>4000</v>
      </c>
      <c r="N669" s="10">
        <f t="shared" ca="1" si="213"/>
        <v>-894</v>
      </c>
      <c r="O669" s="10">
        <f t="shared" ca="1" si="214"/>
        <v>-1121</v>
      </c>
      <c r="P669" s="10">
        <f t="shared" ca="1" si="215"/>
        <v>-809</v>
      </c>
      <c r="Q669" s="14">
        <v>10</v>
      </c>
      <c r="R669" s="14">
        <v>10</v>
      </c>
      <c r="S669" s="14">
        <v>7</v>
      </c>
      <c r="T669" s="13">
        <f t="shared" ca="1" si="210"/>
        <v>-518</v>
      </c>
      <c r="U669" s="12">
        <f t="shared" ca="1" si="217"/>
        <v>4246</v>
      </c>
      <c r="V669" s="12">
        <f t="shared" ca="1" si="216"/>
        <v>4069</v>
      </c>
      <c r="W669" s="12">
        <f t="shared" ca="1" si="218"/>
        <v>4411</v>
      </c>
      <c r="X669" s="11"/>
      <c r="Y669" s="10"/>
      <c r="Z669" s="10"/>
      <c r="AA669" s="10"/>
      <c r="AB669" s="9"/>
    </row>
    <row r="670" spans="1:28" ht="13.15" customHeight="1">
      <c r="A670" s="16">
        <f t="shared" si="219"/>
        <v>656</v>
      </c>
      <c r="B670" s="17">
        <f t="shared" si="211"/>
        <v>45728</v>
      </c>
      <c r="C670" s="16">
        <f t="shared" si="212"/>
        <v>1069</v>
      </c>
      <c r="D670" s="15">
        <f t="shared" si="203"/>
        <v>2484</v>
      </c>
      <c r="E670" s="14">
        <f t="shared" ca="1" si="204"/>
        <v>457</v>
      </c>
      <c r="F670" s="14">
        <f t="shared" ca="1" si="205"/>
        <v>684</v>
      </c>
      <c r="G670" s="14">
        <f t="shared" ca="1" si="206"/>
        <v>368</v>
      </c>
      <c r="H670" s="10">
        <f t="shared" ca="1" si="207"/>
        <v>3096</v>
      </c>
      <c r="I670" s="10">
        <f t="shared" ca="1" si="208"/>
        <v>2869</v>
      </c>
      <c r="J670" s="10">
        <f t="shared" ca="1" si="209"/>
        <v>3185</v>
      </c>
      <c r="K670" s="10">
        <f t="shared" si="200"/>
        <v>4000</v>
      </c>
      <c r="L670" s="10">
        <f t="shared" si="201"/>
        <v>4000</v>
      </c>
      <c r="M670" s="10">
        <f t="shared" si="202"/>
        <v>4000</v>
      </c>
      <c r="N670" s="10">
        <f t="shared" ca="1" si="213"/>
        <v>-904</v>
      </c>
      <c r="O670" s="10">
        <f t="shared" ca="1" si="214"/>
        <v>-1131</v>
      </c>
      <c r="P670" s="10">
        <f t="shared" ca="1" si="215"/>
        <v>-815</v>
      </c>
      <c r="Q670" s="14">
        <v>10</v>
      </c>
      <c r="R670" s="14">
        <v>10</v>
      </c>
      <c r="S670" s="14">
        <v>6</v>
      </c>
      <c r="T670" s="13">
        <f t="shared" ca="1" si="210"/>
        <v>-506</v>
      </c>
      <c r="U670" s="12">
        <f t="shared" ca="1" si="217"/>
        <v>4236</v>
      </c>
      <c r="V670" s="12">
        <f t="shared" ca="1" si="216"/>
        <v>4059</v>
      </c>
      <c r="W670" s="12">
        <f t="shared" ca="1" si="218"/>
        <v>4405</v>
      </c>
      <c r="X670" s="11"/>
      <c r="Y670" s="10"/>
      <c r="Z670" s="10"/>
      <c r="AA670" s="10"/>
      <c r="AB670" s="9"/>
    </row>
    <row r="671" spans="1:28" ht="13.15" customHeight="1">
      <c r="A671" s="16">
        <f t="shared" si="219"/>
        <v>657</v>
      </c>
      <c r="B671" s="17">
        <f t="shared" si="211"/>
        <v>45729</v>
      </c>
      <c r="C671" s="16">
        <f t="shared" si="212"/>
        <v>1069</v>
      </c>
      <c r="D671" s="15">
        <f t="shared" si="203"/>
        <v>2486</v>
      </c>
      <c r="E671" s="14">
        <f t="shared" ca="1" si="204"/>
        <v>469</v>
      </c>
      <c r="F671" s="14">
        <f t="shared" ca="1" si="205"/>
        <v>695</v>
      </c>
      <c r="G671" s="14">
        <f t="shared" ca="1" si="206"/>
        <v>378</v>
      </c>
      <c r="H671" s="10">
        <f t="shared" ca="1" si="207"/>
        <v>3086</v>
      </c>
      <c r="I671" s="10">
        <f t="shared" ca="1" si="208"/>
        <v>2860</v>
      </c>
      <c r="J671" s="10">
        <f t="shared" ca="1" si="209"/>
        <v>3177</v>
      </c>
      <c r="K671" s="10">
        <f t="shared" si="200"/>
        <v>4000</v>
      </c>
      <c r="L671" s="10">
        <f t="shared" si="201"/>
        <v>4000</v>
      </c>
      <c r="M671" s="10">
        <f t="shared" si="202"/>
        <v>4000</v>
      </c>
      <c r="N671" s="10">
        <f t="shared" ca="1" si="213"/>
        <v>-914</v>
      </c>
      <c r="O671" s="10">
        <f t="shared" ca="1" si="214"/>
        <v>-1140</v>
      </c>
      <c r="P671" s="10">
        <f t="shared" ca="1" si="215"/>
        <v>-823</v>
      </c>
      <c r="Q671" s="14">
        <v>10</v>
      </c>
      <c r="R671" s="14">
        <v>9</v>
      </c>
      <c r="S671" s="14">
        <v>8</v>
      </c>
      <c r="T671" s="13">
        <f t="shared" ca="1" si="210"/>
        <v>-495</v>
      </c>
      <c r="U671" s="12">
        <f t="shared" ca="1" si="217"/>
        <v>4226</v>
      </c>
      <c r="V671" s="12">
        <f t="shared" ca="1" si="216"/>
        <v>4050</v>
      </c>
      <c r="W671" s="12">
        <f t="shared" ca="1" si="218"/>
        <v>4397</v>
      </c>
      <c r="X671" s="11"/>
      <c r="Y671" s="10"/>
      <c r="Z671" s="10"/>
      <c r="AA671" s="10"/>
      <c r="AB671" s="9"/>
    </row>
    <row r="672" spans="1:28" ht="13.15" customHeight="1">
      <c r="A672" s="16">
        <f t="shared" si="219"/>
        <v>658</v>
      </c>
      <c r="B672" s="17">
        <f t="shared" si="211"/>
        <v>45730</v>
      </c>
      <c r="C672" s="16">
        <f t="shared" si="212"/>
        <v>1069</v>
      </c>
      <c r="D672" s="15">
        <f t="shared" si="203"/>
        <v>2488</v>
      </c>
      <c r="E672" s="14">
        <f t="shared" ca="1" si="204"/>
        <v>481</v>
      </c>
      <c r="F672" s="14">
        <f t="shared" ca="1" si="205"/>
        <v>707</v>
      </c>
      <c r="G672" s="14">
        <f t="shared" ca="1" si="206"/>
        <v>388</v>
      </c>
      <c r="H672" s="10">
        <f t="shared" ca="1" si="207"/>
        <v>3076</v>
      </c>
      <c r="I672" s="10">
        <f t="shared" ca="1" si="208"/>
        <v>2850</v>
      </c>
      <c r="J672" s="10">
        <f t="shared" ca="1" si="209"/>
        <v>3169</v>
      </c>
      <c r="K672" s="10">
        <f t="shared" si="200"/>
        <v>4000</v>
      </c>
      <c r="L672" s="10">
        <f t="shared" si="201"/>
        <v>4000</v>
      </c>
      <c r="M672" s="10">
        <f t="shared" si="202"/>
        <v>4000</v>
      </c>
      <c r="N672" s="10">
        <f t="shared" ca="1" si="213"/>
        <v>-924</v>
      </c>
      <c r="O672" s="10">
        <f t="shared" ca="1" si="214"/>
        <v>-1150</v>
      </c>
      <c r="P672" s="10">
        <f t="shared" ca="1" si="215"/>
        <v>-831</v>
      </c>
      <c r="Q672" s="14">
        <v>10</v>
      </c>
      <c r="R672" s="14">
        <v>10</v>
      </c>
      <c r="S672" s="14">
        <v>8</v>
      </c>
      <c r="T672" s="13">
        <f t="shared" ca="1" si="210"/>
        <v>-783</v>
      </c>
      <c r="U672" s="12">
        <f t="shared" ca="1" si="217"/>
        <v>4516</v>
      </c>
      <c r="V672" s="12">
        <f t="shared" ca="1" si="216"/>
        <v>4340</v>
      </c>
      <c r="W672" s="12">
        <f t="shared" ca="1" si="218"/>
        <v>4689</v>
      </c>
      <c r="X672" s="11">
        <v>0.3</v>
      </c>
      <c r="Y672" s="10"/>
      <c r="Z672" s="10"/>
      <c r="AA672" s="10"/>
      <c r="AB672" s="9" t="s">
        <v>78</v>
      </c>
    </row>
    <row r="673" spans="1:28" ht="13.15" customHeight="1">
      <c r="A673" s="16">
        <f t="shared" si="219"/>
        <v>659</v>
      </c>
      <c r="B673" s="17">
        <f t="shared" si="211"/>
        <v>45731</v>
      </c>
      <c r="C673" s="16">
        <f t="shared" si="212"/>
        <v>1069</v>
      </c>
      <c r="D673" s="15">
        <f t="shared" si="203"/>
        <v>2490</v>
      </c>
      <c r="E673" s="14">
        <f t="shared" ca="1" si="204"/>
        <v>493</v>
      </c>
      <c r="F673" s="14">
        <f t="shared" ca="1" si="205"/>
        <v>719</v>
      </c>
      <c r="G673" s="14">
        <f t="shared" ca="1" si="206"/>
        <v>400</v>
      </c>
      <c r="H673" s="10">
        <f t="shared" ca="1" si="207"/>
        <v>3066</v>
      </c>
      <c r="I673" s="10">
        <f t="shared" ca="1" si="208"/>
        <v>2840</v>
      </c>
      <c r="J673" s="10">
        <f t="shared" ca="1" si="209"/>
        <v>3159</v>
      </c>
      <c r="K673" s="10">
        <f t="shared" si="200"/>
        <v>4000</v>
      </c>
      <c r="L673" s="10">
        <f t="shared" si="201"/>
        <v>4000</v>
      </c>
      <c r="M673" s="10">
        <f t="shared" si="202"/>
        <v>4000</v>
      </c>
      <c r="N673" s="10">
        <f t="shared" ca="1" si="213"/>
        <v>-934</v>
      </c>
      <c r="O673" s="10">
        <f t="shared" ca="1" si="214"/>
        <v>-1160</v>
      </c>
      <c r="P673" s="10">
        <f t="shared" ca="1" si="215"/>
        <v>-841</v>
      </c>
      <c r="Q673" s="14">
        <v>10</v>
      </c>
      <c r="R673" s="14">
        <v>10</v>
      </c>
      <c r="S673" s="14">
        <v>10</v>
      </c>
      <c r="T673" s="13">
        <f t="shared" ca="1" si="210"/>
        <v>-771</v>
      </c>
      <c r="U673" s="12">
        <f t="shared" ca="1" si="217"/>
        <v>4506</v>
      </c>
      <c r="V673" s="12">
        <f t="shared" ca="1" si="216"/>
        <v>4330</v>
      </c>
      <c r="W673" s="12">
        <f t="shared" ca="1" si="218"/>
        <v>4679</v>
      </c>
      <c r="X673" s="11"/>
      <c r="Y673" s="10"/>
      <c r="Z673" s="10"/>
      <c r="AA673" s="10"/>
      <c r="AB673" s="9"/>
    </row>
    <row r="674" spans="1:28" ht="13.15" customHeight="1">
      <c r="A674" s="16">
        <f t="shared" si="219"/>
        <v>660</v>
      </c>
      <c r="B674" s="17">
        <f t="shared" si="211"/>
        <v>45732</v>
      </c>
      <c r="C674" s="16">
        <f t="shared" si="212"/>
        <v>1069</v>
      </c>
      <c r="D674" s="15">
        <f t="shared" si="203"/>
        <v>2492</v>
      </c>
      <c r="E674" s="14">
        <f t="shared" ca="1" si="204"/>
        <v>505</v>
      </c>
      <c r="F674" s="14">
        <f t="shared" ca="1" si="205"/>
        <v>731</v>
      </c>
      <c r="G674" s="14">
        <f t="shared" ca="1" si="206"/>
        <v>411</v>
      </c>
      <c r="H674" s="10">
        <f t="shared" ca="1" si="207"/>
        <v>3056</v>
      </c>
      <c r="I674" s="10">
        <f t="shared" ca="1" si="208"/>
        <v>2830</v>
      </c>
      <c r="J674" s="10">
        <f t="shared" ca="1" si="209"/>
        <v>3150</v>
      </c>
      <c r="K674" s="10">
        <f t="shared" si="200"/>
        <v>4000</v>
      </c>
      <c r="L674" s="10">
        <f t="shared" si="201"/>
        <v>4000</v>
      </c>
      <c r="M674" s="10">
        <f t="shared" si="202"/>
        <v>4000</v>
      </c>
      <c r="N674" s="10">
        <f t="shared" ca="1" si="213"/>
        <v>-944</v>
      </c>
      <c r="O674" s="10">
        <f t="shared" ca="1" si="214"/>
        <v>-1170</v>
      </c>
      <c r="P674" s="10">
        <f t="shared" ca="1" si="215"/>
        <v>-850</v>
      </c>
      <c r="Q674" s="14">
        <v>10</v>
      </c>
      <c r="R674" s="14">
        <v>10</v>
      </c>
      <c r="S674" s="14">
        <v>9</v>
      </c>
      <c r="T674" s="13">
        <f t="shared" ca="1" si="210"/>
        <v>-759</v>
      </c>
      <c r="U674" s="12">
        <f t="shared" ca="1" si="217"/>
        <v>4496</v>
      </c>
      <c r="V674" s="12">
        <f t="shared" ca="1" si="216"/>
        <v>4320</v>
      </c>
      <c r="W674" s="12">
        <f t="shared" ca="1" si="218"/>
        <v>4670</v>
      </c>
      <c r="X674" s="11"/>
      <c r="Y674" s="10"/>
      <c r="Z674" s="10"/>
      <c r="AA674" s="10"/>
      <c r="AB674" s="9"/>
    </row>
    <row r="675" spans="1:28" ht="13.15" customHeight="1">
      <c r="A675" s="16">
        <f t="shared" si="219"/>
        <v>661</v>
      </c>
      <c r="B675" s="17">
        <f t="shared" si="211"/>
        <v>45733</v>
      </c>
      <c r="C675" s="16">
        <f t="shared" si="212"/>
        <v>1069</v>
      </c>
      <c r="D675" s="15">
        <f t="shared" si="203"/>
        <v>2494</v>
      </c>
      <c r="E675" s="14">
        <f t="shared" ca="1" si="204"/>
        <v>517</v>
      </c>
      <c r="F675" s="14">
        <f t="shared" ca="1" si="205"/>
        <v>743</v>
      </c>
      <c r="G675" s="14">
        <f t="shared" ca="1" si="206"/>
        <v>423</v>
      </c>
      <c r="H675" s="10">
        <f t="shared" ca="1" si="207"/>
        <v>3046</v>
      </c>
      <c r="I675" s="10">
        <f t="shared" ca="1" si="208"/>
        <v>2820</v>
      </c>
      <c r="J675" s="10">
        <f t="shared" ca="1" si="209"/>
        <v>3140</v>
      </c>
      <c r="K675" s="10">
        <f t="shared" si="200"/>
        <v>4000</v>
      </c>
      <c r="L675" s="10">
        <f t="shared" si="201"/>
        <v>4000</v>
      </c>
      <c r="M675" s="10">
        <f t="shared" si="202"/>
        <v>4000</v>
      </c>
      <c r="N675" s="10">
        <f t="shared" ca="1" si="213"/>
        <v>-954</v>
      </c>
      <c r="O675" s="10">
        <f t="shared" ca="1" si="214"/>
        <v>-1180</v>
      </c>
      <c r="P675" s="10">
        <f t="shared" ca="1" si="215"/>
        <v>-860</v>
      </c>
      <c r="Q675" s="14">
        <v>10</v>
      </c>
      <c r="R675" s="14">
        <v>10</v>
      </c>
      <c r="S675" s="14">
        <v>10</v>
      </c>
      <c r="T675" s="13">
        <f t="shared" ca="1" si="210"/>
        <v>-747</v>
      </c>
      <c r="U675" s="12">
        <f t="shared" ca="1" si="217"/>
        <v>4486</v>
      </c>
      <c r="V675" s="12">
        <f t="shared" ca="1" si="216"/>
        <v>4310</v>
      </c>
      <c r="W675" s="12">
        <f t="shared" ca="1" si="218"/>
        <v>4660</v>
      </c>
      <c r="X675" s="11"/>
      <c r="Y675" s="10"/>
      <c r="Z675" s="10"/>
      <c r="AA675" s="10"/>
      <c r="AB675" s="9"/>
    </row>
    <row r="676" spans="1:28" ht="13.15" customHeight="1">
      <c r="A676" s="16">
        <f t="shared" si="219"/>
        <v>662</v>
      </c>
      <c r="B676" s="17">
        <f t="shared" si="211"/>
        <v>45734</v>
      </c>
      <c r="C676" s="16">
        <f t="shared" si="212"/>
        <v>1069</v>
      </c>
      <c r="D676" s="15">
        <f t="shared" si="203"/>
        <v>2496</v>
      </c>
      <c r="E676" s="14">
        <f t="shared" ca="1" si="204"/>
        <v>529</v>
      </c>
      <c r="F676" s="14">
        <f t="shared" ca="1" si="205"/>
        <v>755</v>
      </c>
      <c r="G676" s="14">
        <f t="shared" ca="1" si="206"/>
        <v>431</v>
      </c>
      <c r="H676" s="10">
        <f t="shared" ca="1" si="207"/>
        <v>3036</v>
      </c>
      <c r="I676" s="10">
        <f t="shared" ca="1" si="208"/>
        <v>2810</v>
      </c>
      <c r="J676" s="10">
        <f t="shared" ca="1" si="209"/>
        <v>3134</v>
      </c>
      <c r="K676" s="10">
        <f t="shared" si="200"/>
        <v>4000</v>
      </c>
      <c r="L676" s="10">
        <f t="shared" si="201"/>
        <v>4000</v>
      </c>
      <c r="M676" s="10">
        <f t="shared" si="202"/>
        <v>4000</v>
      </c>
      <c r="N676" s="10">
        <f t="shared" ca="1" si="213"/>
        <v>-964</v>
      </c>
      <c r="O676" s="10">
        <f t="shared" ca="1" si="214"/>
        <v>-1190</v>
      </c>
      <c r="P676" s="10">
        <f t="shared" ca="1" si="215"/>
        <v>-866</v>
      </c>
      <c r="Q676" s="14">
        <v>10</v>
      </c>
      <c r="R676" s="14">
        <v>10</v>
      </c>
      <c r="S676" s="14">
        <v>6</v>
      </c>
      <c r="T676" s="13">
        <f t="shared" ca="1" si="210"/>
        <v>-735</v>
      </c>
      <c r="U676" s="12">
        <f t="shared" ca="1" si="217"/>
        <v>4476</v>
      </c>
      <c r="V676" s="12">
        <f t="shared" ca="1" si="216"/>
        <v>4300</v>
      </c>
      <c r="W676" s="12">
        <f t="shared" ca="1" si="218"/>
        <v>4654</v>
      </c>
      <c r="X676" s="11"/>
      <c r="Y676" s="10"/>
      <c r="Z676" s="10"/>
      <c r="AA676" s="10"/>
      <c r="AB676" s="9"/>
    </row>
    <row r="677" spans="1:28" ht="13.15" customHeight="1">
      <c r="A677" s="16">
        <f t="shared" si="219"/>
        <v>663</v>
      </c>
      <c r="B677" s="17">
        <f t="shared" si="211"/>
        <v>45735</v>
      </c>
      <c r="C677" s="16">
        <f t="shared" si="212"/>
        <v>1069</v>
      </c>
      <c r="D677" s="15">
        <f t="shared" si="203"/>
        <v>2498</v>
      </c>
      <c r="E677" s="14">
        <f t="shared" ca="1" si="204"/>
        <v>541</v>
      </c>
      <c r="F677" s="14">
        <f t="shared" ca="1" si="205"/>
        <v>765</v>
      </c>
      <c r="G677" s="14">
        <f t="shared" ca="1" si="206"/>
        <v>442</v>
      </c>
      <c r="H677" s="10">
        <f t="shared" ca="1" si="207"/>
        <v>3026</v>
      </c>
      <c r="I677" s="10">
        <f t="shared" ca="1" si="208"/>
        <v>2802</v>
      </c>
      <c r="J677" s="10">
        <f t="shared" ca="1" si="209"/>
        <v>3125</v>
      </c>
      <c r="K677" s="10">
        <f t="shared" si="200"/>
        <v>4000</v>
      </c>
      <c r="L677" s="10">
        <f t="shared" si="201"/>
        <v>4000</v>
      </c>
      <c r="M677" s="10">
        <f t="shared" si="202"/>
        <v>4000</v>
      </c>
      <c r="N677" s="10">
        <f t="shared" ca="1" si="213"/>
        <v>-974</v>
      </c>
      <c r="O677" s="10">
        <f t="shared" ca="1" si="214"/>
        <v>-1198</v>
      </c>
      <c r="P677" s="10">
        <f t="shared" ca="1" si="215"/>
        <v>-875</v>
      </c>
      <c r="Q677" s="14">
        <v>10</v>
      </c>
      <c r="R677" s="14">
        <v>8</v>
      </c>
      <c r="S677" s="14">
        <v>9</v>
      </c>
      <c r="T677" s="13">
        <f t="shared" ca="1" si="210"/>
        <v>-1025</v>
      </c>
      <c r="U677" s="12">
        <f t="shared" ca="1" si="217"/>
        <v>4766</v>
      </c>
      <c r="V677" s="12">
        <f t="shared" ca="1" si="216"/>
        <v>4592</v>
      </c>
      <c r="W677" s="12">
        <f t="shared" ca="1" si="218"/>
        <v>4945</v>
      </c>
      <c r="X677" s="11">
        <v>0.3</v>
      </c>
      <c r="Y677" s="10"/>
      <c r="Z677" s="10"/>
      <c r="AA677" s="10"/>
      <c r="AB677" s="9" t="s">
        <v>79</v>
      </c>
    </row>
    <row r="678" spans="1:28" ht="13.15" customHeight="1">
      <c r="A678" s="16">
        <f t="shared" si="219"/>
        <v>664</v>
      </c>
      <c r="B678" s="17">
        <f t="shared" si="211"/>
        <v>45736</v>
      </c>
      <c r="C678" s="16">
        <f t="shared" si="212"/>
        <v>1069</v>
      </c>
      <c r="D678" s="15">
        <f t="shared" si="203"/>
        <v>2500</v>
      </c>
      <c r="E678" s="14">
        <f t="shared" ca="1" si="204"/>
        <v>553</v>
      </c>
      <c r="F678" s="14">
        <f t="shared" ca="1" si="205"/>
        <v>777</v>
      </c>
      <c r="G678" s="14">
        <f t="shared" ca="1" si="206"/>
        <v>454</v>
      </c>
      <c r="H678" s="10">
        <f t="shared" ca="1" si="207"/>
        <v>3016</v>
      </c>
      <c r="I678" s="10">
        <f t="shared" ca="1" si="208"/>
        <v>2792</v>
      </c>
      <c r="J678" s="10">
        <f t="shared" ca="1" si="209"/>
        <v>3115</v>
      </c>
      <c r="K678" s="10">
        <f t="shared" si="200"/>
        <v>4000</v>
      </c>
      <c r="L678" s="10">
        <f t="shared" si="201"/>
        <v>4000</v>
      </c>
      <c r="M678" s="10">
        <f t="shared" si="202"/>
        <v>4000</v>
      </c>
      <c r="N678" s="10">
        <f t="shared" ca="1" si="213"/>
        <v>-984</v>
      </c>
      <c r="O678" s="10">
        <f t="shared" ca="1" si="214"/>
        <v>-1208</v>
      </c>
      <c r="P678" s="10">
        <f t="shared" ca="1" si="215"/>
        <v>-885</v>
      </c>
      <c r="Q678" s="14">
        <v>10</v>
      </c>
      <c r="R678" s="14">
        <v>10</v>
      </c>
      <c r="S678" s="14">
        <v>10</v>
      </c>
      <c r="T678" s="13">
        <f t="shared" ca="1" si="210"/>
        <v>-1013</v>
      </c>
      <c r="U678" s="12">
        <f t="shared" ca="1" si="217"/>
        <v>4756</v>
      </c>
      <c r="V678" s="12">
        <f t="shared" ca="1" si="216"/>
        <v>4582</v>
      </c>
      <c r="W678" s="12">
        <f t="shared" ca="1" si="218"/>
        <v>4935</v>
      </c>
      <c r="X678" s="11"/>
      <c r="Y678" s="10"/>
      <c r="Z678" s="10"/>
      <c r="AA678" s="10"/>
      <c r="AB678" s="9"/>
    </row>
    <row r="679" spans="1:28" ht="13.15" customHeight="1">
      <c r="A679" s="16">
        <f t="shared" si="219"/>
        <v>665</v>
      </c>
      <c r="B679" s="17">
        <f t="shared" si="211"/>
        <v>45737</v>
      </c>
      <c r="C679" s="16">
        <f t="shared" si="212"/>
        <v>1069</v>
      </c>
      <c r="D679" s="15">
        <f t="shared" si="203"/>
        <v>2502</v>
      </c>
      <c r="E679" s="14">
        <f t="shared" ca="1" si="204"/>
        <v>565</v>
      </c>
      <c r="F679" s="14">
        <f t="shared" ca="1" si="205"/>
        <v>789</v>
      </c>
      <c r="G679" s="14">
        <f t="shared" ca="1" si="206"/>
        <v>465</v>
      </c>
      <c r="H679" s="10">
        <f t="shared" ca="1" si="207"/>
        <v>3006</v>
      </c>
      <c r="I679" s="10">
        <f t="shared" ca="1" si="208"/>
        <v>2782</v>
      </c>
      <c r="J679" s="10">
        <f t="shared" ca="1" si="209"/>
        <v>3106</v>
      </c>
      <c r="K679" s="10">
        <f t="shared" si="200"/>
        <v>4000</v>
      </c>
      <c r="L679" s="10">
        <f t="shared" si="201"/>
        <v>4000</v>
      </c>
      <c r="M679" s="10">
        <f t="shared" si="202"/>
        <v>4000</v>
      </c>
      <c r="N679" s="10">
        <f t="shared" ca="1" si="213"/>
        <v>-994</v>
      </c>
      <c r="O679" s="10">
        <f t="shared" ca="1" si="214"/>
        <v>-1218</v>
      </c>
      <c r="P679" s="10">
        <f t="shared" ca="1" si="215"/>
        <v>-894</v>
      </c>
      <c r="Q679" s="14">
        <v>10</v>
      </c>
      <c r="R679" s="14">
        <v>10</v>
      </c>
      <c r="S679" s="14">
        <v>9</v>
      </c>
      <c r="T679" s="13">
        <f t="shared" ca="1" si="210"/>
        <v>-1001</v>
      </c>
      <c r="U679" s="12">
        <f t="shared" ca="1" si="217"/>
        <v>4746</v>
      </c>
      <c r="V679" s="12">
        <f t="shared" ca="1" si="216"/>
        <v>4572</v>
      </c>
      <c r="W679" s="12">
        <f t="shared" ca="1" si="218"/>
        <v>4926</v>
      </c>
      <c r="X679" s="11"/>
      <c r="Y679" s="10"/>
      <c r="Z679" s="10"/>
      <c r="AA679" s="10"/>
      <c r="AB679" s="9"/>
    </row>
    <row r="680" spans="1:28" ht="13.15" customHeight="1">
      <c r="A680" s="16">
        <f t="shared" si="219"/>
        <v>666</v>
      </c>
      <c r="B680" s="17">
        <f t="shared" si="211"/>
        <v>45738</v>
      </c>
      <c r="C680" s="16">
        <f t="shared" si="212"/>
        <v>1069</v>
      </c>
      <c r="D680" s="15">
        <f t="shared" si="203"/>
        <v>2504</v>
      </c>
      <c r="E680" s="14">
        <f t="shared" ca="1" si="204"/>
        <v>577</v>
      </c>
      <c r="F680" s="14">
        <f t="shared" ca="1" si="205"/>
        <v>801</v>
      </c>
      <c r="G680" s="14">
        <f t="shared" ca="1" si="206"/>
        <v>477</v>
      </c>
      <c r="H680" s="10">
        <f t="shared" ca="1" si="207"/>
        <v>2996</v>
      </c>
      <c r="I680" s="10">
        <f t="shared" ca="1" si="208"/>
        <v>2772</v>
      </c>
      <c r="J680" s="10">
        <f t="shared" ca="1" si="209"/>
        <v>3096</v>
      </c>
      <c r="K680" s="10">
        <f t="shared" si="200"/>
        <v>4000</v>
      </c>
      <c r="L680" s="10">
        <f t="shared" si="201"/>
        <v>4000</v>
      </c>
      <c r="M680" s="10">
        <f t="shared" si="202"/>
        <v>4000</v>
      </c>
      <c r="N680" s="10">
        <f t="shared" ca="1" si="213"/>
        <v>-1004</v>
      </c>
      <c r="O680" s="10">
        <f t="shared" ca="1" si="214"/>
        <v>-1228</v>
      </c>
      <c r="P680" s="10">
        <f t="shared" ca="1" si="215"/>
        <v>-904</v>
      </c>
      <c r="Q680" s="14">
        <v>10</v>
      </c>
      <c r="R680" s="14">
        <v>10</v>
      </c>
      <c r="S680" s="14">
        <v>10</v>
      </c>
      <c r="T680" s="13">
        <f t="shared" ca="1" si="210"/>
        <v>-989</v>
      </c>
      <c r="U680" s="12">
        <f t="shared" ca="1" si="217"/>
        <v>4736</v>
      </c>
      <c r="V680" s="12">
        <f t="shared" ca="1" si="216"/>
        <v>4562</v>
      </c>
      <c r="W680" s="12">
        <f t="shared" ca="1" si="218"/>
        <v>4916</v>
      </c>
      <c r="X680" s="11"/>
      <c r="Y680" s="10"/>
      <c r="Z680" s="10"/>
      <c r="AA680" s="10"/>
      <c r="AB680" s="9"/>
    </row>
    <row r="681" spans="1:28" ht="13.15" customHeight="1">
      <c r="A681" s="16">
        <f t="shared" si="219"/>
        <v>667</v>
      </c>
      <c r="B681" s="17">
        <f t="shared" si="211"/>
        <v>45739</v>
      </c>
      <c r="C681" s="16">
        <f t="shared" si="212"/>
        <v>1069</v>
      </c>
      <c r="D681" s="15">
        <f t="shared" si="203"/>
        <v>2506</v>
      </c>
      <c r="E681" s="14">
        <f t="shared" ca="1" si="204"/>
        <v>589</v>
      </c>
      <c r="F681" s="14">
        <f t="shared" ca="1" si="205"/>
        <v>813</v>
      </c>
      <c r="G681" s="14">
        <f t="shared" ca="1" si="206"/>
        <v>486</v>
      </c>
      <c r="H681" s="10">
        <f t="shared" ca="1" si="207"/>
        <v>2986</v>
      </c>
      <c r="I681" s="10">
        <f t="shared" ca="1" si="208"/>
        <v>2762</v>
      </c>
      <c r="J681" s="10">
        <f t="shared" ca="1" si="209"/>
        <v>3089</v>
      </c>
      <c r="K681" s="10">
        <f t="shared" si="200"/>
        <v>4000</v>
      </c>
      <c r="L681" s="10">
        <f t="shared" si="201"/>
        <v>4000</v>
      </c>
      <c r="M681" s="10">
        <f t="shared" si="202"/>
        <v>4000</v>
      </c>
      <c r="N681" s="10">
        <f t="shared" ca="1" si="213"/>
        <v>-1014</v>
      </c>
      <c r="O681" s="10">
        <f t="shared" ca="1" si="214"/>
        <v>-1238</v>
      </c>
      <c r="P681" s="10">
        <f t="shared" ca="1" si="215"/>
        <v>-911</v>
      </c>
      <c r="Q681" s="14">
        <v>10</v>
      </c>
      <c r="R681" s="14">
        <v>10</v>
      </c>
      <c r="S681" s="14">
        <v>7</v>
      </c>
      <c r="T681" s="13">
        <f t="shared" ca="1" si="210"/>
        <v>-977</v>
      </c>
      <c r="U681" s="12">
        <f t="shared" ca="1" si="217"/>
        <v>4726</v>
      </c>
      <c r="V681" s="12">
        <f t="shared" ca="1" si="216"/>
        <v>4552</v>
      </c>
      <c r="W681" s="12">
        <f t="shared" ca="1" si="218"/>
        <v>4909</v>
      </c>
      <c r="X681" s="11"/>
      <c r="Y681" s="10"/>
      <c r="Z681" s="10"/>
      <c r="AA681" s="10"/>
      <c r="AB681" s="9"/>
    </row>
    <row r="682" spans="1:28" ht="13.15" customHeight="1">
      <c r="A682" s="16">
        <f t="shared" si="219"/>
        <v>668</v>
      </c>
      <c r="B682" s="17">
        <f t="shared" si="211"/>
        <v>45740</v>
      </c>
      <c r="C682" s="16">
        <f t="shared" si="212"/>
        <v>1069</v>
      </c>
      <c r="D682" s="15">
        <f t="shared" si="203"/>
        <v>2508</v>
      </c>
      <c r="E682" s="14">
        <f t="shared" ca="1" si="204"/>
        <v>601</v>
      </c>
      <c r="F682" s="14">
        <f t="shared" ca="1" si="205"/>
        <v>825</v>
      </c>
      <c r="G682" s="14">
        <f t="shared" ca="1" si="206"/>
        <v>498</v>
      </c>
      <c r="H682" s="10">
        <f t="shared" ca="1" si="207"/>
        <v>2976</v>
      </c>
      <c r="I682" s="10">
        <f t="shared" ca="1" si="208"/>
        <v>2752</v>
      </c>
      <c r="J682" s="10">
        <f t="shared" ca="1" si="209"/>
        <v>3079</v>
      </c>
      <c r="K682" s="10">
        <f t="shared" si="200"/>
        <v>4000</v>
      </c>
      <c r="L682" s="10">
        <f t="shared" si="201"/>
        <v>4000</v>
      </c>
      <c r="M682" s="10">
        <f t="shared" si="202"/>
        <v>4000</v>
      </c>
      <c r="N682" s="10">
        <f t="shared" ca="1" si="213"/>
        <v>-1024</v>
      </c>
      <c r="O682" s="10">
        <f t="shared" ca="1" si="214"/>
        <v>-1248</v>
      </c>
      <c r="P682" s="10">
        <f t="shared" ca="1" si="215"/>
        <v>-921</v>
      </c>
      <c r="Q682" s="14">
        <v>10</v>
      </c>
      <c r="R682" s="14">
        <v>10</v>
      </c>
      <c r="S682" s="14">
        <v>10</v>
      </c>
      <c r="T682" s="13">
        <f t="shared" ca="1" si="210"/>
        <v>-1265</v>
      </c>
      <c r="U682" s="12">
        <f t="shared" ca="1" si="217"/>
        <v>5016</v>
      </c>
      <c r="V682" s="12">
        <f t="shared" ca="1" si="216"/>
        <v>4842</v>
      </c>
      <c r="W682" s="12">
        <f t="shared" ca="1" si="218"/>
        <v>5199</v>
      </c>
      <c r="X682" s="11">
        <v>0.3</v>
      </c>
      <c r="Y682" s="10"/>
      <c r="Z682" s="10"/>
      <c r="AA682" s="10"/>
      <c r="AB682" s="9" t="s">
        <v>80</v>
      </c>
    </row>
    <row r="683" spans="1:28" ht="13.15" customHeight="1">
      <c r="A683" s="16">
        <f t="shared" si="219"/>
        <v>669</v>
      </c>
      <c r="B683" s="17">
        <f t="shared" si="211"/>
        <v>45741</v>
      </c>
      <c r="C683" s="16">
        <f t="shared" si="212"/>
        <v>1069</v>
      </c>
      <c r="D683" s="15">
        <f t="shared" si="203"/>
        <v>2510</v>
      </c>
      <c r="E683" s="14">
        <f t="shared" ca="1" si="204"/>
        <v>613</v>
      </c>
      <c r="F683" s="14">
        <f t="shared" ca="1" si="205"/>
        <v>837</v>
      </c>
      <c r="G683" s="14">
        <f t="shared" ca="1" si="206"/>
        <v>506</v>
      </c>
      <c r="H683" s="10">
        <f t="shared" ca="1" si="207"/>
        <v>2966</v>
      </c>
      <c r="I683" s="10">
        <f t="shared" ca="1" si="208"/>
        <v>2742</v>
      </c>
      <c r="J683" s="10">
        <f t="shared" ca="1" si="209"/>
        <v>3073</v>
      </c>
      <c r="K683" s="10">
        <f t="shared" si="200"/>
        <v>4000</v>
      </c>
      <c r="L683" s="10">
        <f t="shared" si="201"/>
        <v>4000</v>
      </c>
      <c r="M683" s="10">
        <f t="shared" si="202"/>
        <v>4000</v>
      </c>
      <c r="N683" s="10">
        <f t="shared" ca="1" si="213"/>
        <v>-1034</v>
      </c>
      <c r="O683" s="10">
        <f t="shared" ca="1" si="214"/>
        <v>-1258</v>
      </c>
      <c r="P683" s="10">
        <f t="shared" ca="1" si="215"/>
        <v>-927</v>
      </c>
      <c r="Q683" s="14">
        <v>10</v>
      </c>
      <c r="R683" s="14">
        <v>10</v>
      </c>
      <c r="S683" s="14">
        <v>6</v>
      </c>
      <c r="T683" s="13">
        <f t="shared" ca="1" si="210"/>
        <v>-1253</v>
      </c>
      <c r="U683" s="12">
        <f t="shared" ca="1" si="217"/>
        <v>5006</v>
      </c>
      <c r="V683" s="12">
        <f t="shared" ca="1" si="216"/>
        <v>4832</v>
      </c>
      <c r="W683" s="12">
        <f t="shared" ca="1" si="218"/>
        <v>5193</v>
      </c>
      <c r="X683" s="11"/>
      <c r="Y683" s="10"/>
      <c r="Z683" s="10"/>
      <c r="AA683" s="10"/>
      <c r="AB683" s="9"/>
    </row>
    <row r="684" spans="1:28" ht="13.15" customHeight="1">
      <c r="A684" s="16">
        <f t="shared" si="219"/>
        <v>670</v>
      </c>
      <c r="B684" s="17">
        <f t="shared" si="211"/>
        <v>45742</v>
      </c>
      <c r="C684" s="16">
        <f t="shared" si="212"/>
        <v>1069</v>
      </c>
      <c r="D684" s="15">
        <f t="shared" si="203"/>
        <v>2512</v>
      </c>
      <c r="E684" s="14">
        <f t="shared" ca="1" si="204"/>
        <v>625</v>
      </c>
      <c r="F684" s="14">
        <f t="shared" ca="1" si="205"/>
        <v>849</v>
      </c>
      <c r="G684" s="14">
        <f t="shared" ca="1" si="206"/>
        <v>518</v>
      </c>
      <c r="H684" s="10">
        <f t="shared" ca="1" si="207"/>
        <v>2956</v>
      </c>
      <c r="I684" s="10">
        <f t="shared" ca="1" si="208"/>
        <v>2732</v>
      </c>
      <c r="J684" s="10">
        <f t="shared" ca="1" si="209"/>
        <v>3063</v>
      </c>
      <c r="K684" s="10">
        <f t="shared" ref="K684:K704" si="220">K683</f>
        <v>4000</v>
      </c>
      <c r="L684" s="10">
        <f t="shared" ref="L684:L704" si="221">L683</f>
        <v>4000</v>
      </c>
      <c r="M684" s="10">
        <f t="shared" ref="M684:M704" si="222">M683</f>
        <v>4000</v>
      </c>
      <c r="N684" s="10">
        <f t="shared" ca="1" si="213"/>
        <v>-1044</v>
      </c>
      <c r="O684" s="10">
        <f t="shared" ca="1" si="214"/>
        <v>-1268</v>
      </c>
      <c r="P684" s="10">
        <f t="shared" ca="1" si="215"/>
        <v>-937</v>
      </c>
      <c r="Q684" s="14">
        <v>10</v>
      </c>
      <c r="R684" s="14">
        <v>10</v>
      </c>
      <c r="S684" s="14">
        <v>10</v>
      </c>
      <c r="T684" s="13">
        <f t="shared" ca="1" si="210"/>
        <v>-1241</v>
      </c>
      <c r="U684" s="12">
        <f t="shared" ca="1" si="217"/>
        <v>4996</v>
      </c>
      <c r="V684" s="12">
        <f t="shared" ca="1" si="216"/>
        <v>4822</v>
      </c>
      <c r="W684" s="12">
        <f t="shared" ca="1" si="218"/>
        <v>5183</v>
      </c>
      <c r="X684" s="11"/>
      <c r="Y684" s="10"/>
      <c r="Z684" s="10"/>
      <c r="AA684" s="10"/>
      <c r="AB684" s="9"/>
    </row>
    <row r="685" spans="1:28" ht="13.15" customHeight="1">
      <c r="A685" s="16">
        <f t="shared" si="219"/>
        <v>671</v>
      </c>
      <c r="B685" s="17">
        <f t="shared" si="211"/>
        <v>45743</v>
      </c>
      <c r="C685" s="16">
        <f t="shared" si="212"/>
        <v>1069</v>
      </c>
      <c r="D685" s="15">
        <f t="shared" si="203"/>
        <v>2514</v>
      </c>
      <c r="E685" s="14">
        <f t="shared" ca="1" si="204"/>
        <v>637</v>
      </c>
      <c r="F685" s="14">
        <f t="shared" ca="1" si="205"/>
        <v>861</v>
      </c>
      <c r="G685" s="14">
        <f t="shared" ca="1" si="206"/>
        <v>528</v>
      </c>
      <c r="H685" s="10">
        <f t="shared" ca="1" si="207"/>
        <v>2946</v>
      </c>
      <c r="I685" s="10">
        <f t="shared" ca="1" si="208"/>
        <v>2722</v>
      </c>
      <c r="J685" s="10">
        <f t="shared" ca="1" si="209"/>
        <v>3055</v>
      </c>
      <c r="K685" s="10">
        <f t="shared" si="220"/>
        <v>4000</v>
      </c>
      <c r="L685" s="10">
        <f t="shared" si="221"/>
        <v>4000</v>
      </c>
      <c r="M685" s="10">
        <f t="shared" si="222"/>
        <v>4000</v>
      </c>
      <c r="N685" s="10">
        <f t="shared" ca="1" si="213"/>
        <v>-1054</v>
      </c>
      <c r="O685" s="10">
        <f t="shared" ca="1" si="214"/>
        <v>-1278</v>
      </c>
      <c r="P685" s="10">
        <f t="shared" ca="1" si="215"/>
        <v>-945</v>
      </c>
      <c r="Q685" s="14">
        <v>10</v>
      </c>
      <c r="R685" s="14">
        <v>10</v>
      </c>
      <c r="S685" s="14">
        <v>8</v>
      </c>
      <c r="T685" s="13">
        <f t="shared" ca="1" si="210"/>
        <v>-1229</v>
      </c>
      <c r="U685" s="12">
        <f t="shared" ca="1" si="217"/>
        <v>4986</v>
      </c>
      <c r="V685" s="12">
        <f t="shared" ca="1" si="216"/>
        <v>4812</v>
      </c>
      <c r="W685" s="12">
        <f t="shared" ca="1" si="218"/>
        <v>5175</v>
      </c>
      <c r="X685" s="11"/>
      <c r="Y685" s="10"/>
      <c r="Z685" s="10"/>
      <c r="AA685" s="10"/>
      <c r="AB685" s="9"/>
    </row>
    <row r="686" spans="1:28" ht="13.15" customHeight="1">
      <c r="A686" s="16">
        <f t="shared" si="219"/>
        <v>672</v>
      </c>
      <c r="B686" s="17">
        <f t="shared" si="211"/>
        <v>45744</v>
      </c>
      <c r="C686" s="16">
        <f t="shared" si="212"/>
        <v>1069</v>
      </c>
      <c r="D686" s="15">
        <f t="shared" si="203"/>
        <v>2516</v>
      </c>
      <c r="E686" s="14">
        <f t="shared" ca="1" si="204"/>
        <v>649</v>
      </c>
      <c r="F686" s="14">
        <f t="shared" ca="1" si="205"/>
        <v>873</v>
      </c>
      <c r="G686" s="14">
        <f t="shared" ca="1" si="206"/>
        <v>540</v>
      </c>
      <c r="H686" s="10">
        <f t="shared" ca="1" si="207"/>
        <v>2936</v>
      </c>
      <c r="I686" s="10">
        <f t="shared" ca="1" si="208"/>
        <v>2712</v>
      </c>
      <c r="J686" s="10">
        <f t="shared" ca="1" si="209"/>
        <v>3045</v>
      </c>
      <c r="K686" s="10">
        <f t="shared" si="220"/>
        <v>4000</v>
      </c>
      <c r="L686" s="10">
        <f t="shared" si="221"/>
        <v>4000</v>
      </c>
      <c r="M686" s="10">
        <f t="shared" si="222"/>
        <v>4000</v>
      </c>
      <c r="N686" s="10">
        <f t="shared" ca="1" si="213"/>
        <v>-1064</v>
      </c>
      <c r="O686" s="10">
        <f t="shared" ca="1" si="214"/>
        <v>-1288</v>
      </c>
      <c r="P686" s="10">
        <f t="shared" ca="1" si="215"/>
        <v>-955</v>
      </c>
      <c r="Q686" s="14">
        <v>10</v>
      </c>
      <c r="R686" s="14">
        <v>10</v>
      </c>
      <c r="S686" s="14">
        <v>10</v>
      </c>
      <c r="T686" s="13">
        <f t="shared" ca="1" si="210"/>
        <v>-1217</v>
      </c>
      <c r="U686" s="12">
        <f t="shared" ca="1" si="217"/>
        <v>4976</v>
      </c>
      <c r="V686" s="12">
        <f t="shared" ca="1" si="216"/>
        <v>4802</v>
      </c>
      <c r="W686" s="12">
        <f t="shared" ca="1" si="218"/>
        <v>5165</v>
      </c>
      <c r="X686" s="11"/>
      <c r="Y686" s="10"/>
      <c r="Z686" s="10"/>
      <c r="AA686" s="10"/>
      <c r="AB686" s="9"/>
    </row>
    <row r="687" spans="1:28" ht="13.15" customHeight="1">
      <c r="A687" s="16">
        <f t="shared" si="219"/>
        <v>673</v>
      </c>
      <c r="B687" s="17">
        <f t="shared" si="211"/>
        <v>45745</v>
      </c>
      <c r="C687" s="16">
        <f t="shared" si="212"/>
        <v>1069</v>
      </c>
      <c r="D687" s="15">
        <f t="shared" si="203"/>
        <v>2518</v>
      </c>
      <c r="E687" s="14">
        <f t="shared" ca="1" si="204"/>
        <v>661</v>
      </c>
      <c r="F687" s="14">
        <f t="shared" ca="1" si="205"/>
        <v>885</v>
      </c>
      <c r="G687" s="14">
        <f t="shared" ca="1" si="206"/>
        <v>552</v>
      </c>
      <c r="H687" s="10">
        <f t="shared" ca="1" si="207"/>
        <v>2926</v>
      </c>
      <c r="I687" s="10">
        <f t="shared" ca="1" si="208"/>
        <v>2702</v>
      </c>
      <c r="J687" s="10">
        <f t="shared" ca="1" si="209"/>
        <v>3035</v>
      </c>
      <c r="K687" s="10">
        <f t="shared" si="220"/>
        <v>4000</v>
      </c>
      <c r="L687" s="10">
        <f t="shared" si="221"/>
        <v>4000</v>
      </c>
      <c r="M687" s="10">
        <f t="shared" si="222"/>
        <v>4000</v>
      </c>
      <c r="N687" s="10">
        <f t="shared" ca="1" si="213"/>
        <v>-1074</v>
      </c>
      <c r="O687" s="10">
        <f t="shared" ca="1" si="214"/>
        <v>-1298</v>
      </c>
      <c r="P687" s="10">
        <f t="shared" ca="1" si="215"/>
        <v>-965</v>
      </c>
      <c r="Q687" s="14">
        <v>10</v>
      </c>
      <c r="R687" s="14">
        <v>10</v>
      </c>
      <c r="S687" s="14">
        <v>10</v>
      </c>
      <c r="T687" s="13">
        <f t="shared" ca="1" si="210"/>
        <v>-1505</v>
      </c>
      <c r="U687" s="12">
        <f t="shared" ca="1" si="217"/>
        <v>5266</v>
      </c>
      <c r="V687" s="12">
        <f t="shared" ca="1" si="216"/>
        <v>5092</v>
      </c>
      <c r="W687" s="12">
        <f t="shared" ca="1" si="218"/>
        <v>5455</v>
      </c>
      <c r="X687" s="11">
        <v>0.3</v>
      </c>
      <c r="Y687" s="10"/>
      <c r="Z687" s="10"/>
      <c r="AA687" s="10"/>
      <c r="AB687" s="9" t="s">
        <v>81</v>
      </c>
    </row>
    <row r="688" spans="1:28" ht="13.15" customHeight="1">
      <c r="A688" s="16">
        <f t="shared" si="219"/>
        <v>674</v>
      </c>
      <c r="B688" s="17">
        <f t="shared" si="211"/>
        <v>45746</v>
      </c>
      <c r="C688" s="16">
        <f t="shared" si="212"/>
        <v>1069</v>
      </c>
      <c r="D688" s="15">
        <f t="shared" si="203"/>
        <v>2520</v>
      </c>
      <c r="E688" s="14">
        <f t="shared" ca="1" si="204"/>
        <v>673</v>
      </c>
      <c r="F688" s="14">
        <f t="shared" ca="1" si="205"/>
        <v>897</v>
      </c>
      <c r="G688" s="14">
        <f t="shared" ca="1" si="206"/>
        <v>563</v>
      </c>
      <c r="H688" s="10">
        <f t="shared" ca="1" si="207"/>
        <v>2916</v>
      </c>
      <c r="I688" s="10">
        <f t="shared" ca="1" si="208"/>
        <v>2692</v>
      </c>
      <c r="J688" s="10">
        <f t="shared" ca="1" si="209"/>
        <v>3026</v>
      </c>
      <c r="K688" s="10">
        <f t="shared" si="220"/>
        <v>4000</v>
      </c>
      <c r="L688" s="10">
        <f t="shared" si="221"/>
        <v>4000</v>
      </c>
      <c r="M688" s="10">
        <f t="shared" si="222"/>
        <v>4000</v>
      </c>
      <c r="N688" s="10">
        <f t="shared" ca="1" si="213"/>
        <v>-1084</v>
      </c>
      <c r="O688" s="10">
        <f t="shared" ca="1" si="214"/>
        <v>-1308</v>
      </c>
      <c r="P688" s="10">
        <f t="shared" ca="1" si="215"/>
        <v>-974</v>
      </c>
      <c r="Q688" s="14">
        <v>10</v>
      </c>
      <c r="R688" s="14">
        <v>10</v>
      </c>
      <c r="S688" s="14">
        <v>9</v>
      </c>
      <c r="T688" s="13">
        <f t="shared" ca="1" si="210"/>
        <v>-1493</v>
      </c>
      <c r="U688" s="12">
        <f t="shared" ca="1" si="217"/>
        <v>5256</v>
      </c>
      <c r="V688" s="12">
        <f t="shared" ca="1" si="216"/>
        <v>5082</v>
      </c>
      <c r="W688" s="12">
        <f t="shared" ca="1" si="218"/>
        <v>5446</v>
      </c>
      <c r="X688" s="11"/>
      <c r="Y688" s="10"/>
      <c r="Z688" s="10"/>
      <c r="AA688" s="10"/>
      <c r="AB688" s="9"/>
    </row>
    <row r="689" spans="1:36" ht="13.15" customHeight="1">
      <c r="A689" s="16">
        <f t="shared" si="219"/>
        <v>675</v>
      </c>
      <c r="B689" s="17">
        <f t="shared" si="211"/>
        <v>45747</v>
      </c>
      <c r="C689" s="16">
        <f t="shared" si="212"/>
        <v>1069</v>
      </c>
      <c r="D689" s="15">
        <f t="shared" si="203"/>
        <v>2522</v>
      </c>
      <c r="E689" s="14">
        <f t="shared" ca="1" si="204"/>
        <v>685</v>
      </c>
      <c r="F689" s="14">
        <f t="shared" ca="1" si="205"/>
        <v>909</v>
      </c>
      <c r="G689" s="14">
        <f t="shared" ca="1" si="206"/>
        <v>575</v>
      </c>
      <c r="H689" s="10">
        <f t="shared" ca="1" si="207"/>
        <v>2906</v>
      </c>
      <c r="I689" s="10">
        <f t="shared" ca="1" si="208"/>
        <v>2682</v>
      </c>
      <c r="J689" s="10">
        <f t="shared" ca="1" si="209"/>
        <v>3016</v>
      </c>
      <c r="K689" s="10">
        <f t="shared" si="220"/>
        <v>4000</v>
      </c>
      <c r="L689" s="10">
        <f t="shared" si="221"/>
        <v>4000</v>
      </c>
      <c r="M689" s="10">
        <f t="shared" si="222"/>
        <v>4000</v>
      </c>
      <c r="N689" s="10">
        <f t="shared" ca="1" si="213"/>
        <v>-1094</v>
      </c>
      <c r="O689" s="10">
        <f t="shared" ca="1" si="214"/>
        <v>-1318</v>
      </c>
      <c r="P689" s="10">
        <f t="shared" ca="1" si="215"/>
        <v>-984</v>
      </c>
      <c r="Q689" s="14">
        <v>10</v>
      </c>
      <c r="R689" s="14">
        <v>10</v>
      </c>
      <c r="S689" s="14">
        <v>10</v>
      </c>
      <c r="T689" s="13">
        <f t="shared" ca="1" si="210"/>
        <v>-1481</v>
      </c>
      <c r="U689" s="12">
        <f t="shared" ca="1" si="217"/>
        <v>5246</v>
      </c>
      <c r="V689" s="12">
        <f t="shared" ca="1" si="216"/>
        <v>5072</v>
      </c>
      <c r="W689" s="12">
        <f t="shared" ca="1" si="218"/>
        <v>5436</v>
      </c>
      <c r="X689" s="11"/>
      <c r="Y689" s="10"/>
      <c r="Z689" s="10"/>
      <c r="AA689" s="10"/>
      <c r="AB689" s="9"/>
    </row>
    <row r="690" spans="1:36" ht="13.15" customHeight="1">
      <c r="A690" s="16">
        <f t="shared" si="219"/>
        <v>676</v>
      </c>
      <c r="B690" s="17">
        <f t="shared" si="211"/>
        <v>45748</v>
      </c>
      <c r="C690" s="16">
        <f t="shared" si="212"/>
        <v>1069</v>
      </c>
      <c r="D690" s="15">
        <f t="shared" si="203"/>
        <v>2524</v>
      </c>
      <c r="E690" s="14">
        <f t="shared" ca="1" si="204"/>
        <v>697</v>
      </c>
      <c r="F690" s="14">
        <f t="shared" ca="1" si="205"/>
        <v>921</v>
      </c>
      <c r="G690" s="14">
        <f t="shared" ca="1" si="206"/>
        <v>583</v>
      </c>
      <c r="H690" s="10">
        <f t="shared" ca="1" si="207"/>
        <v>2896</v>
      </c>
      <c r="I690" s="10">
        <f t="shared" ca="1" si="208"/>
        <v>2672</v>
      </c>
      <c r="J690" s="10">
        <f t="shared" ca="1" si="209"/>
        <v>3010</v>
      </c>
      <c r="K690" s="10">
        <f t="shared" si="220"/>
        <v>4000</v>
      </c>
      <c r="L690" s="10">
        <f t="shared" si="221"/>
        <v>4000</v>
      </c>
      <c r="M690" s="10">
        <f t="shared" si="222"/>
        <v>4000</v>
      </c>
      <c r="N690" s="10">
        <f t="shared" ca="1" si="213"/>
        <v>-1104</v>
      </c>
      <c r="O690" s="10">
        <f t="shared" ca="1" si="214"/>
        <v>-1328</v>
      </c>
      <c r="P690" s="10">
        <f t="shared" ca="1" si="215"/>
        <v>-990</v>
      </c>
      <c r="Q690" s="14">
        <v>10</v>
      </c>
      <c r="R690" s="14">
        <v>10</v>
      </c>
      <c r="S690" s="14">
        <v>6</v>
      </c>
      <c r="T690" s="13">
        <f t="shared" ca="1" si="210"/>
        <v>-1469</v>
      </c>
      <c r="U690" s="12">
        <f t="shared" ca="1" si="217"/>
        <v>5236</v>
      </c>
      <c r="V690" s="12">
        <f t="shared" ca="1" si="216"/>
        <v>5062</v>
      </c>
      <c r="W690" s="12">
        <f t="shared" ca="1" si="218"/>
        <v>5430</v>
      </c>
      <c r="X690" s="11"/>
      <c r="Y690" s="10"/>
      <c r="Z690" s="10"/>
      <c r="AA690" s="10"/>
      <c r="AB690" s="9"/>
    </row>
    <row r="691" spans="1:36" ht="13.15" customHeight="1">
      <c r="A691" s="16">
        <f t="shared" si="219"/>
        <v>677</v>
      </c>
      <c r="B691" s="17">
        <f t="shared" si="211"/>
        <v>45749</v>
      </c>
      <c r="C691" s="16">
        <f t="shared" si="212"/>
        <v>1069</v>
      </c>
      <c r="D691" s="15">
        <f t="shared" si="203"/>
        <v>2526</v>
      </c>
      <c r="E691" s="14">
        <f t="shared" ca="1" si="204"/>
        <v>709</v>
      </c>
      <c r="F691" s="14">
        <f t="shared" ca="1" si="205"/>
        <v>933</v>
      </c>
      <c r="G691" s="14">
        <f t="shared" ca="1" si="206"/>
        <v>593</v>
      </c>
      <c r="H691" s="10">
        <f t="shared" ca="1" si="207"/>
        <v>2886</v>
      </c>
      <c r="I691" s="10">
        <f t="shared" ca="1" si="208"/>
        <v>2662</v>
      </c>
      <c r="J691" s="10">
        <f t="shared" ca="1" si="209"/>
        <v>3002</v>
      </c>
      <c r="K691" s="10">
        <f t="shared" si="220"/>
        <v>4000</v>
      </c>
      <c r="L691" s="10">
        <f t="shared" si="221"/>
        <v>4000</v>
      </c>
      <c r="M691" s="10">
        <f t="shared" si="222"/>
        <v>4000</v>
      </c>
      <c r="N691" s="10">
        <f t="shared" ca="1" si="213"/>
        <v>-1114</v>
      </c>
      <c r="O691" s="10">
        <f t="shared" ca="1" si="214"/>
        <v>-1338</v>
      </c>
      <c r="P691" s="10">
        <f t="shared" ca="1" si="215"/>
        <v>-998</v>
      </c>
      <c r="Q691" s="14">
        <v>10</v>
      </c>
      <c r="R691" s="14">
        <v>10</v>
      </c>
      <c r="S691" s="14">
        <v>8</v>
      </c>
      <c r="T691" s="13">
        <f t="shared" ca="1" si="210"/>
        <v>-1457</v>
      </c>
      <c r="U691" s="12">
        <f t="shared" ca="1" si="217"/>
        <v>5226</v>
      </c>
      <c r="V691" s="12">
        <f t="shared" ca="1" si="216"/>
        <v>5052</v>
      </c>
      <c r="W691" s="12">
        <f t="shared" ca="1" si="218"/>
        <v>5422</v>
      </c>
      <c r="X691" s="11"/>
      <c r="Y691" s="10"/>
      <c r="Z691" s="10"/>
      <c r="AA691" s="10"/>
      <c r="AB691" s="9"/>
    </row>
    <row r="692" spans="1:36" ht="13.15" customHeight="1">
      <c r="A692" s="16">
        <f t="shared" si="219"/>
        <v>678</v>
      </c>
      <c r="B692" s="17">
        <f t="shared" si="211"/>
        <v>45750</v>
      </c>
      <c r="C692" s="16">
        <f t="shared" si="212"/>
        <v>1069</v>
      </c>
      <c r="D692" s="15">
        <f t="shared" si="203"/>
        <v>2528</v>
      </c>
      <c r="E692" s="14">
        <f t="shared" ca="1" si="204"/>
        <v>721</v>
      </c>
      <c r="F692" s="14">
        <f t="shared" ca="1" si="205"/>
        <v>945</v>
      </c>
      <c r="G692" s="14">
        <f t="shared" ca="1" si="206"/>
        <v>602</v>
      </c>
      <c r="H692" s="10">
        <f t="shared" ca="1" si="207"/>
        <v>2876</v>
      </c>
      <c r="I692" s="10">
        <f t="shared" ca="1" si="208"/>
        <v>2652</v>
      </c>
      <c r="J692" s="10">
        <f t="shared" ca="1" si="209"/>
        <v>2995</v>
      </c>
      <c r="K692" s="10">
        <f t="shared" si="220"/>
        <v>4000</v>
      </c>
      <c r="L692" s="10">
        <f t="shared" si="221"/>
        <v>4000</v>
      </c>
      <c r="M692" s="10">
        <f t="shared" si="222"/>
        <v>4000</v>
      </c>
      <c r="N692" s="10">
        <f t="shared" ca="1" si="213"/>
        <v>-1124</v>
      </c>
      <c r="O692" s="10">
        <f t="shared" ca="1" si="214"/>
        <v>-1348</v>
      </c>
      <c r="P692" s="10">
        <f t="shared" ca="1" si="215"/>
        <v>-1005</v>
      </c>
      <c r="Q692" s="14">
        <v>10</v>
      </c>
      <c r="R692" s="14">
        <v>10</v>
      </c>
      <c r="S692" s="14">
        <v>7</v>
      </c>
      <c r="T692" s="13">
        <f t="shared" ca="1" si="210"/>
        <v>-1445</v>
      </c>
      <c r="U692" s="12">
        <f t="shared" ca="1" si="217"/>
        <v>5216</v>
      </c>
      <c r="V692" s="12">
        <f t="shared" ca="1" si="216"/>
        <v>5042</v>
      </c>
      <c r="W692" s="12">
        <f t="shared" ca="1" si="218"/>
        <v>5415</v>
      </c>
      <c r="X692" s="11"/>
      <c r="Y692" s="10"/>
      <c r="Z692" s="10"/>
      <c r="AA692" s="10"/>
      <c r="AB692" s="19"/>
    </row>
    <row r="693" spans="1:36" ht="13.15" customHeight="1">
      <c r="A693" s="16">
        <f t="shared" si="219"/>
        <v>679</v>
      </c>
      <c r="B693" s="17">
        <f t="shared" si="211"/>
        <v>45751</v>
      </c>
      <c r="C693" s="16">
        <f t="shared" si="212"/>
        <v>1069</v>
      </c>
      <c r="D693" s="15">
        <f t="shared" si="203"/>
        <v>2530</v>
      </c>
      <c r="E693" s="14">
        <f t="shared" ca="1" si="204"/>
        <v>733</v>
      </c>
      <c r="F693" s="14">
        <f t="shared" ca="1" si="205"/>
        <v>957</v>
      </c>
      <c r="G693" s="14">
        <f t="shared" ca="1" si="206"/>
        <v>614</v>
      </c>
      <c r="H693" s="10">
        <f t="shared" ca="1" si="207"/>
        <v>2866</v>
      </c>
      <c r="I693" s="10">
        <f t="shared" ca="1" si="208"/>
        <v>2642</v>
      </c>
      <c r="J693" s="10">
        <f t="shared" ca="1" si="209"/>
        <v>2985</v>
      </c>
      <c r="K693" s="10">
        <f t="shared" si="220"/>
        <v>4000</v>
      </c>
      <c r="L693" s="10">
        <f t="shared" si="221"/>
        <v>4000</v>
      </c>
      <c r="M693" s="10">
        <f t="shared" si="222"/>
        <v>4000</v>
      </c>
      <c r="N693" s="10">
        <f t="shared" ca="1" si="213"/>
        <v>-1134</v>
      </c>
      <c r="O693" s="10">
        <f t="shared" ca="1" si="214"/>
        <v>-1358</v>
      </c>
      <c r="P693" s="10">
        <f t="shared" ca="1" si="215"/>
        <v>-1015</v>
      </c>
      <c r="Q693" s="14">
        <v>10</v>
      </c>
      <c r="R693" s="14">
        <v>10</v>
      </c>
      <c r="S693" s="14">
        <v>10</v>
      </c>
      <c r="T693" s="13">
        <f t="shared" ca="1" si="210"/>
        <v>-1433</v>
      </c>
      <c r="U693" s="12">
        <f t="shared" ca="1" si="217"/>
        <v>5206</v>
      </c>
      <c r="V693" s="12">
        <f t="shared" ca="1" si="216"/>
        <v>5032</v>
      </c>
      <c r="W693" s="12">
        <f t="shared" ca="1" si="218"/>
        <v>5405</v>
      </c>
      <c r="X693" s="11"/>
      <c r="Y693" s="10"/>
      <c r="Z693" s="10"/>
      <c r="AA693" s="10"/>
      <c r="AB693" s="9"/>
    </row>
    <row r="694" spans="1:36" s="25" customFormat="1" ht="13.15" customHeight="1">
      <c r="A694" s="33">
        <f t="shared" si="219"/>
        <v>680</v>
      </c>
      <c r="B694" s="34">
        <f t="shared" si="211"/>
        <v>45752</v>
      </c>
      <c r="C694" s="33">
        <f t="shared" si="212"/>
        <v>1069</v>
      </c>
      <c r="D694" s="32">
        <f t="shared" si="203"/>
        <v>2532</v>
      </c>
      <c r="E694" s="31">
        <f t="shared" ca="1" si="204"/>
        <v>745</v>
      </c>
      <c r="F694" s="31">
        <f t="shared" ca="1" si="205"/>
        <v>969</v>
      </c>
      <c r="G694" s="31">
        <f t="shared" ca="1" si="206"/>
        <v>625</v>
      </c>
      <c r="H694" s="27">
        <f t="shared" ca="1" si="207"/>
        <v>2856</v>
      </c>
      <c r="I694" s="27">
        <f t="shared" ca="1" si="208"/>
        <v>2632</v>
      </c>
      <c r="J694" s="27">
        <f t="shared" ca="1" si="209"/>
        <v>2976</v>
      </c>
      <c r="K694" s="27">
        <f t="shared" si="220"/>
        <v>4000</v>
      </c>
      <c r="L694" s="27">
        <f t="shared" si="221"/>
        <v>4000</v>
      </c>
      <c r="M694" s="27">
        <f t="shared" si="222"/>
        <v>4000</v>
      </c>
      <c r="N694" s="27">
        <f t="shared" ca="1" si="213"/>
        <v>-1144</v>
      </c>
      <c r="O694" s="27">
        <f t="shared" ca="1" si="214"/>
        <v>-1368</v>
      </c>
      <c r="P694" s="27">
        <f t="shared" ca="1" si="215"/>
        <v>-1024</v>
      </c>
      <c r="Q694" s="31">
        <v>10</v>
      </c>
      <c r="R694" s="31">
        <v>10</v>
      </c>
      <c r="S694" s="31">
        <v>9</v>
      </c>
      <c r="T694" s="30">
        <f t="shared" ca="1" si="210"/>
        <v>-1721</v>
      </c>
      <c r="U694" s="29">
        <f t="shared" ca="1" si="217"/>
        <v>5496</v>
      </c>
      <c r="V694" s="29">
        <f t="shared" ca="1" si="216"/>
        <v>5322</v>
      </c>
      <c r="W694" s="29">
        <f t="shared" ca="1" si="218"/>
        <v>5696</v>
      </c>
      <c r="X694" s="28">
        <v>0.3</v>
      </c>
      <c r="Y694" s="27"/>
      <c r="Z694" s="27"/>
      <c r="AA694" s="27"/>
      <c r="AB694" s="26" t="s">
        <v>0</v>
      </c>
      <c r="AD694"/>
      <c r="AE694"/>
      <c r="AF694"/>
      <c r="AG694"/>
      <c r="AH694"/>
      <c r="AI694"/>
      <c r="AJ694"/>
    </row>
    <row r="695" spans="1:36" ht="13.15" customHeight="1">
      <c r="A695" s="16">
        <f t="shared" si="219"/>
        <v>681</v>
      </c>
      <c r="B695" s="17">
        <f>B694+3</f>
        <v>45755</v>
      </c>
      <c r="C695" s="16">
        <f t="shared" si="212"/>
        <v>1069</v>
      </c>
      <c r="D695" s="15">
        <f t="shared" si="203"/>
        <v>2534</v>
      </c>
      <c r="E695" s="14">
        <f t="shared" ca="1" si="204"/>
        <v>771</v>
      </c>
      <c r="F695" s="14">
        <f t="shared" ca="1" si="205"/>
        <v>997</v>
      </c>
      <c r="G695" s="14">
        <f t="shared" ca="1" si="206"/>
        <v>653</v>
      </c>
      <c r="H695" s="10">
        <f t="shared" ca="1" si="207"/>
        <v>2832</v>
      </c>
      <c r="I695" s="10">
        <f t="shared" ca="1" si="208"/>
        <v>2606</v>
      </c>
      <c r="J695" s="10">
        <f t="shared" ca="1" si="209"/>
        <v>2950</v>
      </c>
      <c r="K695" s="10">
        <f t="shared" si="220"/>
        <v>4000</v>
      </c>
      <c r="L695" s="10">
        <f t="shared" si="221"/>
        <v>4000</v>
      </c>
      <c r="M695" s="10">
        <f t="shared" si="222"/>
        <v>4000</v>
      </c>
      <c r="N695" s="10">
        <f t="shared" ca="1" si="213"/>
        <v>-1168</v>
      </c>
      <c r="O695" s="10">
        <f t="shared" ca="1" si="214"/>
        <v>-1394</v>
      </c>
      <c r="P695" s="10">
        <f t="shared" ca="1" si="215"/>
        <v>-1050</v>
      </c>
      <c r="Q695" s="14">
        <v>24</v>
      </c>
      <c r="R695" s="14">
        <v>26</v>
      </c>
      <c r="S695" s="14">
        <v>26</v>
      </c>
      <c r="T695" s="13">
        <f t="shared" ca="1" si="210"/>
        <v>-1693</v>
      </c>
      <c r="U695" s="12">
        <f t="shared" ca="1" si="217"/>
        <v>5472</v>
      </c>
      <c r="V695" s="12">
        <f t="shared" ca="1" si="216"/>
        <v>5296</v>
      </c>
      <c r="W695" s="12">
        <f t="shared" ca="1" si="218"/>
        <v>5670</v>
      </c>
      <c r="X695" s="11"/>
      <c r="Y695" s="10"/>
      <c r="Z695" s="10"/>
      <c r="AA695" s="10"/>
      <c r="AB695" s="9"/>
    </row>
    <row r="696" spans="1:36" ht="13.15" customHeight="1">
      <c r="A696" s="16">
        <f t="shared" si="219"/>
        <v>682</v>
      </c>
      <c r="B696" s="17">
        <f>B695+4</f>
        <v>45759</v>
      </c>
      <c r="C696" s="16">
        <f t="shared" si="212"/>
        <v>1069</v>
      </c>
      <c r="D696" s="15">
        <f t="shared" si="203"/>
        <v>2536</v>
      </c>
      <c r="E696" s="14">
        <f t="shared" ca="1" si="204"/>
        <v>808</v>
      </c>
      <c r="F696" s="14">
        <f t="shared" ca="1" si="205"/>
        <v>1029</v>
      </c>
      <c r="G696" s="14">
        <f t="shared" ca="1" si="206"/>
        <v>689</v>
      </c>
      <c r="H696" s="10">
        <f t="shared" ca="1" si="207"/>
        <v>2797</v>
      </c>
      <c r="I696" s="10">
        <f t="shared" ca="1" si="208"/>
        <v>2576</v>
      </c>
      <c r="J696" s="10">
        <f t="shared" ca="1" si="209"/>
        <v>2916</v>
      </c>
      <c r="K696" s="10">
        <f t="shared" si="220"/>
        <v>4000</v>
      </c>
      <c r="L696" s="10">
        <f t="shared" si="221"/>
        <v>4000</v>
      </c>
      <c r="M696" s="10">
        <f t="shared" si="222"/>
        <v>4000</v>
      </c>
      <c r="N696" s="10">
        <f t="shared" ca="1" si="213"/>
        <v>-1203</v>
      </c>
      <c r="O696" s="10">
        <f t="shared" ca="1" si="214"/>
        <v>-1424</v>
      </c>
      <c r="P696" s="10">
        <f t="shared" ca="1" si="215"/>
        <v>-1084</v>
      </c>
      <c r="Q696" s="14">
        <v>35</v>
      </c>
      <c r="R696" s="14">
        <v>30</v>
      </c>
      <c r="S696" s="14">
        <v>34</v>
      </c>
      <c r="T696" s="13">
        <f t="shared" ca="1" si="210"/>
        <v>-1661</v>
      </c>
      <c r="U696" s="12">
        <f t="shared" ca="1" si="217"/>
        <v>5437</v>
      </c>
      <c r="V696" s="12">
        <f t="shared" ca="1" si="216"/>
        <v>5266</v>
      </c>
      <c r="W696" s="12">
        <f t="shared" ca="1" si="218"/>
        <v>5636</v>
      </c>
      <c r="X696" s="11"/>
      <c r="Y696" s="10"/>
      <c r="Z696" s="10"/>
      <c r="AA696" s="10"/>
      <c r="AB696" s="9"/>
    </row>
    <row r="697" spans="1:36" ht="13.15" customHeight="1">
      <c r="A697" s="16">
        <f t="shared" si="219"/>
        <v>683</v>
      </c>
      <c r="B697" s="17">
        <f>B696+3</f>
        <v>45762</v>
      </c>
      <c r="C697" s="16">
        <f t="shared" si="212"/>
        <v>1069</v>
      </c>
      <c r="D697" s="15">
        <f t="shared" si="203"/>
        <v>2538</v>
      </c>
      <c r="E697" s="14">
        <f t="shared" ca="1" si="204"/>
        <v>832</v>
      </c>
      <c r="F697" s="14">
        <f t="shared" ca="1" si="205"/>
        <v>1051</v>
      </c>
      <c r="G697" s="14">
        <f t="shared" ca="1" si="206"/>
        <v>716</v>
      </c>
      <c r="H697" s="10">
        <f t="shared" ca="1" si="207"/>
        <v>2775</v>
      </c>
      <c r="I697" s="10">
        <f t="shared" ca="1" si="208"/>
        <v>2556</v>
      </c>
      <c r="J697" s="10">
        <f t="shared" ca="1" si="209"/>
        <v>2891</v>
      </c>
      <c r="K697" s="10">
        <f t="shared" si="220"/>
        <v>4000</v>
      </c>
      <c r="L697" s="10">
        <f t="shared" si="221"/>
        <v>4000</v>
      </c>
      <c r="M697" s="10">
        <f t="shared" si="222"/>
        <v>4000</v>
      </c>
      <c r="N697" s="10">
        <f t="shared" ca="1" si="213"/>
        <v>-1225</v>
      </c>
      <c r="O697" s="10">
        <f t="shared" ca="1" si="214"/>
        <v>-1444</v>
      </c>
      <c r="P697" s="10">
        <f t="shared" ca="1" si="215"/>
        <v>-1109</v>
      </c>
      <c r="Q697" s="14">
        <v>22</v>
      </c>
      <c r="R697" s="14">
        <v>20</v>
      </c>
      <c r="S697" s="14">
        <v>25</v>
      </c>
      <c r="T697" s="13">
        <f t="shared" ca="1" si="210"/>
        <v>-1639</v>
      </c>
      <c r="U697" s="12">
        <f t="shared" ca="1" si="217"/>
        <v>5415</v>
      </c>
      <c r="V697" s="12">
        <f t="shared" ca="1" si="216"/>
        <v>5246</v>
      </c>
      <c r="W697" s="12">
        <f t="shared" ca="1" si="218"/>
        <v>5611</v>
      </c>
      <c r="X697" s="11"/>
      <c r="Y697" s="10"/>
      <c r="Z697" s="10"/>
      <c r="AA697" s="10"/>
      <c r="AB697" s="9"/>
    </row>
    <row r="698" spans="1:36" ht="13.15" customHeight="1">
      <c r="A698" s="16">
        <f t="shared" si="219"/>
        <v>684</v>
      </c>
      <c r="B698" s="17">
        <f>B697+4</f>
        <v>45766</v>
      </c>
      <c r="C698" s="16">
        <f t="shared" si="212"/>
        <v>1069</v>
      </c>
      <c r="D698" s="15">
        <f t="shared" si="203"/>
        <v>2540</v>
      </c>
      <c r="E698" s="14">
        <f t="shared" ca="1" si="204"/>
        <v>867</v>
      </c>
      <c r="F698" s="14">
        <f t="shared" ca="1" si="205"/>
        <v>1073</v>
      </c>
      <c r="G698" s="14">
        <f t="shared" ca="1" si="206"/>
        <v>750</v>
      </c>
      <c r="H698" s="10">
        <f t="shared" ca="1" si="207"/>
        <v>2742</v>
      </c>
      <c r="I698" s="10">
        <f t="shared" ca="1" si="208"/>
        <v>2536</v>
      </c>
      <c r="J698" s="10">
        <f t="shared" ca="1" si="209"/>
        <v>2859</v>
      </c>
      <c r="K698" s="10">
        <f t="shared" si="220"/>
        <v>4000</v>
      </c>
      <c r="L698" s="10">
        <f t="shared" si="221"/>
        <v>4000</v>
      </c>
      <c r="M698" s="10">
        <f t="shared" si="222"/>
        <v>4000</v>
      </c>
      <c r="N698" s="10">
        <f t="shared" ca="1" si="213"/>
        <v>-1258</v>
      </c>
      <c r="O698" s="10">
        <f t="shared" ca="1" si="214"/>
        <v>-1464</v>
      </c>
      <c r="P698" s="10">
        <f t="shared" ca="1" si="215"/>
        <v>-1141</v>
      </c>
      <c r="Q698" s="20">
        <v>33</v>
      </c>
      <c r="R698" s="20">
        <v>20</v>
      </c>
      <c r="S698" s="20">
        <v>32</v>
      </c>
      <c r="T698" s="13">
        <f t="shared" ca="1" si="210"/>
        <v>-1617</v>
      </c>
      <c r="U698" s="12">
        <f t="shared" ca="1" si="217"/>
        <v>5382</v>
      </c>
      <c r="V698" s="12">
        <f t="shared" ca="1" si="216"/>
        <v>5226</v>
      </c>
      <c r="W698" s="12">
        <f t="shared" ca="1" si="218"/>
        <v>5579</v>
      </c>
      <c r="X698" s="11"/>
      <c r="Y698" s="10"/>
      <c r="Z698" s="10"/>
      <c r="AA698" s="10"/>
      <c r="AB698" s="9"/>
    </row>
    <row r="699" spans="1:36" ht="13.15" customHeight="1">
      <c r="A699" s="16">
        <f t="shared" si="219"/>
        <v>685</v>
      </c>
      <c r="B699" s="17">
        <f>B698+3</f>
        <v>45769</v>
      </c>
      <c r="C699" s="16">
        <f t="shared" si="212"/>
        <v>1069</v>
      </c>
      <c r="D699" s="15">
        <f t="shared" si="203"/>
        <v>2542</v>
      </c>
      <c r="E699" s="14">
        <f t="shared" ca="1" si="204"/>
        <v>891</v>
      </c>
      <c r="F699" s="14">
        <f t="shared" ca="1" si="205"/>
        <v>1102</v>
      </c>
      <c r="G699" s="14">
        <f t="shared" ca="1" si="206"/>
        <v>765</v>
      </c>
      <c r="H699" s="10">
        <f t="shared" ca="1" si="207"/>
        <v>2720</v>
      </c>
      <c r="I699" s="10">
        <f t="shared" ca="1" si="208"/>
        <v>2509</v>
      </c>
      <c r="J699" s="10">
        <f t="shared" ca="1" si="209"/>
        <v>2846</v>
      </c>
      <c r="K699" s="10">
        <f t="shared" si="220"/>
        <v>4000</v>
      </c>
      <c r="L699" s="10">
        <f t="shared" si="221"/>
        <v>4000</v>
      </c>
      <c r="M699" s="10">
        <f t="shared" si="222"/>
        <v>4000</v>
      </c>
      <c r="N699" s="10">
        <f t="shared" ca="1" si="213"/>
        <v>-1280</v>
      </c>
      <c r="O699" s="10">
        <f t="shared" ca="1" si="214"/>
        <v>-1491</v>
      </c>
      <c r="P699" s="10">
        <f t="shared" ca="1" si="215"/>
        <v>-1154</v>
      </c>
      <c r="Q699" s="14">
        <v>22</v>
      </c>
      <c r="R699" s="14">
        <v>27</v>
      </c>
      <c r="S699" s="14">
        <v>13</v>
      </c>
      <c r="T699" s="13">
        <f t="shared" ca="1" si="210"/>
        <v>-1588</v>
      </c>
      <c r="U699" s="12">
        <f t="shared" ca="1" si="217"/>
        <v>5360</v>
      </c>
      <c r="V699" s="12">
        <f t="shared" ca="1" si="216"/>
        <v>5199</v>
      </c>
      <c r="W699" s="12">
        <f t="shared" ca="1" si="218"/>
        <v>5566</v>
      </c>
      <c r="X699" s="11"/>
      <c r="Y699" s="10"/>
      <c r="Z699" s="10"/>
      <c r="AA699" s="10"/>
      <c r="AB699" s="9"/>
    </row>
    <row r="700" spans="1:36" ht="13.15" customHeight="1">
      <c r="A700" s="16">
        <f t="shared" si="219"/>
        <v>686</v>
      </c>
      <c r="B700" s="17">
        <f>B699+4</f>
        <v>45773</v>
      </c>
      <c r="C700" s="16">
        <f t="shared" si="212"/>
        <v>1069</v>
      </c>
      <c r="D700" s="15">
        <f t="shared" si="203"/>
        <v>2544</v>
      </c>
      <c r="E700" s="14">
        <f t="shared" ca="1" si="204"/>
        <v>924</v>
      </c>
      <c r="F700" s="14">
        <f t="shared" ca="1" si="205"/>
        <v>1134</v>
      </c>
      <c r="G700" s="14">
        <f t="shared" ca="1" si="206"/>
        <v>785</v>
      </c>
      <c r="H700" s="10">
        <f t="shared" ca="1" si="207"/>
        <v>2689</v>
      </c>
      <c r="I700" s="10">
        <f t="shared" ca="1" si="208"/>
        <v>2479</v>
      </c>
      <c r="J700" s="10">
        <f t="shared" ca="1" si="209"/>
        <v>2828</v>
      </c>
      <c r="K700" s="10">
        <f t="shared" si="220"/>
        <v>4000</v>
      </c>
      <c r="L700" s="10">
        <f t="shared" si="221"/>
        <v>4000</v>
      </c>
      <c r="M700" s="10">
        <f t="shared" si="222"/>
        <v>4000</v>
      </c>
      <c r="N700" s="10">
        <f t="shared" ca="1" si="213"/>
        <v>-1311</v>
      </c>
      <c r="O700" s="10">
        <f t="shared" ca="1" si="214"/>
        <v>-1521</v>
      </c>
      <c r="P700" s="10">
        <f t="shared" ca="1" si="215"/>
        <v>-1172</v>
      </c>
      <c r="Q700" s="14">
        <v>31</v>
      </c>
      <c r="R700" s="14">
        <v>30</v>
      </c>
      <c r="S700" s="14">
        <v>18</v>
      </c>
      <c r="T700" s="13">
        <f t="shared" ca="1" si="210"/>
        <v>-1556</v>
      </c>
      <c r="U700" s="12">
        <f t="shared" ca="1" si="217"/>
        <v>5329</v>
      </c>
      <c r="V700" s="12">
        <f t="shared" ca="1" si="216"/>
        <v>5169</v>
      </c>
      <c r="W700" s="12">
        <f t="shared" ca="1" si="218"/>
        <v>5548</v>
      </c>
      <c r="X700" s="11"/>
      <c r="Y700" s="10"/>
      <c r="Z700" s="10"/>
      <c r="AA700" s="10"/>
      <c r="AB700" s="9"/>
    </row>
    <row r="701" spans="1:36" ht="13.15" customHeight="1">
      <c r="A701" s="16">
        <f t="shared" si="219"/>
        <v>687</v>
      </c>
      <c r="B701" s="17">
        <f>B700+3</f>
        <v>45776</v>
      </c>
      <c r="C701" s="16">
        <f t="shared" si="212"/>
        <v>1069</v>
      </c>
      <c r="D701" s="15">
        <f t="shared" si="203"/>
        <v>2546</v>
      </c>
      <c r="E701" s="14">
        <f t="shared" ca="1" si="204"/>
        <v>942</v>
      </c>
      <c r="F701" s="14">
        <f t="shared" ca="1" si="205"/>
        <v>1161</v>
      </c>
      <c r="G701" s="14">
        <f t="shared" ca="1" si="206"/>
        <v>805</v>
      </c>
      <c r="H701" s="10">
        <f t="shared" ca="1" si="207"/>
        <v>2673</v>
      </c>
      <c r="I701" s="10">
        <f t="shared" ca="1" si="208"/>
        <v>2454</v>
      </c>
      <c r="J701" s="10">
        <f t="shared" ca="1" si="209"/>
        <v>2810</v>
      </c>
      <c r="K701" s="10">
        <f t="shared" si="220"/>
        <v>4000</v>
      </c>
      <c r="L701" s="10">
        <f t="shared" si="221"/>
        <v>4000</v>
      </c>
      <c r="M701" s="10">
        <f t="shared" si="222"/>
        <v>4000</v>
      </c>
      <c r="N701" s="10">
        <f t="shared" ca="1" si="213"/>
        <v>-1327</v>
      </c>
      <c r="O701" s="10">
        <f t="shared" ca="1" si="214"/>
        <v>-1546</v>
      </c>
      <c r="P701" s="10">
        <f t="shared" ca="1" si="215"/>
        <v>-1190</v>
      </c>
      <c r="Q701" s="14">
        <v>16</v>
      </c>
      <c r="R701" s="14">
        <v>25</v>
      </c>
      <c r="S701" s="14">
        <v>18</v>
      </c>
      <c r="T701" s="13">
        <f t="shared" ca="1" si="210"/>
        <v>-1529</v>
      </c>
      <c r="U701" s="12">
        <f t="shared" ca="1" si="217"/>
        <v>5313</v>
      </c>
      <c r="V701" s="12">
        <f t="shared" ca="1" si="216"/>
        <v>5144</v>
      </c>
      <c r="W701" s="12">
        <f t="shared" ca="1" si="218"/>
        <v>5530</v>
      </c>
      <c r="X701" s="11"/>
      <c r="Y701" s="10"/>
      <c r="Z701" s="10"/>
      <c r="AA701" s="10"/>
      <c r="AB701" s="9"/>
    </row>
    <row r="702" spans="1:36" s="18" customFormat="1" ht="13.15" customHeight="1">
      <c r="A702" s="23">
        <f t="shared" si="219"/>
        <v>688</v>
      </c>
      <c r="B702" s="24">
        <f>B701+4</f>
        <v>45780</v>
      </c>
      <c r="C702" s="23">
        <f t="shared" si="212"/>
        <v>1069</v>
      </c>
      <c r="D702" s="22">
        <f t="shared" si="203"/>
        <v>2548</v>
      </c>
      <c r="E702" s="20">
        <f t="shared" ca="1" si="204"/>
        <v>966</v>
      </c>
      <c r="F702" s="20">
        <f t="shared" ca="1" si="205"/>
        <v>1196</v>
      </c>
      <c r="G702" s="20">
        <f t="shared" ca="1" si="206"/>
        <v>825</v>
      </c>
      <c r="H702" s="20">
        <f t="shared" ca="1" si="207"/>
        <v>2651</v>
      </c>
      <c r="I702" s="20">
        <f t="shared" ca="1" si="208"/>
        <v>2421</v>
      </c>
      <c r="J702" s="20">
        <f t="shared" ca="1" si="209"/>
        <v>2792</v>
      </c>
      <c r="K702" s="20">
        <f t="shared" si="220"/>
        <v>4000</v>
      </c>
      <c r="L702" s="20">
        <f t="shared" si="221"/>
        <v>4000</v>
      </c>
      <c r="M702" s="20">
        <f t="shared" si="222"/>
        <v>4000</v>
      </c>
      <c r="N702" s="20">
        <f t="shared" ca="1" si="213"/>
        <v>-1349</v>
      </c>
      <c r="O702" s="20">
        <f t="shared" ca="1" si="214"/>
        <v>-1579</v>
      </c>
      <c r="P702" s="20">
        <f t="shared" ca="1" si="215"/>
        <v>-1208</v>
      </c>
      <c r="Q702" s="20">
        <v>22</v>
      </c>
      <c r="R702" s="20">
        <v>33</v>
      </c>
      <c r="S702" s="20">
        <v>18</v>
      </c>
      <c r="T702" s="20">
        <f t="shared" ca="1" si="210"/>
        <v>-1494</v>
      </c>
      <c r="U702" s="21">
        <f t="shared" ca="1" si="217"/>
        <v>5291</v>
      </c>
      <c r="V702" s="21">
        <f t="shared" ca="1" si="216"/>
        <v>5111</v>
      </c>
      <c r="W702" s="21">
        <f t="shared" ca="1" si="218"/>
        <v>5512</v>
      </c>
      <c r="X702" s="11"/>
      <c r="Y702" s="20"/>
      <c r="Z702" s="20"/>
      <c r="AA702" s="20"/>
      <c r="AB702" s="19"/>
      <c r="AD702"/>
      <c r="AE702"/>
      <c r="AF702"/>
      <c r="AG702"/>
      <c r="AH702"/>
      <c r="AI702"/>
      <c r="AJ702"/>
    </row>
    <row r="703" spans="1:36" ht="13.15" customHeight="1">
      <c r="A703" s="16">
        <f t="shared" si="219"/>
        <v>689</v>
      </c>
      <c r="B703" s="17">
        <f t="shared" ref="B703:B714" si="223">B702+7</f>
        <v>45787</v>
      </c>
      <c r="C703" s="16">
        <f t="shared" si="212"/>
        <v>1069</v>
      </c>
      <c r="D703" s="15">
        <f t="shared" si="203"/>
        <v>2550</v>
      </c>
      <c r="E703" s="14">
        <f t="shared" ca="1" si="204"/>
        <v>993</v>
      </c>
      <c r="F703" s="14">
        <f t="shared" ca="1" si="205"/>
        <v>1233</v>
      </c>
      <c r="G703" s="14">
        <f t="shared" ca="1" si="206"/>
        <v>849</v>
      </c>
      <c r="H703" s="10">
        <f t="shared" ca="1" si="207"/>
        <v>2626</v>
      </c>
      <c r="I703" s="10">
        <f t="shared" ca="1" si="208"/>
        <v>2386</v>
      </c>
      <c r="J703" s="10">
        <f t="shared" ca="1" si="209"/>
        <v>2770</v>
      </c>
      <c r="K703" s="10">
        <f t="shared" si="220"/>
        <v>4000</v>
      </c>
      <c r="L703" s="10">
        <f t="shared" si="221"/>
        <v>4000</v>
      </c>
      <c r="M703" s="10">
        <f t="shared" si="222"/>
        <v>4000</v>
      </c>
      <c r="N703" s="10">
        <f t="shared" ca="1" si="213"/>
        <v>-1374</v>
      </c>
      <c r="O703" s="10">
        <f t="shared" ca="1" si="214"/>
        <v>-1614</v>
      </c>
      <c r="P703" s="10">
        <f t="shared" ca="1" si="215"/>
        <v>-1230</v>
      </c>
      <c r="Q703" s="14">
        <v>25</v>
      </c>
      <c r="R703" s="14">
        <v>35</v>
      </c>
      <c r="S703" s="14">
        <v>22</v>
      </c>
      <c r="T703" s="13">
        <f t="shared" ca="1" si="210"/>
        <v>-1457</v>
      </c>
      <c r="U703" s="12">
        <f t="shared" ca="1" si="217"/>
        <v>5266</v>
      </c>
      <c r="V703" s="12">
        <f t="shared" ca="1" si="216"/>
        <v>5076</v>
      </c>
      <c r="W703" s="12">
        <f t="shared" ca="1" si="218"/>
        <v>5490</v>
      </c>
      <c r="X703" s="11"/>
      <c r="Y703" s="10"/>
      <c r="Z703" s="10"/>
      <c r="AA703" s="10"/>
      <c r="AB703" s="9"/>
    </row>
    <row r="704" spans="1:36" ht="13.15" customHeight="1">
      <c r="A704" s="16">
        <f t="shared" si="219"/>
        <v>690</v>
      </c>
      <c r="B704" s="17">
        <f t="shared" si="223"/>
        <v>45794</v>
      </c>
      <c r="C704" s="16">
        <f t="shared" si="212"/>
        <v>1069</v>
      </c>
      <c r="D704" s="15">
        <f t="shared" si="203"/>
        <v>2552</v>
      </c>
      <c r="E704" s="14">
        <f t="shared" ca="1" si="204"/>
        <v>1019</v>
      </c>
      <c r="F704" s="14">
        <f t="shared" ca="1" si="205"/>
        <v>1265</v>
      </c>
      <c r="G704" s="14">
        <f t="shared" ca="1" si="206"/>
        <v>871</v>
      </c>
      <c r="H704" s="10">
        <f t="shared" ca="1" si="207"/>
        <v>2602</v>
      </c>
      <c r="I704" s="10">
        <f t="shared" ca="1" si="208"/>
        <v>2356</v>
      </c>
      <c r="J704" s="10">
        <f t="shared" ca="1" si="209"/>
        <v>2750</v>
      </c>
      <c r="K704" s="10">
        <f t="shared" si="220"/>
        <v>4000</v>
      </c>
      <c r="L704" s="10">
        <f t="shared" si="221"/>
        <v>4000</v>
      </c>
      <c r="M704" s="10">
        <f t="shared" si="222"/>
        <v>4000</v>
      </c>
      <c r="N704" s="10">
        <f t="shared" ca="1" si="213"/>
        <v>-1398</v>
      </c>
      <c r="O704" s="10">
        <f t="shared" ca="1" si="214"/>
        <v>-1644</v>
      </c>
      <c r="P704" s="10">
        <f t="shared" ca="1" si="215"/>
        <v>-1250</v>
      </c>
      <c r="Q704" s="14">
        <v>24</v>
      </c>
      <c r="R704" s="14">
        <v>30</v>
      </c>
      <c r="S704" s="14">
        <v>20</v>
      </c>
      <c r="T704" s="13">
        <f t="shared" ca="1" si="210"/>
        <v>-1425</v>
      </c>
      <c r="U704" s="12">
        <f t="shared" ca="1" si="217"/>
        <v>5242</v>
      </c>
      <c r="V704" s="12">
        <f t="shared" ca="1" si="216"/>
        <v>5046</v>
      </c>
      <c r="W704" s="12">
        <f t="shared" ca="1" si="218"/>
        <v>5470</v>
      </c>
      <c r="X704" s="11"/>
      <c r="Y704" s="10"/>
      <c r="Z704" s="10"/>
      <c r="AA704" s="10"/>
      <c r="AB704" s="9"/>
    </row>
    <row r="705" spans="1:28" ht="13.15" customHeight="1">
      <c r="A705" s="16">
        <f t="shared" si="219"/>
        <v>691</v>
      </c>
      <c r="B705" s="17">
        <f t="shared" si="223"/>
        <v>45801</v>
      </c>
      <c r="C705" s="16">
        <f t="shared" ref="C705:C714" si="224">C704</f>
        <v>1069</v>
      </c>
      <c r="D705" s="15">
        <f t="shared" ref="D705:D714" si="225">D704+2</f>
        <v>2554</v>
      </c>
      <c r="E705" s="14">
        <f t="shared" ref="E705:E712" ca="1" si="226">C705+D705-H705</f>
        <v>1043</v>
      </c>
      <c r="F705" s="14">
        <f t="shared" ref="F705:F712" ca="1" si="227">C705+D705-I705</f>
        <v>1291</v>
      </c>
      <c r="G705" s="14">
        <f t="shared" ref="G705:G712" ca="1" si="228">D705+C705-J705</f>
        <v>891</v>
      </c>
      <c r="H705" s="10">
        <f t="shared" ref="H705:H712" ca="1" si="229">K705+N705</f>
        <v>2580</v>
      </c>
      <c r="I705" s="10">
        <f t="shared" ref="I705:I712" ca="1" si="230">L705+O705</f>
        <v>2332</v>
      </c>
      <c r="J705" s="10">
        <f t="shared" ref="J705:J712" ca="1" si="231">M705+P705</f>
        <v>2732</v>
      </c>
      <c r="K705" s="10">
        <f t="shared" ref="K705:K714" si="232">K704</f>
        <v>4000</v>
      </c>
      <c r="L705" s="10">
        <f t="shared" ref="L705:L714" si="233">L704</f>
        <v>4000</v>
      </c>
      <c r="M705" s="10">
        <f t="shared" ref="M705:M714" si="234">M704</f>
        <v>4000</v>
      </c>
      <c r="N705" s="10">
        <f t="shared" ref="N705:N712" ca="1" si="235">N704-Q705</f>
        <v>-1420</v>
      </c>
      <c r="O705" s="10">
        <f t="shared" ref="O705:O712" ca="1" si="236">O704-R705</f>
        <v>-1668</v>
      </c>
      <c r="P705" s="10">
        <f t="shared" ref="P705:P712" ca="1" si="237">P704-S705</f>
        <v>-1268</v>
      </c>
      <c r="Q705" s="14">
        <v>22</v>
      </c>
      <c r="R705" s="14">
        <v>24</v>
      </c>
      <c r="S705" s="14">
        <v>18</v>
      </c>
      <c r="T705" s="13">
        <f t="shared" ref="T705:T712" ca="1" si="238">D705+C705-V705</f>
        <v>-1399</v>
      </c>
      <c r="U705" s="12">
        <f t="shared" ref="U705:U712" ca="1" si="239">U704+$X705*1000-Q705</f>
        <v>5220</v>
      </c>
      <c r="V705" s="12">
        <f t="shared" ref="V705:V712" ca="1" si="240">V704+$X705*1000-R705</f>
        <v>5022</v>
      </c>
      <c r="W705" s="12">
        <f t="shared" ref="W705:W712" ca="1" si="241">W704+$X705*1000-S705</f>
        <v>5452</v>
      </c>
      <c r="X705" s="11"/>
      <c r="Y705" s="10"/>
      <c r="Z705" s="10"/>
      <c r="AA705" s="10"/>
      <c r="AB705" s="9"/>
    </row>
    <row r="706" spans="1:28" ht="13.15" customHeight="1">
      <c r="A706" s="16">
        <f t="shared" si="219"/>
        <v>692</v>
      </c>
      <c r="B706" s="17">
        <f t="shared" si="223"/>
        <v>45808</v>
      </c>
      <c r="C706" s="16">
        <f t="shared" si="224"/>
        <v>1069</v>
      </c>
      <c r="D706" s="15">
        <f t="shared" si="225"/>
        <v>2556</v>
      </c>
      <c r="E706" s="14">
        <f t="shared" ca="1" si="226"/>
        <v>1065</v>
      </c>
      <c r="F706" s="14">
        <f t="shared" ca="1" si="227"/>
        <v>1315</v>
      </c>
      <c r="G706" s="14">
        <f t="shared" ca="1" si="228"/>
        <v>907</v>
      </c>
      <c r="H706" s="10">
        <f t="shared" ca="1" si="229"/>
        <v>2560</v>
      </c>
      <c r="I706" s="10">
        <f t="shared" ca="1" si="230"/>
        <v>2310</v>
      </c>
      <c r="J706" s="10">
        <f t="shared" ca="1" si="231"/>
        <v>2718</v>
      </c>
      <c r="K706" s="10">
        <f t="shared" si="232"/>
        <v>4000</v>
      </c>
      <c r="L706" s="10">
        <f t="shared" si="233"/>
        <v>4000</v>
      </c>
      <c r="M706" s="10">
        <f t="shared" si="234"/>
        <v>4000</v>
      </c>
      <c r="N706" s="10">
        <f t="shared" ca="1" si="235"/>
        <v>-1440</v>
      </c>
      <c r="O706" s="10">
        <f t="shared" ca="1" si="236"/>
        <v>-1690</v>
      </c>
      <c r="P706" s="10">
        <f t="shared" ca="1" si="237"/>
        <v>-1282</v>
      </c>
      <c r="Q706" s="14">
        <v>20</v>
      </c>
      <c r="R706" s="14">
        <v>22</v>
      </c>
      <c r="S706" s="14">
        <v>14</v>
      </c>
      <c r="T706" s="13">
        <f t="shared" ca="1" si="238"/>
        <v>-1375</v>
      </c>
      <c r="U706" s="12">
        <f t="shared" ca="1" si="239"/>
        <v>5200</v>
      </c>
      <c r="V706" s="12">
        <f t="shared" ca="1" si="240"/>
        <v>5000</v>
      </c>
      <c r="W706" s="12">
        <f t="shared" ca="1" si="241"/>
        <v>5438</v>
      </c>
      <c r="X706" s="11"/>
      <c r="Y706" s="10"/>
      <c r="Z706" s="10"/>
      <c r="AA706" s="10"/>
      <c r="AB706" s="9"/>
    </row>
    <row r="707" spans="1:28" ht="13.15" customHeight="1">
      <c r="A707" s="16">
        <f t="shared" si="219"/>
        <v>693</v>
      </c>
      <c r="B707" s="17">
        <f t="shared" si="223"/>
        <v>45815</v>
      </c>
      <c r="C707" s="16">
        <f t="shared" si="224"/>
        <v>1069</v>
      </c>
      <c r="D707" s="15">
        <f t="shared" si="225"/>
        <v>2558</v>
      </c>
      <c r="E707" s="14">
        <f t="shared" ca="1" si="226"/>
        <v>1083</v>
      </c>
      <c r="F707" s="14">
        <f t="shared" ca="1" si="227"/>
        <v>1332</v>
      </c>
      <c r="G707" s="14">
        <f t="shared" ca="1" si="228"/>
        <v>923</v>
      </c>
      <c r="H707" s="10">
        <f t="shared" ca="1" si="229"/>
        <v>2544</v>
      </c>
      <c r="I707" s="10">
        <f t="shared" ca="1" si="230"/>
        <v>2295</v>
      </c>
      <c r="J707" s="10">
        <f t="shared" ca="1" si="231"/>
        <v>2704</v>
      </c>
      <c r="K707" s="10">
        <f t="shared" si="232"/>
        <v>4000</v>
      </c>
      <c r="L707" s="10">
        <f t="shared" si="233"/>
        <v>4000</v>
      </c>
      <c r="M707" s="10">
        <f t="shared" si="234"/>
        <v>4000</v>
      </c>
      <c r="N707" s="10">
        <f t="shared" ca="1" si="235"/>
        <v>-1456</v>
      </c>
      <c r="O707" s="10">
        <f t="shared" ca="1" si="236"/>
        <v>-1705</v>
      </c>
      <c r="P707" s="10">
        <f t="shared" ca="1" si="237"/>
        <v>-1296</v>
      </c>
      <c r="Q707" s="14">
        <v>16</v>
      </c>
      <c r="R707" s="14">
        <v>15</v>
      </c>
      <c r="S707" s="14">
        <v>14</v>
      </c>
      <c r="T707" s="13">
        <f t="shared" ca="1" si="238"/>
        <v>-1358</v>
      </c>
      <c r="U707" s="12">
        <f t="shared" ca="1" si="239"/>
        <v>5184</v>
      </c>
      <c r="V707" s="12">
        <f t="shared" ca="1" si="240"/>
        <v>4985</v>
      </c>
      <c r="W707" s="12">
        <f t="shared" ca="1" si="241"/>
        <v>5424</v>
      </c>
      <c r="X707" s="11"/>
      <c r="Y707" s="10"/>
      <c r="Z707" s="10"/>
      <c r="AA707" s="10"/>
      <c r="AB707" s="9"/>
    </row>
    <row r="708" spans="1:28" ht="13.15" customHeight="1">
      <c r="A708" s="16">
        <f t="shared" si="219"/>
        <v>694</v>
      </c>
      <c r="B708" s="17">
        <f t="shared" si="223"/>
        <v>45822</v>
      </c>
      <c r="C708" s="16">
        <f t="shared" si="224"/>
        <v>1069</v>
      </c>
      <c r="D708" s="15">
        <f t="shared" si="225"/>
        <v>2560</v>
      </c>
      <c r="E708" s="14">
        <f t="shared" ca="1" si="226"/>
        <v>1100</v>
      </c>
      <c r="F708" s="14">
        <f t="shared" ca="1" si="227"/>
        <v>1346</v>
      </c>
      <c r="G708" s="14">
        <f t="shared" ca="1" si="228"/>
        <v>938</v>
      </c>
      <c r="H708" s="10">
        <f t="shared" ca="1" si="229"/>
        <v>2529</v>
      </c>
      <c r="I708" s="10">
        <f t="shared" ca="1" si="230"/>
        <v>2283</v>
      </c>
      <c r="J708" s="10">
        <f t="shared" ca="1" si="231"/>
        <v>2691</v>
      </c>
      <c r="K708" s="10">
        <f t="shared" si="232"/>
        <v>4000</v>
      </c>
      <c r="L708" s="10">
        <f t="shared" si="233"/>
        <v>4000</v>
      </c>
      <c r="M708" s="10">
        <f t="shared" si="234"/>
        <v>4000</v>
      </c>
      <c r="N708" s="10">
        <f t="shared" ca="1" si="235"/>
        <v>-1471</v>
      </c>
      <c r="O708" s="10">
        <f t="shared" ca="1" si="236"/>
        <v>-1717</v>
      </c>
      <c r="P708" s="10">
        <f t="shared" ca="1" si="237"/>
        <v>-1309</v>
      </c>
      <c r="Q708" s="14">
        <v>15</v>
      </c>
      <c r="R708" s="14">
        <v>12</v>
      </c>
      <c r="S708" s="14">
        <v>13</v>
      </c>
      <c r="T708" s="13">
        <f t="shared" ca="1" si="238"/>
        <v>-1344</v>
      </c>
      <c r="U708" s="12">
        <f t="shared" ca="1" si="239"/>
        <v>5169</v>
      </c>
      <c r="V708" s="12">
        <f t="shared" ca="1" si="240"/>
        <v>4973</v>
      </c>
      <c r="W708" s="12">
        <f t="shared" ca="1" si="241"/>
        <v>5411</v>
      </c>
      <c r="X708" s="11"/>
      <c r="Y708" s="10"/>
      <c r="Z708" s="10"/>
      <c r="AA708" s="10"/>
      <c r="AB708" s="9"/>
    </row>
    <row r="709" spans="1:28" ht="13.15" customHeight="1">
      <c r="A709" s="16">
        <f t="shared" si="219"/>
        <v>695</v>
      </c>
      <c r="B709" s="17">
        <f t="shared" si="223"/>
        <v>45829</v>
      </c>
      <c r="C709" s="16">
        <f t="shared" si="224"/>
        <v>1069</v>
      </c>
      <c r="D709" s="15">
        <f t="shared" si="225"/>
        <v>2562</v>
      </c>
      <c r="E709" s="14">
        <f t="shared" ca="1" si="226"/>
        <v>1114</v>
      </c>
      <c r="F709" s="14">
        <f t="shared" ca="1" si="227"/>
        <v>1362</v>
      </c>
      <c r="G709" s="14">
        <f t="shared" ca="1" si="228"/>
        <v>953</v>
      </c>
      <c r="H709" s="10">
        <f t="shared" ca="1" si="229"/>
        <v>2517</v>
      </c>
      <c r="I709" s="10">
        <f t="shared" ca="1" si="230"/>
        <v>2269</v>
      </c>
      <c r="J709" s="10">
        <f t="shared" ca="1" si="231"/>
        <v>2678</v>
      </c>
      <c r="K709" s="10">
        <f t="shared" si="232"/>
        <v>4000</v>
      </c>
      <c r="L709" s="10">
        <f t="shared" si="233"/>
        <v>4000</v>
      </c>
      <c r="M709" s="10">
        <f t="shared" si="234"/>
        <v>4000</v>
      </c>
      <c r="N709" s="10">
        <f t="shared" ca="1" si="235"/>
        <v>-1483</v>
      </c>
      <c r="O709" s="10">
        <f t="shared" ca="1" si="236"/>
        <v>-1731</v>
      </c>
      <c r="P709" s="10">
        <f t="shared" ca="1" si="237"/>
        <v>-1322</v>
      </c>
      <c r="Q709" s="14">
        <v>12</v>
      </c>
      <c r="R709" s="14">
        <v>14</v>
      </c>
      <c r="S709" s="14">
        <v>13</v>
      </c>
      <c r="T709" s="13">
        <f t="shared" ca="1" si="238"/>
        <v>-1328</v>
      </c>
      <c r="U709" s="12">
        <f t="shared" ca="1" si="239"/>
        <v>5157</v>
      </c>
      <c r="V709" s="12">
        <f t="shared" ca="1" si="240"/>
        <v>4959</v>
      </c>
      <c r="W709" s="12">
        <f t="shared" ca="1" si="241"/>
        <v>5398</v>
      </c>
      <c r="X709" s="11"/>
      <c r="Y709" s="10"/>
      <c r="Z709" s="10"/>
      <c r="AA709" s="10"/>
      <c r="AB709" s="9"/>
    </row>
    <row r="710" spans="1:28" ht="13.15" customHeight="1">
      <c r="A710" s="16">
        <f t="shared" si="219"/>
        <v>696</v>
      </c>
      <c r="B710" s="17">
        <f t="shared" si="223"/>
        <v>45836</v>
      </c>
      <c r="C710" s="16">
        <f t="shared" si="224"/>
        <v>1069</v>
      </c>
      <c r="D710" s="15">
        <f t="shared" si="225"/>
        <v>2564</v>
      </c>
      <c r="E710" s="14">
        <f t="shared" ca="1" si="226"/>
        <v>1129</v>
      </c>
      <c r="F710" s="14">
        <f t="shared" ca="1" si="227"/>
        <v>1374</v>
      </c>
      <c r="G710" s="14">
        <f t="shared" ca="1" si="228"/>
        <v>967</v>
      </c>
      <c r="H710" s="10">
        <f t="shared" ca="1" si="229"/>
        <v>2504</v>
      </c>
      <c r="I710" s="10">
        <f t="shared" ca="1" si="230"/>
        <v>2259</v>
      </c>
      <c r="J710" s="10">
        <f t="shared" ca="1" si="231"/>
        <v>2666</v>
      </c>
      <c r="K710" s="10">
        <f t="shared" si="232"/>
        <v>4000</v>
      </c>
      <c r="L710" s="10">
        <f t="shared" si="233"/>
        <v>4000</v>
      </c>
      <c r="M710" s="10">
        <f t="shared" si="234"/>
        <v>4000</v>
      </c>
      <c r="N710" s="10">
        <f t="shared" ca="1" si="235"/>
        <v>-1496</v>
      </c>
      <c r="O710" s="10">
        <f t="shared" ca="1" si="236"/>
        <v>-1741</v>
      </c>
      <c r="P710" s="10">
        <f t="shared" ca="1" si="237"/>
        <v>-1334</v>
      </c>
      <c r="Q710" s="14">
        <v>13</v>
      </c>
      <c r="R710" s="14">
        <v>10</v>
      </c>
      <c r="S710" s="14">
        <v>12</v>
      </c>
      <c r="T710" s="13">
        <f t="shared" ca="1" si="238"/>
        <v>-1316</v>
      </c>
      <c r="U710" s="12">
        <f t="shared" ca="1" si="239"/>
        <v>5144</v>
      </c>
      <c r="V710" s="12">
        <f t="shared" ca="1" si="240"/>
        <v>4949</v>
      </c>
      <c r="W710" s="12">
        <f t="shared" ca="1" si="241"/>
        <v>5386</v>
      </c>
      <c r="X710" s="11"/>
      <c r="Y710" s="10"/>
      <c r="Z710" s="10"/>
      <c r="AA710" s="10"/>
      <c r="AB710" s="9"/>
    </row>
    <row r="711" spans="1:28" ht="13.15" customHeight="1">
      <c r="A711" s="16">
        <f t="shared" si="219"/>
        <v>697</v>
      </c>
      <c r="B711" s="17">
        <f t="shared" si="223"/>
        <v>45843</v>
      </c>
      <c r="C711" s="16">
        <f t="shared" si="224"/>
        <v>1069</v>
      </c>
      <c r="D711" s="15">
        <f t="shared" si="225"/>
        <v>2566</v>
      </c>
      <c r="E711" s="14">
        <f t="shared" ca="1" si="226"/>
        <v>1142</v>
      </c>
      <c r="F711" s="14">
        <f t="shared" ca="1" si="227"/>
        <v>1394</v>
      </c>
      <c r="G711" s="14">
        <f t="shared" ca="1" si="228"/>
        <v>979</v>
      </c>
      <c r="H711" s="10">
        <f t="shared" ca="1" si="229"/>
        <v>2493</v>
      </c>
      <c r="I711" s="10">
        <f t="shared" ca="1" si="230"/>
        <v>2241</v>
      </c>
      <c r="J711" s="10">
        <f t="shared" ca="1" si="231"/>
        <v>2656</v>
      </c>
      <c r="K711" s="10">
        <f t="shared" si="232"/>
        <v>4000</v>
      </c>
      <c r="L711" s="10">
        <f t="shared" si="233"/>
        <v>4000</v>
      </c>
      <c r="M711" s="10">
        <f t="shared" si="234"/>
        <v>4000</v>
      </c>
      <c r="N711" s="10">
        <f t="shared" ca="1" si="235"/>
        <v>-1507</v>
      </c>
      <c r="O711" s="10">
        <f t="shared" ca="1" si="236"/>
        <v>-1759</v>
      </c>
      <c r="P711" s="10">
        <f t="shared" ca="1" si="237"/>
        <v>-1344</v>
      </c>
      <c r="Q711" s="14">
        <v>11</v>
      </c>
      <c r="R711" s="14">
        <v>18</v>
      </c>
      <c r="S711" s="14">
        <v>10</v>
      </c>
      <c r="T711" s="13">
        <f t="shared" ca="1" si="238"/>
        <v>-1296</v>
      </c>
      <c r="U711" s="12">
        <f t="shared" ca="1" si="239"/>
        <v>5133</v>
      </c>
      <c r="V711" s="12">
        <f t="shared" ca="1" si="240"/>
        <v>4931</v>
      </c>
      <c r="W711" s="12">
        <f t="shared" ca="1" si="241"/>
        <v>5376</v>
      </c>
      <c r="X711" s="11"/>
      <c r="Y711" s="10"/>
      <c r="Z711" s="10"/>
      <c r="AA711" s="10"/>
      <c r="AB711" s="9"/>
    </row>
    <row r="712" spans="1:28" ht="13.15" customHeight="1">
      <c r="A712" s="16">
        <f t="shared" si="219"/>
        <v>698</v>
      </c>
      <c r="B712" s="17">
        <f t="shared" si="223"/>
        <v>45850</v>
      </c>
      <c r="C712" s="16">
        <f t="shared" si="224"/>
        <v>1069</v>
      </c>
      <c r="D712" s="15">
        <f t="shared" si="225"/>
        <v>2568</v>
      </c>
      <c r="E712" s="14">
        <f t="shared" ca="1" si="226"/>
        <v>1154</v>
      </c>
      <c r="F712" s="14">
        <f t="shared" ca="1" si="227"/>
        <v>1406</v>
      </c>
      <c r="G712" s="14">
        <f t="shared" ca="1" si="228"/>
        <v>988</v>
      </c>
      <c r="H712" s="10">
        <f t="shared" ca="1" si="229"/>
        <v>2483</v>
      </c>
      <c r="I712" s="10">
        <f t="shared" ca="1" si="230"/>
        <v>2231</v>
      </c>
      <c r="J712" s="10">
        <f t="shared" ca="1" si="231"/>
        <v>2649</v>
      </c>
      <c r="K712" s="10">
        <f t="shared" si="232"/>
        <v>4000</v>
      </c>
      <c r="L712" s="10">
        <f t="shared" si="233"/>
        <v>4000</v>
      </c>
      <c r="M712" s="10">
        <f t="shared" si="234"/>
        <v>4000</v>
      </c>
      <c r="N712" s="10">
        <f t="shared" ca="1" si="235"/>
        <v>-1517</v>
      </c>
      <c r="O712" s="10">
        <f t="shared" ca="1" si="236"/>
        <v>-1769</v>
      </c>
      <c r="P712" s="10">
        <f t="shared" ca="1" si="237"/>
        <v>-1351</v>
      </c>
      <c r="Q712" s="193">
        <v>10</v>
      </c>
      <c r="R712" s="193">
        <v>10</v>
      </c>
      <c r="S712" s="193">
        <v>7</v>
      </c>
      <c r="T712" s="13">
        <f t="shared" ca="1" si="238"/>
        <v>-1284</v>
      </c>
      <c r="U712" s="12">
        <f t="shared" ca="1" si="239"/>
        <v>5123</v>
      </c>
      <c r="V712" s="12">
        <f t="shared" ca="1" si="240"/>
        <v>4921</v>
      </c>
      <c r="W712" s="12">
        <f t="shared" ca="1" si="241"/>
        <v>5369</v>
      </c>
      <c r="X712" s="11"/>
      <c r="Y712" s="10"/>
      <c r="Z712" s="10"/>
      <c r="AA712" s="10"/>
      <c r="AB712" s="9"/>
    </row>
    <row r="713" spans="1:28" customFormat="1" ht="13.15" customHeight="1">
      <c r="A713" s="16">
        <f t="shared" si="219"/>
        <v>699</v>
      </c>
      <c r="B713" s="17">
        <f t="shared" si="223"/>
        <v>45857</v>
      </c>
      <c r="C713" s="16">
        <f t="shared" si="224"/>
        <v>1069</v>
      </c>
      <c r="D713" s="15">
        <f t="shared" si="225"/>
        <v>2570</v>
      </c>
      <c r="E713" s="14">
        <f t="shared" ref="E713" ca="1" si="242">C713+D713-H713</f>
        <v>1164</v>
      </c>
      <c r="F713" s="14">
        <f t="shared" ref="F713" ca="1" si="243">C713+D713-I713</f>
        <v>1417</v>
      </c>
      <c r="G713" s="14">
        <f t="shared" ref="G713" ca="1" si="244">D713+C713-J713</f>
        <v>997</v>
      </c>
      <c r="H713" s="10">
        <f t="shared" ref="H713" ca="1" si="245">K713+N713</f>
        <v>2475</v>
      </c>
      <c r="I713" s="10">
        <f t="shared" ref="I713" ca="1" si="246">L713+O713</f>
        <v>2222</v>
      </c>
      <c r="J713" s="10">
        <f t="shared" ref="J713" ca="1" si="247">M713+P713</f>
        <v>2642</v>
      </c>
      <c r="K713" s="10">
        <f t="shared" si="232"/>
        <v>4000</v>
      </c>
      <c r="L713" s="10">
        <f t="shared" si="233"/>
        <v>4000</v>
      </c>
      <c r="M713" s="10">
        <f t="shared" si="234"/>
        <v>4000</v>
      </c>
      <c r="N713" s="10">
        <f t="shared" ref="N713" ca="1" si="248">N712-Q713</f>
        <v>-1525</v>
      </c>
      <c r="O713" s="10">
        <f t="shared" ref="O713" ca="1" si="249">O712-R713</f>
        <v>-1778</v>
      </c>
      <c r="P713" s="10">
        <f t="shared" ref="P713" ca="1" si="250">P712-S713</f>
        <v>-1358</v>
      </c>
      <c r="Q713" s="192">
        <v>8</v>
      </c>
      <c r="R713" s="193">
        <v>9</v>
      </c>
      <c r="S713" s="192">
        <v>7</v>
      </c>
      <c r="T713" s="13">
        <f t="shared" ref="T713" ca="1" si="251">D713+C713-V713</f>
        <v>-1273</v>
      </c>
      <c r="U713" s="12">
        <f t="shared" ref="U713" ca="1" si="252">U712+$X713*1000-Q713</f>
        <v>5115</v>
      </c>
      <c r="V713" s="12">
        <f t="shared" ref="V713" ca="1" si="253">V712+$X713*1000-R713</f>
        <v>4912</v>
      </c>
      <c r="W713" s="12">
        <f t="shared" ref="W713" ca="1" si="254">W712+$X713*1000-S713</f>
        <v>5362</v>
      </c>
      <c r="X713" s="11"/>
      <c r="Y713" s="10"/>
      <c r="Z713" s="10"/>
      <c r="AA713" s="10"/>
      <c r="AB713" s="9"/>
    </row>
    <row r="714" spans="1:28" customFormat="1" ht="13.15" customHeight="1">
      <c r="A714" s="16">
        <f t="shared" si="219"/>
        <v>700</v>
      </c>
      <c r="B714" s="17">
        <f t="shared" si="223"/>
        <v>45864</v>
      </c>
      <c r="C714" s="16">
        <f t="shared" si="224"/>
        <v>1069</v>
      </c>
      <c r="D714" s="15">
        <f t="shared" si="225"/>
        <v>2572</v>
      </c>
      <c r="E714" s="14">
        <f t="shared" ref="E714" ca="1" si="255">C714+D714-H714</f>
        <v>1174</v>
      </c>
      <c r="F714" s="14">
        <f t="shared" ref="F714" ca="1" si="256">C714+D714-I714</f>
        <v>1425</v>
      </c>
      <c r="G714" s="14">
        <f t="shared" ref="G714" ca="1" si="257">D714+C714-J714</f>
        <v>1004</v>
      </c>
      <c r="H714" s="10">
        <f t="shared" ref="H714" ca="1" si="258">K714+N714</f>
        <v>2467</v>
      </c>
      <c r="I714" s="10">
        <f t="shared" ref="I714" ca="1" si="259">L714+O714</f>
        <v>2216</v>
      </c>
      <c r="J714" s="10">
        <f t="shared" ref="J714" ca="1" si="260">M714+P714</f>
        <v>2637</v>
      </c>
      <c r="K714" s="10">
        <f t="shared" si="232"/>
        <v>4000</v>
      </c>
      <c r="L714" s="10">
        <f t="shared" si="233"/>
        <v>4000</v>
      </c>
      <c r="M714" s="10">
        <f t="shared" si="234"/>
        <v>4000</v>
      </c>
      <c r="N714" s="10">
        <f t="shared" ref="N714" ca="1" si="261">N713-Q714</f>
        <v>-1533</v>
      </c>
      <c r="O714" s="10">
        <f t="shared" ref="O714" ca="1" si="262">O713-R714</f>
        <v>-1784</v>
      </c>
      <c r="P714" s="10">
        <f t="shared" ref="P714" ca="1" si="263">P713-S714</f>
        <v>-1363</v>
      </c>
      <c r="Q714" s="192">
        <v>8</v>
      </c>
      <c r="R714" s="193">
        <v>6</v>
      </c>
      <c r="S714" s="192">
        <v>5</v>
      </c>
      <c r="T714" s="13">
        <f t="shared" ref="T714" ca="1" si="264">D714+C714-V714</f>
        <v>-1265</v>
      </c>
      <c r="U714" s="12">
        <f t="shared" ref="U714" ca="1" si="265">U713+$X714*1000-Q714</f>
        <v>5107</v>
      </c>
      <c r="V714" s="12">
        <f t="shared" ref="V714" ca="1" si="266">V713+$X714*1000-R714</f>
        <v>4906</v>
      </c>
      <c r="W714" s="12">
        <f t="shared" ref="W714" ca="1" si="267">W713+$X714*1000-S714</f>
        <v>5357</v>
      </c>
      <c r="X714" s="11"/>
      <c r="Y714" s="10"/>
      <c r="Z714" s="10"/>
      <c r="AA714" s="10"/>
      <c r="AB714" s="9"/>
    </row>
    <row r="715" spans="1:28" ht="13.15" customHeight="1">
      <c r="A715" s="16"/>
      <c r="B715" s="17"/>
      <c r="C715" s="16"/>
      <c r="D715" s="15"/>
      <c r="E715" s="14"/>
      <c r="F715" s="14"/>
      <c r="G715" s="14"/>
      <c r="H715" s="10"/>
      <c r="I715" s="10"/>
      <c r="J715" s="10"/>
      <c r="K715" s="10"/>
      <c r="L715" s="10"/>
      <c r="M715" s="10"/>
      <c r="N715" s="10"/>
      <c r="O715" s="10"/>
      <c r="P715" s="10"/>
      <c r="Q715" s="14"/>
      <c r="R715" s="14"/>
      <c r="S715" s="14"/>
      <c r="T715" s="13"/>
      <c r="U715" s="12"/>
      <c r="V715" s="12"/>
      <c r="W715" s="12"/>
      <c r="X715" s="11"/>
      <c r="Y715" s="10"/>
      <c r="Z715" s="10"/>
      <c r="AA715" s="10"/>
      <c r="AB715" s="9"/>
    </row>
    <row r="716" spans="1:28" ht="13.15" customHeight="1">
      <c r="A716" s="3"/>
      <c r="B716" s="8"/>
      <c r="D716" s="7"/>
      <c r="E716" s="2"/>
      <c r="F716" s="2"/>
      <c r="G716" s="2"/>
      <c r="T716" s="5"/>
      <c r="U716" s="6"/>
      <c r="V716" s="6"/>
      <c r="W716" s="6"/>
      <c r="X716" s="5"/>
      <c r="AB716" s="4"/>
    </row>
    <row r="717" spans="1:28" ht="13.15" customHeight="1">
      <c r="A717" s="3"/>
      <c r="B717" s="8"/>
      <c r="D717" s="7"/>
      <c r="E717" s="2"/>
      <c r="F717" s="2"/>
      <c r="G717" s="2"/>
      <c r="N717" s="1">
        <v>-1533</v>
      </c>
      <c r="O717" s="1">
        <v>-1784</v>
      </c>
      <c r="P717" s="1">
        <v>-1363</v>
      </c>
      <c r="T717" s="5"/>
      <c r="U717" s="6"/>
      <c r="V717" s="6"/>
      <c r="W717" s="6"/>
      <c r="X717" s="5"/>
      <c r="AB717" s="4"/>
    </row>
    <row r="718" spans="1:28" ht="13.15" customHeight="1">
      <c r="A718" s="3"/>
      <c r="B718" s="8"/>
      <c r="D718" s="7"/>
      <c r="E718" s="2"/>
      <c r="F718" s="2"/>
      <c r="G718" s="2"/>
      <c r="T718" s="5"/>
      <c r="U718" s="6"/>
      <c r="V718" s="6"/>
      <c r="W718" s="6"/>
      <c r="X718" s="5"/>
      <c r="AB718" s="4"/>
    </row>
    <row r="719" spans="1:28" ht="13.15" customHeight="1">
      <c r="A719" s="3"/>
      <c r="B719" s="8"/>
      <c r="D719" s="7"/>
      <c r="E719" s="2"/>
      <c r="F719" s="2"/>
      <c r="G719" s="2"/>
      <c r="T719" s="5"/>
      <c r="U719" s="6"/>
      <c r="V719" s="6"/>
      <c r="W719" s="6"/>
      <c r="X719" s="5"/>
      <c r="AB719" s="4"/>
    </row>
    <row r="720" spans="1:28" ht="13.15" customHeight="1">
      <c r="A720" s="3"/>
      <c r="B720" s="8"/>
      <c r="D720" s="7"/>
      <c r="E720" s="2"/>
      <c r="F720" s="2"/>
      <c r="G720" s="2"/>
      <c r="T720" s="5"/>
      <c r="U720" s="6"/>
      <c r="V720" s="6"/>
      <c r="W720" s="6"/>
      <c r="X720" s="5"/>
      <c r="AB720" s="4"/>
    </row>
    <row r="721" spans="1:28" ht="13.15" customHeight="1">
      <c r="A721" s="3"/>
      <c r="B721" s="8"/>
      <c r="D721" s="7"/>
      <c r="E721" s="2"/>
      <c r="F721" s="2"/>
      <c r="G721" s="2"/>
      <c r="T721" s="5"/>
      <c r="U721" s="6"/>
      <c r="V721" s="6"/>
      <c r="W721" s="6"/>
      <c r="X721" s="5"/>
      <c r="AB721" s="4"/>
    </row>
    <row r="722" spans="1:28" ht="13.15" customHeight="1">
      <c r="A722" s="3"/>
      <c r="B722" s="8"/>
      <c r="D722" s="7"/>
      <c r="E722" s="2"/>
      <c r="F722" s="2"/>
      <c r="G722" s="2"/>
      <c r="T722" s="5"/>
      <c r="U722" s="6"/>
      <c r="V722" s="6"/>
      <c r="W722" s="6"/>
      <c r="X722" s="5"/>
      <c r="AB722" s="4"/>
    </row>
    <row r="723" spans="1:28" ht="13.15" customHeight="1">
      <c r="A723" s="3"/>
      <c r="B723" s="8"/>
      <c r="D723" s="7"/>
      <c r="E723" s="2"/>
      <c r="F723" s="2"/>
      <c r="G723" s="2"/>
      <c r="T723" s="5"/>
      <c r="U723" s="6"/>
      <c r="V723" s="6"/>
      <c r="W723" s="6"/>
      <c r="X723" s="5"/>
      <c r="AB723" s="4"/>
    </row>
    <row r="724" spans="1:28" ht="13.15" customHeight="1">
      <c r="A724" s="3"/>
      <c r="B724" s="8"/>
      <c r="D724" s="7"/>
      <c r="E724" s="2"/>
      <c r="F724" s="2"/>
      <c r="G724" s="2"/>
      <c r="T724" s="5"/>
      <c r="U724" s="6"/>
      <c r="V724" s="6"/>
      <c r="W724" s="6"/>
      <c r="X724" s="5"/>
      <c r="AB724" s="4"/>
    </row>
    <row r="725" spans="1:28" ht="13.15" customHeight="1">
      <c r="A725" s="3"/>
      <c r="B725" s="8"/>
      <c r="D725" s="7"/>
      <c r="E725" s="2"/>
      <c r="F725" s="2"/>
      <c r="G725" s="2"/>
      <c r="T725" s="5"/>
      <c r="U725" s="6"/>
      <c r="V725" s="6"/>
      <c r="W725" s="6"/>
      <c r="X725" s="5"/>
      <c r="AB725" s="4"/>
    </row>
    <row r="726" spans="1:28" ht="13.15" customHeight="1">
      <c r="A726" s="3"/>
      <c r="B726" s="8"/>
      <c r="D726" s="7"/>
      <c r="E726" s="2"/>
      <c r="F726" s="2"/>
      <c r="G726" s="2"/>
      <c r="T726" s="5"/>
      <c r="U726" s="6"/>
      <c r="V726" s="6"/>
      <c r="W726" s="6"/>
      <c r="X726" s="5"/>
      <c r="AB726" s="4"/>
    </row>
    <row r="727" spans="1:28" ht="13.15" customHeight="1">
      <c r="A727" s="3"/>
      <c r="B727" s="8"/>
      <c r="D727" s="7"/>
      <c r="E727" s="2"/>
      <c r="F727" s="2"/>
      <c r="G727" s="2"/>
      <c r="T727" s="5"/>
      <c r="U727" s="6"/>
      <c r="V727" s="6"/>
      <c r="W727" s="6"/>
      <c r="X727" s="5"/>
      <c r="AB727" s="4"/>
    </row>
    <row r="728" spans="1:28" ht="13.15" customHeight="1">
      <c r="A728" s="3"/>
      <c r="B728" s="8"/>
      <c r="D728" s="7"/>
      <c r="E728" s="2"/>
      <c r="F728" s="2"/>
      <c r="G728" s="2"/>
      <c r="T728" s="5"/>
      <c r="U728" s="6"/>
      <c r="V728" s="6"/>
      <c r="W728" s="6"/>
      <c r="X728" s="5"/>
      <c r="AB728" s="4"/>
    </row>
    <row r="729" spans="1:28" ht="13.15" customHeight="1">
      <c r="A729" s="3"/>
      <c r="B729" s="8"/>
      <c r="D729" s="7"/>
      <c r="E729" s="2"/>
      <c r="F729" s="2"/>
      <c r="G729" s="2"/>
      <c r="T729" s="5"/>
      <c r="U729" s="6"/>
      <c r="V729" s="6"/>
      <c r="W729" s="6"/>
      <c r="X729" s="5"/>
      <c r="AB729" s="4"/>
    </row>
    <row r="730" spans="1:28" ht="13.15" customHeight="1">
      <c r="A730" s="3"/>
      <c r="B730" s="8"/>
      <c r="D730" s="7"/>
      <c r="E730" s="2"/>
      <c r="F730" s="2"/>
      <c r="G730" s="2"/>
      <c r="T730" s="5"/>
      <c r="U730" s="6"/>
      <c r="V730" s="6"/>
      <c r="W730" s="6"/>
      <c r="X730" s="5"/>
      <c r="AB730" s="4"/>
    </row>
    <row r="731" spans="1:28" ht="13.15" customHeight="1">
      <c r="A731" s="3"/>
      <c r="B731" s="8"/>
      <c r="D731" s="7"/>
      <c r="E731" s="2"/>
      <c r="F731" s="2"/>
      <c r="G731" s="2"/>
      <c r="T731" s="5"/>
      <c r="U731" s="6"/>
      <c r="V731" s="6"/>
      <c r="W731" s="6"/>
      <c r="X731" s="5"/>
      <c r="AB731" s="4"/>
    </row>
    <row r="732" spans="1:28" ht="13.15" customHeight="1">
      <c r="A732" s="3"/>
      <c r="B732" s="8"/>
      <c r="D732" s="7"/>
      <c r="E732" s="2"/>
      <c r="F732" s="2"/>
      <c r="G732" s="2"/>
      <c r="T732" s="5"/>
      <c r="U732" s="6"/>
      <c r="V732" s="6"/>
      <c r="W732" s="6"/>
      <c r="X732" s="5"/>
      <c r="AB732" s="4"/>
    </row>
    <row r="733" spans="1:28" ht="13.15" customHeight="1">
      <c r="A733" s="3"/>
      <c r="B733" s="8"/>
      <c r="D733" s="7"/>
      <c r="E733" s="2"/>
      <c r="F733" s="2"/>
      <c r="G733" s="2"/>
      <c r="T733" s="5"/>
      <c r="U733" s="6"/>
      <c r="V733" s="6"/>
      <c r="W733" s="6"/>
      <c r="X733" s="5"/>
      <c r="AB733" s="4"/>
    </row>
    <row r="734" spans="1:28" ht="13.15" customHeight="1">
      <c r="A734" s="3"/>
      <c r="B734" s="8"/>
      <c r="D734" s="7"/>
      <c r="E734" s="2"/>
      <c r="F734" s="2"/>
      <c r="G734" s="2"/>
      <c r="T734" s="5"/>
      <c r="U734" s="6"/>
      <c r="V734" s="6"/>
      <c r="W734" s="6"/>
      <c r="X734" s="5"/>
      <c r="AB734" s="4"/>
    </row>
    <row r="735" spans="1:28" ht="13.15" customHeight="1">
      <c r="A735" s="3"/>
      <c r="B735" s="8"/>
      <c r="D735" s="7"/>
      <c r="E735" s="2"/>
      <c r="F735" s="2"/>
      <c r="G735" s="2"/>
      <c r="T735" s="5"/>
      <c r="U735" s="6"/>
      <c r="V735" s="6"/>
      <c r="W735" s="6"/>
      <c r="X735" s="5"/>
      <c r="AB735" s="4"/>
    </row>
    <row r="736" spans="1:28" ht="13.15" customHeight="1">
      <c r="A736" s="3"/>
      <c r="B736" s="8"/>
      <c r="D736" s="7"/>
      <c r="E736" s="2"/>
      <c r="F736" s="2"/>
      <c r="G736" s="2"/>
      <c r="T736" s="5"/>
      <c r="U736" s="6"/>
      <c r="V736" s="6"/>
      <c r="W736" s="6"/>
      <c r="X736" s="5"/>
      <c r="AB736" s="4"/>
    </row>
    <row r="737" spans="1:28" ht="13.15" customHeight="1">
      <c r="A737" s="3"/>
      <c r="B737" s="8"/>
      <c r="D737" s="7"/>
      <c r="E737" s="2"/>
      <c r="F737" s="2"/>
      <c r="G737" s="2"/>
      <c r="T737" s="5"/>
      <c r="U737" s="6"/>
      <c r="V737" s="6"/>
      <c r="W737" s="6"/>
      <c r="X737" s="5"/>
      <c r="AB737" s="4"/>
    </row>
    <row r="738" spans="1:28" ht="13.15" customHeight="1">
      <c r="A738" s="3"/>
      <c r="B738" s="8"/>
      <c r="D738" s="7"/>
      <c r="E738" s="2"/>
      <c r="F738" s="2"/>
      <c r="G738" s="2"/>
      <c r="T738" s="5"/>
      <c r="U738" s="6"/>
      <c r="V738" s="6"/>
      <c r="W738" s="6"/>
      <c r="X738" s="5"/>
      <c r="AB738" s="4"/>
    </row>
    <row r="739" spans="1:28" ht="13.15" customHeight="1">
      <c r="A739" s="3"/>
      <c r="B739" s="8"/>
      <c r="D739" s="7"/>
      <c r="E739" s="2"/>
      <c r="F739" s="2"/>
      <c r="G739" s="2"/>
      <c r="T739" s="5"/>
      <c r="U739" s="6"/>
      <c r="V739" s="6"/>
      <c r="W739" s="6"/>
      <c r="X739" s="5"/>
      <c r="AB739" s="4"/>
    </row>
    <row r="740" spans="1:28" ht="13.15" customHeight="1">
      <c r="A740" s="3"/>
      <c r="B740" s="8"/>
      <c r="D740" s="7"/>
      <c r="E740" s="2"/>
      <c r="F740" s="2"/>
      <c r="G740" s="2"/>
      <c r="T740" s="5"/>
      <c r="U740" s="6"/>
      <c r="V740" s="6"/>
      <c r="W740" s="6"/>
      <c r="X740" s="5"/>
      <c r="AB740" s="4"/>
    </row>
    <row r="741" spans="1:28" ht="13.15" customHeight="1">
      <c r="A741" s="3"/>
      <c r="B741" s="8"/>
      <c r="D741" s="7"/>
      <c r="E741" s="2"/>
      <c r="F741" s="2"/>
      <c r="G741" s="2"/>
      <c r="T741" s="5"/>
      <c r="U741" s="6"/>
      <c r="V741" s="6"/>
      <c r="W741" s="6"/>
      <c r="X741" s="5"/>
      <c r="AB741" s="4"/>
    </row>
    <row r="742" spans="1:28" ht="13.15" customHeight="1">
      <c r="A742" s="3"/>
      <c r="B742" s="8"/>
      <c r="D742" s="7"/>
      <c r="E742" s="2"/>
      <c r="F742" s="2"/>
      <c r="G742" s="2"/>
      <c r="T742" s="5"/>
      <c r="U742" s="6"/>
      <c r="V742" s="6"/>
      <c r="W742" s="6"/>
      <c r="X742" s="5"/>
      <c r="AB742" s="4"/>
    </row>
  </sheetData>
  <mergeCells count="27"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541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9FEF-1CD8-4B7E-8375-E5FD70A95647}">
  <sheetPr>
    <tabColor rgb="FFFFFF00"/>
    <pageSetUpPr fitToPage="1"/>
  </sheetPr>
  <dimension ref="A1:AF731"/>
  <sheetViews>
    <sheetView topLeftCell="B1" zoomScale="80" zoomScaleNormal="80" zoomScaleSheetLayoutView="80" workbookViewId="0">
      <pane ySplit="12" topLeftCell="A13" activePane="bottomLeft" state="frozen"/>
      <selection activeCell="AG22" sqref="AG22"/>
      <selection pane="bottomLeft" activeCell="AF20" sqref="AF20"/>
    </sheetView>
  </sheetViews>
  <sheetFormatPr defaultColWidth="9.140625" defaultRowHeight="15.75"/>
  <cols>
    <col min="1" max="1" width="6.42578125" style="72" hidden="1" customWidth="1"/>
    <col min="2" max="2" width="11.85546875" style="84" customWidth="1"/>
    <col min="3" max="3" width="9.28515625" style="83" customWidth="1"/>
    <col min="4" max="4" width="7.42578125" style="83" customWidth="1"/>
    <col min="5" max="5" width="9.42578125" style="82" customWidth="1"/>
    <col min="6" max="6" width="8.28515625" style="82" customWidth="1"/>
    <col min="7" max="8" width="8.140625" style="81" customWidth="1"/>
    <col min="9" max="9" width="9.140625" style="81" customWidth="1"/>
    <col min="10" max="10" width="11.140625" style="80" bestFit="1" customWidth="1"/>
    <col min="11" max="12" width="8.140625" style="79" customWidth="1"/>
    <col min="13" max="13" width="8.140625" style="78" customWidth="1"/>
    <col min="14" max="14" width="8.140625" style="79" customWidth="1"/>
    <col min="15" max="15" width="8.85546875" style="79" customWidth="1"/>
    <col min="16" max="17" width="8.140625" style="78" customWidth="1"/>
    <col min="18" max="18" width="8.140625" style="79" customWidth="1"/>
    <col min="19" max="20" width="8.140625" style="78" customWidth="1"/>
    <col min="21" max="21" width="9.42578125" style="78" customWidth="1"/>
    <col min="22" max="22" width="8.140625" style="76" customWidth="1"/>
    <col min="23" max="23" width="8.140625" style="77" customWidth="1"/>
    <col min="24" max="24" width="6.5703125" style="76" customWidth="1"/>
    <col min="25" max="25" width="5.7109375" style="75" hidden="1" customWidth="1"/>
    <col min="26" max="26" width="10.140625" style="73" bestFit="1" customWidth="1"/>
    <col min="27" max="27" width="9.140625" style="74"/>
    <col min="28" max="28" width="9.140625" style="74" customWidth="1"/>
    <col min="29" max="30" width="9.140625" style="74"/>
    <col min="31" max="31" width="9.140625" style="73"/>
    <col min="32" max="16384" width="9.140625" style="72"/>
  </cols>
  <sheetData>
    <row r="1" spans="1:31" ht="24" customHeight="1" thickTop="1">
      <c r="A1" s="153">
        <v>13</v>
      </c>
      <c r="B1" s="226" t="s">
        <v>45</v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8"/>
    </row>
    <row r="2" spans="1:31" s="135" customFormat="1" ht="24" customHeight="1">
      <c r="A2" s="142"/>
      <c r="B2" s="229" t="s">
        <v>44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1"/>
      <c r="AC2" s="74"/>
      <c r="AD2" s="74"/>
      <c r="AE2" s="74"/>
    </row>
    <row r="3" spans="1:31" s="135" customFormat="1" ht="24" customHeight="1">
      <c r="A3" s="142"/>
      <c r="B3" s="22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1"/>
      <c r="AC3" s="74"/>
      <c r="AD3" s="74"/>
      <c r="AE3" s="74"/>
    </row>
    <row r="4" spans="1:31" s="135" customFormat="1" ht="24" customHeight="1">
      <c r="A4" s="142"/>
      <c r="B4" s="200" t="s">
        <v>43</v>
      </c>
      <c r="C4" s="201"/>
      <c r="D4" s="201"/>
      <c r="E4" s="201"/>
      <c r="F4" s="201"/>
      <c r="G4" s="201"/>
      <c r="H4" s="201"/>
      <c r="I4" s="202"/>
      <c r="J4" s="232" t="s">
        <v>42</v>
      </c>
      <c r="K4" s="233"/>
      <c r="L4" s="233"/>
      <c r="M4" s="233"/>
      <c r="N4" s="233"/>
      <c r="O4" s="233"/>
      <c r="P4" s="233"/>
      <c r="Q4" s="233"/>
      <c r="R4" s="233"/>
      <c r="S4" s="234"/>
      <c r="T4" s="232" t="s">
        <v>41</v>
      </c>
      <c r="U4" s="233"/>
      <c r="V4" s="233"/>
      <c r="W4" s="233"/>
      <c r="X4" s="233"/>
      <c r="Y4" s="233"/>
      <c r="Z4" s="233"/>
      <c r="AA4" s="233"/>
      <c r="AB4" s="234"/>
      <c r="AC4" s="74"/>
      <c r="AD4" s="74"/>
      <c r="AE4" s="74"/>
    </row>
    <row r="5" spans="1:31" s="135" customFormat="1" ht="37.5" customHeight="1">
      <c r="A5" s="142"/>
      <c r="B5" s="206" t="s">
        <v>40</v>
      </c>
      <c r="C5" s="207"/>
      <c r="D5" s="207"/>
      <c r="E5" s="207"/>
      <c r="F5" s="207"/>
      <c r="G5" s="207"/>
      <c r="H5" s="207"/>
      <c r="I5" s="208"/>
      <c r="J5" s="23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37"/>
      <c r="L5" s="237"/>
      <c r="M5" s="237"/>
      <c r="N5" s="237"/>
      <c r="O5" s="237"/>
      <c r="P5" s="237"/>
      <c r="Q5" s="237"/>
      <c r="R5" s="237"/>
      <c r="S5" s="238"/>
      <c r="T5" s="239" t="s">
        <v>39</v>
      </c>
      <c r="U5" s="240"/>
      <c r="V5" s="240"/>
      <c r="W5" s="240"/>
      <c r="X5" s="240"/>
      <c r="Y5" s="240"/>
      <c r="Z5" s="240"/>
      <c r="AA5" s="240"/>
      <c r="AB5" s="241"/>
      <c r="AC5" s="74"/>
      <c r="AD5" s="74"/>
      <c r="AE5" s="74"/>
    </row>
    <row r="6" spans="1:31" s="135" customFormat="1" ht="24" customHeight="1">
      <c r="A6" s="142"/>
      <c r="B6" s="242" t="s">
        <v>38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4"/>
      <c r="AC6" s="74"/>
      <c r="AD6" s="74"/>
      <c r="AE6" s="74"/>
    </row>
    <row r="7" spans="1:31" s="135" customFormat="1" ht="15">
      <c r="A7" s="142"/>
      <c r="B7" s="71" t="s">
        <v>37</v>
      </c>
      <c r="C7" s="69">
        <f>'115+740'!C8</f>
        <v>0</v>
      </c>
      <c r="D7" s="69"/>
      <c r="E7" s="69"/>
      <c r="F7" s="69"/>
      <c r="G7" s="69"/>
      <c r="H7" s="69"/>
      <c r="I7" s="69"/>
      <c r="J7" s="69"/>
      <c r="K7" s="70"/>
      <c r="L7" s="70" t="s">
        <v>36</v>
      </c>
      <c r="M7" s="70"/>
      <c r="N7" s="70">
        <f>'115+740'!M8</f>
        <v>0</v>
      </c>
      <c r="O7" s="70"/>
      <c r="P7" s="69"/>
      <c r="Q7" s="69"/>
      <c r="R7" s="69"/>
      <c r="S7" s="69"/>
      <c r="T7" s="69"/>
      <c r="U7" s="69"/>
      <c r="V7" s="68"/>
      <c r="W7" s="68"/>
      <c r="X7" s="68"/>
      <c r="Y7" s="68"/>
      <c r="Z7" s="68"/>
      <c r="AA7" s="152"/>
      <c r="AB7" s="151"/>
      <c r="AC7" s="74"/>
      <c r="AD7" s="74"/>
      <c r="AE7" s="74"/>
    </row>
    <row r="8" spans="1:31" s="135" customFormat="1" ht="15">
      <c r="A8" s="142"/>
      <c r="B8" s="65" t="s">
        <v>35</v>
      </c>
      <c r="C8" s="63" t="str">
        <f>'115+740'!C9</f>
        <v>Nắng</v>
      </c>
      <c r="D8" s="63"/>
      <c r="E8" s="63"/>
      <c r="F8" s="63"/>
      <c r="G8" s="63"/>
      <c r="H8" s="63"/>
      <c r="I8" s="63"/>
      <c r="J8" s="63"/>
      <c r="K8" s="64"/>
      <c r="L8" s="64" t="s">
        <v>33</v>
      </c>
      <c r="M8" s="64"/>
      <c r="N8" s="64">
        <f>'115+740'!M9</f>
        <v>1069</v>
      </c>
      <c r="O8" s="64"/>
      <c r="P8" s="63"/>
      <c r="Q8" s="63"/>
      <c r="R8" s="63"/>
      <c r="S8" s="63"/>
      <c r="T8" s="63"/>
      <c r="U8" s="63"/>
      <c r="V8" s="62"/>
      <c r="W8" s="62"/>
      <c r="X8" s="62"/>
      <c r="Y8" s="62"/>
      <c r="Z8" s="62"/>
      <c r="AA8" s="150"/>
      <c r="AB8" s="149"/>
      <c r="AC8" s="74"/>
      <c r="AD8" s="74"/>
      <c r="AE8" s="74"/>
    </row>
    <row r="9" spans="1:31" s="135" customFormat="1" ht="15">
      <c r="A9" s="142"/>
      <c r="B9" s="148" t="s">
        <v>32</v>
      </c>
      <c r="C9" s="146" t="str">
        <f>'115+740'!C10</f>
        <v>Km115+740</v>
      </c>
      <c r="D9" s="146"/>
      <c r="E9" s="146"/>
      <c r="F9" s="146"/>
      <c r="G9" s="146"/>
      <c r="H9" s="146"/>
      <c r="I9" s="146"/>
      <c r="J9" s="146"/>
      <c r="K9" s="147"/>
      <c r="L9" s="147" t="s">
        <v>30</v>
      </c>
      <c r="M9" s="147"/>
      <c r="N9" s="245">
        <f>'115+740'!M10</f>
        <v>45072</v>
      </c>
      <c r="O9" s="245"/>
      <c r="P9" s="146"/>
      <c r="Q9" s="146"/>
      <c r="R9" s="146"/>
      <c r="S9" s="146"/>
      <c r="T9" s="146"/>
      <c r="U9" s="146"/>
      <c r="V9" s="145"/>
      <c r="W9" s="145"/>
      <c r="X9" s="145"/>
      <c r="Y9" s="145"/>
      <c r="Z9" s="145"/>
      <c r="AA9" s="144"/>
      <c r="AB9" s="143"/>
      <c r="AC9" s="74"/>
      <c r="AD9" s="74"/>
      <c r="AE9" s="74"/>
    </row>
    <row r="10" spans="1:31" s="135" customFormat="1" ht="12.75">
      <c r="A10" s="142"/>
      <c r="B10" s="141"/>
      <c r="C10" s="140"/>
      <c r="D10" s="140"/>
      <c r="E10" s="139"/>
      <c r="F10" s="139"/>
      <c r="G10" s="139"/>
      <c r="H10" s="139"/>
      <c r="I10" s="139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7"/>
      <c r="W10" s="137"/>
      <c r="X10" s="137"/>
      <c r="Y10" s="116"/>
      <c r="Z10" s="74"/>
      <c r="AA10" s="136"/>
      <c r="AB10" s="136"/>
      <c r="AC10" s="74"/>
      <c r="AD10" s="74"/>
      <c r="AE10" s="74"/>
    </row>
    <row r="11" spans="1:31" s="132" customFormat="1" ht="16.5" customHeight="1">
      <c r="A11" s="134"/>
      <c r="B11" s="250" t="s">
        <v>64</v>
      </c>
      <c r="C11" s="251" t="s">
        <v>63</v>
      </c>
      <c r="D11" s="251" t="s">
        <v>62</v>
      </c>
      <c r="E11" s="225" t="s">
        <v>61</v>
      </c>
      <c r="F11" s="225" t="s">
        <v>60</v>
      </c>
      <c r="G11" s="246" t="s">
        <v>59</v>
      </c>
      <c r="H11" s="246"/>
      <c r="I11" s="246"/>
      <c r="J11" s="246"/>
      <c r="K11" s="246"/>
      <c r="L11" s="246"/>
      <c r="M11" s="247" t="s">
        <v>58</v>
      </c>
      <c r="N11" s="247"/>
      <c r="O11" s="247"/>
      <c r="P11" s="247"/>
      <c r="Q11" s="247"/>
      <c r="R11" s="247"/>
      <c r="S11" s="248" t="s">
        <v>11</v>
      </c>
      <c r="T11" s="248"/>
      <c r="U11" s="248"/>
      <c r="V11" s="248"/>
      <c r="W11" s="248"/>
      <c r="X11" s="248"/>
      <c r="Y11" s="249"/>
      <c r="Z11" s="235" t="s">
        <v>18</v>
      </c>
      <c r="AA11" s="235" t="s">
        <v>56</v>
      </c>
      <c r="AB11" s="235" t="s">
        <v>82</v>
      </c>
      <c r="AC11" s="74"/>
      <c r="AD11" s="74"/>
      <c r="AE11" s="133"/>
    </row>
    <row r="12" spans="1:31" s="105" customFormat="1" ht="73.150000000000006" customHeight="1">
      <c r="A12" s="107"/>
      <c r="B12" s="250"/>
      <c r="C12" s="251"/>
      <c r="D12" s="251"/>
      <c r="E12" s="225"/>
      <c r="F12" s="225"/>
      <c r="G12" s="130" t="s">
        <v>55</v>
      </c>
      <c r="H12" s="130" t="s">
        <v>54</v>
      </c>
      <c r="I12" s="130" t="s">
        <v>53</v>
      </c>
      <c r="J12" s="130" t="s">
        <v>52</v>
      </c>
      <c r="K12" s="131" t="s">
        <v>51</v>
      </c>
      <c r="L12" s="131" t="s">
        <v>50</v>
      </c>
      <c r="M12" s="130" t="s">
        <v>55</v>
      </c>
      <c r="N12" s="130" t="s">
        <v>54</v>
      </c>
      <c r="O12" s="130" t="s">
        <v>53</v>
      </c>
      <c r="P12" s="130" t="s">
        <v>52</v>
      </c>
      <c r="Q12" s="131" t="s">
        <v>51</v>
      </c>
      <c r="R12" s="131" t="s">
        <v>50</v>
      </c>
      <c r="S12" s="130" t="s">
        <v>55</v>
      </c>
      <c r="T12" s="130" t="s">
        <v>54</v>
      </c>
      <c r="U12" s="130" t="s">
        <v>53</v>
      </c>
      <c r="V12" s="129" t="s">
        <v>52</v>
      </c>
      <c r="W12" s="128" t="s">
        <v>51</v>
      </c>
      <c r="X12" s="128" t="s">
        <v>50</v>
      </c>
      <c r="Y12" s="249"/>
      <c r="Z12" s="235"/>
      <c r="AA12" s="235"/>
      <c r="AB12" s="235"/>
      <c r="AC12" s="74"/>
      <c r="AD12" s="74"/>
      <c r="AE12" s="74"/>
    </row>
    <row r="13" spans="1:31" s="105" customFormat="1" ht="15" customHeight="1">
      <c r="A13" s="107"/>
      <c r="B13" s="98">
        <f>'115+740'!B14</f>
        <v>45072</v>
      </c>
      <c r="C13" s="127">
        <v>0</v>
      </c>
      <c r="D13" s="126">
        <f>VLOOKUP(B13,'115+740'!B14:AB115,2,FALSE)</f>
        <v>1069</v>
      </c>
      <c r="E13" s="95">
        <f>VLOOKUP(B13,'115+740'!B14:AB115,3,FALSE)</f>
        <v>1620</v>
      </c>
      <c r="F13" s="95">
        <f t="shared" ref="F13:F76" si="0">D13+E13</f>
        <v>2689</v>
      </c>
      <c r="G13" s="125">
        <f>VLOOKUP(B13,'115+740'!$B$14:$AB$115,20,FALSE)</f>
        <v>40</v>
      </c>
      <c r="H13" s="125">
        <f>VLOOKUP(B13,'115+740'!$B$14:$AB$115,4,FALSE)</f>
        <v>649</v>
      </c>
      <c r="I13" s="123">
        <f t="shared" ref="I13:I76" si="1">F13-H13</f>
        <v>2040</v>
      </c>
      <c r="J13" s="123">
        <f>VLOOKUP(B13,'115+740'!$B$14:$AB$115,13,FALSE)</f>
        <v>40</v>
      </c>
      <c r="K13" s="89">
        <f ca="1">'115+740'!Q14</f>
        <v>0</v>
      </c>
      <c r="L13" s="124">
        <v>0</v>
      </c>
      <c r="M13" s="93">
        <f>VLOOKUP(B13,'115+740'!$B$14:$AB$115,21,FALSE)</f>
        <v>-10</v>
      </c>
      <c r="N13" s="95">
        <f>VLOOKUP(B13,'115+740'!$B$14:$AB$115,5,FALSE)</f>
        <v>699</v>
      </c>
      <c r="O13" s="123">
        <f t="shared" ref="O13:O76" si="2">F13-N13</f>
        <v>1990</v>
      </c>
      <c r="P13" s="123">
        <f>VLOOKUP(B13,'115+740'!$B$14:$AB$115,14,FALSE)</f>
        <v>-10</v>
      </c>
      <c r="Q13" s="89">
        <v>0</v>
      </c>
      <c r="R13" s="124">
        <v>0</v>
      </c>
      <c r="S13" s="93">
        <f>VLOOKUP(B13,'115+740'!$B$14:$AB$115,22,FALSE)</f>
        <v>-40</v>
      </c>
      <c r="T13" s="95">
        <f>VLOOKUP(B13,'115+740'!$B$13:$AB$115,6,FALSE)</f>
        <v>729</v>
      </c>
      <c r="U13" s="123">
        <f t="shared" ref="U13:U76" si="3">F13-T13</f>
        <v>1960</v>
      </c>
      <c r="V13" s="122">
        <f>VLOOKUP(B13,'115+740'!$B$14:$AB$115,15,FALSE)</f>
        <v>-40</v>
      </c>
      <c r="W13" s="121">
        <v>0</v>
      </c>
      <c r="X13" s="120">
        <v>0</v>
      </c>
      <c r="Y13" s="119">
        <v>0</v>
      </c>
      <c r="Z13" s="86">
        <f>IF(Y13&gt;0,Y13,0)</f>
        <v>0</v>
      </c>
      <c r="AA13" s="85">
        <f>Z13</f>
        <v>0</v>
      </c>
      <c r="AB13" s="85">
        <v>0</v>
      </c>
      <c r="AC13" s="74"/>
      <c r="AD13" s="74"/>
      <c r="AE13" s="74"/>
    </row>
    <row r="14" spans="1:31" s="105" customFormat="1" ht="15" customHeight="1">
      <c r="A14" s="107"/>
      <c r="B14" s="98">
        <f>'115+740'!B15</f>
        <v>45073</v>
      </c>
      <c r="C14" s="97">
        <f t="shared" ref="C14:C77" si="4">B14-B13</f>
        <v>1</v>
      </c>
      <c r="D14" s="96">
        <f t="shared" ref="D14:D77" si="5">D13</f>
        <v>1069</v>
      </c>
      <c r="E14" s="95">
        <f>VLOOKUP(B14,'115+740'!B15:AB116,3,FALSE)</f>
        <v>1618</v>
      </c>
      <c r="F14" s="92">
        <f t="shared" si="0"/>
        <v>2687</v>
      </c>
      <c r="G14" s="94">
        <f ca="1">VLOOKUP(B14,'115+740'!$B$15:$AB$115,20,FALSE)</f>
        <v>40</v>
      </c>
      <c r="H14" s="94">
        <f ca="1">VLOOKUP(B14,'115+740'!$B$15:$AB$115,4,FALSE)</f>
        <v>647</v>
      </c>
      <c r="I14" s="91">
        <f t="shared" ca="1" si="1"/>
        <v>2040</v>
      </c>
      <c r="J14" s="91">
        <f ca="1">VLOOKUP(B14,'115+740'!$B$15:$AB$115,13,FALSE)</f>
        <v>40</v>
      </c>
      <c r="K14" s="89">
        <f ca="1">'115+740'!Q15</f>
        <v>0</v>
      </c>
      <c r="L14" s="88">
        <f t="shared" ref="L14:L77" ca="1" si="6">+K14+L13</f>
        <v>0</v>
      </c>
      <c r="M14" s="93">
        <f ca="1">VLOOKUP(B14,'115+740'!$B$14:$AB$115,21,FALSE)</f>
        <v>-10</v>
      </c>
      <c r="N14" s="92">
        <f ca="1">VLOOKUP(B14,'115+740'!$B$15:$AB$115,5,FALSE)</f>
        <v>697</v>
      </c>
      <c r="O14" s="91">
        <f t="shared" ca="1" si="2"/>
        <v>1990</v>
      </c>
      <c r="P14" s="91">
        <f ca="1">VLOOKUP(B14,'115+740'!$B$15:$AB$115,14,FALSE)</f>
        <v>-10</v>
      </c>
      <c r="Q14" s="89">
        <f ca="1">'115+740'!R15</f>
        <v>0</v>
      </c>
      <c r="R14" s="88">
        <f t="shared" ref="R14:R77" ca="1" si="7">+Q14+R13</f>
        <v>0</v>
      </c>
      <c r="S14" s="93">
        <f ca="1">VLOOKUP(B14,'115+740'!$B$14:$AB$115,22,FALSE)</f>
        <v>-40</v>
      </c>
      <c r="T14" s="92">
        <f ca="1">VLOOKUP(B14,'115+740'!$B$15:$AB$115,6,FALSE)</f>
        <v>727</v>
      </c>
      <c r="U14" s="91">
        <f t="shared" ca="1" si="3"/>
        <v>1960</v>
      </c>
      <c r="V14" s="90">
        <f ca="1">VLOOKUP(B14,'115+740'!$B$15:$AB$115,15,FALSE)</f>
        <v>-40</v>
      </c>
      <c r="W14" s="89">
        <f ca="1">'115+740'!S15</f>
        <v>0</v>
      </c>
      <c r="X14" s="88">
        <f t="shared" ref="X14:X77" ca="1" si="8">+W14+X13</f>
        <v>0</v>
      </c>
      <c r="Y14" s="87">
        <f t="shared" ref="Y14:Y77" ca="1" si="9">S14-S13</f>
        <v>0</v>
      </c>
      <c r="Z14" s="86">
        <f t="shared" ref="Z14:Z77" ca="1" si="10">IF(Y14&gt;0,Y14,0)/1000</f>
        <v>0</v>
      </c>
      <c r="AA14" s="85">
        <f t="shared" ref="AA14:AA77" ca="1" si="11">AA13+Z14</f>
        <v>0</v>
      </c>
      <c r="AB14" s="85">
        <f t="shared" ref="AB14:AB77" ca="1" si="12">(M14-$M$13-R14)/1000</f>
        <v>0</v>
      </c>
      <c r="AC14" s="74"/>
      <c r="AD14" s="74"/>
      <c r="AE14" s="74"/>
    </row>
    <row r="15" spans="1:31" s="105" customFormat="1" ht="15" customHeight="1">
      <c r="A15" s="107">
        <v>1</v>
      </c>
      <c r="B15" s="98">
        <f>'115+740'!B16</f>
        <v>45074</v>
      </c>
      <c r="C15" s="97">
        <f t="shared" si="4"/>
        <v>1</v>
      </c>
      <c r="D15" s="96">
        <f t="shared" si="5"/>
        <v>1069</v>
      </c>
      <c r="E15" s="95">
        <f>VLOOKUP(B15,'115+740'!B16:AB117,3,FALSE)</f>
        <v>1616</v>
      </c>
      <c r="F15" s="92">
        <f t="shared" si="0"/>
        <v>2685</v>
      </c>
      <c r="G15" s="94">
        <f ca="1">VLOOKUP(B15,'115+740'!$B$15:$AB$115,20,FALSE)</f>
        <v>40</v>
      </c>
      <c r="H15" s="94">
        <f ca="1">VLOOKUP(B15,'115+740'!$B$15:$AB$115,4,FALSE)</f>
        <v>645</v>
      </c>
      <c r="I15" s="91">
        <f t="shared" ca="1" si="1"/>
        <v>2040</v>
      </c>
      <c r="J15" s="91">
        <f ca="1">VLOOKUP(B15,'115+740'!$B$15:$AB$115,13,FALSE)</f>
        <v>40</v>
      </c>
      <c r="K15" s="89">
        <f ca="1">'115+740'!Q16</f>
        <v>0</v>
      </c>
      <c r="L15" s="88">
        <f t="shared" ca="1" si="6"/>
        <v>0</v>
      </c>
      <c r="M15" s="93">
        <f ca="1">VLOOKUP(B15,'115+740'!$B$14:$AB$115,21,FALSE)</f>
        <v>-10</v>
      </c>
      <c r="N15" s="92">
        <f ca="1">VLOOKUP(B15,'115+740'!$B$15:$AB$115,5,FALSE)</f>
        <v>695</v>
      </c>
      <c r="O15" s="91">
        <f t="shared" ca="1" si="2"/>
        <v>1990</v>
      </c>
      <c r="P15" s="91">
        <f ca="1">VLOOKUP(B15,'115+740'!$B$15:$AB$115,14,FALSE)</f>
        <v>-10</v>
      </c>
      <c r="Q15" s="89">
        <f ca="1">'115+740'!R16</f>
        <v>0</v>
      </c>
      <c r="R15" s="88">
        <f t="shared" ca="1" si="7"/>
        <v>0</v>
      </c>
      <c r="S15" s="93">
        <f ca="1">VLOOKUP(B15,'115+740'!$B$14:$AB$115,22,FALSE)</f>
        <v>-40</v>
      </c>
      <c r="T15" s="92">
        <f ca="1">VLOOKUP(B15,'115+740'!$B$15:$AB$115,6,FALSE)</f>
        <v>725</v>
      </c>
      <c r="U15" s="91">
        <f t="shared" ca="1" si="3"/>
        <v>1960</v>
      </c>
      <c r="V15" s="90">
        <f ca="1">VLOOKUP(B15,'115+740'!$B$15:$AB$115,15,FALSE)</f>
        <v>-40</v>
      </c>
      <c r="W15" s="89">
        <f ca="1">'115+740'!S16</f>
        <v>0</v>
      </c>
      <c r="X15" s="88">
        <f t="shared" ca="1" si="8"/>
        <v>0</v>
      </c>
      <c r="Y15" s="87">
        <f t="shared" ca="1" si="9"/>
        <v>0</v>
      </c>
      <c r="Z15" s="86">
        <f t="shared" ca="1" si="10"/>
        <v>0</v>
      </c>
      <c r="AA15" s="85">
        <f t="shared" ca="1" si="11"/>
        <v>0</v>
      </c>
      <c r="AB15" s="85">
        <f t="shared" ca="1" si="12"/>
        <v>0</v>
      </c>
      <c r="AC15" s="74"/>
      <c r="AD15" s="74"/>
      <c r="AE15" s="74"/>
    </row>
    <row r="16" spans="1:31" s="105" customFormat="1" ht="15" customHeight="1">
      <c r="A16" s="107">
        <f t="shared" ref="A16:A21" si="13">A15+1</f>
        <v>2</v>
      </c>
      <c r="B16" s="98">
        <f>'115+740'!B17</f>
        <v>45075</v>
      </c>
      <c r="C16" s="97">
        <f t="shared" si="4"/>
        <v>1</v>
      </c>
      <c r="D16" s="96">
        <f t="shared" si="5"/>
        <v>1069</v>
      </c>
      <c r="E16" s="95">
        <f>VLOOKUP(B16,'115+740'!B17:AB118,3,FALSE)</f>
        <v>1614</v>
      </c>
      <c r="F16" s="92">
        <f t="shared" si="0"/>
        <v>2683</v>
      </c>
      <c r="G16" s="94">
        <f ca="1">VLOOKUP(B16,'115+740'!$B$15:$AB$115,20,FALSE)</f>
        <v>40</v>
      </c>
      <c r="H16" s="94">
        <f ca="1">VLOOKUP(B16,'115+740'!$B$15:$AB$115,4,FALSE)</f>
        <v>643</v>
      </c>
      <c r="I16" s="91">
        <f t="shared" ca="1" si="1"/>
        <v>2040</v>
      </c>
      <c r="J16" s="91">
        <f ca="1">VLOOKUP(B16,'115+740'!$B$15:$AB$115,13,FALSE)</f>
        <v>40</v>
      </c>
      <c r="K16" s="89">
        <f ca="1">'115+740'!Q17</f>
        <v>0</v>
      </c>
      <c r="L16" s="88">
        <f t="shared" ca="1" si="6"/>
        <v>0</v>
      </c>
      <c r="M16" s="93">
        <f ca="1">VLOOKUP(B16,'115+740'!$B$14:$AB$115,21,FALSE)</f>
        <v>-10</v>
      </c>
      <c r="N16" s="92">
        <f ca="1">VLOOKUP(B16,'115+740'!$B$15:$AB$115,5,FALSE)</f>
        <v>693</v>
      </c>
      <c r="O16" s="91">
        <f t="shared" ca="1" si="2"/>
        <v>1990</v>
      </c>
      <c r="P16" s="91">
        <f ca="1">VLOOKUP(B16,'115+740'!$B$15:$AB$115,14,FALSE)</f>
        <v>-10</v>
      </c>
      <c r="Q16" s="89">
        <f ca="1">'115+740'!R17</f>
        <v>0</v>
      </c>
      <c r="R16" s="88">
        <f t="shared" ca="1" si="7"/>
        <v>0</v>
      </c>
      <c r="S16" s="93">
        <f ca="1">VLOOKUP(B16,'115+740'!$B$14:$AB$115,22,FALSE)</f>
        <v>-40</v>
      </c>
      <c r="T16" s="92">
        <f ca="1">VLOOKUP(B16,'115+740'!$B$15:$AB$115,6,FALSE)</f>
        <v>723</v>
      </c>
      <c r="U16" s="91">
        <f t="shared" ca="1" si="3"/>
        <v>1960</v>
      </c>
      <c r="V16" s="90">
        <f ca="1">VLOOKUP(B16,'115+740'!$B$15:$AB$115,15,FALSE)</f>
        <v>-40</v>
      </c>
      <c r="W16" s="89">
        <f ca="1">'115+740'!S17</f>
        <v>0</v>
      </c>
      <c r="X16" s="88">
        <f t="shared" ca="1" si="8"/>
        <v>0</v>
      </c>
      <c r="Y16" s="87">
        <f t="shared" ca="1" si="9"/>
        <v>0</v>
      </c>
      <c r="Z16" s="86">
        <f t="shared" ca="1" si="10"/>
        <v>0</v>
      </c>
      <c r="AA16" s="85">
        <f t="shared" ca="1" si="11"/>
        <v>0</v>
      </c>
      <c r="AB16" s="85">
        <f t="shared" ca="1" si="12"/>
        <v>0</v>
      </c>
      <c r="AC16" s="74"/>
      <c r="AD16" s="74"/>
      <c r="AE16" s="106"/>
    </row>
    <row r="17" spans="1:31" s="105" customFormat="1" ht="15" customHeight="1">
      <c r="A17" s="107">
        <f t="shared" si="13"/>
        <v>3</v>
      </c>
      <c r="B17" s="98">
        <f>'115+740'!B18</f>
        <v>45076</v>
      </c>
      <c r="C17" s="97">
        <f t="shared" si="4"/>
        <v>1</v>
      </c>
      <c r="D17" s="96">
        <f t="shared" si="5"/>
        <v>1069</v>
      </c>
      <c r="E17" s="95">
        <f>VLOOKUP(B17,'115+740'!B18:AB119,3,FALSE)</f>
        <v>1612</v>
      </c>
      <c r="F17" s="92">
        <f t="shared" si="0"/>
        <v>2681</v>
      </c>
      <c r="G17" s="94">
        <f ca="1">VLOOKUP(B17,'115+740'!$B$15:$AB$115,20,FALSE)</f>
        <v>40</v>
      </c>
      <c r="H17" s="94">
        <f ca="1">VLOOKUP(B17,'115+740'!$B$15:$AB$115,4,FALSE)</f>
        <v>641</v>
      </c>
      <c r="I17" s="91">
        <f t="shared" ca="1" si="1"/>
        <v>2040</v>
      </c>
      <c r="J17" s="91">
        <f ca="1">VLOOKUP(B17,'115+740'!$B$15:$AB$115,13,FALSE)</f>
        <v>40</v>
      </c>
      <c r="K17" s="89">
        <f ca="1">'115+740'!Q18</f>
        <v>0</v>
      </c>
      <c r="L17" s="88">
        <f t="shared" ca="1" si="6"/>
        <v>0</v>
      </c>
      <c r="M17" s="93">
        <f ca="1">VLOOKUP(B17,'115+740'!$B$14:$AB$115,21,FALSE)</f>
        <v>-10</v>
      </c>
      <c r="N17" s="92">
        <f ca="1">VLOOKUP(B17,'115+740'!$B$15:$AB$115,5,FALSE)</f>
        <v>691</v>
      </c>
      <c r="O17" s="91">
        <f t="shared" ca="1" si="2"/>
        <v>1990</v>
      </c>
      <c r="P17" s="91">
        <f ca="1">VLOOKUP(B17,'115+740'!$B$15:$AB$115,14,FALSE)</f>
        <v>-10</v>
      </c>
      <c r="Q17" s="89">
        <f ca="1">'115+740'!R18</f>
        <v>0</v>
      </c>
      <c r="R17" s="88">
        <f t="shared" ca="1" si="7"/>
        <v>0</v>
      </c>
      <c r="S17" s="93">
        <f ca="1">VLOOKUP(B17,'115+740'!$B$14:$AB$115,22,FALSE)</f>
        <v>-40</v>
      </c>
      <c r="T17" s="92">
        <f ca="1">VLOOKUP(B17,'115+740'!$B$15:$AB$115,6,FALSE)</f>
        <v>721</v>
      </c>
      <c r="U17" s="91">
        <f t="shared" ca="1" si="3"/>
        <v>1960</v>
      </c>
      <c r="V17" s="90">
        <f ca="1">VLOOKUP(B17,'115+740'!$B$15:$AB$115,15,FALSE)</f>
        <v>-40</v>
      </c>
      <c r="W17" s="89">
        <f ca="1">'115+740'!S18</f>
        <v>0</v>
      </c>
      <c r="X17" s="88">
        <f t="shared" ca="1" si="8"/>
        <v>0</v>
      </c>
      <c r="Y17" s="87">
        <f t="shared" ca="1" si="9"/>
        <v>0</v>
      </c>
      <c r="Z17" s="86">
        <f t="shared" ca="1" si="10"/>
        <v>0</v>
      </c>
      <c r="AA17" s="85">
        <f t="shared" ca="1" si="11"/>
        <v>0</v>
      </c>
      <c r="AB17" s="85">
        <f t="shared" ca="1" si="12"/>
        <v>0</v>
      </c>
      <c r="AC17" s="74"/>
      <c r="AD17" s="74"/>
      <c r="AE17" s="106"/>
    </row>
    <row r="18" spans="1:31" s="105" customFormat="1" ht="15" customHeight="1">
      <c r="A18" s="107">
        <f t="shared" si="13"/>
        <v>4</v>
      </c>
      <c r="B18" s="98">
        <f>'115+740'!B19</f>
        <v>45077</v>
      </c>
      <c r="C18" s="97">
        <f t="shared" si="4"/>
        <v>1</v>
      </c>
      <c r="D18" s="96">
        <f t="shared" si="5"/>
        <v>1069</v>
      </c>
      <c r="E18" s="95">
        <f>VLOOKUP(B18,'115+740'!B19:AB120,3,FALSE)</f>
        <v>1610</v>
      </c>
      <c r="F18" s="92">
        <f t="shared" si="0"/>
        <v>2679</v>
      </c>
      <c r="G18" s="94">
        <f ca="1">VLOOKUP(B18,'115+740'!$B$15:$AB$115,20,FALSE)</f>
        <v>40</v>
      </c>
      <c r="H18" s="94">
        <f ca="1">VLOOKUP(B18,'115+740'!$B$15:$AB$115,4,FALSE)</f>
        <v>639</v>
      </c>
      <c r="I18" s="91">
        <f t="shared" ca="1" si="1"/>
        <v>2040</v>
      </c>
      <c r="J18" s="91">
        <f ca="1">VLOOKUP(B18,'115+740'!$B$15:$AB$115,13,FALSE)</f>
        <v>40</v>
      </c>
      <c r="K18" s="89">
        <f ca="1">'115+740'!Q19</f>
        <v>0</v>
      </c>
      <c r="L18" s="88">
        <f t="shared" ca="1" si="6"/>
        <v>0</v>
      </c>
      <c r="M18" s="93">
        <f ca="1">VLOOKUP(B18,'115+740'!$B$14:$AB$115,21,FALSE)</f>
        <v>-10</v>
      </c>
      <c r="N18" s="92">
        <f ca="1">VLOOKUP(B18,'115+740'!$B$15:$AB$115,5,FALSE)</f>
        <v>689</v>
      </c>
      <c r="O18" s="91">
        <f t="shared" ca="1" si="2"/>
        <v>1990</v>
      </c>
      <c r="P18" s="91">
        <f ca="1">VLOOKUP(B18,'115+740'!$B$15:$AB$115,14,FALSE)</f>
        <v>-10</v>
      </c>
      <c r="Q18" s="89">
        <f ca="1">'115+740'!R19</f>
        <v>0</v>
      </c>
      <c r="R18" s="88">
        <f t="shared" ca="1" si="7"/>
        <v>0</v>
      </c>
      <c r="S18" s="93">
        <f ca="1">VLOOKUP(B18,'115+740'!$B$14:$AB$115,22,FALSE)</f>
        <v>-40</v>
      </c>
      <c r="T18" s="92">
        <f ca="1">VLOOKUP(B18,'115+740'!$B$15:$AB$115,6,FALSE)</f>
        <v>719</v>
      </c>
      <c r="U18" s="91">
        <f t="shared" ca="1" si="3"/>
        <v>1960</v>
      </c>
      <c r="V18" s="90">
        <f ca="1">VLOOKUP(B18,'115+740'!$B$15:$AB$115,15,FALSE)</f>
        <v>-40</v>
      </c>
      <c r="W18" s="89">
        <f ca="1">'115+740'!S19</f>
        <v>0</v>
      </c>
      <c r="X18" s="88">
        <f t="shared" ca="1" si="8"/>
        <v>0</v>
      </c>
      <c r="Y18" s="87">
        <f t="shared" ca="1" si="9"/>
        <v>0</v>
      </c>
      <c r="Z18" s="86">
        <f t="shared" ca="1" si="10"/>
        <v>0</v>
      </c>
      <c r="AA18" s="85">
        <f t="shared" ca="1" si="11"/>
        <v>0</v>
      </c>
      <c r="AB18" s="85">
        <f t="shared" ca="1" si="12"/>
        <v>0</v>
      </c>
      <c r="AC18" s="74"/>
      <c r="AD18" s="74"/>
      <c r="AE18" s="106"/>
    </row>
    <row r="19" spans="1:31" s="105" customFormat="1" ht="15" customHeight="1">
      <c r="A19" s="107">
        <f t="shared" si="13"/>
        <v>5</v>
      </c>
      <c r="B19" s="98">
        <f>'115+740'!B20</f>
        <v>45078</v>
      </c>
      <c r="C19" s="97">
        <f t="shared" si="4"/>
        <v>1</v>
      </c>
      <c r="D19" s="96">
        <f t="shared" si="5"/>
        <v>1069</v>
      </c>
      <c r="E19" s="95">
        <f>VLOOKUP(B19,'115+740'!B20:AB121,3,FALSE)</f>
        <v>1608</v>
      </c>
      <c r="F19" s="92">
        <f t="shared" si="0"/>
        <v>2677</v>
      </c>
      <c r="G19" s="94">
        <f ca="1">VLOOKUP(B19,'115+740'!$B$15:$AB$115,20,FALSE)</f>
        <v>40</v>
      </c>
      <c r="H19" s="94">
        <f ca="1">VLOOKUP(B19,'115+740'!$B$15:$AB$115,4,FALSE)</f>
        <v>637</v>
      </c>
      <c r="I19" s="91">
        <f t="shared" ca="1" si="1"/>
        <v>2040</v>
      </c>
      <c r="J19" s="91">
        <f ca="1">VLOOKUP(B19,'115+740'!$B$15:$AB$115,13,FALSE)</f>
        <v>40</v>
      </c>
      <c r="K19" s="89">
        <f ca="1">'115+740'!Q20</f>
        <v>0</v>
      </c>
      <c r="L19" s="88">
        <f t="shared" ca="1" si="6"/>
        <v>0</v>
      </c>
      <c r="M19" s="93">
        <f ca="1">VLOOKUP(B19,'115+740'!$B$14:$AB$115,21,FALSE)</f>
        <v>-10</v>
      </c>
      <c r="N19" s="92">
        <f ca="1">VLOOKUP(B19,'115+740'!$B$15:$AB$115,5,FALSE)</f>
        <v>687</v>
      </c>
      <c r="O19" s="91">
        <f t="shared" ca="1" si="2"/>
        <v>1990</v>
      </c>
      <c r="P19" s="91">
        <f ca="1">VLOOKUP(B19,'115+740'!$B$15:$AB$115,14,FALSE)</f>
        <v>-10</v>
      </c>
      <c r="Q19" s="89">
        <f ca="1">'115+740'!R20</f>
        <v>0</v>
      </c>
      <c r="R19" s="88">
        <f t="shared" ca="1" si="7"/>
        <v>0</v>
      </c>
      <c r="S19" s="93">
        <f ca="1">VLOOKUP(B19,'115+740'!$B$14:$AB$115,22,FALSE)</f>
        <v>-40</v>
      </c>
      <c r="T19" s="92">
        <f ca="1">VLOOKUP(B19,'115+740'!$B$15:$AB$115,6,FALSE)</f>
        <v>717</v>
      </c>
      <c r="U19" s="91">
        <f t="shared" ca="1" si="3"/>
        <v>1960</v>
      </c>
      <c r="V19" s="90">
        <f ca="1">VLOOKUP(B19,'115+740'!$B$15:$AB$115,15,FALSE)</f>
        <v>-40</v>
      </c>
      <c r="W19" s="89">
        <f ca="1">'115+740'!S20</f>
        <v>0</v>
      </c>
      <c r="X19" s="88">
        <f t="shared" ca="1" si="8"/>
        <v>0</v>
      </c>
      <c r="Y19" s="87">
        <f t="shared" ca="1" si="9"/>
        <v>0</v>
      </c>
      <c r="Z19" s="86">
        <f t="shared" ca="1" si="10"/>
        <v>0</v>
      </c>
      <c r="AA19" s="85">
        <f t="shared" ca="1" si="11"/>
        <v>0</v>
      </c>
      <c r="AB19" s="85">
        <f t="shared" ca="1" si="12"/>
        <v>0</v>
      </c>
      <c r="AC19" s="74"/>
      <c r="AD19" s="74"/>
      <c r="AE19" s="106"/>
    </row>
    <row r="20" spans="1:31" s="105" customFormat="1" ht="15" customHeight="1">
      <c r="A20" s="107">
        <f t="shared" si="13"/>
        <v>6</v>
      </c>
      <c r="B20" s="98">
        <f>'115+740'!B21</f>
        <v>45079</v>
      </c>
      <c r="C20" s="97">
        <f t="shared" si="4"/>
        <v>1</v>
      </c>
      <c r="D20" s="96">
        <f t="shared" si="5"/>
        <v>1069</v>
      </c>
      <c r="E20" s="95">
        <f>VLOOKUP(B20,'115+740'!B21:AB122,3,FALSE)</f>
        <v>1606</v>
      </c>
      <c r="F20" s="92">
        <f t="shared" si="0"/>
        <v>2675</v>
      </c>
      <c r="G20" s="94">
        <f ca="1">VLOOKUP(B20,'115+740'!$B$15:$AB$115,20,FALSE)</f>
        <v>40</v>
      </c>
      <c r="H20" s="94">
        <f ca="1">VLOOKUP(B20,'115+740'!$B$15:$AB$115,4,FALSE)</f>
        <v>635</v>
      </c>
      <c r="I20" s="91">
        <f t="shared" ca="1" si="1"/>
        <v>2040</v>
      </c>
      <c r="J20" s="91">
        <f ca="1">VLOOKUP(B20,'115+740'!$B$15:$AB$115,13,FALSE)</f>
        <v>40</v>
      </c>
      <c r="K20" s="89">
        <f ca="1">'115+740'!Q21</f>
        <v>0</v>
      </c>
      <c r="L20" s="88">
        <f t="shared" ca="1" si="6"/>
        <v>0</v>
      </c>
      <c r="M20" s="93">
        <f ca="1">VLOOKUP(B20,'115+740'!$B$14:$AB$115,21,FALSE)</f>
        <v>-10</v>
      </c>
      <c r="N20" s="92">
        <f ca="1">VLOOKUP(B20,'115+740'!$B$15:$AB$115,5,FALSE)</f>
        <v>685</v>
      </c>
      <c r="O20" s="91">
        <f t="shared" ca="1" si="2"/>
        <v>1990</v>
      </c>
      <c r="P20" s="91">
        <f ca="1">VLOOKUP(B20,'115+740'!$B$15:$AB$115,14,FALSE)</f>
        <v>-10</v>
      </c>
      <c r="Q20" s="89">
        <f ca="1">'115+740'!R21</f>
        <v>0</v>
      </c>
      <c r="R20" s="88">
        <f t="shared" ca="1" si="7"/>
        <v>0</v>
      </c>
      <c r="S20" s="93">
        <f ca="1">VLOOKUP(B20,'115+740'!$B$14:$AB$115,22,FALSE)</f>
        <v>-40</v>
      </c>
      <c r="T20" s="92">
        <f ca="1">VLOOKUP(B20,'115+740'!$B$15:$AB$115,6,FALSE)</f>
        <v>715</v>
      </c>
      <c r="U20" s="91">
        <f t="shared" ca="1" si="3"/>
        <v>1960</v>
      </c>
      <c r="V20" s="90">
        <f ca="1">VLOOKUP(B20,'115+740'!$B$15:$AB$115,15,FALSE)</f>
        <v>-40</v>
      </c>
      <c r="W20" s="89">
        <f ca="1">'115+740'!S21</f>
        <v>0</v>
      </c>
      <c r="X20" s="88">
        <f t="shared" ca="1" si="8"/>
        <v>0</v>
      </c>
      <c r="Y20" s="87">
        <f t="shared" ca="1" si="9"/>
        <v>0</v>
      </c>
      <c r="Z20" s="86">
        <f t="shared" ca="1" si="10"/>
        <v>0</v>
      </c>
      <c r="AA20" s="85">
        <f t="shared" ca="1" si="11"/>
        <v>0</v>
      </c>
      <c r="AB20" s="85">
        <f t="shared" ca="1" si="12"/>
        <v>0</v>
      </c>
      <c r="AC20" s="74"/>
      <c r="AD20" s="74"/>
      <c r="AE20" s="106"/>
    </row>
    <row r="21" spans="1:31" s="114" customFormat="1" ht="15" customHeight="1">
      <c r="A21" s="107">
        <f t="shared" si="13"/>
        <v>7</v>
      </c>
      <c r="B21" s="98">
        <f>'115+740'!B22</f>
        <v>45080</v>
      </c>
      <c r="C21" s="97">
        <f t="shared" si="4"/>
        <v>1</v>
      </c>
      <c r="D21" s="96">
        <f t="shared" si="5"/>
        <v>1069</v>
      </c>
      <c r="E21" s="95">
        <f>VLOOKUP(B21,'115+740'!B22:AB123,3,FALSE)</f>
        <v>1604</v>
      </c>
      <c r="F21" s="92">
        <f t="shared" si="0"/>
        <v>2673</v>
      </c>
      <c r="G21" s="94">
        <f ca="1">VLOOKUP(B21,'115+740'!$B$15:$AB$115,20,FALSE)</f>
        <v>40</v>
      </c>
      <c r="H21" s="94">
        <f ca="1">VLOOKUP(B21,'115+740'!$B$15:$AB$115,4,FALSE)</f>
        <v>633</v>
      </c>
      <c r="I21" s="91">
        <f t="shared" ca="1" si="1"/>
        <v>2040</v>
      </c>
      <c r="J21" s="91">
        <f ca="1">VLOOKUP(B21,'115+740'!$B$15:$AB$115,13,FALSE)</f>
        <v>40</v>
      </c>
      <c r="K21" s="89">
        <f ca="1">'115+740'!Q22</f>
        <v>0</v>
      </c>
      <c r="L21" s="88">
        <f t="shared" ca="1" si="6"/>
        <v>0</v>
      </c>
      <c r="M21" s="93">
        <f ca="1">VLOOKUP(B21,'115+740'!$B$14:$AB$115,21,FALSE)</f>
        <v>-10</v>
      </c>
      <c r="N21" s="92">
        <f ca="1">VLOOKUP(B21,'115+740'!$B$15:$AB$115,5,FALSE)</f>
        <v>683</v>
      </c>
      <c r="O21" s="91">
        <f t="shared" ca="1" si="2"/>
        <v>1990</v>
      </c>
      <c r="P21" s="91">
        <f ca="1">VLOOKUP(B21,'115+740'!$B$15:$AB$115,14,FALSE)</f>
        <v>-10</v>
      </c>
      <c r="Q21" s="89">
        <f ca="1">'115+740'!R22</f>
        <v>0</v>
      </c>
      <c r="R21" s="88">
        <f t="shared" ca="1" si="7"/>
        <v>0</v>
      </c>
      <c r="S21" s="93">
        <f ca="1">VLOOKUP(B21,'115+740'!$B$14:$AB$115,22,FALSE)</f>
        <v>-40</v>
      </c>
      <c r="T21" s="92">
        <f ca="1">VLOOKUP(B21,'115+740'!$B$15:$AB$115,6,FALSE)</f>
        <v>713</v>
      </c>
      <c r="U21" s="91">
        <f t="shared" ca="1" si="3"/>
        <v>1960</v>
      </c>
      <c r="V21" s="90">
        <f ca="1">VLOOKUP(B21,'115+740'!$B$15:$AB$115,15,FALSE)</f>
        <v>-40</v>
      </c>
      <c r="W21" s="89">
        <f ca="1">'115+740'!S22</f>
        <v>0</v>
      </c>
      <c r="X21" s="88">
        <f t="shared" ca="1" si="8"/>
        <v>0</v>
      </c>
      <c r="Y21" s="87">
        <f t="shared" ca="1" si="9"/>
        <v>0</v>
      </c>
      <c r="Z21" s="86">
        <f t="shared" ca="1" si="10"/>
        <v>0</v>
      </c>
      <c r="AA21" s="85">
        <f t="shared" ca="1" si="11"/>
        <v>0</v>
      </c>
      <c r="AB21" s="85">
        <f t="shared" ca="1" si="12"/>
        <v>0</v>
      </c>
      <c r="AC21" s="116"/>
      <c r="AD21" s="116"/>
      <c r="AE21" s="115"/>
    </row>
    <row r="22" spans="1:31" s="114" customFormat="1" ht="15" customHeight="1">
      <c r="A22" s="107"/>
      <c r="B22" s="98">
        <f>'115+740'!B23</f>
        <v>45081</v>
      </c>
      <c r="C22" s="97">
        <f t="shared" si="4"/>
        <v>1</v>
      </c>
      <c r="D22" s="96">
        <f t="shared" si="5"/>
        <v>1069</v>
      </c>
      <c r="E22" s="95">
        <f>VLOOKUP(B22,'115+740'!B23:AB124,3,FALSE)</f>
        <v>1602</v>
      </c>
      <c r="F22" s="92">
        <f t="shared" si="0"/>
        <v>2671</v>
      </c>
      <c r="G22" s="94">
        <f ca="1">VLOOKUP(B22,'115+740'!$B$15:$AB$115,20,FALSE)</f>
        <v>40</v>
      </c>
      <c r="H22" s="94">
        <f ca="1">VLOOKUP(B22,'115+740'!$B$15:$AB$115,4,FALSE)</f>
        <v>631</v>
      </c>
      <c r="I22" s="91">
        <f t="shared" ca="1" si="1"/>
        <v>2040</v>
      </c>
      <c r="J22" s="91">
        <f ca="1">VLOOKUP(B22,'115+740'!$B$15:$AB$115,13,FALSE)</f>
        <v>40</v>
      </c>
      <c r="K22" s="89">
        <f ca="1">'115+740'!Q23</f>
        <v>0</v>
      </c>
      <c r="L22" s="88">
        <f t="shared" ca="1" si="6"/>
        <v>0</v>
      </c>
      <c r="M22" s="93">
        <f ca="1">VLOOKUP(B22,'115+740'!$B$14:$AB$115,21,FALSE)</f>
        <v>-10</v>
      </c>
      <c r="N22" s="92">
        <f ca="1">VLOOKUP(B22,'115+740'!$B$15:$AB$115,5,FALSE)</f>
        <v>681</v>
      </c>
      <c r="O22" s="91">
        <f t="shared" ca="1" si="2"/>
        <v>1990</v>
      </c>
      <c r="P22" s="91">
        <f ca="1">VLOOKUP(B22,'115+740'!$B$15:$AB$115,14,FALSE)</f>
        <v>-10</v>
      </c>
      <c r="Q22" s="89">
        <f ca="1">'115+740'!R23</f>
        <v>0</v>
      </c>
      <c r="R22" s="88">
        <f t="shared" ca="1" si="7"/>
        <v>0</v>
      </c>
      <c r="S22" s="93">
        <f ca="1">VLOOKUP(B22,'115+740'!$B$14:$AB$115,22,FALSE)</f>
        <v>-40</v>
      </c>
      <c r="T22" s="92">
        <f ca="1">VLOOKUP(B22,'115+740'!$B$15:$AB$115,6,FALSE)</f>
        <v>711</v>
      </c>
      <c r="U22" s="91">
        <f t="shared" ca="1" si="3"/>
        <v>1960</v>
      </c>
      <c r="V22" s="90">
        <f ca="1">VLOOKUP(B22,'115+740'!$B$15:$AB$115,15,FALSE)</f>
        <v>-40</v>
      </c>
      <c r="W22" s="89">
        <f ca="1">'115+740'!S23</f>
        <v>0</v>
      </c>
      <c r="X22" s="88">
        <f t="shared" ca="1" si="8"/>
        <v>0</v>
      </c>
      <c r="Y22" s="87">
        <f t="shared" ca="1" si="9"/>
        <v>0</v>
      </c>
      <c r="Z22" s="86">
        <f t="shared" ca="1" si="10"/>
        <v>0</v>
      </c>
      <c r="AA22" s="85">
        <f t="shared" ca="1" si="11"/>
        <v>0</v>
      </c>
      <c r="AB22" s="85">
        <f t="shared" ca="1" si="12"/>
        <v>0</v>
      </c>
      <c r="AC22" s="116"/>
      <c r="AD22" s="116"/>
      <c r="AE22" s="115"/>
    </row>
    <row r="23" spans="1:31" s="114" customFormat="1" ht="15" customHeight="1">
      <c r="A23" s="107"/>
      <c r="B23" s="98">
        <f>'115+740'!B24</f>
        <v>45082</v>
      </c>
      <c r="C23" s="97">
        <f t="shared" si="4"/>
        <v>1</v>
      </c>
      <c r="D23" s="96">
        <f t="shared" si="5"/>
        <v>1069</v>
      </c>
      <c r="E23" s="95">
        <f>VLOOKUP(B23,'115+740'!B24:AB125,3,FALSE)</f>
        <v>1600</v>
      </c>
      <c r="F23" s="92">
        <f t="shared" si="0"/>
        <v>2669</v>
      </c>
      <c r="G23" s="94">
        <f ca="1">VLOOKUP(B23,'115+740'!$B$15:$AB$115,20,FALSE)</f>
        <v>40</v>
      </c>
      <c r="H23" s="94">
        <f ca="1">VLOOKUP(B23,'115+740'!$B$15:$AB$115,4,FALSE)</f>
        <v>629</v>
      </c>
      <c r="I23" s="91">
        <f t="shared" ca="1" si="1"/>
        <v>2040</v>
      </c>
      <c r="J23" s="91">
        <f ca="1">VLOOKUP(B23,'115+740'!$B$15:$AB$115,13,FALSE)</f>
        <v>40</v>
      </c>
      <c r="K23" s="89">
        <f ca="1">'115+740'!Q24</f>
        <v>0</v>
      </c>
      <c r="L23" s="88">
        <f t="shared" ca="1" si="6"/>
        <v>0</v>
      </c>
      <c r="M23" s="93">
        <f ca="1">VLOOKUP(B23,'115+740'!$B$14:$AB$115,21,FALSE)</f>
        <v>-10</v>
      </c>
      <c r="N23" s="92">
        <f ca="1">VLOOKUP(B23,'115+740'!$B$15:$AB$115,5,FALSE)</f>
        <v>679</v>
      </c>
      <c r="O23" s="91">
        <f t="shared" ca="1" si="2"/>
        <v>1990</v>
      </c>
      <c r="P23" s="91">
        <f ca="1">VLOOKUP(B23,'115+740'!$B$15:$AB$115,14,FALSE)</f>
        <v>-10</v>
      </c>
      <c r="Q23" s="89">
        <f ca="1">'115+740'!R24</f>
        <v>0</v>
      </c>
      <c r="R23" s="88">
        <f t="shared" ca="1" si="7"/>
        <v>0</v>
      </c>
      <c r="S23" s="93">
        <f ca="1">VLOOKUP(B23,'115+740'!$B$14:$AB$115,22,FALSE)</f>
        <v>-40</v>
      </c>
      <c r="T23" s="92">
        <f ca="1">VLOOKUP(B23,'115+740'!$B$15:$AB$115,6,FALSE)</f>
        <v>709</v>
      </c>
      <c r="U23" s="91">
        <f t="shared" ca="1" si="3"/>
        <v>1960</v>
      </c>
      <c r="V23" s="90">
        <f ca="1">VLOOKUP(B23,'115+740'!$B$15:$AB$115,15,FALSE)</f>
        <v>-40</v>
      </c>
      <c r="W23" s="89">
        <f ca="1">'115+740'!S24</f>
        <v>0</v>
      </c>
      <c r="X23" s="88">
        <f t="shared" ca="1" si="8"/>
        <v>0</v>
      </c>
      <c r="Y23" s="87">
        <f t="shared" ca="1" si="9"/>
        <v>0</v>
      </c>
      <c r="Z23" s="86">
        <f t="shared" ca="1" si="10"/>
        <v>0</v>
      </c>
      <c r="AA23" s="85">
        <f t="shared" ca="1" si="11"/>
        <v>0</v>
      </c>
      <c r="AB23" s="85">
        <f t="shared" ca="1" si="12"/>
        <v>0</v>
      </c>
      <c r="AC23" s="116"/>
      <c r="AD23" s="116"/>
      <c r="AE23" s="115"/>
    </row>
    <row r="24" spans="1:31" s="114" customFormat="1" ht="15" customHeight="1">
      <c r="A24" s="107"/>
      <c r="B24" s="98">
        <f>'115+740'!B25</f>
        <v>45083</v>
      </c>
      <c r="C24" s="97">
        <f t="shared" si="4"/>
        <v>1</v>
      </c>
      <c r="D24" s="96">
        <f t="shared" si="5"/>
        <v>1069</v>
      </c>
      <c r="E24" s="95">
        <f>VLOOKUP(B24,'115+740'!B25:AB126,3,FALSE)</f>
        <v>1598</v>
      </c>
      <c r="F24" s="92">
        <f t="shared" si="0"/>
        <v>2667</v>
      </c>
      <c r="G24" s="94">
        <f ca="1">VLOOKUP(B24,'115+740'!$B$15:$AB$115,20,FALSE)</f>
        <v>40</v>
      </c>
      <c r="H24" s="94">
        <f ca="1">VLOOKUP(B24,'115+740'!$B$15:$AB$115,4,FALSE)</f>
        <v>627</v>
      </c>
      <c r="I24" s="91">
        <f t="shared" ca="1" si="1"/>
        <v>2040</v>
      </c>
      <c r="J24" s="91">
        <f ca="1">VLOOKUP(B24,'115+740'!$B$15:$AB$115,13,FALSE)</f>
        <v>40</v>
      </c>
      <c r="K24" s="89">
        <f ca="1">'115+740'!Q25</f>
        <v>0</v>
      </c>
      <c r="L24" s="88">
        <f t="shared" ca="1" si="6"/>
        <v>0</v>
      </c>
      <c r="M24" s="93">
        <f ca="1">VLOOKUP(B24,'115+740'!$B$14:$AB$115,21,FALSE)</f>
        <v>-10</v>
      </c>
      <c r="N24" s="92">
        <f ca="1">VLOOKUP(B24,'115+740'!$B$15:$AB$115,5,FALSE)</f>
        <v>677</v>
      </c>
      <c r="O24" s="91">
        <f t="shared" ca="1" si="2"/>
        <v>1990</v>
      </c>
      <c r="P24" s="91">
        <f ca="1">VLOOKUP(B24,'115+740'!$B$15:$AB$115,14,FALSE)</f>
        <v>-10</v>
      </c>
      <c r="Q24" s="89">
        <f ca="1">'115+740'!R25</f>
        <v>0</v>
      </c>
      <c r="R24" s="88">
        <f t="shared" ca="1" si="7"/>
        <v>0</v>
      </c>
      <c r="S24" s="93">
        <f ca="1">VLOOKUP(B24,'115+740'!$B$14:$AB$115,22,FALSE)</f>
        <v>-40</v>
      </c>
      <c r="T24" s="92">
        <f ca="1">VLOOKUP(B24,'115+740'!$B$15:$AB$115,6,FALSE)</f>
        <v>707</v>
      </c>
      <c r="U24" s="91">
        <f t="shared" ca="1" si="3"/>
        <v>1960</v>
      </c>
      <c r="V24" s="90">
        <f ca="1">VLOOKUP(B24,'115+740'!$B$15:$AB$115,15,FALSE)</f>
        <v>-40</v>
      </c>
      <c r="W24" s="89">
        <f ca="1">'115+740'!S25</f>
        <v>0</v>
      </c>
      <c r="X24" s="88">
        <f t="shared" ca="1" si="8"/>
        <v>0</v>
      </c>
      <c r="Y24" s="87">
        <f t="shared" ca="1" si="9"/>
        <v>0</v>
      </c>
      <c r="Z24" s="86">
        <f t="shared" ca="1" si="10"/>
        <v>0</v>
      </c>
      <c r="AA24" s="85">
        <f t="shared" ca="1" si="11"/>
        <v>0</v>
      </c>
      <c r="AB24" s="85">
        <f t="shared" ca="1" si="12"/>
        <v>0</v>
      </c>
      <c r="AC24" s="116"/>
      <c r="AD24" s="116"/>
      <c r="AE24" s="115"/>
    </row>
    <row r="25" spans="1:31" s="114" customFormat="1" ht="15" customHeight="1">
      <c r="A25" s="107"/>
      <c r="B25" s="98">
        <f>'115+740'!B26</f>
        <v>45084</v>
      </c>
      <c r="C25" s="97">
        <f t="shared" si="4"/>
        <v>1</v>
      </c>
      <c r="D25" s="96">
        <f t="shared" si="5"/>
        <v>1069</v>
      </c>
      <c r="E25" s="95">
        <f>VLOOKUP(B25,'115+740'!B26:AB127,3,FALSE)</f>
        <v>1596</v>
      </c>
      <c r="F25" s="92">
        <f t="shared" si="0"/>
        <v>2665</v>
      </c>
      <c r="G25" s="94">
        <f ca="1">VLOOKUP(B25,'115+740'!$B$15:$AB$115,20,FALSE)</f>
        <v>40</v>
      </c>
      <c r="H25" s="94">
        <f ca="1">VLOOKUP(B25,'115+740'!$B$15:$AB$115,4,FALSE)</f>
        <v>625</v>
      </c>
      <c r="I25" s="91">
        <f t="shared" ca="1" si="1"/>
        <v>2040</v>
      </c>
      <c r="J25" s="91">
        <f ca="1">VLOOKUP(B25,'115+740'!$B$15:$AB$115,13,FALSE)</f>
        <v>40</v>
      </c>
      <c r="K25" s="89">
        <f ca="1">'115+740'!Q26</f>
        <v>0</v>
      </c>
      <c r="L25" s="88">
        <f t="shared" ca="1" si="6"/>
        <v>0</v>
      </c>
      <c r="M25" s="93">
        <f ca="1">VLOOKUP(B25,'115+740'!$B$14:$AB$115,21,FALSE)</f>
        <v>-10</v>
      </c>
      <c r="N25" s="92">
        <f ca="1">VLOOKUP(B25,'115+740'!$B$15:$AB$115,5,FALSE)</f>
        <v>675</v>
      </c>
      <c r="O25" s="91">
        <f t="shared" ca="1" si="2"/>
        <v>1990</v>
      </c>
      <c r="P25" s="91">
        <f ca="1">VLOOKUP(B25,'115+740'!$B$15:$AB$115,14,FALSE)</f>
        <v>-10</v>
      </c>
      <c r="Q25" s="89">
        <f ca="1">'115+740'!R26</f>
        <v>0</v>
      </c>
      <c r="R25" s="88">
        <f t="shared" ca="1" si="7"/>
        <v>0</v>
      </c>
      <c r="S25" s="93">
        <f ca="1">VLOOKUP(B25,'115+740'!$B$14:$AB$115,22,FALSE)</f>
        <v>-40</v>
      </c>
      <c r="T25" s="92">
        <f ca="1">VLOOKUP(B25,'115+740'!$B$15:$AB$115,6,FALSE)</f>
        <v>705</v>
      </c>
      <c r="U25" s="91">
        <f t="shared" ca="1" si="3"/>
        <v>1960</v>
      </c>
      <c r="V25" s="90">
        <f ca="1">VLOOKUP(B25,'115+740'!$B$15:$AB$115,15,FALSE)</f>
        <v>-40</v>
      </c>
      <c r="W25" s="89">
        <f ca="1">'115+740'!S26</f>
        <v>0</v>
      </c>
      <c r="X25" s="88">
        <f t="shared" ca="1" si="8"/>
        <v>0</v>
      </c>
      <c r="Y25" s="87">
        <f t="shared" ca="1" si="9"/>
        <v>0</v>
      </c>
      <c r="Z25" s="86">
        <f t="shared" ca="1" si="10"/>
        <v>0</v>
      </c>
      <c r="AA25" s="85">
        <f t="shared" ca="1" si="11"/>
        <v>0</v>
      </c>
      <c r="AB25" s="85">
        <f t="shared" ca="1" si="12"/>
        <v>0</v>
      </c>
      <c r="AC25" s="116"/>
      <c r="AD25" s="116"/>
      <c r="AE25" s="115"/>
    </row>
    <row r="26" spans="1:31" s="114" customFormat="1" ht="15" customHeight="1">
      <c r="A26" s="107"/>
      <c r="B26" s="98">
        <f>'115+740'!B27</f>
        <v>45085</v>
      </c>
      <c r="C26" s="97">
        <f t="shared" si="4"/>
        <v>1</v>
      </c>
      <c r="D26" s="96">
        <f t="shared" si="5"/>
        <v>1069</v>
      </c>
      <c r="E26" s="95">
        <f>VLOOKUP(B26,'115+740'!B27:AB128,3,FALSE)</f>
        <v>1594</v>
      </c>
      <c r="F26" s="92">
        <f t="shared" si="0"/>
        <v>2663</v>
      </c>
      <c r="G26" s="94">
        <f ca="1">VLOOKUP(B26,'115+740'!$B$15:$AB$115,20,FALSE)</f>
        <v>93</v>
      </c>
      <c r="H26" s="94">
        <f ca="1">VLOOKUP(B26,'115+740'!$B$15:$AB$115,4,FALSE)</f>
        <v>630</v>
      </c>
      <c r="I26" s="91">
        <f t="shared" ca="1" si="1"/>
        <v>2033</v>
      </c>
      <c r="J26" s="91">
        <f ca="1">VLOOKUP(B26,'115+740'!$B$15:$AB$115,13,FALSE)</f>
        <v>33</v>
      </c>
      <c r="K26" s="89">
        <f>'115+740'!Q27</f>
        <v>7</v>
      </c>
      <c r="L26" s="88">
        <f t="shared" ca="1" si="6"/>
        <v>7</v>
      </c>
      <c r="M26" s="93">
        <f ca="1">VLOOKUP(B26,'115+740'!$B$14:$AB$115,21,FALSE)</f>
        <v>93</v>
      </c>
      <c r="N26" s="92">
        <f ca="1">VLOOKUP(B26,'115+740'!$B$15:$AB$115,5,FALSE)</f>
        <v>680</v>
      </c>
      <c r="O26" s="91">
        <f t="shared" ca="1" si="2"/>
        <v>1983</v>
      </c>
      <c r="P26" s="91">
        <f ca="1">VLOOKUP(B26,'115+740'!$B$15:$AB$115,14,FALSE)</f>
        <v>-17</v>
      </c>
      <c r="Q26" s="89">
        <f>'115+740'!R27</f>
        <v>7</v>
      </c>
      <c r="R26" s="88">
        <f t="shared" ca="1" si="7"/>
        <v>7</v>
      </c>
      <c r="S26" s="93">
        <f ca="1">VLOOKUP(B26,'115+740'!$B$14:$AB$115,22,FALSE)</f>
        <v>91</v>
      </c>
      <c r="T26" s="92">
        <f ca="1">VLOOKUP(B26,'115+740'!$B$15:$AB$115,6,FALSE)</f>
        <v>712</v>
      </c>
      <c r="U26" s="91">
        <f t="shared" ca="1" si="3"/>
        <v>1951</v>
      </c>
      <c r="V26" s="90">
        <f ca="1">VLOOKUP(B26,'115+740'!$B$15:$AB$115,15,FALSE)</f>
        <v>-49</v>
      </c>
      <c r="W26" s="89">
        <f>'115+740'!S27</f>
        <v>9</v>
      </c>
      <c r="X26" s="88">
        <f t="shared" ca="1" si="8"/>
        <v>9</v>
      </c>
      <c r="Y26" s="87">
        <f t="shared" ca="1" si="9"/>
        <v>131</v>
      </c>
      <c r="Z26" s="86">
        <f t="shared" ca="1" si="10"/>
        <v>0.13100000000000001</v>
      </c>
      <c r="AA26" s="85">
        <f t="shared" ca="1" si="11"/>
        <v>0.13100000000000001</v>
      </c>
      <c r="AB26" s="85">
        <f t="shared" ca="1" si="12"/>
        <v>9.6000000000000002E-2</v>
      </c>
      <c r="AC26" s="116"/>
      <c r="AD26" s="116"/>
      <c r="AE26" s="115"/>
    </row>
    <row r="27" spans="1:31" s="114" customFormat="1" ht="15" customHeight="1">
      <c r="A27" s="107"/>
      <c r="B27" s="98">
        <f>'115+740'!B28</f>
        <v>45086</v>
      </c>
      <c r="C27" s="97">
        <f t="shared" si="4"/>
        <v>1</v>
      </c>
      <c r="D27" s="96">
        <f t="shared" si="5"/>
        <v>1069</v>
      </c>
      <c r="E27" s="95">
        <f>VLOOKUP(B27,'115+740'!B28:AB129,3,FALSE)</f>
        <v>1592</v>
      </c>
      <c r="F27" s="92">
        <f t="shared" si="0"/>
        <v>2661</v>
      </c>
      <c r="G27" s="94">
        <f ca="1">VLOOKUP(B27,'115+740'!$B$15:$AB$115,20,FALSE)</f>
        <v>87</v>
      </c>
      <c r="H27" s="94">
        <f ca="1">VLOOKUP(B27,'115+740'!$B$15:$AB$115,4,FALSE)</f>
        <v>634</v>
      </c>
      <c r="I27" s="91">
        <f t="shared" ca="1" si="1"/>
        <v>2027</v>
      </c>
      <c r="J27" s="91">
        <f ca="1">VLOOKUP(B27,'115+740'!$B$15:$AB$115,13,FALSE)</f>
        <v>27</v>
      </c>
      <c r="K27" s="89">
        <f>'115+740'!Q28</f>
        <v>6</v>
      </c>
      <c r="L27" s="88">
        <f t="shared" ca="1" si="6"/>
        <v>13</v>
      </c>
      <c r="M27" s="93">
        <f ca="1">VLOOKUP(B27,'115+740'!$B$14:$AB$115,21,FALSE)</f>
        <v>89</v>
      </c>
      <c r="N27" s="92">
        <f ca="1">VLOOKUP(B27,'115+740'!$B$15:$AB$115,5,FALSE)</f>
        <v>682</v>
      </c>
      <c r="O27" s="91">
        <f t="shared" ca="1" si="2"/>
        <v>1979</v>
      </c>
      <c r="P27" s="91">
        <f ca="1">VLOOKUP(B27,'115+740'!$B$15:$AB$115,14,FALSE)</f>
        <v>-21</v>
      </c>
      <c r="Q27" s="89">
        <f>'115+740'!R28</f>
        <v>4</v>
      </c>
      <c r="R27" s="88">
        <f t="shared" ca="1" si="7"/>
        <v>11</v>
      </c>
      <c r="S27" s="93">
        <f ca="1">VLOOKUP(B27,'115+740'!$B$14:$AB$115,22,FALSE)</f>
        <v>85</v>
      </c>
      <c r="T27" s="92">
        <f ca="1">VLOOKUP(B27,'115+740'!$B$15:$AB$115,6,FALSE)</f>
        <v>716</v>
      </c>
      <c r="U27" s="91">
        <f t="shared" ca="1" si="3"/>
        <v>1945</v>
      </c>
      <c r="V27" s="90">
        <f ca="1">VLOOKUP(B27,'115+740'!$B$15:$AB$115,15,FALSE)</f>
        <v>-55</v>
      </c>
      <c r="W27" s="89">
        <f>'115+740'!S28</f>
        <v>6</v>
      </c>
      <c r="X27" s="88">
        <f t="shared" ca="1" si="8"/>
        <v>15</v>
      </c>
      <c r="Y27" s="87">
        <f t="shared" ca="1" si="9"/>
        <v>-6</v>
      </c>
      <c r="Z27" s="86">
        <f t="shared" ca="1" si="10"/>
        <v>0</v>
      </c>
      <c r="AA27" s="85">
        <f t="shared" ca="1" si="11"/>
        <v>0.13100000000000001</v>
      </c>
      <c r="AB27" s="85">
        <f t="shared" ca="1" si="12"/>
        <v>8.7999999999999995E-2</v>
      </c>
      <c r="AC27" s="116"/>
      <c r="AD27" s="116"/>
      <c r="AE27" s="115"/>
    </row>
    <row r="28" spans="1:31" s="114" customFormat="1" ht="15" customHeight="1">
      <c r="A28" s="107"/>
      <c r="B28" s="98">
        <f>'115+740'!B29</f>
        <v>45087</v>
      </c>
      <c r="C28" s="97">
        <f t="shared" si="4"/>
        <v>1</v>
      </c>
      <c r="D28" s="96">
        <f t="shared" si="5"/>
        <v>1069</v>
      </c>
      <c r="E28" s="95">
        <f>VLOOKUP(B28,'115+740'!B29:AB130,3,FALSE)</f>
        <v>1590</v>
      </c>
      <c r="F28" s="92">
        <f t="shared" si="0"/>
        <v>2659</v>
      </c>
      <c r="G28" s="94">
        <f ca="1">VLOOKUP(B28,'115+740'!$B$15:$AB$115,20,FALSE)</f>
        <v>84</v>
      </c>
      <c r="H28" s="94">
        <f ca="1">VLOOKUP(B28,'115+740'!$B$15:$AB$115,4,FALSE)</f>
        <v>635</v>
      </c>
      <c r="I28" s="91">
        <f t="shared" ca="1" si="1"/>
        <v>2024</v>
      </c>
      <c r="J28" s="91">
        <f ca="1">VLOOKUP(B28,'115+740'!$B$15:$AB$115,13,FALSE)</f>
        <v>24</v>
      </c>
      <c r="K28" s="89">
        <f>'115+740'!Q29</f>
        <v>3</v>
      </c>
      <c r="L28" s="88">
        <f t="shared" ca="1" si="6"/>
        <v>16</v>
      </c>
      <c r="M28" s="93">
        <f ca="1">VLOOKUP(B28,'115+740'!$B$14:$AB$115,21,FALSE)</f>
        <v>87</v>
      </c>
      <c r="N28" s="92">
        <f ca="1">VLOOKUP(B28,'115+740'!$B$15:$AB$115,5,FALSE)</f>
        <v>682</v>
      </c>
      <c r="O28" s="91">
        <f t="shared" ca="1" si="2"/>
        <v>1977</v>
      </c>
      <c r="P28" s="91">
        <f ca="1">VLOOKUP(B28,'115+740'!$B$15:$AB$115,14,FALSE)</f>
        <v>-23</v>
      </c>
      <c r="Q28" s="89">
        <f>'115+740'!R29</f>
        <v>2</v>
      </c>
      <c r="R28" s="88">
        <f t="shared" ca="1" si="7"/>
        <v>13</v>
      </c>
      <c r="S28" s="93">
        <f ca="1">VLOOKUP(B28,'115+740'!$B$14:$AB$115,22,FALSE)</f>
        <v>81</v>
      </c>
      <c r="T28" s="92">
        <f ca="1">VLOOKUP(B28,'115+740'!$B$15:$AB$115,6,FALSE)</f>
        <v>718</v>
      </c>
      <c r="U28" s="91">
        <f t="shared" ca="1" si="3"/>
        <v>1941</v>
      </c>
      <c r="V28" s="90">
        <f ca="1">VLOOKUP(B28,'115+740'!$B$15:$AB$115,15,FALSE)</f>
        <v>-59</v>
      </c>
      <c r="W28" s="89">
        <f>'115+740'!S29</f>
        <v>4</v>
      </c>
      <c r="X28" s="88">
        <f t="shared" ca="1" si="8"/>
        <v>19</v>
      </c>
      <c r="Y28" s="87">
        <f t="shared" ca="1" si="9"/>
        <v>-4</v>
      </c>
      <c r="Z28" s="86">
        <f t="shared" ca="1" si="10"/>
        <v>0</v>
      </c>
      <c r="AA28" s="85">
        <f t="shared" ca="1" si="11"/>
        <v>0.13100000000000001</v>
      </c>
      <c r="AB28" s="85">
        <f t="shared" ca="1" si="12"/>
        <v>8.4000000000000005E-2</v>
      </c>
      <c r="AC28" s="116"/>
      <c r="AD28" s="116"/>
      <c r="AE28" s="115"/>
    </row>
    <row r="29" spans="1:31" s="114" customFormat="1" ht="15" customHeight="1">
      <c r="A29" s="107"/>
      <c r="B29" s="98">
        <f>'115+740'!B30</f>
        <v>45088</v>
      </c>
      <c r="C29" s="97">
        <f t="shared" si="4"/>
        <v>1</v>
      </c>
      <c r="D29" s="96">
        <f t="shared" si="5"/>
        <v>1069</v>
      </c>
      <c r="E29" s="95">
        <f>VLOOKUP(B29,'115+740'!B30:AB131,3,FALSE)</f>
        <v>1588</v>
      </c>
      <c r="F29" s="92">
        <f t="shared" si="0"/>
        <v>2657</v>
      </c>
      <c r="G29" s="94">
        <f ca="1">VLOOKUP(B29,'115+740'!$B$15:$AB$115,20,FALSE)</f>
        <v>84</v>
      </c>
      <c r="H29" s="94">
        <f ca="1">VLOOKUP(B29,'115+740'!$B$15:$AB$115,4,FALSE)</f>
        <v>633</v>
      </c>
      <c r="I29" s="91">
        <f t="shared" ca="1" si="1"/>
        <v>2024</v>
      </c>
      <c r="J29" s="91">
        <f ca="1">VLOOKUP(B29,'115+740'!$B$15:$AB$115,13,FALSE)</f>
        <v>24</v>
      </c>
      <c r="K29" s="89">
        <f>'115+740'!Q30</f>
        <v>0</v>
      </c>
      <c r="L29" s="88">
        <f t="shared" ca="1" si="6"/>
        <v>16</v>
      </c>
      <c r="M29" s="93">
        <f ca="1">VLOOKUP(B29,'115+740'!$B$14:$AB$115,21,FALSE)</f>
        <v>86</v>
      </c>
      <c r="N29" s="92">
        <f ca="1">VLOOKUP(B29,'115+740'!$B$15:$AB$115,5,FALSE)</f>
        <v>681</v>
      </c>
      <c r="O29" s="91">
        <f t="shared" ca="1" si="2"/>
        <v>1976</v>
      </c>
      <c r="P29" s="91">
        <f ca="1">VLOOKUP(B29,'115+740'!$B$15:$AB$115,14,FALSE)</f>
        <v>-24</v>
      </c>
      <c r="Q29" s="89">
        <f>'115+740'!R30</f>
        <v>1</v>
      </c>
      <c r="R29" s="88">
        <f t="shared" ca="1" si="7"/>
        <v>14</v>
      </c>
      <c r="S29" s="93">
        <f ca="1">VLOOKUP(B29,'115+740'!$B$14:$AB$115,22,FALSE)</f>
        <v>81</v>
      </c>
      <c r="T29" s="92">
        <f ca="1">VLOOKUP(B29,'115+740'!$B$15:$AB$115,6,FALSE)</f>
        <v>716</v>
      </c>
      <c r="U29" s="91">
        <f t="shared" ca="1" si="3"/>
        <v>1941</v>
      </c>
      <c r="V29" s="90">
        <f ca="1">VLOOKUP(B29,'115+740'!$B$15:$AB$115,15,FALSE)</f>
        <v>-59</v>
      </c>
      <c r="W29" s="89">
        <f>'115+740'!S30</f>
        <v>0</v>
      </c>
      <c r="X29" s="88">
        <f t="shared" ca="1" si="8"/>
        <v>19</v>
      </c>
      <c r="Y29" s="87">
        <f t="shared" ca="1" si="9"/>
        <v>0</v>
      </c>
      <c r="Z29" s="86">
        <f t="shared" ca="1" si="10"/>
        <v>0</v>
      </c>
      <c r="AA29" s="85">
        <f t="shared" ca="1" si="11"/>
        <v>0.13100000000000001</v>
      </c>
      <c r="AB29" s="85">
        <f t="shared" ca="1" si="12"/>
        <v>8.2000000000000003E-2</v>
      </c>
      <c r="AC29" s="116"/>
      <c r="AD29" s="116"/>
      <c r="AE29" s="115"/>
    </row>
    <row r="30" spans="1:31" s="114" customFormat="1" ht="15" customHeight="1">
      <c r="A30" s="107"/>
      <c r="B30" s="98">
        <f>'115+740'!B31</f>
        <v>45089</v>
      </c>
      <c r="C30" s="97">
        <f t="shared" si="4"/>
        <v>1</v>
      </c>
      <c r="D30" s="96">
        <f t="shared" si="5"/>
        <v>1069</v>
      </c>
      <c r="E30" s="95">
        <f>VLOOKUP(B30,'115+740'!B31:AB132,3,FALSE)</f>
        <v>1586</v>
      </c>
      <c r="F30" s="92">
        <f t="shared" si="0"/>
        <v>2655</v>
      </c>
      <c r="G30" s="94">
        <f ca="1">VLOOKUP(B30,'115+740'!$B$15:$AB$115,20,FALSE)</f>
        <v>376</v>
      </c>
      <c r="H30" s="94">
        <f ca="1">VLOOKUP(B30,'115+740'!$B$15:$AB$115,4,FALSE)</f>
        <v>639</v>
      </c>
      <c r="I30" s="91">
        <f t="shared" ca="1" si="1"/>
        <v>2016</v>
      </c>
      <c r="J30" s="91">
        <f ca="1">VLOOKUP(B30,'115+740'!$B$15:$AB$115,13,FALSE)</f>
        <v>16</v>
      </c>
      <c r="K30" s="89">
        <f>'115+740'!Q31</f>
        <v>8</v>
      </c>
      <c r="L30" s="88">
        <f t="shared" ca="1" si="6"/>
        <v>24</v>
      </c>
      <c r="M30" s="93">
        <f ca="1">VLOOKUP(B30,'115+740'!$B$14:$AB$115,21,FALSE)</f>
        <v>380</v>
      </c>
      <c r="N30" s="92">
        <f ca="1">VLOOKUP(B30,'115+740'!$B$15:$AB$115,5,FALSE)</f>
        <v>685</v>
      </c>
      <c r="O30" s="91">
        <f t="shared" ca="1" si="2"/>
        <v>1970</v>
      </c>
      <c r="P30" s="91">
        <f ca="1">VLOOKUP(B30,'115+740'!$B$15:$AB$115,14,FALSE)</f>
        <v>-30</v>
      </c>
      <c r="Q30" s="89">
        <f>'115+740'!R31</f>
        <v>6</v>
      </c>
      <c r="R30" s="88">
        <f t="shared" ca="1" si="7"/>
        <v>20</v>
      </c>
      <c r="S30" s="93">
        <f ca="1">VLOOKUP(B30,'115+740'!$B$14:$AB$115,22,FALSE)</f>
        <v>374</v>
      </c>
      <c r="T30" s="92">
        <f ca="1">VLOOKUP(B30,'115+740'!$B$15:$AB$115,6,FALSE)</f>
        <v>721</v>
      </c>
      <c r="U30" s="91">
        <f t="shared" ca="1" si="3"/>
        <v>1934</v>
      </c>
      <c r="V30" s="90">
        <f ca="1">VLOOKUP(B30,'115+740'!$B$15:$AB$115,15,FALSE)</f>
        <v>-66</v>
      </c>
      <c r="W30" s="89">
        <f>'115+740'!S31</f>
        <v>7</v>
      </c>
      <c r="X30" s="88">
        <f t="shared" ca="1" si="8"/>
        <v>26</v>
      </c>
      <c r="Y30" s="87">
        <f t="shared" ca="1" si="9"/>
        <v>293</v>
      </c>
      <c r="Z30" s="86">
        <f t="shared" ca="1" si="10"/>
        <v>0.29299999999999998</v>
      </c>
      <c r="AA30" s="85">
        <f t="shared" ca="1" si="11"/>
        <v>0.42399999999999999</v>
      </c>
      <c r="AB30" s="85">
        <f t="shared" ca="1" si="12"/>
        <v>0.37</v>
      </c>
      <c r="AC30" s="116"/>
      <c r="AD30" s="116"/>
      <c r="AE30" s="115"/>
    </row>
    <row r="31" spans="1:31" s="108" customFormat="1" ht="15" customHeight="1">
      <c r="A31" s="107"/>
      <c r="B31" s="98">
        <f>'115+740'!B32</f>
        <v>45090</v>
      </c>
      <c r="C31" s="97">
        <f t="shared" si="4"/>
        <v>1</v>
      </c>
      <c r="D31" s="96">
        <f t="shared" si="5"/>
        <v>1069</v>
      </c>
      <c r="E31" s="95">
        <f>VLOOKUP(B31,'115+740'!B32:AB133,3,FALSE)</f>
        <v>1584</v>
      </c>
      <c r="F31" s="92">
        <f t="shared" si="0"/>
        <v>2653</v>
      </c>
      <c r="G31" s="94">
        <f ca="1">VLOOKUP(B31,'115+740'!$B$15:$AB$115,20,FALSE)</f>
        <v>367</v>
      </c>
      <c r="H31" s="94">
        <f ca="1">VLOOKUP(B31,'115+740'!$B$15:$AB$115,4,FALSE)</f>
        <v>646</v>
      </c>
      <c r="I31" s="91">
        <f t="shared" ca="1" si="1"/>
        <v>2007</v>
      </c>
      <c r="J31" s="91">
        <f ca="1">VLOOKUP(B31,'115+740'!$B$15:$AB$115,13,FALSE)</f>
        <v>7</v>
      </c>
      <c r="K31" s="89">
        <f>'115+740'!Q32</f>
        <v>9</v>
      </c>
      <c r="L31" s="88">
        <f t="shared" ca="1" si="6"/>
        <v>33</v>
      </c>
      <c r="M31" s="93">
        <f ca="1">VLOOKUP(B31,'115+740'!$B$14:$AB$115,21,FALSE)</f>
        <v>373</v>
      </c>
      <c r="N31" s="92">
        <f ca="1">VLOOKUP(B31,'115+740'!$B$15:$AB$115,5,FALSE)</f>
        <v>690</v>
      </c>
      <c r="O31" s="91">
        <f t="shared" ca="1" si="2"/>
        <v>1963</v>
      </c>
      <c r="P31" s="91">
        <f ca="1">VLOOKUP(B31,'115+740'!$B$15:$AB$115,14,FALSE)</f>
        <v>-37</v>
      </c>
      <c r="Q31" s="89">
        <f>'115+740'!R32</f>
        <v>7</v>
      </c>
      <c r="R31" s="88">
        <f t="shared" ca="1" si="7"/>
        <v>27</v>
      </c>
      <c r="S31" s="93">
        <f ca="1">VLOOKUP(B31,'115+740'!$B$14:$AB$115,22,FALSE)</f>
        <v>368</v>
      </c>
      <c r="T31" s="92">
        <f ca="1">VLOOKUP(B31,'115+740'!$B$15:$AB$115,6,FALSE)</f>
        <v>725</v>
      </c>
      <c r="U31" s="91">
        <f t="shared" ca="1" si="3"/>
        <v>1928</v>
      </c>
      <c r="V31" s="90">
        <f ca="1">VLOOKUP(B31,'115+740'!$B$15:$AB$115,15,FALSE)</f>
        <v>-72</v>
      </c>
      <c r="W31" s="89">
        <f>'115+740'!S32</f>
        <v>6</v>
      </c>
      <c r="X31" s="88">
        <f t="shared" ca="1" si="8"/>
        <v>32</v>
      </c>
      <c r="Y31" s="87">
        <f t="shared" ca="1" si="9"/>
        <v>-6</v>
      </c>
      <c r="Z31" s="86">
        <f t="shared" ca="1" si="10"/>
        <v>0</v>
      </c>
      <c r="AA31" s="85">
        <f t="shared" ca="1" si="11"/>
        <v>0.42399999999999999</v>
      </c>
      <c r="AB31" s="85">
        <f t="shared" ca="1" si="12"/>
        <v>0.35599999999999998</v>
      </c>
      <c r="AC31" s="110"/>
      <c r="AD31" s="110"/>
      <c r="AE31" s="109"/>
    </row>
    <row r="32" spans="1:31" s="114" customFormat="1" ht="15" customHeight="1">
      <c r="A32" s="107"/>
      <c r="B32" s="98">
        <f>'115+740'!B33</f>
        <v>45091</v>
      </c>
      <c r="C32" s="97">
        <f t="shared" si="4"/>
        <v>1</v>
      </c>
      <c r="D32" s="96">
        <f t="shared" si="5"/>
        <v>1069</v>
      </c>
      <c r="E32" s="95">
        <f>VLOOKUP(B32,'115+740'!B33:AB134,3,FALSE)</f>
        <v>1582</v>
      </c>
      <c r="F32" s="92">
        <f t="shared" si="0"/>
        <v>2651</v>
      </c>
      <c r="G32" s="94">
        <f ca="1">VLOOKUP(B32,'115+740'!$B$15:$AB$115,20,FALSE)</f>
        <v>360</v>
      </c>
      <c r="H32" s="94">
        <f ca="1">VLOOKUP(B32,'115+740'!$B$15:$AB$115,4,FALSE)</f>
        <v>651</v>
      </c>
      <c r="I32" s="91">
        <f t="shared" ca="1" si="1"/>
        <v>2000</v>
      </c>
      <c r="J32" s="91">
        <f ca="1">VLOOKUP(B32,'115+740'!$B$15:$AB$115,13,FALSE)</f>
        <v>0</v>
      </c>
      <c r="K32" s="89">
        <f>'115+740'!Q33</f>
        <v>7</v>
      </c>
      <c r="L32" s="88">
        <f t="shared" ca="1" si="6"/>
        <v>40</v>
      </c>
      <c r="M32" s="93">
        <f ca="1">VLOOKUP(B32,'115+740'!$B$14:$AB$115,21,FALSE)</f>
        <v>364</v>
      </c>
      <c r="N32" s="92">
        <f ca="1">VLOOKUP(B32,'115+740'!$B$15:$AB$115,5,FALSE)</f>
        <v>697</v>
      </c>
      <c r="O32" s="91">
        <f t="shared" ca="1" si="2"/>
        <v>1954</v>
      </c>
      <c r="P32" s="91">
        <f ca="1">VLOOKUP(B32,'115+740'!$B$15:$AB$115,14,FALSE)</f>
        <v>-46</v>
      </c>
      <c r="Q32" s="89">
        <f>'115+740'!R33</f>
        <v>9</v>
      </c>
      <c r="R32" s="88">
        <f t="shared" ca="1" si="7"/>
        <v>36</v>
      </c>
      <c r="S32" s="93">
        <f ca="1">VLOOKUP(B32,'115+740'!$B$14:$AB$115,22,FALSE)</f>
        <v>361</v>
      </c>
      <c r="T32" s="92">
        <f ca="1">VLOOKUP(B32,'115+740'!$B$15:$AB$115,6,FALSE)</f>
        <v>730</v>
      </c>
      <c r="U32" s="91">
        <f t="shared" ca="1" si="3"/>
        <v>1921</v>
      </c>
      <c r="V32" s="90">
        <f ca="1">VLOOKUP(B32,'115+740'!$B$15:$AB$115,15,FALSE)</f>
        <v>-79</v>
      </c>
      <c r="W32" s="89">
        <f>'115+740'!S33</f>
        <v>7</v>
      </c>
      <c r="X32" s="88">
        <f t="shared" ca="1" si="8"/>
        <v>39</v>
      </c>
      <c r="Y32" s="87">
        <f t="shared" ca="1" si="9"/>
        <v>-7</v>
      </c>
      <c r="Z32" s="86">
        <f t="shared" ca="1" si="10"/>
        <v>0</v>
      </c>
      <c r="AA32" s="85">
        <f t="shared" ca="1" si="11"/>
        <v>0.42399999999999999</v>
      </c>
      <c r="AB32" s="85">
        <f t="shared" ca="1" si="12"/>
        <v>0.33800000000000002</v>
      </c>
      <c r="AC32" s="116"/>
      <c r="AD32" s="116"/>
      <c r="AE32" s="115"/>
    </row>
    <row r="33" spans="1:31" s="114" customFormat="1" ht="15" customHeight="1">
      <c r="A33" s="107"/>
      <c r="B33" s="98">
        <f>'115+740'!B34</f>
        <v>45092</v>
      </c>
      <c r="C33" s="97">
        <f t="shared" si="4"/>
        <v>1</v>
      </c>
      <c r="D33" s="96">
        <f t="shared" si="5"/>
        <v>1069</v>
      </c>
      <c r="E33" s="95">
        <f>VLOOKUP(B33,'115+740'!B34:AB135,3,FALSE)</f>
        <v>1580</v>
      </c>
      <c r="F33" s="92">
        <f t="shared" si="0"/>
        <v>2649</v>
      </c>
      <c r="G33" s="94">
        <f ca="1">VLOOKUP(B33,'115+740'!$B$15:$AB$115,20,FALSE)</f>
        <v>351</v>
      </c>
      <c r="H33" s="94">
        <f ca="1">VLOOKUP(B33,'115+740'!$B$15:$AB$115,4,FALSE)</f>
        <v>658</v>
      </c>
      <c r="I33" s="91">
        <f t="shared" ca="1" si="1"/>
        <v>1991</v>
      </c>
      <c r="J33" s="91">
        <f ca="1">VLOOKUP(B33,'115+740'!$B$15:$AB$115,13,FALSE)</f>
        <v>-9</v>
      </c>
      <c r="K33" s="89">
        <f>'115+740'!Q34</f>
        <v>9</v>
      </c>
      <c r="L33" s="88">
        <f t="shared" ca="1" si="6"/>
        <v>49</v>
      </c>
      <c r="M33" s="93">
        <f ca="1">VLOOKUP(B33,'115+740'!$B$14:$AB$115,21,FALSE)</f>
        <v>356</v>
      </c>
      <c r="N33" s="92">
        <f ca="1">VLOOKUP(B33,'115+740'!$B$15:$AB$115,5,FALSE)</f>
        <v>703</v>
      </c>
      <c r="O33" s="91">
        <f t="shared" ca="1" si="2"/>
        <v>1946</v>
      </c>
      <c r="P33" s="91">
        <f ca="1">VLOOKUP(B33,'115+740'!$B$15:$AB$115,14,FALSE)</f>
        <v>-54</v>
      </c>
      <c r="Q33" s="89">
        <f>'115+740'!R34</f>
        <v>8</v>
      </c>
      <c r="R33" s="88">
        <f t="shared" ca="1" si="7"/>
        <v>44</v>
      </c>
      <c r="S33" s="93">
        <f ca="1">VLOOKUP(B33,'115+740'!$B$14:$AB$115,22,FALSE)</f>
        <v>353</v>
      </c>
      <c r="T33" s="92">
        <f ca="1">VLOOKUP(B33,'115+740'!$B$15:$AB$115,6,FALSE)</f>
        <v>736</v>
      </c>
      <c r="U33" s="91">
        <f t="shared" ca="1" si="3"/>
        <v>1913</v>
      </c>
      <c r="V33" s="90">
        <f ca="1">VLOOKUP(B33,'115+740'!$B$15:$AB$115,15,FALSE)</f>
        <v>-87</v>
      </c>
      <c r="W33" s="89">
        <f>'115+740'!S34</f>
        <v>8</v>
      </c>
      <c r="X33" s="88">
        <f t="shared" ca="1" si="8"/>
        <v>47</v>
      </c>
      <c r="Y33" s="87">
        <f t="shared" ca="1" si="9"/>
        <v>-8</v>
      </c>
      <c r="Z33" s="86">
        <f t="shared" ca="1" si="10"/>
        <v>0</v>
      </c>
      <c r="AA33" s="85">
        <f t="shared" ca="1" si="11"/>
        <v>0.42399999999999999</v>
      </c>
      <c r="AB33" s="85">
        <f t="shared" ca="1" si="12"/>
        <v>0.32200000000000001</v>
      </c>
      <c r="AC33" s="116"/>
      <c r="AD33" s="116"/>
      <c r="AE33" s="115"/>
    </row>
    <row r="34" spans="1:31" s="114" customFormat="1" ht="15" customHeight="1">
      <c r="A34" s="107"/>
      <c r="B34" s="98">
        <f>'115+740'!B35</f>
        <v>45093</v>
      </c>
      <c r="C34" s="97">
        <f t="shared" si="4"/>
        <v>1</v>
      </c>
      <c r="D34" s="96">
        <f t="shared" si="5"/>
        <v>1069</v>
      </c>
      <c r="E34" s="95">
        <f>VLOOKUP(B34,'115+740'!B35:AB136,3,FALSE)</f>
        <v>1578</v>
      </c>
      <c r="F34" s="92">
        <f t="shared" si="0"/>
        <v>2647</v>
      </c>
      <c r="G34" s="94">
        <f ca="1">VLOOKUP(B34,'115+740'!$B$15:$AB$115,20,FALSE)</f>
        <v>642</v>
      </c>
      <c r="H34" s="94">
        <f ca="1">VLOOKUP(B34,'115+740'!$B$15:$AB$115,4,FALSE)</f>
        <v>665</v>
      </c>
      <c r="I34" s="91">
        <f t="shared" ca="1" si="1"/>
        <v>1982</v>
      </c>
      <c r="J34" s="91">
        <f ca="1">VLOOKUP(B34,'115+740'!$B$15:$AB$115,13,FALSE)</f>
        <v>-18</v>
      </c>
      <c r="K34" s="89">
        <f>'115+740'!Q35</f>
        <v>9</v>
      </c>
      <c r="L34" s="88">
        <f t="shared" ca="1" si="6"/>
        <v>58</v>
      </c>
      <c r="M34" s="93">
        <f ca="1">VLOOKUP(B34,'115+740'!$B$14:$AB$115,21,FALSE)</f>
        <v>648</v>
      </c>
      <c r="N34" s="92">
        <f ca="1">VLOOKUP(B34,'115+740'!$B$15:$AB$115,5,FALSE)</f>
        <v>709</v>
      </c>
      <c r="O34" s="91">
        <f t="shared" ca="1" si="2"/>
        <v>1938</v>
      </c>
      <c r="P34" s="91">
        <f ca="1">VLOOKUP(B34,'115+740'!$B$15:$AB$115,14,FALSE)</f>
        <v>-62</v>
      </c>
      <c r="Q34" s="89">
        <f>'115+740'!R35</f>
        <v>8</v>
      </c>
      <c r="R34" s="88">
        <f t="shared" ca="1" si="7"/>
        <v>52</v>
      </c>
      <c r="S34" s="93">
        <f ca="1">VLOOKUP(B34,'115+740'!$B$14:$AB$115,22,FALSE)</f>
        <v>644</v>
      </c>
      <c r="T34" s="92">
        <f ca="1">VLOOKUP(B34,'115+740'!$B$15:$AB$115,6,FALSE)</f>
        <v>743</v>
      </c>
      <c r="U34" s="91">
        <f t="shared" ca="1" si="3"/>
        <v>1904</v>
      </c>
      <c r="V34" s="90">
        <f ca="1">VLOOKUP(B34,'115+740'!$B$15:$AB$115,15,FALSE)</f>
        <v>-96</v>
      </c>
      <c r="W34" s="89">
        <f>'115+740'!S35</f>
        <v>9</v>
      </c>
      <c r="X34" s="88">
        <f t="shared" ca="1" si="8"/>
        <v>56</v>
      </c>
      <c r="Y34" s="87">
        <f t="shared" ca="1" si="9"/>
        <v>291</v>
      </c>
      <c r="Z34" s="86">
        <f t="shared" ca="1" si="10"/>
        <v>0.29099999999999998</v>
      </c>
      <c r="AA34" s="85">
        <f t="shared" ca="1" si="11"/>
        <v>0.71499999999999997</v>
      </c>
      <c r="AB34" s="85">
        <f t="shared" ca="1" si="12"/>
        <v>0.60599999999999998</v>
      </c>
      <c r="AC34" s="116"/>
      <c r="AD34" s="116"/>
      <c r="AE34" s="115"/>
    </row>
    <row r="35" spans="1:31" s="114" customFormat="1" ht="15" customHeight="1">
      <c r="A35" s="107"/>
      <c r="B35" s="98">
        <f>'115+740'!B36</f>
        <v>45094</v>
      </c>
      <c r="C35" s="97">
        <f t="shared" si="4"/>
        <v>1</v>
      </c>
      <c r="D35" s="96">
        <f t="shared" si="5"/>
        <v>1069</v>
      </c>
      <c r="E35" s="95">
        <f>VLOOKUP(B35,'115+740'!B36:AB137,3,FALSE)</f>
        <v>1576</v>
      </c>
      <c r="F35" s="92">
        <f t="shared" si="0"/>
        <v>2645</v>
      </c>
      <c r="G35" s="94">
        <f ca="1">VLOOKUP(B35,'115+740'!$B$15:$AB$115,20,FALSE)</f>
        <v>640</v>
      </c>
      <c r="H35" s="94">
        <f ca="1">VLOOKUP(B35,'115+740'!$B$15:$AB$115,4,FALSE)</f>
        <v>665</v>
      </c>
      <c r="I35" s="91">
        <f t="shared" ca="1" si="1"/>
        <v>1980</v>
      </c>
      <c r="J35" s="91">
        <f ca="1">VLOOKUP(B35,'115+740'!$B$15:$AB$115,13,FALSE)</f>
        <v>-20</v>
      </c>
      <c r="K35" s="89">
        <f>'115+740'!Q36</f>
        <v>2</v>
      </c>
      <c r="L35" s="88">
        <f t="shared" ca="1" si="6"/>
        <v>60</v>
      </c>
      <c r="M35" s="93">
        <f ca="1">VLOOKUP(B35,'115+740'!$B$14:$AB$115,21,FALSE)</f>
        <v>643</v>
      </c>
      <c r="N35" s="92">
        <f ca="1">VLOOKUP(B35,'115+740'!$B$15:$AB$115,5,FALSE)</f>
        <v>712</v>
      </c>
      <c r="O35" s="91">
        <f t="shared" ca="1" si="2"/>
        <v>1933</v>
      </c>
      <c r="P35" s="91">
        <f ca="1">VLOOKUP(B35,'115+740'!$B$15:$AB$115,14,FALSE)</f>
        <v>-67</v>
      </c>
      <c r="Q35" s="89">
        <f>'115+740'!R36</f>
        <v>5</v>
      </c>
      <c r="R35" s="88">
        <f t="shared" ca="1" si="7"/>
        <v>57</v>
      </c>
      <c r="S35" s="93">
        <f ca="1">VLOOKUP(B35,'115+740'!$B$14:$AB$115,22,FALSE)</f>
        <v>642</v>
      </c>
      <c r="T35" s="92">
        <f ca="1">VLOOKUP(B35,'115+740'!$B$15:$AB$115,6,FALSE)</f>
        <v>743</v>
      </c>
      <c r="U35" s="91">
        <f t="shared" ca="1" si="3"/>
        <v>1902</v>
      </c>
      <c r="V35" s="90">
        <f ca="1">VLOOKUP(B35,'115+740'!$B$15:$AB$115,15,FALSE)</f>
        <v>-98</v>
      </c>
      <c r="W35" s="89">
        <f>'115+740'!S36</f>
        <v>2</v>
      </c>
      <c r="X35" s="88">
        <f t="shared" ca="1" si="8"/>
        <v>58</v>
      </c>
      <c r="Y35" s="87">
        <f t="shared" ca="1" si="9"/>
        <v>-2</v>
      </c>
      <c r="Z35" s="86">
        <f t="shared" ca="1" si="10"/>
        <v>0</v>
      </c>
      <c r="AA35" s="85">
        <f t="shared" ca="1" si="11"/>
        <v>0.71499999999999997</v>
      </c>
      <c r="AB35" s="85">
        <f t="shared" ca="1" si="12"/>
        <v>0.59599999999999997</v>
      </c>
      <c r="AC35" s="116"/>
      <c r="AD35" s="116"/>
      <c r="AE35" s="115"/>
    </row>
    <row r="36" spans="1:31" s="114" customFormat="1" ht="15" customHeight="1">
      <c r="A36" s="107"/>
      <c r="B36" s="98">
        <f>'115+740'!B37</f>
        <v>45095</v>
      </c>
      <c r="C36" s="97">
        <f t="shared" si="4"/>
        <v>1</v>
      </c>
      <c r="D36" s="96">
        <f t="shared" si="5"/>
        <v>1069</v>
      </c>
      <c r="E36" s="95">
        <f>VLOOKUP(B36,'115+740'!B37:AB138,3,FALSE)</f>
        <v>1574</v>
      </c>
      <c r="F36" s="92">
        <f t="shared" si="0"/>
        <v>2643</v>
      </c>
      <c r="G36" s="94">
        <f ca="1">VLOOKUP(B36,'115+740'!$B$15:$AB$115,20,FALSE)</f>
        <v>636</v>
      </c>
      <c r="H36" s="94">
        <f ca="1">VLOOKUP(B36,'115+740'!$B$15:$AB$115,4,FALSE)</f>
        <v>667</v>
      </c>
      <c r="I36" s="91">
        <f t="shared" ca="1" si="1"/>
        <v>1976</v>
      </c>
      <c r="J36" s="91">
        <f ca="1">VLOOKUP(B36,'115+740'!$B$15:$AB$115,13,FALSE)</f>
        <v>-24</v>
      </c>
      <c r="K36" s="89">
        <f>'115+740'!Q37</f>
        <v>4</v>
      </c>
      <c r="L36" s="88">
        <f t="shared" ca="1" si="6"/>
        <v>64</v>
      </c>
      <c r="M36" s="93">
        <f ca="1">VLOOKUP(B36,'115+740'!$B$14:$AB$115,21,FALSE)</f>
        <v>638</v>
      </c>
      <c r="N36" s="92">
        <f ca="1">VLOOKUP(B36,'115+740'!$B$15:$AB$115,5,FALSE)</f>
        <v>715</v>
      </c>
      <c r="O36" s="91">
        <f t="shared" ca="1" si="2"/>
        <v>1928</v>
      </c>
      <c r="P36" s="91">
        <f ca="1">VLOOKUP(B36,'115+740'!$B$15:$AB$115,14,FALSE)</f>
        <v>-72</v>
      </c>
      <c r="Q36" s="89">
        <f>'115+740'!R37</f>
        <v>5</v>
      </c>
      <c r="R36" s="88">
        <f t="shared" ca="1" si="7"/>
        <v>62</v>
      </c>
      <c r="S36" s="93">
        <f ca="1">VLOOKUP(B36,'115+740'!$B$14:$AB$115,22,FALSE)</f>
        <v>640</v>
      </c>
      <c r="T36" s="92">
        <f ca="1">VLOOKUP(B36,'115+740'!$B$15:$AB$115,6,FALSE)</f>
        <v>743</v>
      </c>
      <c r="U36" s="91">
        <f t="shared" ca="1" si="3"/>
        <v>1900</v>
      </c>
      <c r="V36" s="90">
        <f ca="1">VLOOKUP(B36,'115+740'!$B$15:$AB$115,15,FALSE)</f>
        <v>-100</v>
      </c>
      <c r="W36" s="89">
        <f>'115+740'!S37</f>
        <v>2</v>
      </c>
      <c r="X36" s="88">
        <f t="shared" ca="1" si="8"/>
        <v>60</v>
      </c>
      <c r="Y36" s="87">
        <f t="shared" ca="1" si="9"/>
        <v>-2</v>
      </c>
      <c r="Z36" s="86">
        <f t="shared" ca="1" si="10"/>
        <v>0</v>
      </c>
      <c r="AA36" s="85">
        <f t="shared" ca="1" si="11"/>
        <v>0.71499999999999997</v>
      </c>
      <c r="AB36" s="85">
        <f t="shared" ca="1" si="12"/>
        <v>0.58599999999999997</v>
      </c>
      <c r="AC36" s="116"/>
      <c r="AD36" s="116"/>
      <c r="AE36" s="115"/>
    </row>
    <row r="37" spans="1:31" s="114" customFormat="1" ht="15" customHeight="1">
      <c r="A37" s="107"/>
      <c r="B37" s="98">
        <f>'115+740'!B38</f>
        <v>45096</v>
      </c>
      <c r="C37" s="97">
        <f t="shared" si="4"/>
        <v>1</v>
      </c>
      <c r="D37" s="96">
        <f t="shared" si="5"/>
        <v>1069</v>
      </c>
      <c r="E37" s="95">
        <f>VLOOKUP(B37,'115+740'!B38:AB139,3,FALSE)</f>
        <v>1572</v>
      </c>
      <c r="F37" s="92">
        <f t="shared" si="0"/>
        <v>2641</v>
      </c>
      <c r="G37" s="94">
        <f ca="1">VLOOKUP(B37,'115+740'!$B$15:$AB$115,20,FALSE)</f>
        <v>632</v>
      </c>
      <c r="H37" s="94">
        <f ca="1">VLOOKUP(B37,'115+740'!$B$15:$AB$115,4,FALSE)</f>
        <v>669</v>
      </c>
      <c r="I37" s="91">
        <f t="shared" ca="1" si="1"/>
        <v>1972</v>
      </c>
      <c r="J37" s="91">
        <f ca="1">VLOOKUP(B37,'115+740'!$B$15:$AB$115,13,FALSE)</f>
        <v>-28</v>
      </c>
      <c r="K37" s="89">
        <f>'115+740'!Q38</f>
        <v>4</v>
      </c>
      <c r="L37" s="88">
        <f t="shared" ca="1" si="6"/>
        <v>68</v>
      </c>
      <c r="M37" s="93">
        <f ca="1">VLOOKUP(B37,'115+740'!$B$14:$AB$115,21,FALSE)</f>
        <v>633</v>
      </c>
      <c r="N37" s="92">
        <f ca="1">VLOOKUP(B37,'115+740'!$B$15:$AB$115,5,FALSE)</f>
        <v>718</v>
      </c>
      <c r="O37" s="91">
        <f t="shared" ca="1" si="2"/>
        <v>1923</v>
      </c>
      <c r="P37" s="91">
        <f ca="1">VLOOKUP(B37,'115+740'!$B$15:$AB$115,14,FALSE)</f>
        <v>-77</v>
      </c>
      <c r="Q37" s="89">
        <f>'115+740'!R38</f>
        <v>5</v>
      </c>
      <c r="R37" s="88">
        <f t="shared" ca="1" si="7"/>
        <v>67</v>
      </c>
      <c r="S37" s="93">
        <f ca="1">VLOOKUP(B37,'115+740'!$B$14:$AB$115,22,FALSE)</f>
        <v>635</v>
      </c>
      <c r="T37" s="92">
        <f ca="1">VLOOKUP(B37,'115+740'!$B$15:$AB$115,6,FALSE)</f>
        <v>746</v>
      </c>
      <c r="U37" s="91">
        <f t="shared" ca="1" si="3"/>
        <v>1895</v>
      </c>
      <c r="V37" s="90">
        <f ca="1">VLOOKUP(B37,'115+740'!$B$15:$AB$115,15,FALSE)</f>
        <v>-105</v>
      </c>
      <c r="W37" s="89">
        <f>'115+740'!S38</f>
        <v>5</v>
      </c>
      <c r="X37" s="88">
        <f t="shared" ca="1" si="8"/>
        <v>65</v>
      </c>
      <c r="Y37" s="87">
        <f t="shared" ca="1" si="9"/>
        <v>-5</v>
      </c>
      <c r="Z37" s="86">
        <f t="shared" ca="1" si="10"/>
        <v>0</v>
      </c>
      <c r="AA37" s="85">
        <f t="shared" ca="1" si="11"/>
        <v>0.71499999999999997</v>
      </c>
      <c r="AB37" s="85">
        <f t="shared" ca="1" si="12"/>
        <v>0.57599999999999996</v>
      </c>
      <c r="AC37" s="116"/>
      <c r="AD37" s="116"/>
      <c r="AE37" s="115"/>
    </row>
    <row r="38" spans="1:31" s="105" customFormat="1" ht="15" customHeight="1">
      <c r="A38" s="107"/>
      <c r="B38" s="98">
        <f>'115+740'!B39</f>
        <v>45097</v>
      </c>
      <c r="C38" s="97">
        <f t="shared" si="4"/>
        <v>1</v>
      </c>
      <c r="D38" s="96">
        <f t="shared" si="5"/>
        <v>1069</v>
      </c>
      <c r="E38" s="95">
        <f>VLOOKUP(B38,'115+740'!B39:AB140,3,FALSE)</f>
        <v>1570</v>
      </c>
      <c r="F38" s="92">
        <f t="shared" si="0"/>
        <v>2639</v>
      </c>
      <c r="G38" s="94">
        <f ca="1">VLOOKUP(B38,'115+740'!$B$15:$AB$115,20,FALSE)</f>
        <v>924</v>
      </c>
      <c r="H38" s="94">
        <f ca="1">VLOOKUP(B38,'115+740'!$B$15:$AB$115,4,FALSE)</f>
        <v>675</v>
      </c>
      <c r="I38" s="91">
        <f t="shared" ca="1" si="1"/>
        <v>1964</v>
      </c>
      <c r="J38" s="91">
        <f ca="1">VLOOKUP(B38,'115+740'!$B$15:$AB$115,13,FALSE)</f>
        <v>-36</v>
      </c>
      <c r="K38" s="89">
        <f>'115+740'!Q39</f>
        <v>8</v>
      </c>
      <c r="L38" s="88">
        <f t="shared" ca="1" si="6"/>
        <v>76</v>
      </c>
      <c r="M38" s="93">
        <f ca="1">VLOOKUP(B38,'115+740'!$B$14:$AB$115,21,FALSE)</f>
        <v>925</v>
      </c>
      <c r="N38" s="92">
        <f ca="1">VLOOKUP(B38,'115+740'!$B$15:$AB$115,5,FALSE)</f>
        <v>724</v>
      </c>
      <c r="O38" s="91">
        <f t="shared" ca="1" si="2"/>
        <v>1915</v>
      </c>
      <c r="P38" s="91">
        <f ca="1">VLOOKUP(B38,'115+740'!$B$15:$AB$115,14,FALSE)</f>
        <v>-85</v>
      </c>
      <c r="Q38" s="89">
        <f>'115+740'!R39</f>
        <v>8</v>
      </c>
      <c r="R38" s="88">
        <f t="shared" ca="1" si="7"/>
        <v>75</v>
      </c>
      <c r="S38" s="93">
        <f ca="1">VLOOKUP(B38,'115+740'!$B$14:$AB$115,22,FALSE)</f>
        <v>927</v>
      </c>
      <c r="T38" s="92">
        <f ca="1">VLOOKUP(B38,'115+740'!$B$15:$AB$115,6,FALSE)</f>
        <v>752</v>
      </c>
      <c r="U38" s="91">
        <f t="shared" ca="1" si="3"/>
        <v>1887</v>
      </c>
      <c r="V38" s="90">
        <f ca="1">VLOOKUP(B38,'115+740'!$B$15:$AB$115,15,FALSE)</f>
        <v>-113</v>
      </c>
      <c r="W38" s="89">
        <f>'115+740'!S39</f>
        <v>8</v>
      </c>
      <c r="X38" s="88">
        <f t="shared" ca="1" si="8"/>
        <v>73</v>
      </c>
      <c r="Y38" s="87">
        <f t="shared" ca="1" si="9"/>
        <v>292</v>
      </c>
      <c r="Z38" s="86">
        <f t="shared" ca="1" si="10"/>
        <v>0.29199999999999998</v>
      </c>
      <c r="AA38" s="85">
        <f t="shared" ca="1" si="11"/>
        <v>1.0069999999999999</v>
      </c>
      <c r="AB38" s="85">
        <f t="shared" ca="1" si="12"/>
        <v>0.86</v>
      </c>
      <c r="AC38" s="74"/>
      <c r="AD38" s="74"/>
      <c r="AE38" s="106"/>
    </row>
    <row r="39" spans="1:31" s="105" customFormat="1" ht="15" customHeight="1">
      <c r="A39" s="107"/>
      <c r="B39" s="98">
        <f>'115+740'!B40</f>
        <v>45098</v>
      </c>
      <c r="C39" s="97">
        <f t="shared" si="4"/>
        <v>1</v>
      </c>
      <c r="D39" s="96">
        <f t="shared" si="5"/>
        <v>1069</v>
      </c>
      <c r="E39" s="95">
        <f>VLOOKUP(B39,'115+740'!B40:AB141,3,FALSE)</f>
        <v>1568</v>
      </c>
      <c r="F39" s="92">
        <f t="shared" si="0"/>
        <v>2637</v>
      </c>
      <c r="G39" s="94">
        <f ca="1">VLOOKUP(B39,'115+740'!$B$15:$AB$115,20,FALSE)</f>
        <v>919</v>
      </c>
      <c r="H39" s="94">
        <f ca="1">VLOOKUP(B39,'115+740'!$B$15:$AB$115,4,FALSE)</f>
        <v>678</v>
      </c>
      <c r="I39" s="91">
        <f t="shared" ca="1" si="1"/>
        <v>1959</v>
      </c>
      <c r="J39" s="91">
        <f ca="1">VLOOKUP(B39,'115+740'!$B$15:$AB$115,13,FALSE)</f>
        <v>-41</v>
      </c>
      <c r="K39" s="89">
        <f>'115+740'!Q40</f>
        <v>5</v>
      </c>
      <c r="L39" s="88">
        <f t="shared" ca="1" si="6"/>
        <v>81</v>
      </c>
      <c r="M39" s="93">
        <f ca="1">VLOOKUP(B39,'115+740'!$B$14:$AB$115,21,FALSE)</f>
        <v>923</v>
      </c>
      <c r="N39" s="92">
        <f ca="1">VLOOKUP(B39,'115+740'!$B$15:$AB$115,5,FALSE)</f>
        <v>724</v>
      </c>
      <c r="O39" s="91">
        <f t="shared" ca="1" si="2"/>
        <v>1913</v>
      </c>
      <c r="P39" s="91">
        <f ca="1">VLOOKUP(B39,'115+740'!$B$15:$AB$115,14,FALSE)</f>
        <v>-87</v>
      </c>
      <c r="Q39" s="89">
        <f>'115+740'!R40</f>
        <v>2</v>
      </c>
      <c r="R39" s="88">
        <f t="shared" ca="1" si="7"/>
        <v>77</v>
      </c>
      <c r="S39" s="93">
        <f ca="1">VLOOKUP(B39,'115+740'!$B$14:$AB$115,22,FALSE)</f>
        <v>925</v>
      </c>
      <c r="T39" s="92">
        <f ca="1">VLOOKUP(B39,'115+740'!$B$15:$AB$115,6,FALSE)</f>
        <v>752</v>
      </c>
      <c r="U39" s="91">
        <f t="shared" ca="1" si="3"/>
        <v>1885</v>
      </c>
      <c r="V39" s="90">
        <f ca="1">VLOOKUP(B39,'115+740'!$B$15:$AB$115,15,FALSE)</f>
        <v>-115</v>
      </c>
      <c r="W39" s="89">
        <f>'115+740'!S40</f>
        <v>2</v>
      </c>
      <c r="X39" s="88">
        <f t="shared" ca="1" si="8"/>
        <v>75</v>
      </c>
      <c r="Y39" s="87">
        <f t="shared" ca="1" si="9"/>
        <v>-2</v>
      </c>
      <c r="Z39" s="86">
        <f t="shared" ca="1" si="10"/>
        <v>0</v>
      </c>
      <c r="AA39" s="85">
        <f t="shared" ca="1" si="11"/>
        <v>1.0069999999999999</v>
      </c>
      <c r="AB39" s="85">
        <f t="shared" ca="1" si="12"/>
        <v>0.85599999999999998</v>
      </c>
      <c r="AC39" s="74"/>
      <c r="AD39" s="74"/>
      <c r="AE39" s="106"/>
    </row>
    <row r="40" spans="1:31" s="105" customFormat="1" ht="15" customHeight="1">
      <c r="A40" s="107"/>
      <c r="B40" s="98">
        <f>'115+740'!B41</f>
        <v>45099</v>
      </c>
      <c r="C40" s="97">
        <f t="shared" si="4"/>
        <v>1</v>
      </c>
      <c r="D40" s="96">
        <f t="shared" si="5"/>
        <v>1069</v>
      </c>
      <c r="E40" s="95">
        <f>VLOOKUP(B40,'115+740'!B41:AB142,3,FALSE)</f>
        <v>1566</v>
      </c>
      <c r="F40" s="92">
        <f t="shared" si="0"/>
        <v>2635</v>
      </c>
      <c r="G40" s="94">
        <f ca="1">VLOOKUP(B40,'115+740'!$B$15:$AB$115,20,FALSE)</f>
        <v>915</v>
      </c>
      <c r="H40" s="94">
        <f ca="1">VLOOKUP(B40,'115+740'!$B$15:$AB$115,4,FALSE)</f>
        <v>680</v>
      </c>
      <c r="I40" s="91">
        <f t="shared" ca="1" si="1"/>
        <v>1955</v>
      </c>
      <c r="J40" s="91">
        <f ca="1">VLOOKUP(B40,'115+740'!$B$15:$AB$115,13,FALSE)</f>
        <v>-45</v>
      </c>
      <c r="K40" s="89">
        <f>'115+740'!Q41</f>
        <v>4</v>
      </c>
      <c r="L40" s="88">
        <f t="shared" ca="1" si="6"/>
        <v>85</v>
      </c>
      <c r="M40" s="93">
        <f ca="1">VLOOKUP(B40,'115+740'!$B$14:$AB$115,21,FALSE)</f>
        <v>919</v>
      </c>
      <c r="N40" s="92">
        <f ca="1">VLOOKUP(B40,'115+740'!$B$15:$AB$115,5,FALSE)</f>
        <v>726</v>
      </c>
      <c r="O40" s="91">
        <f t="shared" ca="1" si="2"/>
        <v>1909</v>
      </c>
      <c r="P40" s="91">
        <f ca="1">VLOOKUP(B40,'115+740'!$B$15:$AB$115,14,FALSE)</f>
        <v>-91</v>
      </c>
      <c r="Q40" s="89">
        <f>'115+740'!R41</f>
        <v>4</v>
      </c>
      <c r="R40" s="88">
        <f t="shared" ca="1" si="7"/>
        <v>81</v>
      </c>
      <c r="S40" s="93">
        <f ca="1">VLOOKUP(B40,'115+740'!$B$14:$AB$115,22,FALSE)</f>
        <v>923</v>
      </c>
      <c r="T40" s="92">
        <f ca="1">VLOOKUP(B40,'115+740'!$B$15:$AB$115,6,FALSE)</f>
        <v>752</v>
      </c>
      <c r="U40" s="91">
        <f t="shared" ca="1" si="3"/>
        <v>1883</v>
      </c>
      <c r="V40" s="90">
        <f ca="1">VLOOKUP(B40,'115+740'!$B$15:$AB$115,15,FALSE)</f>
        <v>-117</v>
      </c>
      <c r="W40" s="89">
        <f>'115+740'!S41</f>
        <v>2</v>
      </c>
      <c r="X40" s="88">
        <f t="shared" ca="1" si="8"/>
        <v>77</v>
      </c>
      <c r="Y40" s="87">
        <f t="shared" ca="1" si="9"/>
        <v>-2</v>
      </c>
      <c r="Z40" s="86">
        <f t="shared" ca="1" si="10"/>
        <v>0</v>
      </c>
      <c r="AA40" s="85">
        <f t="shared" ca="1" si="11"/>
        <v>1.0069999999999999</v>
      </c>
      <c r="AB40" s="85">
        <f t="shared" ca="1" si="12"/>
        <v>0.84799999999999998</v>
      </c>
      <c r="AC40" s="74"/>
      <c r="AD40" s="74"/>
      <c r="AE40" s="106"/>
    </row>
    <row r="41" spans="1:31" s="105" customFormat="1" ht="15" customHeight="1">
      <c r="A41" s="107"/>
      <c r="B41" s="98">
        <f>'115+740'!B42</f>
        <v>45100</v>
      </c>
      <c r="C41" s="97">
        <f t="shared" si="4"/>
        <v>1</v>
      </c>
      <c r="D41" s="96">
        <f t="shared" si="5"/>
        <v>1069</v>
      </c>
      <c r="E41" s="95">
        <f>VLOOKUP(B41,'115+740'!B42:AB143,3,FALSE)</f>
        <v>1564</v>
      </c>
      <c r="F41" s="92">
        <f t="shared" si="0"/>
        <v>2633</v>
      </c>
      <c r="G41" s="94">
        <f ca="1">VLOOKUP(B41,'115+740'!$B$15:$AB$115,20,FALSE)</f>
        <v>912</v>
      </c>
      <c r="H41" s="94">
        <f ca="1">VLOOKUP(B41,'115+740'!$B$15:$AB$115,4,FALSE)</f>
        <v>681</v>
      </c>
      <c r="I41" s="91">
        <f t="shared" ca="1" si="1"/>
        <v>1952</v>
      </c>
      <c r="J41" s="91">
        <f ca="1">VLOOKUP(B41,'115+740'!$B$15:$AB$115,13,FALSE)</f>
        <v>-48</v>
      </c>
      <c r="K41" s="89">
        <f>'115+740'!Q42</f>
        <v>3</v>
      </c>
      <c r="L41" s="88">
        <f t="shared" ca="1" si="6"/>
        <v>88</v>
      </c>
      <c r="M41" s="93">
        <f ca="1">VLOOKUP(B41,'115+740'!$B$14:$AB$115,21,FALSE)</f>
        <v>917</v>
      </c>
      <c r="N41" s="92">
        <f ca="1">VLOOKUP(B41,'115+740'!$B$15:$AB$115,5,FALSE)</f>
        <v>726</v>
      </c>
      <c r="O41" s="91">
        <f t="shared" ca="1" si="2"/>
        <v>1907</v>
      </c>
      <c r="P41" s="91">
        <f ca="1">VLOOKUP(B41,'115+740'!$B$15:$AB$115,14,FALSE)</f>
        <v>-93</v>
      </c>
      <c r="Q41" s="89">
        <f>'115+740'!R42</f>
        <v>2</v>
      </c>
      <c r="R41" s="88">
        <f t="shared" ca="1" si="7"/>
        <v>83</v>
      </c>
      <c r="S41" s="93">
        <f ca="1">VLOOKUP(B41,'115+740'!$B$14:$AB$115,22,FALSE)</f>
        <v>921</v>
      </c>
      <c r="T41" s="92">
        <f ca="1">VLOOKUP(B41,'115+740'!$B$15:$AB$115,6,FALSE)</f>
        <v>752</v>
      </c>
      <c r="U41" s="91">
        <f t="shared" ca="1" si="3"/>
        <v>1881</v>
      </c>
      <c r="V41" s="90">
        <f ca="1">VLOOKUP(B41,'115+740'!$B$15:$AB$115,15,FALSE)</f>
        <v>-119</v>
      </c>
      <c r="W41" s="89">
        <f>'115+740'!S42</f>
        <v>2</v>
      </c>
      <c r="X41" s="88">
        <f t="shared" ca="1" si="8"/>
        <v>79</v>
      </c>
      <c r="Y41" s="87">
        <f t="shared" ca="1" si="9"/>
        <v>-2</v>
      </c>
      <c r="Z41" s="86">
        <f t="shared" ca="1" si="10"/>
        <v>0</v>
      </c>
      <c r="AA41" s="85">
        <f t="shared" ca="1" si="11"/>
        <v>1.0069999999999999</v>
      </c>
      <c r="AB41" s="85">
        <f t="shared" ca="1" si="12"/>
        <v>0.84399999999999997</v>
      </c>
      <c r="AC41" s="74"/>
      <c r="AD41" s="74"/>
      <c r="AE41" s="106"/>
    </row>
    <row r="42" spans="1:31" s="105" customFormat="1" ht="15" customHeight="1">
      <c r="A42" s="107"/>
      <c r="B42" s="98">
        <f>'115+740'!B43</f>
        <v>45101</v>
      </c>
      <c r="C42" s="97">
        <f t="shared" si="4"/>
        <v>1</v>
      </c>
      <c r="D42" s="96">
        <f t="shared" si="5"/>
        <v>1069</v>
      </c>
      <c r="E42" s="95">
        <f>VLOOKUP(B42,'115+740'!B43:AB144,3,FALSE)</f>
        <v>1562</v>
      </c>
      <c r="F42" s="92">
        <f t="shared" si="0"/>
        <v>2631</v>
      </c>
      <c r="G42" s="94">
        <f ca="1">VLOOKUP(B42,'115+740'!$B$15:$AB$115,20,FALSE)</f>
        <v>909</v>
      </c>
      <c r="H42" s="94">
        <f ca="1">VLOOKUP(B42,'115+740'!$B$15:$AB$115,4,FALSE)</f>
        <v>682</v>
      </c>
      <c r="I42" s="91">
        <f t="shared" ca="1" si="1"/>
        <v>1949</v>
      </c>
      <c r="J42" s="91">
        <f ca="1">VLOOKUP(B42,'115+740'!$B$15:$AB$115,13,FALSE)</f>
        <v>-51</v>
      </c>
      <c r="K42" s="89">
        <f>'115+740'!Q43</f>
        <v>3</v>
      </c>
      <c r="L42" s="88">
        <f t="shared" ca="1" si="6"/>
        <v>91</v>
      </c>
      <c r="M42" s="93">
        <f ca="1">VLOOKUP(B42,'115+740'!$B$14:$AB$115,21,FALSE)</f>
        <v>916</v>
      </c>
      <c r="N42" s="92">
        <f ca="1">VLOOKUP(B42,'115+740'!$B$15:$AB$115,5,FALSE)</f>
        <v>725</v>
      </c>
      <c r="O42" s="91">
        <f t="shared" ca="1" si="2"/>
        <v>1906</v>
      </c>
      <c r="P42" s="91">
        <f ca="1">VLOOKUP(B42,'115+740'!$B$15:$AB$115,14,FALSE)</f>
        <v>-94</v>
      </c>
      <c r="Q42" s="89">
        <f>'115+740'!R43</f>
        <v>1</v>
      </c>
      <c r="R42" s="88">
        <f t="shared" ca="1" si="7"/>
        <v>84</v>
      </c>
      <c r="S42" s="93">
        <f ca="1">VLOOKUP(B42,'115+740'!$B$14:$AB$115,22,FALSE)</f>
        <v>919</v>
      </c>
      <c r="T42" s="92">
        <f ca="1">VLOOKUP(B42,'115+740'!$B$15:$AB$115,6,FALSE)</f>
        <v>752</v>
      </c>
      <c r="U42" s="91">
        <f t="shared" ca="1" si="3"/>
        <v>1879</v>
      </c>
      <c r="V42" s="90">
        <f ca="1">VLOOKUP(B42,'115+740'!$B$15:$AB$115,15,FALSE)</f>
        <v>-121</v>
      </c>
      <c r="W42" s="89">
        <f>'115+740'!S43</f>
        <v>2</v>
      </c>
      <c r="X42" s="88">
        <f t="shared" ca="1" si="8"/>
        <v>81</v>
      </c>
      <c r="Y42" s="87">
        <f t="shared" ca="1" si="9"/>
        <v>-2</v>
      </c>
      <c r="Z42" s="86">
        <f t="shared" ca="1" si="10"/>
        <v>0</v>
      </c>
      <c r="AA42" s="85">
        <f t="shared" ca="1" si="11"/>
        <v>1.0069999999999999</v>
      </c>
      <c r="AB42" s="85">
        <f t="shared" ca="1" si="12"/>
        <v>0.84199999999999997</v>
      </c>
      <c r="AC42" s="74"/>
      <c r="AD42" s="74"/>
      <c r="AE42" s="106"/>
    </row>
    <row r="43" spans="1:31" s="105" customFormat="1" ht="15" customHeight="1">
      <c r="A43" s="107"/>
      <c r="B43" s="98">
        <f>'115+740'!B44</f>
        <v>45102</v>
      </c>
      <c r="C43" s="97">
        <f t="shared" si="4"/>
        <v>1</v>
      </c>
      <c r="D43" s="96">
        <f t="shared" si="5"/>
        <v>1069</v>
      </c>
      <c r="E43" s="95">
        <f>VLOOKUP(B43,'115+740'!B44:AB145,3,FALSE)</f>
        <v>1560</v>
      </c>
      <c r="F43" s="92">
        <f t="shared" si="0"/>
        <v>2629</v>
      </c>
      <c r="G43" s="94">
        <f ca="1">VLOOKUP(B43,'115+740'!$B$15:$AB$115,20,FALSE)</f>
        <v>906</v>
      </c>
      <c r="H43" s="94">
        <f ca="1">VLOOKUP(B43,'115+740'!$B$15:$AB$115,4,FALSE)</f>
        <v>683</v>
      </c>
      <c r="I43" s="91">
        <f t="shared" ca="1" si="1"/>
        <v>1946</v>
      </c>
      <c r="J43" s="91">
        <f ca="1">VLOOKUP(B43,'115+740'!$B$15:$AB$115,13,FALSE)</f>
        <v>-54</v>
      </c>
      <c r="K43" s="89">
        <f>'115+740'!Q44</f>
        <v>3</v>
      </c>
      <c r="L43" s="88">
        <f t="shared" ca="1" si="6"/>
        <v>94</v>
      </c>
      <c r="M43" s="93">
        <f ca="1">VLOOKUP(B43,'115+740'!$B$14:$AB$115,21,FALSE)</f>
        <v>913</v>
      </c>
      <c r="N43" s="92">
        <f ca="1">VLOOKUP(B43,'115+740'!$B$15:$AB$115,5,FALSE)</f>
        <v>726</v>
      </c>
      <c r="O43" s="91">
        <f t="shared" ca="1" si="2"/>
        <v>1903</v>
      </c>
      <c r="P43" s="91">
        <f ca="1">VLOOKUP(B43,'115+740'!$B$15:$AB$115,14,FALSE)</f>
        <v>-97</v>
      </c>
      <c r="Q43" s="89">
        <f>'115+740'!R44</f>
        <v>3</v>
      </c>
      <c r="R43" s="88">
        <f t="shared" ca="1" si="7"/>
        <v>87</v>
      </c>
      <c r="S43" s="93">
        <f ca="1">VLOOKUP(B43,'115+740'!$B$14:$AB$115,22,FALSE)</f>
        <v>916</v>
      </c>
      <c r="T43" s="92">
        <f ca="1">VLOOKUP(B43,'115+740'!$B$15:$AB$115,6,FALSE)</f>
        <v>753</v>
      </c>
      <c r="U43" s="91">
        <f t="shared" ca="1" si="3"/>
        <v>1876</v>
      </c>
      <c r="V43" s="90">
        <f ca="1">VLOOKUP(B43,'115+740'!$B$15:$AB$115,15,FALSE)</f>
        <v>-124</v>
      </c>
      <c r="W43" s="89">
        <f>'115+740'!S44</f>
        <v>3</v>
      </c>
      <c r="X43" s="88">
        <f t="shared" ca="1" si="8"/>
        <v>84</v>
      </c>
      <c r="Y43" s="87">
        <f t="shared" ca="1" si="9"/>
        <v>-3</v>
      </c>
      <c r="Z43" s="86">
        <f t="shared" ca="1" si="10"/>
        <v>0</v>
      </c>
      <c r="AA43" s="85">
        <f t="shared" ca="1" si="11"/>
        <v>1.0069999999999999</v>
      </c>
      <c r="AB43" s="85">
        <f t="shared" ca="1" si="12"/>
        <v>0.83599999999999997</v>
      </c>
      <c r="AC43" s="74"/>
      <c r="AD43" s="74"/>
      <c r="AE43" s="106"/>
    </row>
    <row r="44" spans="1:31" s="105" customFormat="1" ht="15" customHeight="1">
      <c r="A44" s="107"/>
      <c r="B44" s="98">
        <f>'115+740'!B45</f>
        <v>45103</v>
      </c>
      <c r="C44" s="97">
        <f t="shared" si="4"/>
        <v>1</v>
      </c>
      <c r="D44" s="96">
        <f t="shared" si="5"/>
        <v>1069</v>
      </c>
      <c r="E44" s="95">
        <f>VLOOKUP(B44,'115+740'!B45:AB146,3,FALSE)</f>
        <v>1558</v>
      </c>
      <c r="F44" s="92">
        <f t="shared" si="0"/>
        <v>2627</v>
      </c>
      <c r="G44" s="94">
        <f ca="1">VLOOKUP(B44,'115+740'!$B$15:$AB$115,20,FALSE)</f>
        <v>901</v>
      </c>
      <c r="H44" s="94">
        <f ca="1">VLOOKUP(B44,'115+740'!$B$15:$AB$115,4,FALSE)</f>
        <v>686</v>
      </c>
      <c r="I44" s="91">
        <f t="shared" ca="1" si="1"/>
        <v>1941</v>
      </c>
      <c r="J44" s="91">
        <f ca="1">VLOOKUP(B44,'115+740'!$B$15:$AB$115,13,FALSE)</f>
        <v>-59</v>
      </c>
      <c r="K44" s="89">
        <f>'115+740'!Q45</f>
        <v>5</v>
      </c>
      <c r="L44" s="88">
        <f t="shared" ca="1" si="6"/>
        <v>99</v>
      </c>
      <c r="M44" s="93">
        <f ca="1">VLOOKUP(B44,'115+740'!$B$14:$AB$115,21,FALSE)</f>
        <v>911</v>
      </c>
      <c r="N44" s="92">
        <f ca="1">VLOOKUP(B44,'115+740'!$B$15:$AB$115,5,FALSE)</f>
        <v>726</v>
      </c>
      <c r="O44" s="91">
        <f t="shared" ca="1" si="2"/>
        <v>1901</v>
      </c>
      <c r="P44" s="91">
        <f ca="1">VLOOKUP(B44,'115+740'!$B$15:$AB$115,14,FALSE)</f>
        <v>-99</v>
      </c>
      <c r="Q44" s="89">
        <f>'115+740'!R45</f>
        <v>2</v>
      </c>
      <c r="R44" s="88">
        <f t="shared" ca="1" si="7"/>
        <v>89</v>
      </c>
      <c r="S44" s="93">
        <f ca="1">VLOOKUP(B44,'115+740'!$B$14:$AB$115,22,FALSE)</f>
        <v>912</v>
      </c>
      <c r="T44" s="92">
        <f ca="1">VLOOKUP(B44,'115+740'!$B$15:$AB$115,6,FALSE)</f>
        <v>755</v>
      </c>
      <c r="U44" s="91">
        <f t="shared" ca="1" si="3"/>
        <v>1872</v>
      </c>
      <c r="V44" s="90">
        <f ca="1">VLOOKUP(B44,'115+740'!$B$15:$AB$115,15,FALSE)</f>
        <v>-128</v>
      </c>
      <c r="W44" s="89">
        <f>'115+740'!S45</f>
        <v>4</v>
      </c>
      <c r="X44" s="88">
        <f t="shared" ca="1" si="8"/>
        <v>88</v>
      </c>
      <c r="Y44" s="87">
        <f t="shared" ca="1" si="9"/>
        <v>-4</v>
      </c>
      <c r="Z44" s="86">
        <f t="shared" ca="1" si="10"/>
        <v>0</v>
      </c>
      <c r="AA44" s="85">
        <f t="shared" ca="1" si="11"/>
        <v>1.0069999999999999</v>
      </c>
      <c r="AB44" s="85">
        <f t="shared" ca="1" si="12"/>
        <v>0.83199999999999996</v>
      </c>
      <c r="AC44" s="74"/>
      <c r="AD44" s="74"/>
      <c r="AE44" s="106"/>
    </row>
    <row r="45" spans="1:31" s="108" customFormat="1" ht="15" customHeight="1">
      <c r="A45" s="107"/>
      <c r="B45" s="98">
        <f>'115+740'!B46</f>
        <v>45104</v>
      </c>
      <c r="C45" s="97">
        <f t="shared" si="4"/>
        <v>1</v>
      </c>
      <c r="D45" s="96">
        <f t="shared" si="5"/>
        <v>1069</v>
      </c>
      <c r="E45" s="95">
        <f>VLOOKUP(B45,'115+740'!B46:AB147,3,FALSE)</f>
        <v>1556</v>
      </c>
      <c r="F45" s="92">
        <f t="shared" si="0"/>
        <v>2625</v>
      </c>
      <c r="G45" s="94">
        <f ca="1">VLOOKUP(B45,'115+740'!$B$15:$AB$115,20,FALSE)</f>
        <v>896</v>
      </c>
      <c r="H45" s="94">
        <f ca="1">VLOOKUP(B45,'115+740'!$B$15:$AB$115,4,FALSE)</f>
        <v>689</v>
      </c>
      <c r="I45" s="91">
        <f t="shared" ca="1" si="1"/>
        <v>1936</v>
      </c>
      <c r="J45" s="91">
        <f ca="1">VLOOKUP(B45,'115+740'!$B$15:$AB$115,13,FALSE)</f>
        <v>-64</v>
      </c>
      <c r="K45" s="89">
        <f>'115+740'!Q46</f>
        <v>5</v>
      </c>
      <c r="L45" s="88">
        <f t="shared" ca="1" si="6"/>
        <v>104</v>
      </c>
      <c r="M45" s="93">
        <f ca="1">VLOOKUP(B45,'115+740'!$B$14:$AB$115,21,FALSE)</f>
        <v>908</v>
      </c>
      <c r="N45" s="92">
        <f ca="1">VLOOKUP(B45,'115+740'!$B$15:$AB$115,5,FALSE)</f>
        <v>727</v>
      </c>
      <c r="O45" s="91">
        <f t="shared" ca="1" si="2"/>
        <v>1898</v>
      </c>
      <c r="P45" s="91">
        <f ca="1">VLOOKUP(B45,'115+740'!$B$15:$AB$115,14,FALSE)</f>
        <v>-102</v>
      </c>
      <c r="Q45" s="89">
        <f>'115+740'!R46</f>
        <v>3</v>
      </c>
      <c r="R45" s="88">
        <f t="shared" ca="1" si="7"/>
        <v>92</v>
      </c>
      <c r="S45" s="93">
        <f ca="1">VLOOKUP(B45,'115+740'!$B$14:$AB$115,22,FALSE)</f>
        <v>908</v>
      </c>
      <c r="T45" s="92">
        <f ca="1">VLOOKUP(B45,'115+740'!$B$15:$AB$115,6,FALSE)</f>
        <v>757</v>
      </c>
      <c r="U45" s="91">
        <f t="shared" ca="1" si="3"/>
        <v>1868</v>
      </c>
      <c r="V45" s="90">
        <f ca="1">VLOOKUP(B45,'115+740'!$B$15:$AB$115,15,FALSE)</f>
        <v>-132</v>
      </c>
      <c r="W45" s="89">
        <f>'115+740'!S46</f>
        <v>4</v>
      </c>
      <c r="X45" s="88">
        <f t="shared" ca="1" si="8"/>
        <v>92</v>
      </c>
      <c r="Y45" s="87">
        <f t="shared" ca="1" si="9"/>
        <v>-4</v>
      </c>
      <c r="Z45" s="86">
        <f t="shared" ca="1" si="10"/>
        <v>0</v>
      </c>
      <c r="AA45" s="85">
        <f t="shared" ca="1" si="11"/>
        <v>1.0069999999999999</v>
      </c>
      <c r="AB45" s="85">
        <f t="shared" ca="1" si="12"/>
        <v>0.82599999999999996</v>
      </c>
      <c r="AC45" s="110"/>
      <c r="AD45" s="110"/>
      <c r="AE45" s="109"/>
    </row>
    <row r="46" spans="1:31" s="108" customFormat="1" ht="15" customHeight="1">
      <c r="A46" s="107"/>
      <c r="B46" s="98">
        <f>'115+740'!B47</f>
        <v>45105</v>
      </c>
      <c r="C46" s="97">
        <f t="shared" si="4"/>
        <v>1</v>
      </c>
      <c r="D46" s="96">
        <f t="shared" si="5"/>
        <v>1069</v>
      </c>
      <c r="E46" s="95">
        <f>VLOOKUP(B46,'115+740'!B47:AB148,3,FALSE)</f>
        <v>1554</v>
      </c>
      <c r="F46" s="92">
        <f t="shared" si="0"/>
        <v>2623</v>
      </c>
      <c r="G46" s="94">
        <f ca="1">VLOOKUP(B46,'115+740'!$B$15:$AB$115,20,FALSE)</f>
        <v>892</v>
      </c>
      <c r="H46" s="94">
        <f ca="1">VLOOKUP(B46,'115+740'!$B$15:$AB$115,4,FALSE)</f>
        <v>691</v>
      </c>
      <c r="I46" s="91">
        <f t="shared" ca="1" si="1"/>
        <v>1932</v>
      </c>
      <c r="J46" s="91">
        <f ca="1">VLOOKUP(B46,'115+740'!$B$15:$AB$115,13,FALSE)</f>
        <v>-68</v>
      </c>
      <c r="K46" s="89">
        <f>'115+740'!Q47</f>
        <v>4</v>
      </c>
      <c r="L46" s="88">
        <f t="shared" ca="1" si="6"/>
        <v>108</v>
      </c>
      <c r="M46" s="93">
        <f ca="1">VLOOKUP(B46,'115+740'!$B$14:$AB$115,21,FALSE)</f>
        <v>906</v>
      </c>
      <c r="N46" s="92">
        <f ca="1">VLOOKUP(B46,'115+740'!$B$15:$AB$115,5,FALSE)</f>
        <v>727</v>
      </c>
      <c r="O46" s="91">
        <f t="shared" ca="1" si="2"/>
        <v>1896</v>
      </c>
      <c r="P46" s="91">
        <f ca="1">VLOOKUP(B46,'115+740'!$B$15:$AB$115,14,FALSE)</f>
        <v>-104</v>
      </c>
      <c r="Q46" s="89">
        <f>'115+740'!R47</f>
        <v>2</v>
      </c>
      <c r="R46" s="88">
        <f t="shared" ca="1" si="7"/>
        <v>94</v>
      </c>
      <c r="S46" s="93">
        <f ca="1">VLOOKUP(B46,'115+740'!$B$14:$AB$115,22,FALSE)</f>
        <v>905</v>
      </c>
      <c r="T46" s="92">
        <f ca="1">VLOOKUP(B46,'115+740'!$B$15:$AB$115,6,FALSE)</f>
        <v>758</v>
      </c>
      <c r="U46" s="91">
        <f t="shared" ca="1" si="3"/>
        <v>1865</v>
      </c>
      <c r="V46" s="90">
        <f ca="1">VLOOKUP(B46,'115+740'!$B$15:$AB$115,15,FALSE)</f>
        <v>-135</v>
      </c>
      <c r="W46" s="89">
        <f>'115+740'!S47</f>
        <v>3</v>
      </c>
      <c r="X46" s="88">
        <f t="shared" ca="1" si="8"/>
        <v>95</v>
      </c>
      <c r="Y46" s="87">
        <f t="shared" ca="1" si="9"/>
        <v>-3</v>
      </c>
      <c r="Z46" s="86">
        <f t="shared" ca="1" si="10"/>
        <v>0</v>
      </c>
      <c r="AA46" s="85">
        <f t="shared" ca="1" si="11"/>
        <v>1.0069999999999999</v>
      </c>
      <c r="AB46" s="85">
        <f t="shared" ca="1" si="12"/>
        <v>0.82199999999999995</v>
      </c>
      <c r="AC46" s="110"/>
      <c r="AD46" s="110"/>
      <c r="AE46" s="109"/>
    </row>
    <row r="47" spans="1:31" s="105" customFormat="1" ht="15" customHeight="1">
      <c r="A47" s="107"/>
      <c r="B47" s="98">
        <f>'115+740'!B48</f>
        <v>45106</v>
      </c>
      <c r="C47" s="97">
        <f t="shared" si="4"/>
        <v>1</v>
      </c>
      <c r="D47" s="96">
        <f t="shared" si="5"/>
        <v>1069</v>
      </c>
      <c r="E47" s="95">
        <f>VLOOKUP(B47,'115+740'!B48:AB149,3,FALSE)</f>
        <v>1552</v>
      </c>
      <c r="F47" s="92">
        <f t="shared" si="0"/>
        <v>2621</v>
      </c>
      <c r="G47" s="94">
        <f ca="1">VLOOKUP(B47,'115+740'!$B$15:$AB$115,20,FALSE)</f>
        <v>889</v>
      </c>
      <c r="H47" s="94">
        <f ca="1">VLOOKUP(B47,'115+740'!$B$15:$AB$115,4,FALSE)</f>
        <v>692</v>
      </c>
      <c r="I47" s="91">
        <f t="shared" ca="1" si="1"/>
        <v>1929</v>
      </c>
      <c r="J47" s="91">
        <f ca="1">VLOOKUP(B47,'115+740'!$B$15:$AB$115,13,FALSE)</f>
        <v>-71</v>
      </c>
      <c r="K47" s="89">
        <f>'115+740'!Q48</f>
        <v>3</v>
      </c>
      <c r="L47" s="88">
        <f t="shared" ca="1" si="6"/>
        <v>111</v>
      </c>
      <c r="M47" s="93">
        <f ca="1">VLOOKUP(B47,'115+740'!$B$14:$AB$115,21,FALSE)</f>
        <v>905</v>
      </c>
      <c r="N47" s="92">
        <f ca="1">VLOOKUP(B47,'115+740'!$B$15:$AB$115,5,FALSE)</f>
        <v>726</v>
      </c>
      <c r="O47" s="91">
        <f t="shared" ca="1" si="2"/>
        <v>1895</v>
      </c>
      <c r="P47" s="91">
        <f ca="1">VLOOKUP(B47,'115+740'!$B$15:$AB$115,14,FALSE)</f>
        <v>-105</v>
      </c>
      <c r="Q47" s="89">
        <f>'115+740'!R48</f>
        <v>1</v>
      </c>
      <c r="R47" s="88">
        <f t="shared" ca="1" si="7"/>
        <v>95</v>
      </c>
      <c r="S47" s="93">
        <f ca="1">VLOOKUP(B47,'115+740'!$B$14:$AB$115,22,FALSE)</f>
        <v>902</v>
      </c>
      <c r="T47" s="92">
        <f ca="1">VLOOKUP(B47,'115+740'!$B$15:$AB$115,6,FALSE)</f>
        <v>759</v>
      </c>
      <c r="U47" s="91">
        <f t="shared" ca="1" si="3"/>
        <v>1862</v>
      </c>
      <c r="V47" s="90">
        <f ca="1">VLOOKUP(B47,'115+740'!$B$15:$AB$115,15,FALSE)</f>
        <v>-138</v>
      </c>
      <c r="W47" s="89">
        <f>'115+740'!S48</f>
        <v>3</v>
      </c>
      <c r="X47" s="88">
        <f t="shared" ca="1" si="8"/>
        <v>98</v>
      </c>
      <c r="Y47" s="87">
        <f t="shared" ca="1" si="9"/>
        <v>-3</v>
      </c>
      <c r="Z47" s="86">
        <f t="shared" ca="1" si="10"/>
        <v>0</v>
      </c>
      <c r="AA47" s="85">
        <f t="shared" ca="1" si="11"/>
        <v>1.0069999999999999</v>
      </c>
      <c r="AB47" s="85">
        <f t="shared" ca="1" si="12"/>
        <v>0.82</v>
      </c>
      <c r="AC47" s="74"/>
      <c r="AD47" s="74"/>
      <c r="AE47" s="106"/>
    </row>
    <row r="48" spans="1:31" s="105" customFormat="1" ht="15" customHeight="1">
      <c r="A48" s="107"/>
      <c r="B48" s="98">
        <f>'115+740'!B49</f>
        <v>45107</v>
      </c>
      <c r="C48" s="97">
        <f t="shared" si="4"/>
        <v>1</v>
      </c>
      <c r="D48" s="96">
        <f t="shared" si="5"/>
        <v>1069</v>
      </c>
      <c r="E48" s="95">
        <f>VLOOKUP(B48,'115+740'!B49:AB150,3,FALSE)</f>
        <v>1550</v>
      </c>
      <c r="F48" s="92">
        <f t="shared" si="0"/>
        <v>2619</v>
      </c>
      <c r="G48" s="94">
        <f ca="1">VLOOKUP(B48,'115+740'!$B$15:$AB$115,20,FALSE)</f>
        <v>884</v>
      </c>
      <c r="H48" s="94">
        <f ca="1">VLOOKUP(B48,'115+740'!$B$15:$AB$115,4,FALSE)</f>
        <v>695</v>
      </c>
      <c r="I48" s="91">
        <f t="shared" ca="1" si="1"/>
        <v>1924</v>
      </c>
      <c r="J48" s="91">
        <f ca="1">VLOOKUP(B48,'115+740'!$B$15:$AB$115,13,FALSE)</f>
        <v>-76</v>
      </c>
      <c r="K48" s="89">
        <f>'115+740'!Q49</f>
        <v>5</v>
      </c>
      <c r="L48" s="88">
        <f t="shared" ca="1" si="6"/>
        <v>116</v>
      </c>
      <c r="M48" s="93">
        <f ca="1">VLOOKUP(B48,'115+740'!$B$14:$AB$115,21,FALSE)</f>
        <v>903</v>
      </c>
      <c r="N48" s="92">
        <f ca="1">VLOOKUP(B48,'115+740'!$B$15:$AB$115,5,FALSE)</f>
        <v>726</v>
      </c>
      <c r="O48" s="91">
        <f t="shared" ca="1" si="2"/>
        <v>1893</v>
      </c>
      <c r="P48" s="91">
        <f ca="1">VLOOKUP(B48,'115+740'!$B$15:$AB$115,14,FALSE)</f>
        <v>-107</v>
      </c>
      <c r="Q48" s="89">
        <f>'115+740'!R49</f>
        <v>2</v>
      </c>
      <c r="R48" s="88">
        <f t="shared" ca="1" si="7"/>
        <v>97</v>
      </c>
      <c r="S48" s="93">
        <f ca="1">VLOOKUP(B48,'115+740'!$B$14:$AB$115,22,FALSE)</f>
        <v>900</v>
      </c>
      <c r="T48" s="92">
        <f ca="1">VLOOKUP(B48,'115+740'!$B$15:$AB$115,6,FALSE)</f>
        <v>759</v>
      </c>
      <c r="U48" s="91">
        <f t="shared" ca="1" si="3"/>
        <v>1860</v>
      </c>
      <c r="V48" s="90">
        <f ca="1">VLOOKUP(B48,'115+740'!$B$15:$AB$115,15,FALSE)</f>
        <v>-140</v>
      </c>
      <c r="W48" s="89">
        <f>'115+740'!S49</f>
        <v>2</v>
      </c>
      <c r="X48" s="88">
        <f t="shared" ca="1" si="8"/>
        <v>100</v>
      </c>
      <c r="Y48" s="87">
        <f t="shared" ca="1" si="9"/>
        <v>-2</v>
      </c>
      <c r="Z48" s="86">
        <f t="shared" ca="1" si="10"/>
        <v>0</v>
      </c>
      <c r="AA48" s="85">
        <f t="shared" ca="1" si="11"/>
        <v>1.0069999999999999</v>
      </c>
      <c r="AB48" s="85">
        <f t="shared" ca="1" si="12"/>
        <v>0.81599999999999995</v>
      </c>
      <c r="AC48" s="74"/>
      <c r="AD48" s="74"/>
      <c r="AE48" s="106"/>
    </row>
    <row r="49" spans="1:31" s="105" customFormat="1" ht="15" customHeight="1">
      <c r="A49" s="107"/>
      <c r="B49" s="98">
        <f>'115+740'!B50</f>
        <v>45108</v>
      </c>
      <c r="C49" s="97">
        <f t="shared" si="4"/>
        <v>1</v>
      </c>
      <c r="D49" s="96">
        <f t="shared" si="5"/>
        <v>1069</v>
      </c>
      <c r="E49" s="95">
        <f>VLOOKUP(B49,'115+740'!B50:AB151,3,FALSE)</f>
        <v>1548</v>
      </c>
      <c r="F49" s="92">
        <f t="shared" si="0"/>
        <v>2617</v>
      </c>
      <c r="G49" s="94">
        <f ca="1">VLOOKUP(B49,'115+740'!$B$15:$AB$115,20,FALSE)</f>
        <v>882</v>
      </c>
      <c r="H49" s="94">
        <f ca="1">VLOOKUP(B49,'115+740'!$B$15:$AB$115,4,FALSE)</f>
        <v>695</v>
      </c>
      <c r="I49" s="91">
        <f t="shared" ca="1" si="1"/>
        <v>1922</v>
      </c>
      <c r="J49" s="91">
        <f ca="1">VLOOKUP(B49,'115+740'!$B$15:$AB$115,13,FALSE)</f>
        <v>-78</v>
      </c>
      <c r="K49" s="89">
        <f>'115+740'!Q50</f>
        <v>2</v>
      </c>
      <c r="L49" s="88">
        <f t="shared" ca="1" si="6"/>
        <v>118</v>
      </c>
      <c r="M49" s="93">
        <f ca="1">VLOOKUP(B49,'115+740'!$B$14:$AB$115,21,FALSE)</f>
        <v>901</v>
      </c>
      <c r="N49" s="92">
        <f ca="1">VLOOKUP(B49,'115+740'!$B$15:$AB$115,5,FALSE)</f>
        <v>726</v>
      </c>
      <c r="O49" s="91">
        <f t="shared" ca="1" si="2"/>
        <v>1891</v>
      </c>
      <c r="P49" s="91">
        <f ca="1">VLOOKUP(B49,'115+740'!$B$15:$AB$115,14,FALSE)</f>
        <v>-109</v>
      </c>
      <c r="Q49" s="89">
        <f>'115+740'!R50</f>
        <v>2</v>
      </c>
      <c r="R49" s="88">
        <f t="shared" ca="1" si="7"/>
        <v>99</v>
      </c>
      <c r="S49" s="93">
        <f ca="1">VLOOKUP(B49,'115+740'!$B$14:$AB$115,22,FALSE)</f>
        <v>896</v>
      </c>
      <c r="T49" s="92">
        <f ca="1">VLOOKUP(B49,'115+740'!$B$15:$AB$115,6,FALSE)</f>
        <v>761</v>
      </c>
      <c r="U49" s="91">
        <f t="shared" ca="1" si="3"/>
        <v>1856</v>
      </c>
      <c r="V49" s="90">
        <f ca="1">VLOOKUP(B49,'115+740'!$B$15:$AB$115,15,FALSE)</f>
        <v>-144</v>
      </c>
      <c r="W49" s="89">
        <f>'115+740'!S50</f>
        <v>4</v>
      </c>
      <c r="X49" s="88">
        <f t="shared" ca="1" si="8"/>
        <v>104</v>
      </c>
      <c r="Y49" s="87">
        <f t="shared" ca="1" si="9"/>
        <v>-4</v>
      </c>
      <c r="Z49" s="86">
        <f t="shared" ca="1" si="10"/>
        <v>0</v>
      </c>
      <c r="AA49" s="85">
        <f t="shared" ca="1" si="11"/>
        <v>1.0069999999999999</v>
      </c>
      <c r="AB49" s="85">
        <f t="shared" ca="1" si="12"/>
        <v>0.81200000000000006</v>
      </c>
      <c r="AC49" s="74"/>
      <c r="AD49" s="74"/>
      <c r="AE49" s="106"/>
    </row>
    <row r="50" spans="1:31" s="105" customFormat="1" ht="15" customHeight="1">
      <c r="A50" s="107"/>
      <c r="B50" s="98">
        <f>'115+740'!B51</f>
        <v>45109</v>
      </c>
      <c r="C50" s="97">
        <f t="shared" si="4"/>
        <v>1</v>
      </c>
      <c r="D50" s="96">
        <f t="shared" si="5"/>
        <v>1069</v>
      </c>
      <c r="E50" s="95">
        <f>VLOOKUP(B50,'115+740'!B51:AB152,3,FALSE)</f>
        <v>1546</v>
      </c>
      <c r="F50" s="92">
        <f t="shared" si="0"/>
        <v>2615</v>
      </c>
      <c r="G50" s="94">
        <f ca="1">VLOOKUP(B50,'115+740'!$B$15:$AB$115,20,FALSE)</f>
        <v>880</v>
      </c>
      <c r="H50" s="94">
        <f ca="1">VLOOKUP(B50,'115+740'!$B$15:$AB$115,4,FALSE)</f>
        <v>695</v>
      </c>
      <c r="I50" s="91">
        <f t="shared" ca="1" si="1"/>
        <v>1920</v>
      </c>
      <c r="J50" s="91">
        <f ca="1">VLOOKUP(B50,'115+740'!$B$15:$AB$115,13,FALSE)</f>
        <v>-80</v>
      </c>
      <c r="K50" s="89">
        <f>'115+740'!Q51</f>
        <v>2</v>
      </c>
      <c r="L50" s="88">
        <f t="shared" ca="1" si="6"/>
        <v>120</v>
      </c>
      <c r="M50" s="93">
        <f ca="1">VLOOKUP(B50,'115+740'!$B$14:$AB$115,21,FALSE)</f>
        <v>899</v>
      </c>
      <c r="N50" s="92">
        <f ca="1">VLOOKUP(B50,'115+740'!$B$15:$AB$115,5,FALSE)</f>
        <v>726</v>
      </c>
      <c r="O50" s="91">
        <f t="shared" ca="1" si="2"/>
        <v>1889</v>
      </c>
      <c r="P50" s="91">
        <f ca="1">VLOOKUP(B50,'115+740'!$B$15:$AB$115,14,FALSE)</f>
        <v>-111</v>
      </c>
      <c r="Q50" s="89">
        <f>'115+740'!R51</f>
        <v>2</v>
      </c>
      <c r="R50" s="88">
        <f t="shared" ca="1" si="7"/>
        <v>101</v>
      </c>
      <c r="S50" s="93">
        <f ca="1">VLOOKUP(B50,'115+740'!$B$14:$AB$115,22,FALSE)</f>
        <v>894</v>
      </c>
      <c r="T50" s="92">
        <f ca="1">VLOOKUP(B50,'115+740'!$B$15:$AB$115,6,FALSE)</f>
        <v>761</v>
      </c>
      <c r="U50" s="91">
        <f t="shared" ca="1" si="3"/>
        <v>1854</v>
      </c>
      <c r="V50" s="90">
        <f ca="1">VLOOKUP(B50,'115+740'!$B$15:$AB$115,15,FALSE)</f>
        <v>-146</v>
      </c>
      <c r="W50" s="89">
        <f>'115+740'!S51</f>
        <v>2</v>
      </c>
      <c r="X50" s="88">
        <f t="shared" ca="1" si="8"/>
        <v>106</v>
      </c>
      <c r="Y50" s="87">
        <f t="shared" ca="1" si="9"/>
        <v>-2</v>
      </c>
      <c r="Z50" s="86">
        <f t="shared" ca="1" si="10"/>
        <v>0</v>
      </c>
      <c r="AA50" s="85">
        <f t="shared" ca="1" si="11"/>
        <v>1.0069999999999999</v>
      </c>
      <c r="AB50" s="85">
        <f t="shared" ca="1" si="12"/>
        <v>0.80800000000000005</v>
      </c>
      <c r="AC50" s="74"/>
      <c r="AD50" s="74"/>
      <c r="AE50" s="106"/>
    </row>
    <row r="51" spans="1:31" s="105" customFormat="1" ht="15" customHeight="1">
      <c r="A51" s="107"/>
      <c r="B51" s="98">
        <f>'115+740'!B52</f>
        <v>45110</v>
      </c>
      <c r="C51" s="97">
        <f t="shared" si="4"/>
        <v>1</v>
      </c>
      <c r="D51" s="96">
        <f t="shared" si="5"/>
        <v>1069</v>
      </c>
      <c r="E51" s="95">
        <f>VLOOKUP(B51,'115+740'!B52:AB153,3,FALSE)</f>
        <v>1544</v>
      </c>
      <c r="F51" s="92">
        <f t="shared" si="0"/>
        <v>2613</v>
      </c>
      <c r="G51" s="94">
        <f ca="1">VLOOKUP(B51,'115+740'!$B$15:$AB$115,20,FALSE)</f>
        <v>879</v>
      </c>
      <c r="H51" s="94">
        <f ca="1">VLOOKUP(B51,'115+740'!$B$15:$AB$115,4,FALSE)</f>
        <v>694</v>
      </c>
      <c r="I51" s="91">
        <f t="shared" ca="1" si="1"/>
        <v>1919</v>
      </c>
      <c r="J51" s="91">
        <f ca="1">VLOOKUP(B51,'115+740'!$B$15:$AB$115,13,FALSE)</f>
        <v>-81</v>
      </c>
      <c r="K51" s="89">
        <f>'115+740'!Q52</f>
        <v>1</v>
      </c>
      <c r="L51" s="88">
        <f t="shared" ca="1" si="6"/>
        <v>121</v>
      </c>
      <c r="M51" s="93">
        <f ca="1">VLOOKUP(B51,'115+740'!$B$14:$AB$115,21,FALSE)</f>
        <v>897</v>
      </c>
      <c r="N51" s="92">
        <f ca="1">VLOOKUP(B51,'115+740'!$B$15:$AB$115,5,FALSE)</f>
        <v>726</v>
      </c>
      <c r="O51" s="91">
        <f t="shared" ca="1" si="2"/>
        <v>1887</v>
      </c>
      <c r="P51" s="91">
        <f ca="1">VLOOKUP(B51,'115+740'!$B$15:$AB$115,14,FALSE)</f>
        <v>-113</v>
      </c>
      <c r="Q51" s="89">
        <f>'115+740'!R52</f>
        <v>2</v>
      </c>
      <c r="R51" s="88">
        <f t="shared" ca="1" si="7"/>
        <v>103</v>
      </c>
      <c r="S51" s="93">
        <f ca="1">VLOOKUP(B51,'115+740'!$B$14:$AB$115,22,FALSE)</f>
        <v>893</v>
      </c>
      <c r="T51" s="92">
        <f ca="1">VLOOKUP(B51,'115+740'!$B$15:$AB$115,6,FALSE)</f>
        <v>760</v>
      </c>
      <c r="U51" s="91">
        <f t="shared" ca="1" si="3"/>
        <v>1853</v>
      </c>
      <c r="V51" s="90">
        <f ca="1">VLOOKUP(B51,'115+740'!$B$15:$AB$115,15,FALSE)</f>
        <v>-147</v>
      </c>
      <c r="W51" s="89">
        <f>'115+740'!S52</f>
        <v>1</v>
      </c>
      <c r="X51" s="88">
        <f t="shared" ca="1" si="8"/>
        <v>107</v>
      </c>
      <c r="Y51" s="87">
        <f t="shared" ca="1" si="9"/>
        <v>-1</v>
      </c>
      <c r="Z51" s="86">
        <f t="shared" ca="1" si="10"/>
        <v>0</v>
      </c>
      <c r="AA51" s="85">
        <f t="shared" ca="1" si="11"/>
        <v>1.0069999999999999</v>
      </c>
      <c r="AB51" s="85">
        <f t="shared" ca="1" si="12"/>
        <v>0.80400000000000005</v>
      </c>
      <c r="AC51" s="74"/>
      <c r="AD51" s="74"/>
      <c r="AE51" s="106"/>
    </row>
    <row r="52" spans="1:31" s="105" customFormat="1" ht="15" customHeight="1">
      <c r="A52" s="107"/>
      <c r="B52" s="98">
        <f>'115+740'!B53</f>
        <v>45111</v>
      </c>
      <c r="C52" s="97">
        <f t="shared" si="4"/>
        <v>1</v>
      </c>
      <c r="D52" s="96">
        <f t="shared" si="5"/>
        <v>1069</v>
      </c>
      <c r="E52" s="95">
        <f>VLOOKUP(B52,'115+740'!B53:AB154,3,FALSE)</f>
        <v>1542</v>
      </c>
      <c r="F52" s="92">
        <f t="shared" si="0"/>
        <v>2611</v>
      </c>
      <c r="G52" s="94">
        <f ca="1">VLOOKUP(B52,'115+740'!$B$15:$AB$115,20,FALSE)</f>
        <v>876</v>
      </c>
      <c r="H52" s="94">
        <f ca="1">VLOOKUP(B52,'115+740'!$B$15:$AB$115,4,FALSE)</f>
        <v>695</v>
      </c>
      <c r="I52" s="91">
        <f t="shared" ca="1" si="1"/>
        <v>1916</v>
      </c>
      <c r="J52" s="91">
        <f ca="1">VLOOKUP(B52,'115+740'!$B$15:$AB$115,13,FALSE)</f>
        <v>-84</v>
      </c>
      <c r="K52" s="89">
        <f>'115+740'!Q53</f>
        <v>3</v>
      </c>
      <c r="L52" s="88">
        <f t="shared" ca="1" si="6"/>
        <v>124</v>
      </c>
      <c r="M52" s="93">
        <f ca="1">VLOOKUP(B52,'115+740'!$B$14:$AB$115,21,FALSE)</f>
        <v>897</v>
      </c>
      <c r="N52" s="92">
        <f ca="1">VLOOKUP(B52,'115+740'!$B$15:$AB$115,5,FALSE)</f>
        <v>724</v>
      </c>
      <c r="O52" s="91">
        <f t="shared" ca="1" si="2"/>
        <v>1887</v>
      </c>
      <c r="P52" s="91">
        <f ca="1">VLOOKUP(B52,'115+740'!$B$15:$AB$115,14,FALSE)</f>
        <v>-113</v>
      </c>
      <c r="Q52" s="89">
        <f>'115+740'!R53</f>
        <v>0</v>
      </c>
      <c r="R52" s="88">
        <f t="shared" ca="1" si="7"/>
        <v>103</v>
      </c>
      <c r="S52" s="93">
        <f ca="1">VLOOKUP(B52,'115+740'!$B$14:$AB$115,22,FALSE)</f>
        <v>890</v>
      </c>
      <c r="T52" s="92">
        <f ca="1">VLOOKUP(B52,'115+740'!$B$15:$AB$115,6,FALSE)</f>
        <v>761</v>
      </c>
      <c r="U52" s="91">
        <f t="shared" ca="1" si="3"/>
        <v>1850</v>
      </c>
      <c r="V52" s="90">
        <f ca="1">VLOOKUP(B52,'115+740'!$B$15:$AB$115,15,FALSE)</f>
        <v>-150</v>
      </c>
      <c r="W52" s="89">
        <f>'115+740'!S53</f>
        <v>3</v>
      </c>
      <c r="X52" s="88">
        <f t="shared" ca="1" si="8"/>
        <v>110</v>
      </c>
      <c r="Y52" s="87">
        <f t="shared" ca="1" si="9"/>
        <v>-3</v>
      </c>
      <c r="Z52" s="86">
        <f t="shared" ca="1" si="10"/>
        <v>0</v>
      </c>
      <c r="AA52" s="85">
        <f t="shared" ca="1" si="11"/>
        <v>1.0069999999999999</v>
      </c>
      <c r="AB52" s="85">
        <f t="shared" ca="1" si="12"/>
        <v>0.80400000000000005</v>
      </c>
      <c r="AC52" s="74"/>
      <c r="AD52" s="74"/>
      <c r="AE52" s="106"/>
    </row>
    <row r="53" spans="1:31" s="105" customFormat="1" ht="15" customHeight="1">
      <c r="A53" s="107"/>
      <c r="B53" s="98">
        <f>'115+740'!B54</f>
        <v>45112</v>
      </c>
      <c r="C53" s="97">
        <f t="shared" si="4"/>
        <v>1</v>
      </c>
      <c r="D53" s="96">
        <f t="shared" si="5"/>
        <v>1069</v>
      </c>
      <c r="E53" s="95">
        <f>VLOOKUP(B53,'115+740'!B54:AB155,3,FALSE)</f>
        <v>1540</v>
      </c>
      <c r="F53" s="92">
        <f t="shared" si="0"/>
        <v>2609</v>
      </c>
      <c r="G53" s="94">
        <f ca="1">VLOOKUP(B53,'115+740'!$B$15:$AB$115,20,FALSE)</f>
        <v>874</v>
      </c>
      <c r="H53" s="94">
        <f ca="1">VLOOKUP(B53,'115+740'!$B$15:$AB$115,4,FALSE)</f>
        <v>695</v>
      </c>
      <c r="I53" s="91">
        <f t="shared" ca="1" si="1"/>
        <v>1914</v>
      </c>
      <c r="J53" s="91">
        <f ca="1">VLOOKUP(B53,'115+740'!$B$15:$AB$115,13,FALSE)</f>
        <v>-86</v>
      </c>
      <c r="K53" s="89">
        <f>'115+740'!Q54</f>
        <v>2</v>
      </c>
      <c r="L53" s="88">
        <f t="shared" ca="1" si="6"/>
        <v>126</v>
      </c>
      <c r="M53" s="93">
        <f ca="1">VLOOKUP(B53,'115+740'!$B$14:$AB$115,21,FALSE)</f>
        <v>897</v>
      </c>
      <c r="N53" s="92">
        <f ca="1">VLOOKUP(B53,'115+740'!$B$15:$AB$115,5,FALSE)</f>
        <v>722</v>
      </c>
      <c r="O53" s="91">
        <f t="shared" ca="1" si="2"/>
        <v>1887</v>
      </c>
      <c r="P53" s="91">
        <f ca="1">VLOOKUP(B53,'115+740'!$B$15:$AB$115,14,FALSE)</f>
        <v>-113</v>
      </c>
      <c r="Q53" s="89">
        <f>'115+740'!R54</f>
        <v>0</v>
      </c>
      <c r="R53" s="88">
        <f t="shared" ca="1" si="7"/>
        <v>103</v>
      </c>
      <c r="S53" s="93">
        <f ca="1">VLOOKUP(B53,'115+740'!$B$14:$AB$115,22,FALSE)</f>
        <v>888</v>
      </c>
      <c r="T53" s="92">
        <f ca="1">VLOOKUP(B53,'115+740'!$B$15:$AB$115,6,FALSE)</f>
        <v>761</v>
      </c>
      <c r="U53" s="91">
        <f t="shared" ca="1" si="3"/>
        <v>1848</v>
      </c>
      <c r="V53" s="90">
        <f ca="1">VLOOKUP(B53,'115+740'!$B$15:$AB$115,15,FALSE)</f>
        <v>-152</v>
      </c>
      <c r="W53" s="89">
        <f>'115+740'!S54</f>
        <v>2</v>
      </c>
      <c r="X53" s="88">
        <f t="shared" ca="1" si="8"/>
        <v>112</v>
      </c>
      <c r="Y53" s="87">
        <f t="shared" ca="1" si="9"/>
        <v>-2</v>
      </c>
      <c r="Z53" s="86">
        <f t="shared" ca="1" si="10"/>
        <v>0</v>
      </c>
      <c r="AA53" s="85">
        <f t="shared" ca="1" si="11"/>
        <v>1.0069999999999999</v>
      </c>
      <c r="AB53" s="85">
        <f t="shared" ca="1" si="12"/>
        <v>0.80400000000000005</v>
      </c>
      <c r="AC53" s="74"/>
      <c r="AD53" s="74"/>
      <c r="AE53" s="106"/>
    </row>
    <row r="54" spans="1:31" s="117" customFormat="1" ht="15" customHeight="1">
      <c r="A54" s="107"/>
      <c r="B54" s="98">
        <f>'115+740'!B55</f>
        <v>45113</v>
      </c>
      <c r="C54" s="97">
        <f t="shared" si="4"/>
        <v>1</v>
      </c>
      <c r="D54" s="96">
        <f t="shared" si="5"/>
        <v>1069</v>
      </c>
      <c r="E54" s="95">
        <f>VLOOKUP(B54,'115+740'!B55:AB156,3,FALSE)</f>
        <v>1538</v>
      </c>
      <c r="F54" s="92">
        <f t="shared" si="0"/>
        <v>2607</v>
      </c>
      <c r="G54" s="94">
        <f ca="1">VLOOKUP(B54,'115+740'!$B$15:$AB$115,20,FALSE)</f>
        <v>871</v>
      </c>
      <c r="H54" s="94">
        <f ca="1">VLOOKUP(B54,'115+740'!$B$15:$AB$115,4,FALSE)</f>
        <v>696</v>
      </c>
      <c r="I54" s="91">
        <f t="shared" ca="1" si="1"/>
        <v>1911</v>
      </c>
      <c r="J54" s="91">
        <f ca="1">VLOOKUP(B54,'115+740'!$B$15:$AB$115,13,FALSE)</f>
        <v>-89</v>
      </c>
      <c r="K54" s="89">
        <f>'115+740'!Q55</f>
        <v>3</v>
      </c>
      <c r="L54" s="88">
        <f t="shared" ca="1" si="6"/>
        <v>129</v>
      </c>
      <c r="M54" s="93">
        <f ca="1">VLOOKUP(B54,'115+740'!$B$14:$AB$115,21,FALSE)</f>
        <v>897</v>
      </c>
      <c r="N54" s="92">
        <f ca="1">VLOOKUP(B54,'115+740'!$B$15:$AB$115,5,FALSE)</f>
        <v>720</v>
      </c>
      <c r="O54" s="91">
        <f t="shared" ca="1" si="2"/>
        <v>1887</v>
      </c>
      <c r="P54" s="91">
        <f ca="1">VLOOKUP(B54,'115+740'!$B$15:$AB$115,14,FALSE)</f>
        <v>-113</v>
      </c>
      <c r="Q54" s="89">
        <f>'115+740'!R55</f>
        <v>0</v>
      </c>
      <c r="R54" s="88">
        <f t="shared" ca="1" si="7"/>
        <v>103</v>
      </c>
      <c r="S54" s="93">
        <f ca="1">VLOOKUP(B54,'115+740'!$B$14:$AB$115,22,FALSE)</f>
        <v>885</v>
      </c>
      <c r="T54" s="92">
        <f ca="1">VLOOKUP(B54,'115+740'!$B$15:$AB$115,6,FALSE)</f>
        <v>762</v>
      </c>
      <c r="U54" s="91">
        <f t="shared" ca="1" si="3"/>
        <v>1845</v>
      </c>
      <c r="V54" s="90">
        <f ca="1">VLOOKUP(B54,'115+740'!$B$15:$AB$115,15,FALSE)</f>
        <v>-155</v>
      </c>
      <c r="W54" s="89">
        <f>'115+740'!S55</f>
        <v>3</v>
      </c>
      <c r="X54" s="88">
        <f t="shared" ca="1" si="8"/>
        <v>115</v>
      </c>
      <c r="Y54" s="87">
        <f t="shared" ca="1" si="9"/>
        <v>-3</v>
      </c>
      <c r="Z54" s="86">
        <f t="shared" ca="1" si="10"/>
        <v>0</v>
      </c>
      <c r="AA54" s="85">
        <f t="shared" ca="1" si="11"/>
        <v>1.0069999999999999</v>
      </c>
      <c r="AB54" s="85">
        <f t="shared" ca="1" si="12"/>
        <v>0.80400000000000005</v>
      </c>
      <c r="AC54" s="102"/>
      <c r="AD54" s="102"/>
      <c r="AE54" s="118"/>
    </row>
    <row r="55" spans="1:31" s="105" customFormat="1" ht="15" customHeight="1">
      <c r="A55" s="107"/>
      <c r="B55" s="98">
        <f>'115+740'!B56</f>
        <v>45114</v>
      </c>
      <c r="C55" s="97">
        <f t="shared" si="4"/>
        <v>1</v>
      </c>
      <c r="D55" s="96">
        <f t="shared" si="5"/>
        <v>1069</v>
      </c>
      <c r="E55" s="95">
        <f>VLOOKUP(B55,'115+740'!B56:AB157,3,FALSE)</f>
        <v>1536</v>
      </c>
      <c r="F55" s="92">
        <f t="shared" si="0"/>
        <v>2605</v>
      </c>
      <c r="G55" s="94">
        <f ca="1">VLOOKUP(B55,'115+740'!$B$15:$AB$115,20,FALSE)</f>
        <v>869</v>
      </c>
      <c r="H55" s="94">
        <f ca="1">VLOOKUP(B55,'115+740'!$B$15:$AB$115,4,FALSE)</f>
        <v>696</v>
      </c>
      <c r="I55" s="91">
        <f t="shared" ca="1" si="1"/>
        <v>1909</v>
      </c>
      <c r="J55" s="91">
        <f ca="1">VLOOKUP(B55,'115+740'!$B$15:$AB$115,13,FALSE)</f>
        <v>-91</v>
      </c>
      <c r="K55" s="89">
        <f>'115+740'!Q56</f>
        <v>2</v>
      </c>
      <c r="L55" s="88">
        <f t="shared" ca="1" si="6"/>
        <v>131</v>
      </c>
      <c r="M55" s="93">
        <f ca="1">VLOOKUP(B55,'115+740'!$B$14:$AB$115,21,FALSE)</f>
        <v>897</v>
      </c>
      <c r="N55" s="92">
        <f ca="1">VLOOKUP(B55,'115+740'!$B$15:$AB$115,5,FALSE)</f>
        <v>718</v>
      </c>
      <c r="O55" s="91">
        <f t="shared" ca="1" si="2"/>
        <v>1887</v>
      </c>
      <c r="P55" s="91">
        <f ca="1">VLOOKUP(B55,'115+740'!$B$15:$AB$115,14,FALSE)</f>
        <v>-113</v>
      </c>
      <c r="Q55" s="89">
        <f>'115+740'!R56</f>
        <v>0</v>
      </c>
      <c r="R55" s="88">
        <f t="shared" ca="1" si="7"/>
        <v>103</v>
      </c>
      <c r="S55" s="93">
        <f ca="1">VLOOKUP(B55,'115+740'!$B$14:$AB$115,22,FALSE)</f>
        <v>883</v>
      </c>
      <c r="T55" s="92">
        <f ca="1">VLOOKUP(B55,'115+740'!$B$15:$AB$115,6,FALSE)</f>
        <v>762</v>
      </c>
      <c r="U55" s="91">
        <f t="shared" ca="1" si="3"/>
        <v>1843</v>
      </c>
      <c r="V55" s="90">
        <f ca="1">VLOOKUP(B55,'115+740'!$B$15:$AB$115,15,FALSE)</f>
        <v>-157</v>
      </c>
      <c r="W55" s="89">
        <f>'115+740'!S56</f>
        <v>2</v>
      </c>
      <c r="X55" s="88">
        <f t="shared" ca="1" si="8"/>
        <v>117</v>
      </c>
      <c r="Y55" s="87">
        <f t="shared" ca="1" si="9"/>
        <v>-2</v>
      </c>
      <c r="Z55" s="86">
        <f t="shared" ca="1" si="10"/>
        <v>0</v>
      </c>
      <c r="AA55" s="85">
        <f t="shared" ca="1" si="11"/>
        <v>1.0069999999999999</v>
      </c>
      <c r="AB55" s="85">
        <f t="shared" ca="1" si="12"/>
        <v>0.80400000000000005</v>
      </c>
      <c r="AC55" s="74"/>
      <c r="AD55" s="74"/>
      <c r="AE55" s="106"/>
    </row>
    <row r="56" spans="1:31" s="105" customFormat="1" ht="15" customHeight="1">
      <c r="A56" s="107"/>
      <c r="B56" s="98">
        <f>'115+740'!B57</f>
        <v>45115</v>
      </c>
      <c r="C56" s="97">
        <f t="shared" si="4"/>
        <v>1</v>
      </c>
      <c r="D56" s="96">
        <f t="shared" si="5"/>
        <v>1069</v>
      </c>
      <c r="E56" s="95">
        <f>VLOOKUP(B56,'115+740'!B57:AB158,3,FALSE)</f>
        <v>1534</v>
      </c>
      <c r="F56" s="92">
        <f t="shared" si="0"/>
        <v>2603</v>
      </c>
      <c r="G56" s="94">
        <f ca="1">VLOOKUP(B56,'115+740'!$B$15:$AB$115,20,FALSE)</f>
        <v>868</v>
      </c>
      <c r="H56" s="94">
        <f ca="1">VLOOKUP(B56,'115+740'!$B$15:$AB$115,4,FALSE)</f>
        <v>695</v>
      </c>
      <c r="I56" s="91">
        <f t="shared" ca="1" si="1"/>
        <v>1908</v>
      </c>
      <c r="J56" s="91">
        <f ca="1">VLOOKUP(B56,'115+740'!$B$15:$AB$115,13,FALSE)</f>
        <v>-92</v>
      </c>
      <c r="K56" s="89">
        <f>'115+740'!Q57</f>
        <v>1</v>
      </c>
      <c r="L56" s="88">
        <f t="shared" ca="1" si="6"/>
        <v>132</v>
      </c>
      <c r="M56" s="93">
        <f ca="1">VLOOKUP(B56,'115+740'!$B$14:$AB$115,21,FALSE)</f>
        <v>897</v>
      </c>
      <c r="N56" s="92">
        <f ca="1">VLOOKUP(B56,'115+740'!$B$15:$AB$115,5,FALSE)</f>
        <v>716</v>
      </c>
      <c r="O56" s="91">
        <f t="shared" ca="1" si="2"/>
        <v>1887</v>
      </c>
      <c r="P56" s="91">
        <f ca="1">VLOOKUP(B56,'115+740'!$B$15:$AB$115,14,FALSE)</f>
        <v>-113</v>
      </c>
      <c r="Q56" s="89">
        <f>'115+740'!R57</f>
        <v>0</v>
      </c>
      <c r="R56" s="88">
        <f t="shared" ca="1" si="7"/>
        <v>103</v>
      </c>
      <c r="S56" s="93">
        <f ca="1">VLOOKUP(B56,'115+740'!$B$14:$AB$115,22,FALSE)</f>
        <v>882</v>
      </c>
      <c r="T56" s="92">
        <f ca="1">VLOOKUP(B56,'115+740'!$B$15:$AB$115,6,FALSE)</f>
        <v>761</v>
      </c>
      <c r="U56" s="91">
        <f t="shared" ca="1" si="3"/>
        <v>1842</v>
      </c>
      <c r="V56" s="90">
        <f ca="1">VLOOKUP(B56,'115+740'!$B$15:$AB$115,15,FALSE)</f>
        <v>-158</v>
      </c>
      <c r="W56" s="89">
        <f>'115+740'!S57</f>
        <v>1</v>
      </c>
      <c r="X56" s="88">
        <f t="shared" ca="1" si="8"/>
        <v>118</v>
      </c>
      <c r="Y56" s="87">
        <f t="shared" ca="1" si="9"/>
        <v>-1</v>
      </c>
      <c r="Z56" s="86">
        <f t="shared" ca="1" si="10"/>
        <v>0</v>
      </c>
      <c r="AA56" s="85">
        <f t="shared" ca="1" si="11"/>
        <v>1.0069999999999999</v>
      </c>
      <c r="AB56" s="85">
        <f t="shared" ca="1" si="12"/>
        <v>0.80400000000000005</v>
      </c>
      <c r="AC56" s="74"/>
      <c r="AD56" s="74"/>
      <c r="AE56" s="106"/>
    </row>
    <row r="57" spans="1:31" s="105" customFormat="1" ht="15" customHeight="1">
      <c r="A57" s="107"/>
      <c r="B57" s="98">
        <f>'115+740'!B58</f>
        <v>45116</v>
      </c>
      <c r="C57" s="97">
        <f t="shared" si="4"/>
        <v>1</v>
      </c>
      <c r="D57" s="96">
        <f t="shared" si="5"/>
        <v>1069</v>
      </c>
      <c r="E57" s="95">
        <f>VLOOKUP(B57,'115+740'!B58:AB159,3,FALSE)</f>
        <v>1532</v>
      </c>
      <c r="F57" s="92">
        <f t="shared" si="0"/>
        <v>2601</v>
      </c>
      <c r="G57" s="94">
        <f ca="1">VLOOKUP(B57,'115+740'!$B$15:$AB$115,20,FALSE)</f>
        <v>866</v>
      </c>
      <c r="H57" s="94">
        <f ca="1">VLOOKUP(B57,'115+740'!$B$15:$AB$115,4,FALSE)</f>
        <v>695</v>
      </c>
      <c r="I57" s="91">
        <f t="shared" ca="1" si="1"/>
        <v>1906</v>
      </c>
      <c r="J57" s="91">
        <f ca="1">VLOOKUP(B57,'115+740'!$B$15:$AB$115,13,FALSE)</f>
        <v>-94</v>
      </c>
      <c r="K57" s="89">
        <f>'115+740'!Q58</f>
        <v>2</v>
      </c>
      <c r="L57" s="88">
        <f t="shared" ca="1" si="6"/>
        <v>134</v>
      </c>
      <c r="M57" s="93">
        <f ca="1">VLOOKUP(B57,'115+740'!$B$14:$AB$115,21,FALSE)</f>
        <v>897</v>
      </c>
      <c r="N57" s="92">
        <f ca="1">VLOOKUP(B57,'115+740'!$B$15:$AB$115,5,FALSE)</f>
        <v>714</v>
      </c>
      <c r="O57" s="91">
        <f t="shared" ca="1" si="2"/>
        <v>1887</v>
      </c>
      <c r="P57" s="91">
        <f ca="1">VLOOKUP(B57,'115+740'!$B$15:$AB$115,14,FALSE)</f>
        <v>-113</v>
      </c>
      <c r="Q57" s="89">
        <f>'115+740'!R58</f>
        <v>0</v>
      </c>
      <c r="R57" s="88">
        <f t="shared" ca="1" si="7"/>
        <v>103</v>
      </c>
      <c r="S57" s="93">
        <f ca="1">VLOOKUP(B57,'115+740'!$B$14:$AB$115,22,FALSE)</f>
        <v>880</v>
      </c>
      <c r="T57" s="92">
        <f ca="1">VLOOKUP(B57,'115+740'!$B$15:$AB$115,6,FALSE)</f>
        <v>761</v>
      </c>
      <c r="U57" s="91">
        <f t="shared" ca="1" si="3"/>
        <v>1840</v>
      </c>
      <c r="V57" s="90">
        <f ca="1">VLOOKUP(B57,'115+740'!$B$15:$AB$115,15,FALSE)</f>
        <v>-160</v>
      </c>
      <c r="W57" s="89">
        <f>'115+740'!S58</f>
        <v>2</v>
      </c>
      <c r="X57" s="88">
        <f t="shared" ca="1" si="8"/>
        <v>120</v>
      </c>
      <c r="Y57" s="87">
        <f t="shared" ca="1" si="9"/>
        <v>-2</v>
      </c>
      <c r="Z57" s="86">
        <f t="shared" ca="1" si="10"/>
        <v>0</v>
      </c>
      <c r="AA57" s="85">
        <f t="shared" ca="1" si="11"/>
        <v>1.0069999999999999</v>
      </c>
      <c r="AB57" s="85">
        <f t="shared" ca="1" si="12"/>
        <v>0.80400000000000005</v>
      </c>
      <c r="AC57" s="74"/>
      <c r="AD57" s="74"/>
      <c r="AE57" s="106"/>
    </row>
    <row r="58" spans="1:31" s="105" customFormat="1" ht="15" customHeight="1">
      <c r="A58" s="107"/>
      <c r="B58" s="98">
        <f>'115+740'!B59</f>
        <v>45117</v>
      </c>
      <c r="C58" s="97">
        <f t="shared" si="4"/>
        <v>1</v>
      </c>
      <c r="D58" s="96">
        <f t="shared" si="5"/>
        <v>1069</v>
      </c>
      <c r="E58" s="95">
        <f>VLOOKUP(B58,'115+740'!B59:AB160,3,FALSE)</f>
        <v>1530</v>
      </c>
      <c r="F58" s="92">
        <f t="shared" si="0"/>
        <v>2599</v>
      </c>
      <c r="G58" s="94">
        <f ca="1">VLOOKUP(B58,'115+740'!$B$15:$AB$115,20,FALSE)</f>
        <v>864</v>
      </c>
      <c r="H58" s="94">
        <f ca="1">VLOOKUP(B58,'115+740'!$B$15:$AB$115,4,FALSE)</f>
        <v>695</v>
      </c>
      <c r="I58" s="91">
        <f t="shared" ca="1" si="1"/>
        <v>1904</v>
      </c>
      <c r="J58" s="91">
        <f ca="1">VLOOKUP(B58,'115+740'!$B$15:$AB$115,13,FALSE)</f>
        <v>-96</v>
      </c>
      <c r="K58" s="89">
        <f>'115+740'!Q59</f>
        <v>2</v>
      </c>
      <c r="L58" s="88">
        <f t="shared" ca="1" si="6"/>
        <v>136</v>
      </c>
      <c r="M58" s="93">
        <f ca="1">VLOOKUP(B58,'115+740'!$B$14:$AB$115,21,FALSE)</f>
        <v>897</v>
      </c>
      <c r="N58" s="92">
        <f ca="1">VLOOKUP(B58,'115+740'!$B$15:$AB$115,5,FALSE)</f>
        <v>712</v>
      </c>
      <c r="O58" s="91">
        <f t="shared" ca="1" si="2"/>
        <v>1887</v>
      </c>
      <c r="P58" s="91">
        <f ca="1">VLOOKUP(B58,'115+740'!$B$15:$AB$115,14,FALSE)</f>
        <v>-113</v>
      </c>
      <c r="Q58" s="89">
        <f>'115+740'!R59</f>
        <v>0</v>
      </c>
      <c r="R58" s="88">
        <f t="shared" ca="1" si="7"/>
        <v>103</v>
      </c>
      <c r="S58" s="93">
        <f ca="1">VLOOKUP(B58,'115+740'!$B$14:$AB$115,22,FALSE)</f>
        <v>878</v>
      </c>
      <c r="T58" s="92">
        <f ca="1">VLOOKUP(B58,'115+740'!$B$15:$AB$115,6,FALSE)</f>
        <v>761</v>
      </c>
      <c r="U58" s="91">
        <f t="shared" ca="1" si="3"/>
        <v>1838</v>
      </c>
      <c r="V58" s="90">
        <f ca="1">VLOOKUP(B58,'115+740'!$B$15:$AB$115,15,FALSE)</f>
        <v>-162</v>
      </c>
      <c r="W58" s="89">
        <f>'115+740'!S59</f>
        <v>2</v>
      </c>
      <c r="X58" s="88">
        <f t="shared" ca="1" si="8"/>
        <v>122</v>
      </c>
      <c r="Y58" s="87">
        <f t="shared" ca="1" si="9"/>
        <v>-2</v>
      </c>
      <c r="Z58" s="86">
        <f t="shared" ca="1" si="10"/>
        <v>0</v>
      </c>
      <c r="AA58" s="85">
        <f t="shared" ca="1" si="11"/>
        <v>1.0069999999999999</v>
      </c>
      <c r="AB58" s="85">
        <f t="shared" ca="1" si="12"/>
        <v>0.80400000000000005</v>
      </c>
      <c r="AC58" s="74"/>
      <c r="AD58" s="74"/>
      <c r="AE58" s="106"/>
    </row>
    <row r="59" spans="1:31" s="105" customFormat="1" ht="15" customHeight="1">
      <c r="A59" s="107"/>
      <c r="B59" s="98">
        <f>'115+740'!B60</f>
        <v>45118</v>
      </c>
      <c r="C59" s="97">
        <f t="shared" si="4"/>
        <v>1</v>
      </c>
      <c r="D59" s="96">
        <f t="shared" si="5"/>
        <v>1069</v>
      </c>
      <c r="E59" s="95">
        <f>VLOOKUP(B59,'115+740'!B60:AB161,3,FALSE)</f>
        <v>1528</v>
      </c>
      <c r="F59" s="92">
        <f t="shared" si="0"/>
        <v>2597</v>
      </c>
      <c r="G59" s="94">
        <f ca="1">VLOOKUP(B59,'115+740'!$B$15:$AB$115,20,FALSE)</f>
        <v>862</v>
      </c>
      <c r="H59" s="94">
        <f ca="1">VLOOKUP(B59,'115+740'!$B$15:$AB$115,4,FALSE)</f>
        <v>695</v>
      </c>
      <c r="I59" s="91">
        <f t="shared" ca="1" si="1"/>
        <v>1902</v>
      </c>
      <c r="J59" s="91">
        <f ca="1">VLOOKUP(B59,'115+740'!$B$15:$AB$115,13,FALSE)</f>
        <v>-98</v>
      </c>
      <c r="K59" s="89">
        <f>'115+740'!Q60</f>
        <v>2</v>
      </c>
      <c r="L59" s="88">
        <f t="shared" ca="1" si="6"/>
        <v>138</v>
      </c>
      <c r="M59" s="93">
        <f ca="1">VLOOKUP(B59,'115+740'!$B$14:$AB$115,21,FALSE)</f>
        <v>897</v>
      </c>
      <c r="N59" s="92">
        <f ca="1">VLOOKUP(B59,'115+740'!$B$15:$AB$115,5,FALSE)</f>
        <v>710</v>
      </c>
      <c r="O59" s="91">
        <f t="shared" ca="1" si="2"/>
        <v>1887</v>
      </c>
      <c r="P59" s="91">
        <f ca="1">VLOOKUP(B59,'115+740'!$B$15:$AB$115,14,FALSE)</f>
        <v>-113</v>
      </c>
      <c r="Q59" s="89">
        <f>'115+740'!R60</f>
        <v>0</v>
      </c>
      <c r="R59" s="88">
        <f t="shared" ca="1" si="7"/>
        <v>103</v>
      </c>
      <c r="S59" s="93">
        <f ca="1">VLOOKUP(B59,'115+740'!$B$14:$AB$115,22,FALSE)</f>
        <v>876</v>
      </c>
      <c r="T59" s="92">
        <f ca="1">VLOOKUP(B59,'115+740'!$B$15:$AB$115,6,FALSE)</f>
        <v>761</v>
      </c>
      <c r="U59" s="91">
        <f t="shared" ca="1" si="3"/>
        <v>1836</v>
      </c>
      <c r="V59" s="90">
        <f ca="1">VLOOKUP(B59,'115+740'!$B$15:$AB$115,15,FALSE)</f>
        <v>-164</v>
      </c>
      <c r="W59" s="89">
        <f>'115+740'!S60</f>
        <v>2</v>
      </c>
      <c r="X59" s="88">
        <f t="shared" ca="1" si="8"/>
        <v>124</v>
      </c>
      <c r="Y59" s="87">
        <f t="shared" ca="1" si="9"/>
        <v>-2</v>
      </c>
      <c r="Z59" s="86">
        <f t="shared" ca="1" si="10"/>
        <v>0</v>
      </c>
      <c r="AA59" s="85">
        <f t="shared" ca="1" si="11"/>
        <v>1.0069999999999999</v>
      </c>
      <c r="AB59" s="85">
        <f t="shared" ca="1" si="12"/>
        <v>0.80400000000000005</v>
      </c>
      <c r="AC59" s="74"/>
      <c r="AD59" s="74"/>
      <c r="AE59" s="106"/>
    </row>
    <row r="60" spans="1:31" s="105" customFormat="1" ht="15" customHeight="1">
      <c r="A60" s="107"/>
      <c r="B60" s="98">
        <f>'115+740'!B61</f>
        <v>45119</v>
      </c>
      <c r="C60" s="97">
        <f t="shared" si="4"/>
        <v>1</v>
      </c>
      <c r="D60" s="96">
        <f t="shared" si="5"/>
        <v>1069</v>
      </c>
      <c r="E60" s="95">
        <f>VLOOKUP(B60,'115+740'!B61:AB162,3,FALSE)</f>
        <v>1526</v>
      </c>
      <c r="F60" s="92">
        <f t="shared" si="0"/>
        <v>2595</v>
      </c>
      <c r="G60" s="94">
        <f ca="1">VLOOKUP(B60,'115+740'!$B$15:$AB$115,20,FALSE)</f>
        <v>860</v>
      </c>
      <c r="H60" s="94">
        <f ca="1">VLOOKUP(B60,'115+740'!$B$15:$AB$115,4,FALSE)</f>
        <v>695</v>
      </c>
      <c r="I60" s="91">
        <f t="shared" ca="1" si="1"/>
        <v>1900</v>
      </c>
      <c r="J60" s="91">
        <f ca="1">VLOOKUP(B60,'115+740'!$B$15:$AB$115,13,FALSE)</f>
        <v>-100</v>
      </c>
      <c r="K60" s="89">
        <f>'115+740'!Q61</f>
        <v>2</v>
      </c>
      <c r="L60" s="88">
        <f t="shared" ca="1" si="6"/>
        <v>140</v>
      </c>
      <c r="M60" s="93">
        <f ca="1">VLOOKUP(B60,'115+740'!$B$14:$AB$115,21,FALSE)</f>
        <v>897</v>
      </c>
      <c r="N60" s="92">
        <f ca="1">VLOOKUP(B60,'115+740'!$B$15:$AB$115,5,FALSE)</f>
        <v>708</v>
      </c>
      <c r="O60" s="91">
        <f t="shared" ca="1" si="2"/>
        <v>1887</v>
      </c>
      <c r="P60" s="91">
        <f ca="1">VLOOKUP(B60,'115+740'!$B$15:$AB$115,14,FALSE)</f>
        <v>-113</v>
      </c>
      <c r="Q60" s="89">
        <f>'115+740'!R61</f>
        <v>0</v>
      </c>
      <c r="R60" s="88">
        <f t="shared" ca="1" si="7"/>
        <v>103</v>
      </c>
      <c r="S60" s="93">
        <f ca="1">VLOOKUP(B60,'115+740'!$B$14:$AB$115,22,FALSE)</f>
        <v>874</v>
      </c>
      <c r="T60" s="92">
        <f ca="1">VLOOKUP(B60,'115+740'!$B$15:$AB$115,6,FALSE)</f>
        <v>761</v>
      </c>
      <c r="U60" s="91">
        <f t="shared" ca="1" si="3"/>
        <v>1834</v>
      </c>
      <c r="V60" s="90">
        <f ca="1">VLOOKUP(B60,'115+740'!$B$15:$AB$115,15,FALSE)</f>
        <v>-166</v>
      </c>
      <c r="W60" s="89">
        <f>'115+740'!S61</f>
        <v>2</v>
      </c>
      <c r="X60" s="88">
        <f t="shared" ca="1" si="8"/>
        <v>126</v>
      </c>
      <c r="Y60" s="87">
        <f t="shared" ca="1" si="9"/>
        <v>-2</v>
      </c>
      <c r="Z60" s="86">
        <f t="shared" ca="1" si="10"/>
        <v>0</v>
      </c>
      <c r="AA60" s="85">
        <f t="shared" ca="1" si="11"/>
        <v>1.0069999999999999</v>
      </c>
      <c r="AB60" s="85">
        <f t="shared" ca="1" si="12"/>
        <v>0.80400000000000005</v>
      </c>
      <c r="AC60" s="74"/>
      <c r="AD60" s="74"/>
      <c r="AE60" s="106"/>
    </row>
    <row r="61" spans="1:31" s="105" customFormat="1" ht="15" customHeight="1">
      <c r="A61" s="107"/>
      <c r="B61" s="98">
        <f>'115+740'!B62</f>
        <v>45120</v>
      </c>
      <c r="C61" s="97">
        <f t="shared" si="4"/>
        <v>1</v>
      </c>
      <c r="D61" s="96">
        <f t="shared" si="5"/>
        <v>1069</v>
      </c>
      <c r="E61" s="95">
        <f>VLOOKUP(B61,'115+740'!B62:AB163,3,FALSE)</f>
        <v>1524</v>
      </c>
      <c r="F61" s="92">
        <f t="shared" si="0"/>
        <v>2593</v>
      </c>
      <c r="G61" s="94">
        <f ca="1">VLOOKUP(B61,'115+740'!$B$15:$AB$115,20,FALSE)</f>
        <v>860</v>
      </c>
      <c r="H61" s="94">
        <f ca="1">VLOOKUP(B61,'115+740'!$B$15:$AB$115,4,FALSE)</f>
        <v>693</v>
      </c>
      <c r="I61" s="91">
        <f t="shared" ca="1" si="1"/>
        <v>1900</v>
      </c>
      <c r="J61" s="91">
        <f ca="1">VLOOKUP(B61,'115+740'!$B$15:$AB$115,13,FALSE)</f>
        <v>-100</v>
      </c>
      <c r="K61" s="89">
        <f>'115+740'!Q62</f>
        <v>0</v>
      </c>
      <c r="L61" s="88">
        <f t="shared" ca="1" si="6"/>
        <v>140</v>
      </c>
      <c r="M61" s="93">
        <f ca="1">VLOOKUP(B61,'115+740'!$B$14:$AB$115,21,FALSE)</f>
        <v>897</v>
      </c>
      <c r="N61" s="92">
        <f ca="1">VLOOKUP(B61,'115+740'!$B$15:$AB$115,5,FALSE)</f>
        <v>706</v>
      </c>
      <c r="O61" s="91">
        <f t="shared" ca="1" si="2"/>
        <v>1887</v>
      </c>
      <c r="P61" s="91">
        <f ca="1">VLOOKUP(B61,'115+740'!$B$15:$AB$115,14,FALSE)</f>
        <v>-113</v>
      </c>
      <c r="Q61" s="89">
        <f>'115+740'!R62</f>
        <v>0</v>
      </c>
      <c r="R61" s="88">
        <f t="shared" ca="1" si="7"/>
        <v>103</v>
      </c>
      <c r="S61" s="93">
        <f ca="1">VLOOKUP(B61,'115+740'!$B$14:$AB$115,22,FALSE)</f>
        <v>874</v>
      </c>
      <c r="T61" s="92">
        <f ca="1">VLOOKUP(B61,'115+740'!$B$15:$AB$115,6,FALSE)</f>
        <v>759</v>
      </c>
      <c r="U61" s="91">
        <f t="shared" ca="1" si="3"/>
        <v>1834</v>
      </c>
      <c r="V61" s="90">
        <f ca="1">VLOOKUP(B61,'115+740'!$B$15:$AB$115,15,FALSE)</f>
        <v>-166</v>
      </c>
      <c r="W61" s="89">
        <f>'115+740'!S62</f>
        <v>0</v>
      </c>
      <c r="X61" s="88">
        <f t="shared" ca="1" si="8"/>
        <v>126</v>
      </c>
      <c r="Y61" s="87">
        <f t="shared" ca="1" si="9"/>
        <v>0</v>
      </c>
      <c r="Z61" s="86">
        <f t="shared" ca="1" si="10"/>
        <v>0</v>
      </c>
      <c r="AA61" s="85">
        <f t="shared" ca="1" si="11"/>
        <v>1.0069999999999999</v>
      </c>
      <c r="AB61" s="85">
        <f t="shared" ca="1" si="12"/>
        <v>0.80400000000000005</v>
      </c>
      <c r="AC61" s="74"/>
      <c r="AD61" s="74"/>
      <c r="AE61" s="106"/>
    </row>
    <row r="62" spans="1:31" s="105" customFormat="1" ht="15" customHeight="1">
      <c r="A62" s="107"/>
      <c r="B62" s="98">
        <f>'115+740'!B63</f>
        <v>45121</v>
      </c>
      <c r="C62" s="97">
        <f t="shared" si="4"/>
        <v>1</v>
      </c>
      <c r="D62" s="96">
        <f t="shared" si="5"/>
        <v>1069</v>
      </c>
      <c r="E62" s="95">
        <f>VLOOKUP(B62,'115+740'!B63:AB164,3,FALSE)</f>
        <v>1522</v>
      </c>
      <c r="F62" s="92">
        <f t="shared" si="0"/>
        <v>2591</v>
      </c>
      <c r="G62" s="94">
        <f ca="1">VLOOKUP(B62,'115+740'!$B$15:$AB$115,20,FALSE)</f>
        <v>860</v>
      </c>
      <c r="H62" s="94">
        <f ca="1">VLOOKUP(B62,'115+740'!$B$15:$AB$115,4,FALSE)</f>
        <v>691</v>
      </c>
      <c r="I62" s="91">
        <f t="shared" ca="1" si="1"/>
        <v>1900</v>
      </c>
      <c r="J62" s="91">
        <f ca="1">VLOOKUP(B62,'115+740'!$B$15:$AB$115,13,FALSE)</f>
        <v>-100</v>
      </c>
      <c r="K62" s="89">
        <f>'115+740'!Q63</f>
        <v>0</v>
      </c>
      <c r="L62" s="88">
        <f t="shared" ca="1" si="6"/>
        <v>140</v>
      </c>
      <c r="M62" s="93">
        <f ca="1">VLOOKUP(B62,'115+740'!$B$14:$AB$115,21,FALSE)</f>
        <v>897</v>
      </c>
      <c r="N62" s="92">
        <f ca="1">VLOOKUP(B62,'115+740'!$B$15:$AB$115,5,FALSE)</f>
        <v>704</v>
      </c>
      <c r="O62" s="91">
        <f t="shared" ca="1" si="2"/>
        <v>1887</v>
      </c>
      <c r="P62" s="91">
        <f ca="1">VLOOKUP(B62,'115+740'!$B$15:$AB$115,14,FALSE)</f>
        <v>-113</v>
      </c>
      <c r="Q62" s="89">
        <f>'115+740'!R63</f>
        <v>0</v>
      </c>
      <c r="R62" s="88">
        <f t="shared" ca="1" si="7"/>
        <v>103</v>
      </c>
      <c r="S62" s="93">
        <f ca="1">VLOOKUP(B62,'115+740'!$B$14:$AB$115,22,FALSE)</f>
        <v>874</v>
      </c>
      <c r="T62" s="92">
        <f ca="1">VLOOKUP(B62,'115+740'!$B$15:$AB$115,6,FALSE)</f>
        <v>757</v>
      </c>
      <c r="U62" s="91">
        <f t="shared" ca="1" si="3"/>
        <v>1834</v>
      </c>
      <c r="V62" s="90">
        <f ca="1">VLOOKUP(B62,'115+740'!$B$15:$AB$115,15,FALSE)</f>
        <v>-166</v>
      </c>
      <c r="W62" s="89">
        <f>'115+740'!S63</f>
        <v>0</v>
      </c>
      <c r="X62" s="88">
        <f t="shared" ca="1" si="8"/>
        <v>126</v>
      </c>
      <c r="Y62" s="87">
        <f t="shared" ca="1" si="9"/>
        <v>0</v>
      </c>
      <c r="Z62" s="86">
        <f t="shared" ca="1" si="10"/>
        <v>0</v>
      </c>
      <c r="AA62" s="85">
        <f t="shared" ca="1" si="11"/>
        <v>1.0069999999999999</v>
      </c>
      <c r="AB62" s="85">
        <f t="shared" ca="1" si="12"/>
        <v>0.80400000000000005</v>
      </c>
      <c r="AC62" s="74"/>
      <c r="AD62" s="74"/>
      <c r="AE62" s="106"/>
    </row>
    <row r="63" spans="1:31" s="105" customFormat="1" ht="15" customHeight="1">
      <c r="A63" s="107"/>
      <c r="B63" s="98">
        <f>'115+740'!B64</f>
        <v>45122</v>
      </c>
      <c r="C63" s="97">
        <f t="shared" si="4"/>
        <v>1</v>
      </c>
      <c r="D63" s="96">
        <f t="shared" si="5"/>
        <v>1069</v>
      </c>
      <c r="E63" s="95">
        <f>VLOOKUP(B63,'115+740'!B64:AB165,3,FALSE)</f>
        <v>1520</v>
      </c>
      <c r="F63" s="92">
        <f t="shared" si="0"/>
        <v>2589</v>
      </c>
      <c r="G63" s="94">
        <f ca="1">VLOOKUP(B63,'115+740'!$B$15:$AB$115,20,FALSE)</f>
        <v>860</v>
      </c>
      <c r="H63" s="94">
        <f ca="1">VLOOKUP(B63,'115+740'!$B$15:$AB$115,4,FALSE)</f>
        <v>689</v>
      </c>
      <c r="I63" s="91">
        <f t="shared" ca="1" si="1"/>
        <v>1900</v>
      </c>
      <c r="J63" s="91">
        <f ca="1">VLOOKUP(B63,'115+740'!$B$15:$AB$115,13,FALSE)</f>
        <v>-100</v>
      </c>
      <c r="K63" s="89">
        <f>'115+740'!Q64</f>
        <v>0</v>
      </c>
      <c r="L63" s="88">
        <f t="shared" ca="1" si="6"/>
        <v>140</v>
      </c>
      <c r="M63" s="93">
        <f ca="1">VLOOKUP(B63,'115+740'!$B$14:$AB$115,21,FALSE)</f>
        <v>897</v>
      </c>
      <c r="N63" s="92">
        <f ca="1">VLOOKUP(B63,'115+740'!$B$15:$AB$115,5,FALSE)</f>
        <v>702</v>
      </c>
      <c r="O63" s="91">
        <f t="shared" ca="1" si="2"/>
        <v>1887</v>
      </c>
      <c r="P63" s="91">
        <f ca="1">VLOOKUP(B63,'115+740'!$B$15:$AB$115,14,FALSE)</f>
        <v>-113</v>
      </c>
      <c r="Q63" s="89">
        <f>'115+740'!R64</f>
        <v>0</v>
      </c>
      <c r="R63" s="88">
        <f t="shared" ca="1" si="7"/>
        <v>103</v>
      </c>
      <c r="S63" s="93">
        <f ca="1">VLOOKUP(B63,'115+740'!$B$14:$AB$115,22,FALSE)</f>
        <v>874</v>
      </c>
      <c r="T63" s="92">
        <f ca="1">VLOOKUP(B63,'115+740'!$B$15:$AB$115,6,FALSE)</f>
        <v>755</v>
      </c>
      <c r="U63" s="91">
        <f t="shared" ca="1" si="3"/>
        <v>1834</v>
      </c>
      <c r="V63" s="90">
        <f ca="1">VLOOKUP(B63,'115+740'!$B$15:$AB$115,15,FALSE)</f>
        <v>-166</v>
      </c>
      <c r="W63" s="89">
        <f>'115+740'!S64</f>
        <v>0</v>
      </c>
      <c r="X63" s="88">
        <f t="shared" ca="1" si="8"/>
        <v>126</v>
      </c>
      <c r="Y63" s="87">
        <f t="shared" ca="1" si="9"/>
        <v>0</v>
      </c>
      <c r="Z63" s="86">
        <f t="shared" ca="1" si="10"/>
        <v>0</v>
      </c>
      <c r="AA63" s="85">
        <f t="shared" ca="1" si="11"/>
        <v>1.0069999999999999</v>
      </c>
      <c r="AB63" s="85">
        <f t="shared" ca="1" si="12"/>
        <v>0.80400000000000005</v>
      </c>
      <c r="AC63" s="74"/>
      <c r="AD63" s="74"/>
      <c r="AE63" s="106"/>
    </row>
    <row r="64" spans="1:31" s="105" customFormat="1" ht="15" customHeight="1">
      <c r="A64" s="107"/>
      <c r="B64" s="98">
        <f>'115+740'!B65</f>
        <v>45123</v>
      </c>
      <c r="C64" s="97">
        <f t="shared" si="4"/>
        <v>1</v>
      </c>
      <c r="D64" s="96">
        <f t="shared" si="5"/>
        <v>1069</v>
      </c>
      <c r="E64" s="95">
        <f>VLOOKUP(B64,'115+740'!B65:AB166,3,FALSE)</f>
        <v>1518</v>
      </c>
      <c r="F64" s="92">
        <f t="shared" si="0"/>
        <v>2587</v>
      </c>
      <c r="G64" s="94">
        <f ca="1">VLOOKUP(B64,'115+740'!$B$15:$AB$115,20,FALSE)</f>
        <v>860</v>
      </c>
      <c r="H64" s="94">
        <f ca="1">VLOOKUP(B64,'115+740'!$B$15:$AB$115,4,FALSE)</f>
        <v>687</v>
      </c>
      <c r="I64" s="91">
        <f t="shared" ca="1" si="1"/>
        <v>1900</v>
      </c>
      <c r="J64" s="91">
        <f ca="1">VLOOKUP(B64,'115+740'!$B$15:$AB$115,13,FALSE)</f>
        <v>-100</v>
      </c>
      <c r="K64" s="89">
        <f>'115+740'!Q65</f>
        <v>0</v>
      </c>
      <c r="L64" s="88">
        <f t="shared" ca="1" si="6"/>
        <v>140</v>
      </c>
      <c r="M64" s="93">
        <f ca="1">VLOOKUP(B64,'115+740'!$B$14:$AB$115,21,FALSE)</f>
        <v>897</v>
      </c>
      <c r="N64" s="92">
        <f ca="1">VLOOKUP(B64,'115+740'!$B$15:$AB$115,5,FALSE)</f>
        <v>700</v>
      </c>
      <c r="O64" s="91">
        <f t="shared" ca="1" si="2"/>
        <v>1887</v>
      </c>
      <c r="P64" s="91">
        <f ca="1">VLOOKUP(B64,'115+740'!$B$15:$AB$115,14,FALSE)</f>
        <v>-113</v>
      </c>
      <c r="Q64" s="89">
        <f>'115+740'!R65</f>
        <v>0</v>
      </c>
      <c r="R64" s="88">
        <f t="shared" ca="1" si="7"/>
        <v>103</v>
      </c>
      <c r="S64" s="93">
        <f ca="1">VLOOKUP(B64,'115+740'!$B$14:$AB$115,22,FALSE)</f>
        <v>874</v>
      </c>
      <c r="T64" s="92">
        <f ca="1">VLOOKUP(B64,'115+740'!$B$15:$AB$115,6,FALSE)</f>
        <v>753</v>
      </c>
      <c r="U64" s="91">
        <f t="shared" ca="1" si="3"/>
        <v>1834</v>
      </c>
      <c r="V64" s="90">
        <f ca="1">VLOOKUP(B64,'115+740'!$B$15:$AB$115,15,FALSE)</f>
        <v>-166</v>
      </c>
      <c r="W64" s="89">
        <f>'115+740'!S65</f>
        <v>0</v>
      </c>
      <c r="X64" s="88">
        <f t="shared" ca="1" si="8"/>
        <v>126</v>
      </c>
      <c r="Y64" s="87">
        <f t="shared" ca="1" si="9"/>
        <v>0</v>
      </c>
      <c r="Z64" s="86">
        <f t="shared" ca="1" si="10"/>
        <v>0</v>
      </c>
      <c r="AA64" s="85">
        <f t="shared" ca="1" si="11"/>
        <v>1.0069999999999999</v>
      </c>
      <c r="AB64" s="85">
        <f t="shared" ca="1" si="12"/>
        <v>0.80400000000000005</v>
      </c>
      <c r="AC64" s="74"/>
      <c r="AD64" s="74"/>
      <c r="AE64" s="106"/>
    </row>
    <row r="65" spans="1:32" s="105" customFormat="1" ht="15" customHeight="1">
      <c r="A65" s="107"/>
      <c r="B65" s="98">
        <f>'115+740'!B66</f>
        <v>45124</v>
      </c>
      <c r="C65" s="97">
        <f t="shared" si="4"/>
        <v>1</v>
      </c>
      <c r="D65" s="96">
        <f t="shared" si="5"/>
        <v>1069</v>
      </c>
      <c r="E65" s="95">
        <f>VLOOKUP(B65,'115+740'!B66:AB167,3,FALSE)</f>
        <v>1516</v>
      </c>
      <c r="F65" s="92">
        <f t="shared" si="0"/>
        <v>2585</v>
      </c>
      <c r="G65" s="94">
        <f ca="1">VLOOKUP(B65,'115+740'!$B$15:$AB$115,20,FALSE)</f>
        <v>860</v>
      </c>
      <c r="H65" s="94">
        <f ca="1">VLOOKUP(B65,'115+740'!$B$15:$AB$115,4,FALSE)</f>
        <v>685</v>
      </c>
      <c r="I65" s="91">
        <f t="shared" ca="1" si="1"/>
        <v>1900</v>
      </c>
      <c r="J65" s="91">
        <f ca="1">VLOOKUP(B65,'115+740'!$B$15:$AB$115,13,FALSE)</f>
        <v>-100</v>
      </c>
      <c r="K65" s="89">
        <f>'115+740'!Q66</f>
        <v>0</v>
      </c>
      <c r="L65" s="88">
        <f t="shared" ca="1" si="6"/>
        <v>140</v>
      </c>
      <c r="M65" s="93">
        <f ca="1">VLOOKUP(B65,'115+740'!$B$14:$AB$115,21,FALSE)</f>
        <v>897</v>
      </c>
      <c r="N65" s="92">
        <f ca="1">VLOOKUP(B65,'115+740'!$B$15:$AB$115,5,FALSE)</f>
        <v>698</v>
      </c>
      <c r="O65" s="91">
        <f t="shared" ca="1" si="2"/>
        <v>1887</v>
      </c>
      <c r="P65" s="91">
        <f ca="1">VLOOKUP(B65,'115+740'!$B$15:$AB$115,14,FALSE)</f>
        <v>-113</v>
      </c>
      <c r="Q65" s="89">
        <f>'115+740'!R66</f>
        <v>0</v>
      </c>
      <c r="R65" s="88">
        <f t="shared" ca="1" si="7"/>
        <v>103</v>
      </c>
      <c r="S65" s="93">
        <f ca="1">VLOOKUP(B65,'115+740'!$B$14:$AB$115,22,FALSE)</f>
        <v>874</v>
      </c>
      <c r="T65" s="92">
        <f ca="1">VLOOKUP(B65,'115+740'!$B$15:$AB$115,6,FALSE)</f>
        <v>751</v>
      </c>
      <c r="U65" s="91">
        <f t="shared" ca="1" si="3"/>
        <v>1834</v>
      </c>
      <c r="V65" s="90">
        <f ca="1">VLOOKUP(B65,'115+740'!$B$15:$AB$115,15,FALSE)</f>
        <v>-166</v>
      </c>
      <c r="W65" s="89">
        <f>'115+740'!S66</f>
        <v>0</v>
      </c>
      <c r="X65" s="88">
        <f t="shared" ca="1" si="8"/>
        <v>126</v>
      </c>
      <c r="Y65" s="87">
        <f t="shared" ca="1" si="9"/>
        <v>0</v>
      </c>
      <c r="Z65" s="86">
        <f t="shared" ca="1" si="10"/>
        <v>0</v>
      </c>
      <c r="AA65" s="85">
        <f t="shared" ca="1" si="11"/>
        <v>1.0069999999999999</v>
      </c>
      <c r="AB65" s="85">
        <f t="shared" ca="1" si="12"/>
        <v>0.80400000000000005</v>
      </c>
      <c r="AC65" s="74"/>
      <c r="AD65" s="74"/>
      <c r="AE65" s="106"/>
    </row>
    <row r="66" spans="1:32" s="114" customFormat="1" ht="15" customHeight="1">
      <c r="A66" s="107"/>
      <c r="B66" s="98">
        <f>'115+740'!B67</f>
        <v>45125</v>
      </c>
      <c r="C66" s="97">
        <f t="shared" si="4"/>
        <v>1</v>
      </c>
      <c r="D66" s="96">
        <f t="shared" si="5"/>
        <v>1069</v>
      </c>
      <c r="E66" s="95">
        <f>VLOOKUP(B66,'115+740'!B67:AB168,3,FALSE)</f>
        <v>1514</v>
      </c>
      <c r="F66" s="92">
        <f t="shared" si="0"/>
        <v>2583</v>
      </c>
      <c r="G66" s="94">
        <f ca="1">VLOOKUP(B66,'115+740'!$B$15:$AB$115,20,FALSE)</f>
        <v>860</v>
      </c>
      <c r="H66" s="94">
        <f ca="1">VLOOKUP(B66,'115+740'!$B$15:$AB$115,4,FALSE)</f>
        <v>683</v>
      </c>
      <c r="I66" s="91">
        <f t="shared" ca="1" si="1"/>
        <v>1900</v>
      </c>
      <c r="J66" s="91">
        <f ca="1">VLOOKUP(B66,'115+740'!$B$15:$AB$115,13,FALSE)</f>
        <v>-100</v>
      </c>
      <c r="K66" s="89">
        <f>'115+740'!Q67</f>
        <v>0</v>
      </c>
      <c r="L66" s="88">
        <f t="shared" ca="1" si="6"/>
        <v>140</v>
      </c>
      <c r="M66" s="93">
        <f ca="1">VLOOKUP(B66,'115+740'!$B$14:$AB$115,21,FALSE)</f>
        <v>897</v>
      </c>
      <c r="N66" s="92">
        <f ca="1">VLOOKUP(B66,'115+740'!$B$15:$AB$115,5,FALSE)</f>
        <v>696</v>
      </c>
      <c r="O66" s="91">
        <f t="shared" ca="1" si="2"/>
        <v>1887</v>
      </c>
      <c r="P66" s="91">
        <f ca="1">VLOOKUP(B66,'115+740'!$B$15:$AB$115,14,FALSE)</f>
        <v>-113</v>
      </c>
      <c r="Q66" s="89">
        <f>'115+740'!R67</f>
        <v>0</v>
      </c>
      <c r="R66" s="88">
        <f t="shared" ca="1" si="7"/>
        <v>103</v>
      </c>
      <c r="S66" s="93">
        <f ca="1">VLOOKUP(B66,'115+740'!$B$14:$AB$115,22,FALSE)</f>
        <v>874</v>
      </c>
      <c r="T66" s="92">
        <f ca="1">VLOOKUP(B66,'115+740'!$B$15:$AB$115,6,FALSE)</f>
        <v>749</v>
      </c>
      <c r="U66" s="91">
        <f t="shared" ca="1" si="3"/>
        <v>1834</v>
      </c>
      <c r="V66" s="90">
        <f ca="1">VLOOKUP(B66,'115+740'!$B$15:$AB$115,15,FALSE)</f>
        <v>-166</v>
      </c>
      <c r="W66" s="89">
        <f>'115+740'!S67</f>
        <v>0</v>
      </c>
      <c r="X66" s="88">
        <f t="shared" ca="1" si="8"/>
        <v>126</v>
      </c>
      <c r="Y66" s="87">
        <f t="shared" ca="1" si="9"/>
        <v>0</v>
      </c>
      <c r="Z66" s="86">
        <f t="shared" ca="1" si="10"/>
        <v>0</v>
      </c>
      <c r="AA66" s="85">
        <f t="shared" ca="1" si="11"/>
        <v>1.0069999999999999</v>
      </c>
      <c r="AB66" s="85">
        <f t="shared" ca="1" si="12"/>
        <v>0.80400000000000005</v>
      </c>
      <c r="AC66" s="116"/>
      <c r="AD66" s="116"/>
      <c r="AE66" s="115"/>
    </row>
    <row r="67" spans="1:32" s="108" customFormat="1" ht="15" customHeight="1">
      <c r="A67" s="107"/>
      <c r="B67" s="98">
        <f>'115+740'!B68</f>
        <v>45126</v>
      </c>
      <c r="C67" s="97">
        <f t="shared" si="4"/>
        <v>1</v>
      </c>
      <c r="D67" s="96">
        <f t="shared" si="5"/>
        <v>1069</v>
      </c>
      <c r="E67" s="95">
        <f>VLOOKUP(B67,'115+740'!B68:AB169,3,FALSE)</f>
        <v>1512</v>
      </c>
      <c r="F67" s="92">
        <f t="shared" si="0"/>
        <v>2581</v>
      </c>
      <c r="G67" s="94">
        <f ca="1">VLOOKUP(B67,'115+740'!$B$15:$AB$115,20,FALSE)</f>
        <v>860</v>
      </c>
      <c r="H67" s="94">
        <f ca="1">VLOOKUP(B67,'115+740'!$B$15:$AB$115,4,FALSE)</f>
        <v>681</v>
      </c>
      <c r="I67" s="91">
        <f t="shared" ca="1" si="1"/>
        <v>1900</v>
      </c>
      <c r="J67" s="91">
        <f ca="1">VLOOKUP(B67,'115+740'!$B$15:$AB$115,13,FALSE)</f>
        <v>-100</v>
      </c>
      <c r="K67" s="89">
        <f>'115+740'!Q68</f>
        <v>0</v>
      </c>
      <c r="L67" s="88">
        <f t="shared" ca="1" si="6"/>
        <v>140</v>
      </c>
      <c r="M67" s="93">
        <f ca="1">VLOOKUP(B67,'115+740'!$B$14:$AB$115,21,FALSE)</f>
        <v>897</v>
      </c>
      <c r="N67" s="92">
        <f ca="1">VLOOKUP(B67,'115+740'!$B$15:$AB$115,5,FALSE)</f>
        <v>694</v>
      </c>
      <c r="O67" s="91">
        <f t="shared" ca="1" si="2"/>
        <v>1887</v>
      </c>
      <c r="P67" s="91">
        <f ca="1">VLOOKUP(B67,'115+740'!$B$15:$AB$115,14,FALSE)</f>
        <v>-113</v>
      </c>
      <c r="Q67" s="89">
        <f>'115+740'!R68</f>
        <v>0</v>
      </c>
      <c r="R67" s="88">
        <f t="shared" ca="1" si="7"/>
        <v>103</v>
      </c>
      <c r="S67" s="93">
        <f ca="1">VLOOKUP(B67,'115+740'!$B$14:$AB$115,22,FALSE)</f>
        <v>874</v>
      </c>
      <c r="T67" s="92">
        <f ca="1">VLOOKUP(B67,'115+740'!$B$15:$AB$115,6,FALSE)</f>
        <v>747</v>
      </c>
      <c r="U67" s="91">
        <f t="shared" ca="1" si="3"/>
        <v>1834</v>
      </c>
      <c r="V67" s="90">
        <f ca="1">VLOOKUP(B67,'115+740'!$B$15:$AB$115,15,FALSE)</f>
        <v>-166</v>
      </c>
      <c r="W67" s="89">
        <f>'115+740'!S68</f>
        <v>0</v>
      </c>
      <c r="X67" s="88">
        <f t="shared" ca="1" si="8"/>
        <v>126</v>
      </c>
      <c r="Y67" s="87">
        <f t="shared" ca="1" si="9"/>
        <v>0</v>
      </c>
      <c r="Z67" s="86">
        <f t="shared" ca="1" si="10"/>
        <v>0</v>
      </c>
      <c r="AA67" s="85">
        <f t="shared" ca="1" si="11"/>
        <v>1.0069999999999999</v>
      </c>
      <c r="AB67" s="85">
        <f t="shared" ca="1" si="12"/>
        <v>0.80400000000000005</v>
      </c>
      <c r="AC67" s="110"/>
      <c r="AD67" s="110"/>
      <c r="AE67" s="109"/>
    </row>
    <row r="68" spans="1:32" s="111" customFormat="1" ht="15" customHeight="1">
      <c r="A68" s="107"/>
      <c r="B68" s="98">
        <f>'115+740'!B69</f>
        <v>45127</v>
      </c>
      <c r="C68" s="97">
        <f t="shared" si="4"/>
        <v>1</v>
      </c>
      <c r="D68" s="96">
        <f t="shared" si="5"/>
        <v>1069</v>
      </c>
      <c r="E68" s="95">
        <f>VLOOKUP(B68,'115+740'!B69:AB170,3,FALSE)</f>
        <v>1510</v>
      </c>
      <c r="F68" s="92">
        <f t="shared" si="0"/>
        <v>2579</v>
      </c>
      <c r="G68" s="94">
        <f ca="1">VLOOKUP(B68,'115+740'!$B$15:$AB$115,20,FALSE)</f>
        <v>860</v>
      </c>
      <c r="H68" s="94">
        <f ca="1">VLOOKUP(B68,'115+740'!$B$15:$AB$115,4,FALSE)</f>
        <v>679</v>
      </c>
      <c r="I68" s="91">
        <f t="shared" ca="1" si="1"/>
        <v>1900</v>
      </c>
      <c r="J68" s="91">
        <f ca="1">VLOOKUP(B68,'115+740'!$B$15:$AB$115,13,FALSE)</f>
        <v>-100</v>
      </c>
      <c r="K68" s="89">
        <f>'115+740'!Q69</f>
        <v>0</v>
      </c>
      <c r="L68" s="88">
        <f t="shared" ca="1" si="6"/>
        <v>140</v>
      </c>
      <c r="M68" s="93">
        <f ca="1">VLOOKUP(B68,'115+740'!$B$14:$AB$115,21,FALSE)</f>
        <v>897</v>
      </c>
      <c r="N68" s="92">
        <f ca="1">VLOOKUP(B68,'115+740'!$B$15:$AB$115,5,FALSE)</f>
        <v>692</v>
      </c>
      <c r="O68" s="91">
        <f t="shared" ca="1" si="2"/>
        <v>1887</v>
      </c>
      <c r="P68" s="91">
        <f ca="1">VLOOKUP(B68,'115+740'!$B$15:$AB$115,14,FALSE)</f>
        <v>-113</v>
      </c>
      <c r="Q68" s="89">
        <f>'115+740'!R69</f>
        <v>0</v>
      </c>
      <c r="R68" s="88">
        <f t="shared" ca="1" si="7"/>
        <v>103</v>
      </c>
      <c r="S68" s="93">
        <f ca="1">VLOOKUP(B68,'115+740'!$B$14:$AB$115,22,FALSE)</f>
        <v>874</v>
      </c>
      <c r="T68" s="92">
        <f ca="1">VLOOKUP(B68,'115+740'!$B$15:$AB$115,6,FALSE)</f>
        <v>745</v>
      </c>
      <c r="U68" s="91">
        <f t="shared" ca="1" si="3"/>
        <v>1834</v>
      </c>
      <c r="V68" s="90">
        <f ca="1">VLOOKUP(B68,'115+740'!$B$15:$AB$115,15,FALSE)</f>
        <v>-166</v>
      </c>
      <c r="W68" s="89">
        <f>'115+740'!S69</f>
        <v>0</v>
      </c>
      <c r="X68" s="88">
        <f t="shared" ca="1" si="8"/>
        <v>126</v>
      </c>
      <c r="Y68" s="87">
        <f t="shared" ca="1" si="9"/>
        <v>0</v>
      </c>
      <c r="Z68" s="86">
        <f t="shared" ca="1" si="10"/>
        <v>0</v>
      </c>
      <c r="AA68" s="85">
        <f t="shared" ca="1" si="11"/>
        <v>1.0069999999999999</v>
      </c>
      <c r="AB68" s="85">
        <f t="shared" ca="1" si="12"/>
        <v>0.80400000000000005</v>
      </c>
      <c r="AC68" s="113"/>
      <c r="AD68" s="113"/>
      <c r="AE68" s="112"/>
    </row>
    <row r="69" spans="1:32" s="105" customFormat="1" ht="15" customHeight="1">
      <c r="A69" s="107"/>
      <c r="B69" s="98">
        <f>'115+740'!B70</f>
        <v>45128</v>
      </c>
      <c r="C69" s="97">
        <f t="shared" si="4"/>
        <v>1</v>
      </c>
      <c r="D69" s="96">
        <f t="shared" si="5"/>
        <v>1069</v>
      </c>
      <c r="E69" s="95">
        <f>VLOOKUP(B69,'115+740'!B70:AB171,3,FALSE)</f>
        <v>1508</v>
      </c>
      <c r="F69" s="92">
        <f t="shared" si="0"/>
        <v>2577</v>
      </c>
      <c r="G69" s="94">
        <f ca="1">VLOOKUP(B69,'115+740'!$B$15:$AB$115,20,FALSE)</f>
        <v>860</v>
      </c>
      <c r="H69" s="94">
        <f ca="1">VLOOKUP(B69,'115+740'!$B$15:$AB$115,4,FALSE)</f>
        <v>677</v>
      </c>
      <c r="I69" s="91">
        <f t="shared" ca="1" si="1"/>
        <v>1900</v>
      </c>
      <c r="J69" s="91">
        <f ca="1">VLOOKUP(B69,'115+740'!$B$15:$AB$115,13,FALSE)</f>
        <v>-100</v>
      </c>
      <c r="K69" s="89">
        <f>'115+740'!Q70</f>
        <v>0</v>
      </c>
      <c r="L69" s="88">
        <f t="shared" ca="1" si="6"/>
        <v>140</v>
      </c>
      <c r="M69" s="93">
        <f ca="1">VLOOKUP(B69,'115+740'!$B$14:$AB$115,21,FALSE)</f>
        <v>897</v>
      </c>
      <c r="N69" s="92">
        <f ca="1">VLOOKUP(B69,'115+740'!$B$15:$AB$115,5,FALSE)</f>
        <v>690</v>
      </c>
      <c r="O69" s="91">
        <f t="shared" ca="1" si="2"/>
        <v>1887</v>
      </c>
      <c r="P69" s="91">
        <f ca="1">VLOOKUP(B69,'115+740'!$B$15:$AB$115,14,FALSE)</f>
        <v>-113</v>
      </c>
      <c r="Q69" s="89">
        <f>'115+740'!R70</f>
        <v>0</v>
      </c>
      <c r="R69" s="88">
        <f t="shared" ca="1" si="7"/>
        <v>103</v>
      </c>
      <c r="S69" s="93">
        <f ca="1">VLOOKUP(B69,'115+740'!$B$14:$AB$115,22,FALSE)</f>
        <v>874</v>
      </c>
      <c r="T69" s="92">
        <f ca="1">VLOOKUP(B69,'115+740'!$B$15:$AB$115,6,FALSE)</f>
        <v>743</v>
      </c>
      <c r="U69" s="91">
        <f t="shared" ca="1" si="3"/>
        <v>1834</v>
      </c>
      <c r="V69" s="90">
        <f ca="1">VLOOKUP(B69,'115+740'!$B$15:$AB$115,15,FALSE)</f>
        <v>-166</v>
      </c>
      <c r="W69" s="89">
        <f>'115+740'!S70</f>
        <v>0</v>
      </c>
      <c r="X69" s="88">
        <f t="shared" ca="1" si="8"/>
        <v>126</v>
      </c>
      <c r="Y69" s="87">
        <f t="shared" ca="1" si="9"/>
        <v>0</v>
      </c>
      <c r="Z69" s="86">
        <f t="shared" ca="1" si="10"/>
        <v>0</v>
      </c>
      <c r="AA69" s="85">
        <f t="shared" ca="1" si="11"/>
        <v>1.0069999999999999</v>
      </c>
      <c r="AB69" s="85">
        <f t="shared" ca="1" si="12"/>
        <v>0.80400000000000005</v>
      </c>
      <c r="AC69" s="74"/>
      <c r="AD69" s="74"/>
      <c r="AE69" s="106"/>
    </row>
    <row r="70" spans="1:32" s="105" customFormat="1" ht="15" customHeight="1">
      <c r="A70" s="107"/>
      <c r="B70" s="98">
        <f>'115+740'!B71</f>
        <v>45129</v>
      </c>
      <c r="C70" s="97">
        <f t="shared" si="4"/>
        <v>1</v>
      </c>
      <c r="D70" s="96">
        <f t="shared" si="5"/>
        <v>1069</v>
      </c>
      <c r="E70" s="95">
        <f>VLOOKUP(B70,'115+740'!B71:AB172,3,FALSE)</f>
        <v>1506</v>
      </c>
      <c r="F70" s="92">
        <f t="shared" si="0"/>
        <v>2575</v>
      </c>
      <c r="G70" s="94">
        <f ca="1">VLOOKUP(B70,'115+740'!$B$15:$AB$115,20,FALSE)</f>
        <v>860</v>
      </c>
      <c r="H70" s="94">
        <f ca="1">VLOOKUP(B70,'115+740'!$B$15:$AB$115,4,FALSE)</f>
        <v>675</v>
      </c>
      <c r="I70" s="91">
        <f t="shared" ca="1" si="1"/>
        <v>1900</v>
      </c>
      <c r="J70" s="91">
        <f ca="1">VLOOKUP(B70,'115+740'!$B$15:$AB$115,13,FALSE)</f>
        <v>-100</v>
      </c>
      <c r="K70" s="89">
        <f>'115+740'!Q71</f>
        <v>0</v>
      </c>
      <c r="L70" s="88">
        <f t="shared" ca="1" si="6"/>
        <v>140</v>
      </c>
      <c r="M70" s="93">
        <f ca="1">VLOOKUP(B70,'115+740'!$B$14:$AB$115,21,FALSE)</f>
        <v>897</v>
      </c>
      <c r="N70" s="92">
        <f ca="1">VLOOKUP(B70,'115+740'!$B$15:$AB$115,5,FALSE)</f>
        <v>688</v>
      </c>
      <c r="O70" s="91">
        <f t="shared" ca="1" si="2"/>
        <v>1887</v>
      </c>
      <c r="P70" s="91">
        <f ca="1">VLOOKUP(B70,'115+740'!$B$15:$AB$115,14,FALSE)</f>
        <v>-113</v>
      </c>
      <c r="Q70" s="89">
        <f>'115+740'!R71</f>
        <v>0</v>
      </c>
      <c r="R70" s="88">
        <f t="shared" ca="1" si="7"/>
        <v>103</v>
      </c>
      <c r="S70" s="93">
        <f ca="1">VLOOKUP(B70,'115+740'!$B$14:$AB$115,22,FALSE)</f>
        <v>874</v>
      </c>
      <c r="T70" s="92">
        <f ca="1">VLOOKUP(B70,'115+740'!$B$15:$AB$115,6,FALSE)</f>
        <v>741</v>
      </c>
      <c r="U70" s="91">
        <f t="shared" ca="1" si="3"/>
        <v>1834</v>
      </c>
      <c r="V70" s="90">
        <f ca="1">VLOOKUP(B70,'115+740'!$B$15:$AB$115,15,FALSE)</f>
        <v>-166</v>
      </c>
      <c r="W70" s="89">
        <f>'115+740'!S71</f>
        <v>0</v>
      </c>
      <c r="X70" s="88">
        <f t="shared" ca="1" si="8"/>
        <v>126</v>
      </c>
      <c r="Y70" s="87">
        <f t="shared" ca="1" si="9"/>
        <v>0</v>
      </c>
      <c r="Z70" s="86">
        <f t="shared" ca="1" si="10"/>
        <v>0</v>
      </c>
      <c r="AA70" s="85">
        <f t="shared" ca="1" si="11"/>
        <v>1.0069999999999999</v>
      </c>
      <c r="AB70" s="85">
        <f t="shared" ca="1" si="12"/>
        <v>0.80400000000000005</v>
      </c>
      <c r="AC70" s="74"/>
      <c r="AD70" s="74"/>
      <c r="AE70" s="106"/>
    </row>
    <row r="71" spans="1:32" s="105" customFormat="1" ht="15" customHeight="1">
      <c r="A71" s="107"/>
      <c r="B71" s="98">
        <f>'115+740'!B72</f>
        <v>45130</v>
      </c>
      <c r="C71" s="97">
        <f t="shared" si="4"/>
        <v>1</v>
      </c>
      <c r="D71" s="96">
        <f t="shared" si="5"/>
        <v>1069</v>
      </c>
      <c r="E71" s="95">
        <f>VLOOKUP(B71,'115+740'!B72:AB173,3,FALSE)</f>
        <v>1504</v>
      </c>
      <c r="F71" s="92">
        <f t="shared" si="0"/>
        <v>2573</v>
      </c>
      <c r="G71" s="94">
        <f ca="1">VLOOKUP(B71,'115+740'!$B$15:$AB$115,20,FALSE)</f>
        <v>860</v>
      </c>
      <c r="H71" s="94">
        <f ca="1">VLOOKUP(B71,'115+740'!$B$15:$AB$115,4,FALSE)</f>
        <v>673</v>
      </c>
      <c r="I71" s="91">
        <f t="shared" ca="1" si="1"/>
        <v>1900</v>
      </c>
      <c r="J71" s="91">
        <f ca="1">VLOOKUP(B71,'115+740'!$B$15:$AB$115,13,FALSE)</f>
        <v>-100</v>
      </c>
      <c r="K71" s="89">
        <f>'115+740'!Q72</f>
        <v>0</v>
      </c>
      <c r="L71" s="88">
        <f t="shared" ca="1" si="6"/>
        <v>140</v>
      </c>
      <c r="M71" s="93">
        <f ca="1">VLOOKUP(B71,'115+740'!$B$14:$AB$115,21,FALSE)</f>
        <v>897</v>
      </c>
      <c r="N71" s="92">
        <f ca="1">VLOOKUP(B71,'115+740'!$B$15:$AB$115,5,FALSE)</f>
        <v>686</v>
      </c>
      <c r="O71" s="91">
        <f t="shared" ca="1" si="2"/>
        <v>1887</v>
      </c>
      <c r="P71" s="91">
        <f ca="1">VLOOKUP(B71,'115+740'!$B$15:$AB$115,14,FALSE)</f>
        <v>-113</v>
      </c>
      <c r="Q71" s="89">
        <f>'115+740'!R72</f>
        <v>0</v>
      </c>
      <c r="R71" s="88">
        <f t="shared" ca="1" si="7"/>
        <v>103</v>
      </c>
      <c r="S71" s="93">
        <f ca="1">VLOOKUP(B71,'115+740'!$B$14:$AB$115,22,FALSE)</f>
        <v>874</v>
      </c>
      <c r="T71" s="92">
        <f ca="1">VLOOKUP(B71,'115+740'!$B$15:$AB$115,6,FALSE)</f>
        <v>739</v>
      </c>
      <c r="U71" s="91">
        <f t="shared" ca="1" si="3"/>
        <v>1834</v>
      </c>
      <c r="V71" s="90">
        <f ca="1">VLOOKUP(B71,'115+740'!$B$15:$AB$115,15,FALSE)</f>
        <v>-166</v>
      </c>
      <c r="W71" s="89">
        <f>'115+740'!S72</f>
        <v>0</v>
      </c>
      <c r="X71" s="88">
        <f t="shared" ca="1" si="8"/>
        <v>126</v>
      </c>
      <c r="Y71" s="87">
        <f t="shared" ca="1" si="9"/>
        <v>0</v>
      </c>
      <c r="Z71" s="86">
        <f t="shared" ca="1" si="10"/>
        <v>0</v>
      </c>
      <c r="AA71" s="85">
        <f t="shared" ca="1" si="11"/>
        <v>1.0069999999999999</v>
      </c>
      <c r="AB71" s="85">
        <f t="shared" ca="1" si="12"/>
        <v>0.80400000000000005</v>
      </c>
      <c r="AC71" s="74"/>
      <c r="AD71" s="74"/>
      <c r="AE71" s="106"/>
    </row>
    <row r="72" spans="1:32" s="105" customFormat="1" ht="15" customHeight="1">
      <c r="A72" s="107"/>
      <c r="B72" s="98">
        <f>'115+740'!B73</f>
        <v>45131</v>
      </c>
      <c r="C72" s="97">
        <f t="shared" si="4"/>
        <v>1</v>
      </c>
      <c r="D72" s="96">
        <f t="shared" si="5"/>
        <v>1069</v>
      </c>
      <c r="E72" s="95">
        <f>VLOOKUP(B72,'115+740'!B73:AB174,3,FALSE)</f>
        <v>1502</v>
      </c>
      <c r="F72" s="92">
        <f t="shared" si="0"/>
        <v>2571</v>
      </c>
      <c r="G72" s="94">
        <f ca="1">VLOOKUP(B72,'115+740'!$B$15:$AB$115,20,FALSE)</f>
        <v>860</v>
      </c>
      <c r="H72" s="94">
        <f ca="1">VLOOKUP(B72,'115+740'!$B$15:$AB$115,4,FALSE)</f>
        <v>671</v>
      </c>
      <c r="I72" s="91">
        <f t="shared" ca="1" si="1"/>
        <v>1900</v>
      </c>
      <c r="J72" s="91">
        <f ca="1">VLOOKUP(B72,'115+740'!$B$15:$AB$115,13,FALSE)</f>
        <v>-100</v>
      </c>
      <c r="K72" s="89">
        <f>'115+740'!Q73</f>
        <v>0</v>
      </c>
      <c r="L72" s="88">
        <f t="shared" ca="1" si="6"/>
        <v>140</v>
      </c>
      <c r="M72" s="93">
        <f ca="1">VLOOKUP(B72,'115+740'!$B$14:$AB$115,21,FALSE)</f>
        <v>897</v>
      </c>
      <c r="N72" s="92">
        <f ca="1">VLOOKUP(B72,'115+740'!$B$15:$AB$115,5,FALSE)</f>
        <v>684</v>
      </c>
      <c r="O72" s="91">
        <f t="shared" ca="1" si="2"/>
        <v>1887</v>
      </c>
      <c r="P72" s="91">
        <f ca="1">VLOOKUP(B72,'115+740'!$B$15:$AB$115,14,FALSE)</f>
        <v>-113</v>
      </c>
      <c r="Q72" s="89">
        <f>'115+740'!R73</f>
        <v>0</v>
      </c>
      <c r="R72" s="88">
        <f t="shared" ca="1" si="7"/>
        <v>103</v>
      </c>
      <c r="S72" s="93">
        <f ca="1">VLOOKUP(B72,'115+740'!$B$14:$AB$115,22,FALSE)</f>
        <v>874</v>
      </c>
      <c r="T72" s="92">
        <f ca="1">VLOOKUP(B72,'115+740'!$B$15:$AB$115,6,FALSE)</f>
        <v>737</v>
      </c>
      <c r="U72" s="91">
        <f t="shared" ca="1" si="3"/>
        <v>1834</v>
      </c>
      <c r="V72" s="90">
        <f ca="1">VLOOKUP(B72,'115+740'!$B$15:$AB$115,15,FALSE)</f>
        <v>-166</v>
      </c>
      <c r="W72" s="89">
        <f>'115+740'!S73</f>
        <v>0</v>
      </c>
      <c r="X72" s="88">
        <f t="shared" ca="1" si="8"/>
        <v>126</v>
      </c>
      <c r="Y72" s="87">
        <f t="shared" ca="1" si="9"/>
        <v>0</v>
      </c>
      <c r="Z72" s="86">
        <f t="shared" ca="1" si="10"/>
        <v>0</v>
      </c>
      <c r="AA72" s="85">
        <f t="shared" ca="1" si="11"/>
        <v>1.0069999999999999</v>
      </c>
      <c r="AB72" s="85">
        <f t="shared" ca="1" si="12"/>
        <v>0.80400000000000005</v>
      </c>
      <c r="AC72" s="74"/>
      <c r="AD72" s="74"/>
      <c r="AE72" s="106"/>
    </row>
    <row r="73" spans="1:32" s="105" customFormat="1" ht="15" customHeight="1">
      <c r="A73" s="107"/>
      <c r="B73" s="98">
        <f>'115+740'!B74</f>
        <v>45132</v>
      </c>
      <c r="C73" s="97">
        <f t="shared" si="4"/>
        <v>1</v>
      </c>
      <c r="D73" s="96">
        <f t="shared" si="5"/>
        <v>1069</v>
      </c>
      <c r="E73" s="95">
        <f>VLOOKUP(B73,'115+740'!B74:AB175,3,FALSE)</f>
        <v>1500</v>
      </c>
      <c r="F73" s="92">
        <f t="shared" si="0"/>
        <v>2569</v>
      </c>
      <c r="G73" s="94">
        <f ca="1">VLOOKUP(B73,'115+740'!$B$15:$AB$115,20,FALSE)</f>
        <v>860</v>
      </c>
      <c r="H73" s="94">
        <f ca="1">VLOOKUP(B73,'115+740'!$B$15:$AB$115,4,FALSE)</f>
        <v>669</v>
      </c>
      <c r="I73" s="91">
        <f t="shared" ca="1" si="1"/>
        <v>1900</v>
      </c>
      <c r="J73" s="91">
        <f ca="1">VLOOKUP(B73,'115+740'!$B$15:$AB$115,13,FALSE)</f>
        <v>-100</v>
      </c>
      <c r="K73" s="89">
        <f>'115+740'!Q74</f>
        <v>0</v>
      </c>
      <c r="L73" s="88">
        <f t="shared" ca="1" si="6"/>
        <v>140</v>
      </c>
      <c r="M73" s="93">
        <f ca="1">VLOOKUP(B73,'115+740'!$B$14:$AB$115,21,FALSE)</f>
        <v>897</v>
      </c>
      <c r="N73" s="92">
        <f ca="1">VLOOKUP(B73,'115+740'!$B$15:$AB$115,5,FALSE)</f>
        <v>682</v>
      </c>
      <c r="O73" s="91">
        <f t="shared" ca="1" si="2"/>
        <v>1887</v>
      </c>
      <c r="P73" s="91">
        <f ca="1">VLOOKUP(B73,'115+740'!$B$15:$AB$115,14,FALSE)</f>
        <v>-113</v>
      </c>
      <c r="Q73" s="89">
        <f>'115+740'!R74</f>
        <v>0</v>
      </c>
      <c r="R73" s="88">
        <f t="shared" ca="1" si="7"/>
        <v>103</v>
      </c>
      <c r="S73" s="93">
        <f ca="1">VLOOKUP(B73,'115+740'!$B$14:$AB$115,22,FALSE)</f>
        <v>874</v>
      </c>
      <c r="T73" s="92">
        <f ca="1">VLOOKUP(B73,'115+740'!$B$15:$AB$115,6,FALSE)</f>
        <v>735</v>
      </c>
      <c r="U73" s="91">
        <f t="shared" ca="1" si="3"/>
        <v>1834</v>
      </c>
      <c r="V73" s="90">
        <f ca="1">VLOOKUP(B73,'115+740'!$B$15:$AB$115,15,FALSE)</f>
        <v>-166</v>
      </c>
      <c r="W73" s="89">
        <f>'115+740'!S74</f>
        <v>0</v>
      </c>
      <c r="X73" s="88">
        <f t="shared" ca="1" si="8"/>
        <v>126</v>
      </c>
      <c r="Y73" s="87">
        <f t="shared" ca="1" si="9"/>
        <v>0</v>
      </c>
      <c r="Z73" s="86">
        <f t="shared" ca="1" si="10"/>
        <v>0</v>
      </c>
      <c r="AA73" s="85">
        <f t="shared" ca="1" si="11"/>
        <v>1.0069999999999999</v>
      </c>
      <c r="AB73" s="85">
        <f t="shared" ca="1" si="12"/>
        <v>0.80400000000000005</v>
      </c>
      <c r="AC73" s="74"/>
      <c r="AD73" s="74"/>
      <c r="AE73" s="106"/>
    </row>
    <row r="74" spans="1:32" s="108" customFormat="1" ht="15" customHeight="1">
      <c r="A74" s="107"/>
      <c r="B74" s="98">
        <f>'115+740'!B75</f>
        <v>45133</v>
      </c>
      <c r="C74" s="97">
        <f t="shared" si="4"/>
        <v>1</v>
      </c>
      <c r="D74" s="96">
        <f t="shared" si="5"/>
        <v>1069</v>
      </c>
      <c r="E74" s="95">
        <f>VLOOKUP(B74,'115+740'!B75:AB176,3,FALSE)</f>
        <v>1498</v>
      </c>
      <c r="F74" s="92">
        <f t="shared" si="0"/>
        <v>2567</v>
      </c>
      <c r="G74" s="94">
        <f ca="1">VLOOKUP(B74,'115+740'!$B$15:$AB$115,20,FALSE)</f>
        <v>860</v>
      </c>
      <c r="H74" s="94">
        <f ca="1">VLOOKUP(B74,'115+740'!$B$15:$AB$115,4,FALSE)</f>
        <v>667</v>
      </c>
      <c r="I74" s="91">
        <f t="shared" ca="1" si="1"/>
        <v>1900</v>
      </c>
      <c r="J74" s="91">
        <f ca="1">VLOOKUP(B74,'115+740'!$B$15:$AB$115,13,FALSE)</f>
        <v>-100</v>
      </c>
      <c r="K74" s="89">
        <f>'115+740'!Q75</f>
        <v>0</v>
      </c>
      <c r="L74" s="88">
        <f t="shared" ca="1" si="6"/>
        <v>140</v>
      </c>
      <c r="M74" s="93">
        <f ca="1">VLOOKUP(B74,'115+740'!$B$14:$AB$115,21,FALSE)</f>
        <v>897</v>
      </c>
      <c r="N74" s="92">
        <f ca="1">VLOOKUP(B74,'115+740'!$B$15:$AB$115,5,FALSE)</f>
        <v>680</v>
      </c>
      <c r="O74" s="91">
        <f t="shared" ca="1" si="2"/>
        <v>1887</v>
      </c>
      <c r="P74" s="91">
        <f ca="1">VLOOKUP(B74,'115+740'!$B$15:$AB$115,14,FALSE)</f>
        <v>-113</v>
      </c>
      <c r="Q74" s="89">
        <f>'115+740'!R75</f>
        <v>0</v>
      </c>
      <c r="R74" s="88">
        <f t="shared" ca="1" si="7"/>
        <v>103</v>
      </c>
      <c r="S74" s="93">
        <f ca="1">VLOOKUP(B74,'115+740'!$B$14:$AB$115,22,FALSE)</f>
        <v>874</v>
      </c>
      <c r="T74" s="92">
        <f ca="1">VLOOKUP(B74,'115+740'!$B$15:$AB$115,6,FALSE)</f>
        <v>733</v>
      </c>
      <c r="U74" s="91">
        <f t="shared" ca="1" si="3"/>
        <v>1834</v>
      </c>
      <c r="V74" s="90">
        <f ca="1">VLOOKUP(B74,'115+740'!$B$15:$AB$115,15,FALSE)</f>
        <v>-166</v>
      </c>
      <c r="W74" s="89">
        <f>'115+740'!S75</f>
        <v>0</v>
      </c>
      <c r="X74" s="88">
        <f t="shared" ca="1" si="8"/>
        <v>126</v>
      </c>
      <c r="Y74" s="87">
        <f t="shared" ca="1" si="9"/>
        <v>0</v>
      </c>
      <c r="Z74" s="86">
        <f t="shared" ca="1" si="10"/>
        <v>0</v>
      </c>
      <c r="AA74" s="85">
        <f t="shared" ca="1" si="11"/>
        <v>1.0069999999999999</v>
      </c>
      <c r="AB74" s="85">
        <f t="shared" ca="1" si="12"/>
        <v>0.80400000000000005</v>
      </c>
      <c r="AC74" s="110"/>
      <c r="AD74" s="110"/>
      <c r="AE74" s="109"/>
    </row>
    <row r="75" spans="1:32" s="105" customFormat="1" ht="15" customHeight="1">
      <c r="A75" s="107"/>
      <c r="B75" s="98">
        <f>'115+740'!B76</f>
        <v>45134</v>
      </c>
      <c r="C75" s="97">
        <f t="shared" si="4"/>
        <v>1</v>
      </c>
      <c r="D75" s="96">
        <f t="shared" si="5"/>
        <v>1069</v>
      </c>
      <c r="E75" s="95">
        <f>VLOOKUP(B75,'115+740'!B76:AB177,3,FALSE)</f>
        <v>1496</v>
      </c>
      <c r="F75" s="92">
        <f t="shared" si="0"/>
        <v>2565</v>
      </c>
      <c r="G75" s="94">
        <f ca="1">VLOOKUP(B75,'115+740'!$B$15:$AB$115,20,FALSE)</f>
        <v>860</v>
      </c>
      <c r="H75" s="94">
        <f ca="1">VLOOKUP(B75,'115+740'!$B$15:$AB$115,4,FALSE)</f>
        <v>665</v>
      </c>
      <c r="I75" s="91">
        <f t="shared" ca="1" si="1"/>
        <v>1900</v>
      </c>
      <c r="J75" s="91">
        <f ca="1">VLOOKUP(B75,'115+740'!$B$15:$AB$115,13,FALSE)</f>
        <v>-100</v>
      </c>
      <c r="K75" s="89">
        <f>'115+740'!Q76</f>
        <v>0</v>
      </c>
      <c r="L75" s="88">
        <f t="shared" ca="1" si="6"/>
        <v>140</v>
      </c>
      <c r="M75" s="93">
        <f ca="1">VLOOKUP(B75,'115+740'!$B$14:$AB$115,21,FALSE)</f>
        <v>897</v>
      </c>
      <c r="N75" s="92">
        <f ca="1">VLOOKUP(B75,'115+740'!$B$15:$AB$115,5,FALSE)</f>
        <v>678</v>
      </c>
      <c r="O75" s="91">
        <f t="shared" ca="1" si="2"/>
        <v>1887</v>
      </c>
      <c r="P75" s="91">
        <f ca="1">VLOOKUP(B75,'115+740'!$B$15:$AB$115,14,FALSE)</f>
        <v>-113</v>
      </c>
      <c r="Q75" s="89">
        <f>'115+740'!R76</f>
        <v>0</v>
      </c>
      <c r="R75" s="88">
        <f t="shared" ca="1" si="7"/>
        <v>103</v>
      </c>
      <c r="S75" s="93">
        <f ca="1">VLOOKUP(B75,'115+740'!$B$14:$AB$115,22,FALSE)</f>
        <v>874</v>
      </c>
      <c r="T75" s="92">
        <f ca="1">VLOOKUP(B75,'115+740'!$B$15:$AB$115,6,FALSE)</f>
        <v>731</v>
      </c>
      <c r="U75" s="91">
        <f t="shared" ca="1" si="3"/>
        <v>1834</v>
      </c>
      <c r="V75" s="90">
        <f ca="1">VLOOKUP(B75,'115+740'!$B$15:$AB$115,15,FALSE)</f>
        <v>-166</v>
      </c>
      <c r="W75" s="89">
        <f>'115+740'!S76</f>
        <v>0</v>
      </c>
      <c r="X75" s="88">
        <f t="shared" ca="1" si="8"/>
        <v>126</v>
      </c>
      <c r="Y75" s="87">
        <f t="shared" ca="1" si="9"/>
        <v>0</v>
      </c>
      <c r="Z75" s="86">
        <f t="shared" ca="1" si="10"/>
        <v>0</v>
      </c>
      <c r="AA75" s="85">
        <f t="shared" ca="1" si="11"/>
        <v>1.0069999999999999</v>
      </c>
      <c r="AB75" s="85">
        <f t="shared" ca="1" si="12"/>
        <v>0.80400000000000005</v>
      </c>
      <c r="AC75" s="74"/>
      <c r="AD75" s="74"/>
      <c r="AE75" s="106"/>
    </row>
    <row r="76" spans="1:32" s="99" customFormat="1" ht="15" customHeight="1">
      <c r="A76" s="104"/>
      <c r="B76" s="98">
        <f>'115+740'!B77</f>
        <v>45135</v>
      </c>
      <c r="C76" s="97">
        <f t="shared" si="4"/>
        <v>1</v>
      </c>
      <c r="D76" s="96">
        <f t="shared" si="5"/>
        <v>1069</v>
      </c>
      <c r="E76" s="95">
        <f>VLOOKUP(B76,'115+740'!B77:AB178,3,FALSE)</f>
        <v>1494</v>
      </c>
      <c r="F76" s="92">
        <f t="shared" si="0"/>
        <v>2563</v>
      </c>
      <c r="G76" s="94">
        <f ca="1">VLOOKUP(B76,'115+740'!$B$15:$AB$115,20,FALSE)</f>
        <v>860</v>
      </c>
      <c r="H76" s="94">
        <f ca="1">VLOOKUP(B76,'115+740'!$B$15:$AB$115,4,FALSE)</f>
        <v>663</v>
      </c>
      <c r="I76" s="91">
        <f t="shared" ca="1" si="1"/>
        <v>1900</v>
      </c>
      <c r="J76" s="91">
        <f ca="1">VLOOKUP(B76,'115+740'!$B$15:$AB$115,13,FALSE)</f>
        <v>-100</v>
      </c>
      <c r="K76" s="89">
        <f>'115+740'!Q77</f>
        <v>0</v>
      </c>
      <c r="L76" s="88">
        <f t="shared" ca="1" si="6"/>
        <v>140</v>
      </c>
      <c r="M76" s="93">
        <f ca="1">VLOOKUP(B76,'115+740'!$B$14:$AB$115,21,FALSE)</f>
        <v>897</v>
      </c>
      <c r="N76" s="92">
        <f ca="1">VLOOKUP(B76,'115+740'!$B$15:$AB$115,5,FALSE)</f>
        <v>676</v>
      </c>
      <c r="O76" s="91">
        <f t="shared" ca="1" si="2"/>
        <v>1887</v>
      </c>
      <c r="P76" s="91">
        <f ca="1">VLOOKUP(B76,'115+740'!$B$15:$AB$115,14,FALSE)</f>
        <v>-113</v>
      </c>
      <c r="Q76" s="89">
        <f>'115+740'!R77</f>
        <v>0</v>
      </c>
      <c r="R76" s="88">
        <f t="shared" ca="1" si="7"/>
        <v>103</v>
      </c>
      <c r="S76" s="93">
        <f ca="1">VLOOKUP(B76,'115+740'!$B$14:$AB$115,22,FALSE)</f>
        <v>874</v>
      </c>
      <c r="T76" s="92">
        <f ca="1">VLOOKUP(B76,'115+740'!$B$15:$AB$115,6,FALSE)</f>
        <v>729</v>
      </c>
      <c r="U76" s="91">
        <f t="shared" ca="1" si="3"/>
        <v>1834</v>
      </c>
      <c r="V76" s="90">
        <f ca="1">VLOOKUP(B76,'115+740'!$B$15:$AB$115,15,FALSE)</f>
        <v>-166</v>
      </c>
      <c r="W76" s="89">
        <f>'115+740'!S77</f>
        <v>0</v>
      </c>
      <c r="X76" s="88">
        <f t="shared" ca="1" si="8"/>
        <v>126</v>
      </c>
      <c r="Y76" s="87">
        <f t="shared" ca="1" si="9"/>
        <v>0</v>
      </c>
      <c r="Z76" s="86">
        <f t="shared" ca="1" si="10"/>
        <v>0</v>
      </c>
      <c r="AA76" s="85">
        <f t="shared" ca="1" si="11"/>
        <v>1.0069999999999999</v>
      </c>
      <c r="AB76" s="85">
        <f t="shared" ca="1" si="12"/>
        <v>0.80400000000000005</v>
      </c>
      <c r="AC76" s="74"/>
      <c r="AD76" s="74"/>
      <c r="AE76" s="74"/>
      <c r="AF76" s="74"/>
    </row>
    <row r="77" spans="1:32" s="99" customFormat="1" ht="15" customHeight="1">
      <c r="A77" s="104">
        <v>42307</v>
      </c>
      <c r="B77" s="98">
        <f>'115+740'!B78</f>
        <v>45136</v>
      </c>
      <c r="C77" s="97">
        <f t="shared" si="4"/>
        <v>1</v>
      </c>
      <c r="D77" s="96">
        <f t="shared" si="5"/>
        <v>1069</v>
      </c>
      <c r="E77" s="95">
        <f>VLOOKUP(B77,'115+740'!B78:AB179,3,FALSE)</f>
        <v>1492</v>
      </c>
      <c r="F77" s="92">
        <f t="shared" ref="F77:F140" si="14">D77+E77</f>
        <v>2561</v>
      </c>
      <c r="G77" s="94">
        <f ca="1">VLOOKUP(B77,'115+740'!$B$15:$AB$115,20,FALSE)</f>
        <v>860</v>
      </c>
      <c r="H77" s="94">
        <f ca="1">VLOOKUP(B77,'115+740'!$B$15:$AB$115,4,FALSE)</f>
        <v>661</v>
      </c>
      <c r="I77" s="91">
        <f t="shared" ref="I77:I140" ca="1" si="15">F77-H77</f>
        <v>1900</v>
      </c>
      <c r="J77" s="91">
        <f ca="1">VLOOKUP(B77,'115+740'!$B$15:$AB$115,13,FALSE)</f>
        <v>-100</v>
      </c>
      <c r="K77" s="89">
        <f>'115+740'!Q78</f>
        <v>0</v>
      </c>
      <c r="L77" s="88">
        <f t="shared" ca="1" si="6"/>
        <v>140</v>
      </c>
      <c r="M77" s="93">
        <f ca="1">VLOOKUP(B77,'115+740'!$B$14:$AB$115,21,FALSE)</f>
        <v>897</v>
      </c>
      <c r="N77" s="92">
        <f ca="1">VLOOKUP(B77,'115+740'!$B$15:$AB$115,5,FALSE)</f>
        <v>674</v>
      </c>
      <c r="O77" s="91">
        <f t="shared" ref="O77:O140" ca="1" si="16">F77-N77</f>
        <v>1887</v>
      </c>
      <c r="P77" s="91">
        <f ca="1">VLOOKUP(B77,'115+740'!$B$15:$AB$115,14,FALSE)</f>
        <v>-113</v>
      </c>
      <c r="Q77" s="89">
        <f>'115+740'!R78</f>
        <v>0</v>
      </c>
      <c r="R77" s="88">
        <f t="shared" ca="1" si="7"/>
        <v>103</v>
      </c>
      <c r="S77" s="93">
        <f ca="1">VLOOKUP(B77,'115+740'!$B$14:$AB$115,22,FALSE)</f>
        <v>874</v>
      </c>
      <c r="T77" s="92">
        <f ca="1">VLOOKUP(B77,'115+740'!$B$15:$AB$115,6,FALSE)</f>
        <v>727</v>
      </c>
      <c r="U77" s="91">
        <f t="shared" ref="U77:U140" ca="1" si="17">F77-T77</f>
        <v>1834</v>
      </c>
      <c r="V77" s="90">
        <f ca="1">VLOOKUP(B77,'115+740'!$B$15:$AB$115,15,FALSE)</f>
        <v>-166</v>
      </c>
      <c r="W77" s="89">
        <f>'115+740'!S78</f>
        <v>0</v>
      </c>
      <c r="X77" s="88">
        <f t="shared" ca="1" si="8"/>
        <v>126</v>
      </c>
      <c r="Y77" s="87">
        <f t="shared" ca="1" si="9"/>
        <v>0</v>
      </c>
      <c r="Z77" s="86">
        <f t="shared" ca="1" si="10"/>
        <v>0</v>
      </c>
      <c r="AA77" s="85">
        <f t="shared" ca="1" si="11"/>
        <v>1.0069999999999999</v>
      </c>
      <c r="AB77" s="85">
        <f t="shared" ca="1" si="12"/>
        <v>0.80400000000000005</v>
      </c>
      <c r="AC77" s="74"/>
      <c r="AD77" s="74"/>
      <c r="AE77" s="74"/>
      <c r="AF77" s="74"/>
    </row>
    <row r="78" spans="1:32" s="99" customFormat="1" ht="15" customHeight="1">
      <c r="A78" s="104" t="s">
        <v>49</v>
      </c>
      <c r="B78" s="98">
        <f>'115+740'!B79</f>
        <v>45137</v>
      </c>
      <c r="C78" s="97">
        <f t="shared" ref="C78:C141" si="18">B78-B77</f>
        <v>1</v>
      </c>
      <c r="D78" s="96">
        <f t="shared" ref="D78:D141" si="19">D77</f>
        <v>1069</v>
      </c>
      <c r="E78" s="95">
        <f>VLOOKUP(B78,'115+740'!B79:AB180,3,FALSE)</f>
        <v>1490</v>
      </c>
      <c r="F78" s="92">
        <f t="shared" si="14"/>
        <v>2559</v>
      </c>
      <c r="G78" s="94">
        <f ca="1">VLOOKUP(B78,'115+740'!$B$15:$AB$115,20,FALSE)</f>
        <v>860</v>
      </c>
      <c r="H78" s="94">
        <f ca="1">VLOOKUP(B78,'115+740'!$B$15:$AB$115,4,FALSE)</f>
        <v>659</v>
      </c>
      <c r="I78" s="91">
        <f t="shared" ca="1" si="15"/>
        <v>1900</v>
      </c>
      <c r="J78" s="91">
        <f ca="1">VLOOKUP(B78,'115+740'!$B$15:$AB$115,13,FALSE)</f>
        <v>-100</v>
      </c>
      <c r="K78" s="89">
        <f>'115+740'!Q79</f>
        <v>0</v>
      </c>
      <c r="L78" s="88">
        <f t="shared" ref="L78:L141" ca="1" si="20">+K78+L77</f>
        <v>140</v>
      </c>
      <c r="M78" s="93">
        <f ca="1">VLOOKUP(B78,'115+740'!$B$14:$AB$115,21,FALSE)</f>
        <v>897</v>
      </c>
      <c r="N78" s="92">
        <f ca="1">VLOOKUP(B78,'115+740'!$B$15:$AB$115,5,FALSE)</f>
        <v>672</v>
      </c>
      <c r="O78" s="91">
        <f t="shared" ca="1" si="16"/>
        <v>1887</v>
      </c>
      <c r="P78" s="91">
        <f ca="1">VLOOKUP(B78,'115+740'!$B$15:$AB$115,14,FALSE)</f>
        <v>-113</v>
      </c>
      <c r="Q78" s="89">
        <f>'115+740'!R79</f>
        <v>0</v>
      </c>
      <c r="R78" s="88">
        <f t="shared" ref="R78:R141" ca="1" si="21">+Q78+R77</f>
        <v>103</v>
      </c>
      <c r="S78" s="93">
        <f ca="1">VLOOKUP(B78,'115+740'!$B$14:$AB$115,22,FALSE)</f>
        <v>874</v>
      </c>
      <c r="T78" s="92">
        <f ca="1">VLOOKUP(B78,'115+740'!$B$15:$AB$115,6,FALSE)</f>
        <v>725</v>
      </c>
      <c r="U78" s="91">
        <f t="shared" ca="1" si="17"/>
        <v>1834</v>
      </c>
      <c r="V78" s="90">
        <f ca="1">VLOOKUP(B78,'115+740'!$B$15:$AB$115,15,FALSE)</f>
        <v>-166</v>
      </c>
      <c r="W78" s="89">
        <f>'115+740'!S79</f>
        <v>0</v>
      </c>
      <c r="X78" s="88">
        <f t="shared" ref="X78:X141" ca="1" si="22">+W78+X77</f>
        <v>126</v>
      </c>
      <c r="Y78" s="87">
        <f t="shared" ref="Y78:Y141" ca="1" si="23">S78-S77</f>
        <v>0</v>
      </c>
      <c r="Z78" s="86">
        <f t="shared" ref="Z78:Z141" ca="1" si="24">IF(Y78&gt;0,Y78,0)/1000</f>
        <v>0</v>
      </c>
      <c r="AA78" s="85">
        <f t="shared" ref="AA78:AA141" ca="1" si="25">AA77+Z78</f>
        <v>1.0069999999999999</v>
      </c>
      <c r="AB78" s="85">
        <f t="shared" ref="AB78:AB141" ca="1" si="26">(M78-$M$13-R78)/1000</f>
        <v>0.80400000000000005</v>
      </c>
      <c r="AC78" s="74"/>
      <c r="AD78" s="74"/>
      <c r="AE78" s="74"/>
      <c r="AF78" s="74"/>
    </row>
    <row r="79" spans="1:32" s="99" customFormat="1" ht="15" customHeight="1">
      <c r="A79" s="104">
        <v>42313</v>
      </c>
      <c r="B79" s="98">
        <f>'115+740'!B80</f>
        <v>45138</v>
      </c>
      <c r="C79" s="97">
        <f t="shared" si="18"/>
        <v>1</v>
      </c>
      <c r="D79" s="96">
        <f t="shared" si="19"/>
        <v>1069</v>
      </c>
      <c r="E79" s="95">
        <f>VLOOKUP(B79,'115+740'!B80:AB181,3,FALSE)</f>
        <v>1488</v>
      </c>
      <c r="F79" s="92">
        <f t="shared" si="14"/>
        <v>2557</v>
      </c>
      <c r="G79" s="94">
        <f ca="1">VLOOKUP(B79,'115+740'!$B$15:$AB$115,20,FALSE)</f>
        <v>860</v>
      </c>
      <c r="H79" s="94">
        <f ca="1">VLOOKUP(B79,'115+740'!$B$15:$AB$115,4,FALSE)</f>
        <v>657</v>
      </c>
      <c r="I79" s="91">
        <f t="shared" ca="1" si="15"/>
        <v>1900</v>
      </c>
      <c r="J79" s="91">
        <f ca="1">VLOOKUP(B79,'115+740'!$B$15:$AB$115,13,FALSE)</f>
        <v>-100</v>
      </c>
      <c r="K79" s="89">
        <f>'115+740'!Q80</f>
        <v>0</v>
      </c>
      <c r="L79" s="88">
        <f t="shared" ca="1" si="20"/>
        <v>140</v>
      </c>
      <c r="M79" s="93">
        <f ca="1">VLOOKUP(B79,'115+740'!$B$14:$AB$115,21,FALSE)</f>
        <v>897</v>
      </c>
      <c r="N79" s="92">
        <f ca="1">VLOOKUP(B79,'115+740'!$B$15:$AB$115,5,FALSE)</f>
        <v>670</v>
      </c>
      <c r="O79" s="91">
        <f t="shared" ca="1" si="16"/>
        <v>1887</v>
      </c>
      <c r="P79" s="91">
        <f ca="1">VLOOKUP(B79,'115+740'!$B$15:$AB$115,14,FALSE)</f>
        <v>-113</v>
      </c>
      <c r="Q79" s="89">
        <f>'115+740'!R80</f>
        <v>0</v>
      </c>
      <c r="R79" s="88">
        <f t="shared" ca="1" si="21"/>
        <v>103</v>
      </c>
      <c r="S79" s="93">
        <f ca="1">VLOOKUP(B79,'115+740'!$B$14:$AB$115,22,FALSE)</f>
        <v>874</v>
      </c>
      <c r="T79" s="92">
        <f ca="1">VLOOKUP(B79,'115+740'!$B$15:$AB$115,6,FALSE)</f>
        <v>723</v>
      </c>
      <c r="U79" s="91">
        <f t="shared" ca="1" si="17"/>
        <v>1834</v>
      </c>
      <c r="V79" s="90">
        <f ca="1">VLOOKUP(B79,'115+740'!$B$15:$AB$115,15,FALSE)</f>
        <v>-166</v>
      </c>
      <c r="W79" s="89">
        <f>'115+740'!S80</f>
        <v>0</v>
      </c>
      <c r="X79" s="88">
        <f t="shared" ca="1" si="22"/>
        <v>126</v>
      </c>
      <c r="Y79" s="87">
        <f t="shared" ca="1" si="23"/>
        <v>0</v>
      </c>
      <c r="Z79" s="86">
        <f t="shared" ca="1" si="24"/>
        <v>0</v>
      </c>
      <c r="AA79" s="85">
        <f t="shared" ca="1" si="25"/>
        <v>1.0069999999999999</v>
      </c>
      <c r="AB79" s="85">
        <f t="shared" ca="1" si="26"/>
        <v>0.80400000000000005</v>
      </c>
      <c r="AC79" s="74"/>
      <c r="AD79" s="74"/>
      <c r="AE79" s="74"/>
      <c r="AF79" s="74"/>
    </row>
    <row r="80" spans="1:32" s="99" customFormat="1" ht="15" customHeight="1">
      <c r="A80" s="104">
        <v>42319</v>
      </c>
      <c r="B80" s="98">
        <f>'115+740'!B81</f>
        <v>45139</v>
      </c>
      <c r="C80" s="97">
        <f t="shared" si="18"/>
        <v>1</v>
      </c>
      <c r="D80" s="96">
        <f t="shared" si="19"/>
        <v>1069</v>
      </c>
      <c r="E80" s="95">
        <f>VLOOKUP(B80,'115+740'!B81:AB182,3,FALSE)</f>
        <v>1486</v>
      </c>
      <c r="F80" s="92">
        <f t="shared" si="14"/>
        <v>2555</v>
      </c>
      <c r="G80" s="94">
        <f ca="1">VLOOKUP(B80,'115+740'!$B$15:$AB$115,20,FALSE)</f>
        <v>860</v>
      </c>
      <c r="H80" s="94">
        <f ca="1">VLOOKUP(B80,'115+740'!$B$15:$AB$115,4,FALSE)</f>
        <v>655</v>
      </c>
      <c r="I80" s="91">
        <f t="shared" ca="1" si="15"/>
        <v>1900</v>
      </c>
      <c r="J80" s="91">
        <f ca="1">VLOOKUP(B80,'115+740'!$B$15:$AB$115,13,FALSE)</f>
        <v>-100</v>
      </c>
      <c r="K80" s="89">
        <f>'115+740'!Q81</f>
        <v>0</v>
      </c>
      <c r="L80" s="88">
        <f t="shared" ca="1" si="20"/>
        <v>140</v>
      </c>
      <c r="M80" s="93">
        <f ca="1">VLOOKUP(B80,'115+740'!$B$14:$AB$115,21,FALSE)</f>
        <v>897</v>
      </c>
      <c r="N80" s="92">
        <f ca="1">VLOOKUP(B80,'115+740'!$B$15:$AB$115,5,FALSE)</f>
        <v>668</v>
      </c>
      <c r="O80" s="91">
        <f t="shared" ca="1" si="16"/>
        <v>1887</v>
      </c>
      <c r="P80" s="91">
        <f ca="1">VLOOKUP(B80,'115+740'!$B$15:$AB$115,14,FALSE)</f>
        <v>-113</v>
      </c>
      <c r="Q80" s="89">
        <f>'115+740'!R81</f>
        <v>0</v>
      </c>
      <c r="R80" s="88">
        <f t="shared" ca="1" si="21"/>
        <v>103</v>
      </c>
      <c r="S80" s="93">
        <f ca="1">VLOOKUP(B80,'115+740'!$B$14:$AB$115,22,FALSE)</f>
        <v>874</v>
      </c>
      <c r="T80" s="92">
        <f ca="1">VLOOKUP(B80,'115+740'!$B$15:$AB$115,6,FALSE)</f>
        <v>721</v>
      </c>
      <c r="U80" s="91">
        <f t="shared" ca="1" si="17"/>
        <v>1834</v>
      </c>
      <c r="V80" s="90">
        <f ca="1">VLOOKUP(B80,'115+740'!$B$15:$AB$115,15,FALSE)</f>
        <v>-166</v>
      </c>
      <c r="W80" s="89">
        <f>'115+740'!S81</f>
        <v>0</v>
      </c>
      <c r="X80" s="88">
        <f t="shared" ca="1" si="22"/>
        <v>126</v>
      </c>
      <c r="Y80" s="87">
        <f t="shared" ca="1" si="23"/>
        <v>0</v>
      </c>
      <c r="Z80" s="86">
        <f t="shared" ca="1" si="24"/>
        <v>0</v>
      </c>
      <c r="AA80" s="85">
        <f t="shared" ca="1" si="25"/>
        <v>1.0069999999999999</v>
      </c>
      <c r="AB80" s="85">
        <f t="shared" ca="1" si="26"/>
        <v>0.80400000000000005</v>
      </c>
      <c r="AC80" s="74"/>
      <c r="AD80" s="74"/>
      <c r="AE80" s="74"/>
      <c r="AF80" s="74"/>
    </row>
    <row r="81" spans="1:32" s="99" customFormat="1" ht="15" customHeight="1">
      <c r="A81" s="104">
        <v>42322</v>
      </c>
      <c r="B81" s="98">
        <f>'115+740'!B82</f>
        <v>45140</v>
      </c>
      <c r="C81" s="97">
        <f t="shared" si="18"/>
        <v>1</v>
      </c>
      <c r="D81" s="96">
        <f t="shared" si="19"/>
        <v>1069</v>
      </c>
      <c r="E81" s="95">
        <f>VLOOKUP(B81,'115+740'!B82:AB183,3,FALSE)</f>
        <v>1484</v>
      </c>
      <c r="F81" s="92">
        <f t="shared" si="14"/>
        <v>2553</v>
      </c>
      <c r="G81" s="94">
        <f ca="1">VLOOKUP(B81,'115+740'!$B$15:$AB$115,20,FALSE)</f>
        <v>860</v>
      </c>
      <c r="H81" s="94">
        <f ca="1">VLOOKUP(B81,'115+740'!$B$15:$AB$115,4,FALSE)</f>
        <v>653</v>
      </c>
      <c r="I81" s="91">
        <f t="shared" ca="1" si="15"/>
        <v>1900</v>
      </c>
      <c r="J81" s="91">
        <f ca="1">VLOOKUP(B81,'115+740'!$B$15:$AB$115,13,FALSE)</f>
        <v>-100</v>
      </c>
      <c r="K81" s="89">
        <f>'115+740'!Q82</f>
        <v>0</v>
      </c>
      <c r="L81" s="88">
        <f t="shared" ca="1" si="20"/>
        <v>140</v>
      </c>
      <c r="M81" s="93">
        <f ca="1">VLOOKUP(B81,'115+740'!$B$14:$AB$115,21,FALSE)</f>
        <v>897</v>
      </c>
      <c r="N81" s="92">
        <f ca="1">VLOOKUP(B81,'115+740'!$B$15:$AB$115,5,FALSE)</f>
        <v>666</v>
      </c>
      <c r="O81" s="91">
        <f t="shared" ca="1" si="16"/>
        <v>1887</v>
      </c>
      <c r="P81" s="91">
        <f ca="1">VLOOKUP(B81,'115+740'!$B$15:$AB$115,14,FALSE)</f>
        <v>-113</v>
      </c>
      <c r="Q81" s="89">
        <f>'115+740'!R82</f>
        <v>0</v>
      </c>
      <c r="R81" s="88">
        <f t="shared" ca="1" si="21"/>
        <v>103</v>
      </c>
      <c r="S81" s="93">
        <f ca="1">VLOOKUP(B81,'115+740'!$B$14:$AB$115,22,FALSE)</f>
        <v>874</v>
      </c>
      <c r="T81" s="92">
        <f ca="1">VLOOKUP(B81,'115+740'!$B$15:$AB$115,6,FALSE)</f>
        <v>719</v>
      </c>
      <c r="U81" s="91">
        <f t="shared" ca="1" si="17"/>
        <v>1834</v>
      </c>
      <c r="V81" s="90">
        <f ca="1">VLOOKUP(B81,'115+740'!$B$15:$AB$115,15,FALSE)</f>
        <v>-166</v>
      </c>
      <c r="W81" s="89">
        <f>'115+740'!S82</f>
        <v>0</v>
      </c>
      <c r="X81" s="88">
        <f t="shared" ca="1" si="22"/>
        <v>126</v>
      </c>
      <c r="Y81" s="87">
        <f t="shared" ca="1" si="23"/>
        <v>0</v>
      </c>
      <c r="Z81" s="86">
        <f t="shared" ca="1" si="24"/>
        <v>0</v>
      </c>
      <c r="AA81" s="85">
        <f t="shared" ca="1" si="25"/>
        <v>1.0069999999999999</v>
      </c>
      <c r="AB81" s="85">
        <f t="shared" ca="1" si="26"/>
        <v>0.80400000000000005</v>
      </c>
      <c r="AC81" s="74"/>
      <c r="AD81" s="74"/>
      <c r="AE81" s="74"/>
      <c r="AF81" s="74"/>
    </row>
    <row r="82" spans="1:32" s="99" customFormat="1" ht="15" customHeight="1">
      <c r="A82" s="104" t="s">
        <v>48</v>
      </c>
      <c r="B82" s="98">
        <f>'115+740'!B83</f>
        <v>45141</v>
      </c>
      <c r="C82" s="97">
        <f t="shared" si="18"/>
        <v>1</v>
      </c>
      <c r="D82" s="96">
        <f t="shared" si="19"/>
        <v>1069</v>
      </c>
      <c r="E82" s="95">
        <f>VLOOKUP(B82,'115+740'!B83:AB184,3,FALSE)</f>
        <v>1482</v>
      </c>
      <c r="F82" s="92">
        <f t="shared" si="14"/>
        <v>2551</v>
      </c>
      <c r="G82" s="94">
        <f ca="1">VLOOKUP(B82,'115+740'!$B$15:$AB$115,20,FALSE)</f>
        <v>860</v>
      </c>
      <c r="H82" s="94">
        <f ca="1">VLOOKUP(B82,'115+740'!$B$15:$AB$115,4,FALSE)</f>
        <v>651</v>
      </c>
      <c r="I82" s="91">
        <f t="shared" ca="1" si="15"/>
        <v>1900</v>
      </c>
      <c r="J82" s="91">
        <f ca="1">VLOOKUP(B82,'115+740'!$B$15:$AB$115,13,FALSE)</f>
        <v>-100</v>
      </c>
      <c r="K82" s="89">
        <f>'115+740'!Q83</f>
        <v>0</v>
      </c>
      <c r="L82" s="88">
        <f t="shared" ca="1" si="20"/>
        <v>140</v>
      </c>
      <c r="M82" s="93">
        <f ca="1">VLOOKUP(B82,'115+740'!$B$14:$AB$115,21,FALSE)</f>
        <v>897</v>
      </c>
      <c r="N82" s="92">
        <f ca="1">VLOOKUP(B82,'115+740'!$B$15:$AB$115,5,FALSE)</f>
        <v>664</v>
      </c>
      <c r="O82" s="91">
        <f t="shared" ca="1" si="16"/>
        <v>1887</v>
      </c>
      <c r="P82" s="91">
        <f ca="1">VLOOKUP(B82,'115+740'!$B$15:$AB$115,14,FALSE)</f>
        <v>-113</v>
      </c>
      <c r="Q82" s="89">
        <f>'115+740'!R83</f>
        <v>0</v>
      </c>
      <c r="R82" s="88">
        <f t="shared" ca="1" si="21"/>
        <v>103</v>
      </c>
      <c r="S82" s="93">
        <f ca="1">VLOOKUP(B82,'115+740'!$B$14:$AB$115,22,FALSE)</f>
        <v>874</v>
      </c>
      <c r="T82" s="92">
        <f ca="1">VLOOKUP(B82,'115+740'!$B$15:$AB$115,6,FALSE)</f>
        <v>717</v>
      </c>
      <c r="U82" s="91">
        <f t="shared" ca="1" si="17"/>
        <v>1834</v>
      </c>
      <c r="V82" s="90">
        <f ca="1">VLOOKUP(B82,'115+740'!$B$15:$AB$115,15,FALSE)</f>
        <v>-166</v>
      </c>
      <c r="W82" s="89">
        <f>'115+740'!S83</f>
        <v>0</v>
      </c>
      <c r="X82" s="88">
        <f t="shared" ca="1" si="22"/>
        <v>126</v>
      </c>
      <c r="Y82" s="87">
        <f t="shared" ca="1" si="23"/>
        <v>0</v>
      </c>
      <c r="Z82" s="86">
        <f t="shared" ca="1" si="24"/>
        <v>0</v>
      </c>
      <c r="AA82" s="85">
        <f t="shared" ca="1" si="25"/>
        <v>1.0069999999999999</v>
      </c>
      <c r="AB82" s="85">
        <f t="shared" ca="1" si="26"/>
        <v>0.80400000000000005</v>
      </c>
      <c r="AC82" s="74"/>
      <c r="AD82" s="74"/>
      <c r="AE82" s="74"/>
      <c r="AF82" s="74"/>
    </row>
    <row r="83" spans="1:32" s="99" customFormat="1" ht="15" customHeight="1">
      <c r="A83" s="104">
        <v>42328</v>
      </c>
      <c r="B83" s="98">
        <f>'115+740'!B84</f>
        <v>45142</v>
      </c>
      <c r="C83" s="97">
        <f t="shared" si="18"/>
        <v>1</v>
      </c>
      <c r="D83" s="96">
        <f t="shared" si="19"/>
        <v>1069</v>
      </c>
      <c r="E83" s="95">
        <f>VLOOKUP(B83,'115+740'!B84:AB185,3,FALSE)</f>
        <v>1480</v>
      </c>
      <c r="F83" s="92">
        <f t="shared" si="14"/>
        <v>2549</v>
      </c>
      <c r="G83" s="94">
        <f ca="1">VLOOKUP(B83,'115+740'!$B$15:$AB$115,20,FALSE)</f>
        <v>860</v>
      </c>
      <c r="H83" s="94">
        <f ca="1">VLOOKUP(B83,'115+740'!$B$15:$AB$115,4,FALSE)</f>
        <v>649</v>
      </c>
      <c r="I83" s="91">
        <f t="shared" ca="1" si="15"/>
        <v>1900</v>
      </c>
      <c r="J83" s="91">
        <f ca="1">VLOOKUP(B83,'115+740'!$B$15:$AB$115,13,FALSE)</f>
        <v>-100</v>
      </c>
      <c r="K83" s="89">
        <f>'115+740'!Q84</f>
        <v>0</v>
      </c>
      <c r="L83" s="88">
        <f t="shared" ca="1" si="20"/>
        <v>140</v>
      </c>
      <c r="M83" s="93">
        <f ca="1">VLOOKUP(B83,'115+740'!$B$14:$AB$115,21,FALSE)</f>
        <v>897</v>
      </c>
      <c r="N83" s="92">
        <f ca="1">VLOOKUP(B83,'115+740'!$B$15:$AB$115,5,FALSE)</f>
        <v>662</v>
      </c>
      <c r="O83" s="91">
        <f t="shared" ca="1" si="16"/>
        <v>1887</v>
      </c>
      <c r="P83" s="91">
        <f ca="1">VLOOKUP(B83,'115+740'!$B$15:$AB$115,14,FALSE)</f>
        <v>-113</v>
      </c>
      <c r="Q83" s="89">
        <f>'115+740'!R84</f>
        <v>0</v>
      </c>
      <c r="R83" s="88">
        <f t="shared" ca="1" si="21"/>
        <v>103</v>
      </c>
      <c r="S83" s="93">
        <f ca="1">VLOOKUP(B83,'115+740'!$B$14:$AB$115,22,FALSE)</f>
        <v>874</v>
      </c>
      <c r="T83" s="92">
        <f ca="1">VLOOKUP(B83,'115+740'!$B$15:$AB$115,6,FALSE)</f>
        <v>715</v>
      </c>
      <c r="U83" s="91">
        <f t="shared" ca="1" si="17"/>
        <v>1834</v>
      </c>
      <c r="V83" s="90">
        <f ca="1">VLOOKUP(B83,'115+740'!$B$15:$AB$115,15,FALSE)</f>
        <v>-166</v>
      </c>
      <c r="W83" s="89">
        <f>'115+740'!S84</f>
        <v>0</v>
      </c>
      <c r="X83" s="88">
        <f t="shared" ca="1" si="22"/>
        <v>126</v>
      </c>
      <c r="Y83" s="87">
        <f t="shared" ca="1" si="23"/>
        <v>0</v>
      </c>
      <c r="Z83" s="86">
        <f t="shared" ca="1" si="24"/>
        <v>0</v>
      </c>
      <c r="AA83" s="85">
        <f t="shared" ca="1" si="25"/>
        <v>1.0069999999999999</v>
      </c>
      <c r="AB83" s="85">
        <f t="shared" ca="1" si="26"/>
        <v>0.80400000000000005</v>
      </c>
      <c r="AC83" s="74"/>
      <c r="AD83" s="74"/>
      <c r="AE83" s="74"/>
      <c r="AF83" s="74"/>
    </row>
    <row r="84" spans="1:32" s="99" customFormat="1" ht="15" customHeight="1">
      <c r="A84" s="104">
        <v>42331</v>
      </c>
      <c r="B84" s="98">
        <f>'115+740'!B85</f>
        <v>45143</v>
      </c>
      <c r="C84" s="97">
        <f t="shared" si="18"/>
        <v>1</v>
      </c>
      <c r="D84" s="96">
        <f t="shared" si="19"/>
        <v>1069</v>
      </c>
      <c r="E84" s="95">
        <f>VLOOKUP(B84,'115+740'!B85:AB186,3,FALSE)</f>
        <v>1478</v>
      </c>
      <c r="F84" s="92">
        <f t="shared" si="14"/>
        <v>2547</v>
      </c>
      <c r="G84" s="94">
        <f ca="1">VLOOKUP(B84,'115+740'!$B$15:$AB$115,20,FALSE)</f>
        <v>860</v>
      </c>
      <c r="H84" s="94">
        <f ca="1">VLOOKUP(B84,'115+740'!$B$15:$AB$115,4,FALSE)</f>
        <v>647</v>
      </c>
      <c r="I84" s="91">
        <f t="shared" ca="1" si="15"/>
        <v>1900</v>
      </c>
      <c r="J84" s="91">
        <f ca="1">VLOOKUP(B84,'115+740'!$B$15:$AB$115,13,FALSE)</f>
        <v>-100</v>
      </c>
      <c r="K84" s="89">
        <f>'115+740'!Q85</f>
        <v>0</v>
      </c>
      <c r="L84" s="88">
        <f t="shared" ca="1" si="20"/>
        <v>140</v>
      </c>
      <c r="M84" s="93">
        <f ca="1">VLOOKUP(B84,'115+740'!$B$14:$AB$115,21,FALSE)</f>
        <v>897</v>
      </c>
      <c r="N84" s="92">
        <f ca="1">VLOOKUP(B84,'115+740'!$B$15:$AB$115,5,FALSE)</f>
        <v>660</v>
      </c>
      <c r="O84" s="91">
        <f t="shared" ca="1" si="16"/>
        <v>1887</v>
      </c>
      <c r="P84" s="91">
        <f ca="1">VLOOKUP(B84,'115+740'!$B$15:$AB$115,14,FALSE)</f>
        <v>-113</v>
      </c>
      <c r="Q84" s="89">
        <f>'115+740'!R85</f>
        <v>0</v>
      </c>
      <c r="R84" s="88">
        <f t="shared" ca="1" si="21"/>
        <v>103</v>
      </c>
      <c r="S84" s="93">
        <f ca="1">VLOOKUP(B84,'115+740'!$B$14:$AB$115,22,FALSE)</f>
        <v>874</v>
      </c>
      <c r="T84" s="92">
        <f ca="1">VLOOKUP(B84,'115+740'!$B$15:$AB$115,6,FALSE)</f>
        <v>713</v>
      </c>
      <c r="U84" s="91">
        <f t="shared" ca="1" si="17"/>
        <v>1834</v>
      </c>
      <c r="V84" s="90">
        <f ca="1">VLOOKUP(B84,'115+740'!$B$15:$AB$115,15,FALSE)</f>
        <v>-166</v>
      </c>
      <c r="W84" s="89">
        <f>'115+740'!S85</f>
        <v>0</v>
      </c>
      <c r="X84" s="88">
        <f t="shared" ca="1" si="22"/>
        <v>126</v>
      </c>
      <c r="Y84" s="87">
        <f t="shared" ca="1" si="23"/>
        <v>0</v>
      </c>
      <c r="Z84" s="86">
        <f t="shared" ca="1" si="24"/>
        <v>0</v>
      </c>
      <c r="AA84" s="85">
        <f t="shared" ca="1" si="25"/>
        <v>1.0069999999999999</v>
      </c>
      <c r="AB84" s="85">
        <f t="shared" ca="1" si="26"/>
        <v>0.80400000000000005</v>
      </c>
      <c r="AC84" s="74"/>
      <c r="AD84" s="74"/>
      <c r="AE84" s="74"/>
      <c r="AF84" s="74"/>
    </row>
    <row r="85" spans="1:32" s="99" customFormat="1" ht="15" customHeight="1">
      <c r="A85" s="104" t="s">
        <v>47</v>
      </c>
      <c r="B85" s="98">
        <f>'115+740'!B86</f>
        <v>45144</v>
      </c>
      <c r="C85" s="97">
        <f t="shared" si="18"/>
        <v>1</v>
      </c>
      <c r="D85" s="96">
        <f t="shared" si="19"/>
        <v>1069</v>
      </c>
      <c r="E85" s="95">
        <f>VLOOKUP(B85,'115+740'!B86:AB187,3,FALSE)</f>
        <v>1476</v>
      </c>
      <c r="F85" s="92">
        <f t="shared" si="14"/>
        <v>2545</v>
      </c>
      <c r="G85" s="94">
        <f ca="1">VLOOKUP(B85,'115+740'!$B$15:$AB$115,20,FALSE)</f>
        <v>860</v>
      </c>
      <c r="H85" s="94">
        <f ca="1">VLOOKUP(B85,'115+740'!$B$15:$AB$115,4,FALSE)</f>
        <v>645</v>
      </c>
      <c r="I85" s="91">
        <f t="shared" ca="1" si="15"/>
        <v>1900</v>
      </c>
      <c r="J85" s="91">
        <f ca="1">VLOOKUP(B85,'115+740'!$B$15:$AB$115,13,FALSE)</f>
        <v>-100</v>
      </c>
      <c r="K85" s="89">
        <f>'115+740'!Q86</f>
        <v>0</v>
      </c>
      <c r="L85" s="88">
        <f t="shared" ca="1" si="20"/>
        <v>140</v>
      </c>
      <c r="M85" s="93">
        <f ca="1">VLOOKUP(B85,'115+740'!$B$14:$AB$115,21,FALSE)</f>
        <v>897</v>
      </c>
      <c r="N85" s="92">
        <f ca="1">VLOOKUP(B85,'115+740'!$B$15:$AB$115,5,FALSE)</f>
        <v>658</v>
      </c>
      <c r="O85" s="91">
        <f t="shared" ca="1" si="16"/>
        <v>1887</v>
      </c>
      <c r="P85" s="91">
        <f ca="1">VLOOKUP(B85,'115+740'!$B$15:$AB$115,14,FALSE)</f>
        <v>-113</v>
      </c>
      <c r="Q85" s="89">
        <f>'115+740'!R86</f>
        <v>0</v>
      </c>
      <c r="R85" s="88">
        <f t="shared" ca="1" si="21"/>
        <v>103</v>
      </c>
      <c r="S85" s="93">
        <f ca="1">VLOOKUP(B85,'115+740'!$B$14:$AB$115,22,FALSE)</f>
        <v>874</v>
      </c>
      <c r="T85" s="92">
        <f ca="1">VLOOKUP(B85,'115+740'!$B$15:$AB$115,6,FALSE)</f>
        <v>711</v>
      </c>
      <c r="U85" s="91">
        <f t="shared" ca="1" si="17"/>
        <v>1834</v>
      </c>
      <c r="V85" s="90">
        <f ca="1">VLOOKUP(B85,'115+740'!$B$15:$AB$115,15,FALSE)</f>
        <v>-166</v>
      </c>
      <c r="W85" s="89">
        <f>'115+740'!S86</f>
        <v>0</v>
      </c>
      <c r="X85" s="88">
        <f t="shared" ca="1" si="22"/>
        <v>126</v>
      </c>
      <c r="Y85" s="87">
        <f t="shared" ca="1" si="23"/>
        <v>0</v>
      </c>
      <c r="Z85" s="86">
        <f t="shared" ca="1" si="24"/>
        <v>0</v>
      </c>
      <c r="AA85" s="85">
        <f t="shared" ca="1" si="25"/>
        <v>1.0069999999999999</v>
      </c>
      <c r="AB85" s="85">
        <f t="shared" ca="1" si="26"/>
        <v>0.80400000000000005</v>
      </c>
      <c r="AC85" s="74"/>
      <c r="AD85" s="74"/>
      <c r="AE85" s="74"/>
      <c r="AF85" s="74"/>
    </row>
    <row r="86" spans="1:32" s="99" customFormat="1" ht="15" customHeight="1">
      <c r="A86" s="104">
        <v>42337</v>
      </c>
      <c r="B86" s="98">
        <f>'115+740'!B87</f>
        <v>45145</v>
      </c>
      <c r="C86" s="97">
        <f t="shared" si="18"/>
        <v>1</v>
      </c>
      <c r="D86" s="96">
        <f t="shared" si="19"/>
        <v>1069</v>
      </c>
      <c r="E86" s="95">
        <f>VLOOKUP(B86,'115+740'!B87:AB188,3,FALSE)</f>
        <v>1474</v>
      </c>
      <c r="F86" s="92">
        <f t="shared" si="14"/>
        <v>2543</v>
      </c>
      <c r="G86" s="94">
        <f ca="1">VLOOKUP(B86,'115+740'!$B$15:$AB$115,20,FALSE)</f>
        <v>860</v>
      </c>
      <c r="H86" s="94">
        <f ca="1">VLOOKUP(B86,'115+740'!$B$15:$AB$115,4,FALSE)</f>
        <v>643</v>
      </c>
      <c r="I86" s="91">
        <f t="shared" ca="1" si="15"/>
        <v>1900</v>
      </c>
      <c r="J86" s="91">
        <f ca="1">VLOOKUP(B86,'115+740'!$B$15:$AB$115,13,FALSE)</f>
        <v>-100</v>
      </c>
      <c r="K86" s="89">
        <f>'115+740'!Q87</f>
        <v>0</v>
      </c>
      <c r="L86" s="88">
        <f t="shared" ca="1" si="20"/>
        <v>140</v>
      </c>
      <c r="M86" s="93">
        <f ca="1">VLOOKUP(B86,'115+740'!$B$14:$AB$115,21,FALSE)</f>
        <v>897</v>
      </c>
      <c r="N86" s="92">
        <f ca="1">VLOOKUP(B86,'115+740'!$B$15:$AB$115,5,FALSE)</f>
        <v>656</v>
      </c>
      <c r="O86" s="91">
        <f t="shared" ca="1" si="16"/>
        <v>1887</v>
      </c>
      <c r="P86" s="91">
        <f ca="1">VLOOKUP(B86,'115+740'!$B$15:$AB$115,14,FALSE)</f>
        <v>-113</v>
      </c>
      <c r="Q86" s="89">
        <f>'115+740'!R87</f>
        <v>0</v>
      </c>
      <c r="R86" s="88">
        <f t="shared" ca="1" si="21"/>
        <v>103</v>
      </c>
      <c r="S86" s="93">
        <f ca="1">VLOOKUP(B86,'115+740'!$B$14:$AB$115,22,FALSE)</f>
        <v>874</v>
      </c>
      <c r="T86" s="92">
        <f ca="1">VLOOKUP(B86,'115+740'!$B$15:$AB$115,6,FALSE)</f>
        <v>709</v>
      </c>
      <c r="U86" s="91">
        <f t="shared" ca="1" si="17"/>
        <v>1834</v>
      </c>
      <c r="V86" s="90">
        <f ca="1">VLOOKUP(B86,'115+740'!$B$15:$AB$115,15,FALSE)</f>
        <v>-166</v>
      </c>
      <c r="W86" s="89">
        <f>'115+740'!S87</f>
        <v>0</v>
      </c>
      <c r="X86" s="88">
        <f t="shared" ca="1" si="22"/>
        <v>126</v>
      </c>
      <c r="Y86" s="87">
        <f t="shared" ca="1" si="23"/>
        <v>0</v>
      </c>
      <c r="Z86" s="86">
        <f t="shared" ca="1" si="24"/>
        <v>0</v>
      </c>
      <c r="AA86" s="85">
        <f t="shared" ca="1" si="25"/>
        <v>1.0069999999999999</v>
      </c>
      <c r="AB86" s="85">
        <f t="shared" ca="1" si="26"/>
        <v>0.80400000000000005</v>
      </c>
      <c r="AC86" s="74"/>
      <c r="AD86" s="74"/>
      <c r="AE86" s="74"/>
      <c r="AF86" s="74"/>
    </row>
    <row r="87" spans="1:32" s="99" customFormat="1" ht="15" customHeight="1">
      <c r="A87" s="104">
        <v>42340</v>
      </c>
      <c r="B87" s="98">
        <f>'115+740'!B88</f>
        <v>45146</v>
      </c>
      <c r="C87" s="97">
        <f t="shared" si="18"/>
        <v>1</v>
      </c>
      <c r="D87" s="96">
        <f t="shared" si="19"/>
        <v>1069</v>
      </c>
      <c r="E87" s="95">
        <f>VLOOKUP(B87,'115+740'!B88:AB189,3,FALSE)</f>
        <v>1472</v>
      </c>
      <c r="F87" s="92">
        <f t="shared" si="14"/>
        <v>2541</v>
      </c>
      <c r="G87" s="94">
        <f ca="1">VLOOKUP(B87,'115+740'!$B$15:$AB$115,20,FALSE)</f>
        <v>860</v>
      </c>
      <c r="H87" s="94">
        <f ca="1">VLOOKUP(B87,'115+740'!$B$15:$AB$115,4,FALSE)</f>
        <v>641</v>
      </c>
      <c r="I87" s="91">
        <f t="shared" ca="1" si="15"/>
        <v>1900</v>
      </c>
      <c r="J87" s="91">
        <f ca="1">VLOOKUP(B87,'115+740'!$B$15:$AB$115,13,FALSE)</f>
        <v>-100</v>
      </c>
      <c r="K87" s="89">
        <f>'115+740'!Q88</f>
        <v>0</v>
      </c>
      <c r="L87" s="88">
        <f t="shared" ca="1" si="20"/>
        <v>140</v>
      </c>
      <c r="M87" s="93">
        <f ca="1">VLOOKUP(B87,'115+740'!$B$14:$AB$115,21,FALSE)</f>
        <v>897</v>
      </c>
      <c r="N87" s="92">
        <f ca="1">VLOOKUP(B87,'115+740'!$B$15:$AB$115,5,FALSE)</f>
        <v>654</v>
      </c>
      <c r="O87" s="91">
        <f t="shared" ca="1" si="16"/>
        <v>1887</v>
      </c>
      <c r="P87" s="91">
        <f ca="1">VLOOKUP(B87,'115+740'!$B$15:$AB$115,14,FALSE)</f>
        <v>-113</v>
      </c>
      <c r="Q87" s="89">
        <f>'115+740'!R88</f>
        <v>0</v>
      </c>
      <c r="R87" s="88">
        <f t="shared" ca="1" si="21"/>
        <v>103</v>
      </c>
      <c r="S87" s="93">
        <f ca="1">VLOOKUP(B87,'115+740'!$B$14:$AB$115,22,FALSE)</f>
        <v>874</v>
      </c>
      <c r="T87" s="92">
        <f ca="1">VLOOKUP(B87,'115+740'!$B$15:$AB$115,6,FALSE)</f>
        <v>707</v>
      </c>
      <c r="U87" s="91">
        <f t="shared" ca="1" si="17"/>
        <v>1834</v>
      </c>
      <c r="V87" s="90">
        <f ca="1">VLOOKUP(B87,'115+740'!$B$15:$AB$115,15,FALSE)</f>
        <v>-166</v>
      </c>
      <c r="W87" s="89">
        <f>'115+740'!S88</f>
        <v>0</v>
      </c>
      <c r="X87" s="88">
        <f t="shared" ca="1" si="22"/>
        <v>126</v>
      </c>
      <c r="Y87" s="87">
        <f t="shared" ca="1" si="23"/>
        <v>0</v>
      </c>
      <c r="Z87" s="86">
        <f t="shared" ca="1" si="24"/>
        <v>0</v>
      </c>
      <c r="AA87" s="85">
        <f t="shared" ca="1" si="25"/>
        <v>1.0069999999999999</v>
      </c>
      <c r="AB87" s="85">
        <f t="shared" ca="1" si="26"/>
        <v>0.80400000000000005</v>
      </c>
      <c r="AC87" s="74"/>
      <c r="AD87" s="74"/>
      <c r="AE87" s="74"/>
      <c r="AF87" s="74"/>
    </row>
    <row r="88" spans="1:32" s="99" customFormat="1" ht="15" customHeight="1">
      <c r="A88" s="104">
        <v>42343</v>
      </c>
      <c r="B88" s="98">
        <f>'115+740'!B89</f>
        <v>45147</v>
      </c>
      <c r="C88" s="97">
        <f t="shared" si="18"/>
        <v>1</v>
      </c>
      <c r="D88" s="96">
        <f t="shared" si="19"/>
        <v>1069</v>
      </c>
      <c r="E88" s="95">
        <f>VLOOKUP(B88,'115+740'!B89:AB190,3,FALSE)</f>
        <v>1470</v>
      </c>
      <c r="F88" s="92">
        <f t="shared" si="14"/>
        <v>2539</v>
      </c>
      <c r="G88" s="94">
        <f ca="1">VLOOKUP(B88,'115+740'!$B$15:$AB$115,20,FALSE)</f>
        <v>860</v>
      </c>
      <c r="H88" s="94">
        <f ca="1">VLOOKUP(B88,'115+740'!$B$15:$AB$115,4,FALSE)</f>
        <v>639</v>
      </c>
      <c r="I88" s="91">
        <f t="shared" ca="1" si="15"/>
        <v>1900</v>
      </c>
      <c r="J88" s="91">
        <f ca="1">VLOOKUP(B88,'115+740'!$B$15:$AB$115,13,FALSE)</f>
        <v>-100</v>
      </c>
      <c r="K88" s="89">
        <f>'115+740'!Q89</f>
        <v>0</v>
      </c>
      <c r="L88" s="88">
        <f t="shared" ca="1" si="20"/>
        <v>140</v>
      </c>
      <c r="M88" s="93">
        <f ca="1">VLOOKUP(B88,'115+740'!$B$14:$AB$115,21,FALSE)</f>
        <v>897</v>
      </c>
      <c r="N88" s="92">
        <f ca="1">VLOOKUP(B88,'115+740'!$B$15:$AB$115,5,FALSE)</f>
        <v>652</v>
      </c>
      <c r="O88" s="91">
        <f t="shared" ca="1" si="16"/>
        <v>1887</v>
      </c>
      <c r="P88" s="91">
        <f ca="1">VLOOKUP(B88,'115+740'!$B$15:$AB$115,14,FALSE)</f>
        <v>-113</v>
      </c>
      <c r="Q88" s="89">
        <f>'115+740'!R89</f>
        <v>0</v>
      </c>
      <c r="R88" s="88">
        <f t="shared" ca="1" si="21"/>
        <v>103</v>
      </c>
      <c r="S88" s="93">
        <f ca="1">VLOOKUP(B88,'115+740'!$B$14:$AB$115,22,FALSE)</f>
        <v>874</v>
      </c>
      <c r="T88" s="92">
        <f ca="1">VLOOKUP(B88,'115+740'!$B$15:$AB$115,6,FALSE)</f>
        <v>705</v>
      </c>
      <c r="U88" s="91">
        <f t="shared" ca="1" si="17"/>
        <v>1834</v>
      </c>
      <c r="V88" s="90">
        <f ca="1">VLOOKUP(B88,'115+740'!$B$15:$AB$115,15,FALSE)</f>
        <v>-166</v>
      </c>
      <c r="W88" s="89">
        <f>'115+740'!S89</f>
        <v>0</v>
      </c>
      <c r="X88" s="88">
        <f t="shared" ca="1" si="22"/>
        <v>126</v>
      </c>
      <c r="Y88" s="87">
        <f t="shared" ca="1" si="23"/>
        <v>0</v>
      </c>
      <c r="Z88" s="86">
        <f t="shared" ca="1" si="24"/>
        <v>0</v>
      </c>
      <c r="AA88" s="85">
        <f t="shared" ca="1" si="25"/>
        <v>1.0069999999999999</v>
      </c>
      <c r="AB88" s="85">
        <f t="shared" ca="1" si="26"/>
        <v>0.80400000000000005</v>
      </c>
      <c r="AC88" s="74"/>
      <c r="AD88" s="74"/>
      <c r="AE88" s="74"/>
      <c r="AF88" s="74"/>
    </row>
    <row r="89" spans="1:32" s="99" customFormat="1" ht="15" customHeight="1">
      <c r="A89" s="104" t="s">
        <v>46</v>
      </c>
      <c r="B89" s="98">
        <f>'115+740'!B90</f>
        <v>45148</v>
      </c>
      <c r="C89" s="97">
        <f t="shared" si="18"/>
        <v>1</v>
      </c>
      <c r="D89" s="96">
        <f t="shared" si="19"/>
        <v>1069</v>
      </c>
      <c r="E89" s="95">
        <f>VLOOKUP(B89,'115+740'!B90:AB191,3,FALSE)</f>
        <v>1468</v>
      </c>
      <c r="F89" s="92">
        <f t="shared" si="14"/>
        <v>2537</v>
      </c>
      <c r="G89" s="94">
        <f ca="1">VLOOKUP(B89,'115+740'!$B$15:$AB$115,20,FALSE)</f>
        <v>860</v>
      </c>
      <c r="H89" s="94">
        <f ca="1">VLOOKUP(B89,'115+740'!$B$15:$AB$115,4,FALSE)</f>
        <v>637</v>
      </c>
      <c r="I89" s="91">
        <f t="shared" ca="1" si="15"/>
        <v>1900</v>
      </c>
      <c r="J89" s="91">
        <f ca="1">VLOOKUP(B89,'115+740'!$B$15:$AB$115,13,FALSE)</f>
        <v>-100</v>
      </c>
      <c r="K89" s="89">
        <f>'115+740'!Q90</f>
        <v>0</v>
      </c>
      <c r="L89" s="88">
        <f t="shared" ca="1" si="20"/>
        <v>140</v>
      </c>
      <c r="M89" s="93">
        <f ca="1">VLOOKUP(B89,'115+740'!$B$14:$AB$115,21,FALSE)</f>
        <v>897</v>
      </c>
      <c r="N89" s="92">
        <f ca="1">VLOOKUP(B89,'115+740'!$B$15:$AB$115,5,FALSE)</f>
        <v>650</v>
      </c>
      <c r="O89" s="91">
        <f t="shared" ca="1" si="16"/>
        <v>1887</v>
      </c>
      <c r="P89" s="91">
        <f ca="1">VLOOKUP(B89,'115+740'!$B$15:$AB$115,14,FALSE)</f>
        <v>-113</v>
      </c>
      <c r="Q89" s="89">
        <f>'115+740'!R90</f>
        <v>0</v>
      </c>
      <c r="R89" s="88">
        <f t="shared" ca="1" si="21"/>
        <v>103</v>
      </c>
      <c r="S89" s="93">
        <f ca="1">VLOOKUP(B89,'115+740'!$B$14:$AB$115,22,FALSE)</f>
        <v>874</v>
      </c>
      <c r="T89" s="92">
        <f ca="1">VLOOKUP(B89,'115+740'!$B$15:$AB$115,6,FALSE)</f>
        <v>703</v>
      </c>
      <c r="U89" s="91">
        <f t="shared" ca="1" si="17"/>
        <v>1834</v>
      </c>
      <c r="V89" s="90">
        <f ca="1">VLOOKUP(B89,'115+740'!$B$15:$AB$115,15,FALSE)</f>
        <v>-166</v>
      </c>
      <c r="W89" s="89">
        <f>'115+740'!S90</f>
        <v>0</v>
      </c>
      <c r="X89" s="88">
        <f t="shared" ca="1" si="22"/>
        <v>126</v>
      </c>
      <c r="Y89" s="87">
        <f t="shared" ca="1" si="23"/>
        <v>0</v>
      </c>
      <c r="Z89" s="86">
        <f t="shared" ca="1" si="24"/>
        <v>0</v>
      </c>
      <c r="AA89" s="85">
        <f t="shared" ca="1" si="25"/>
        <v>1.0069999999999999</v>
      </c>
      <c r="AB89" s="85">
        <f t="shared" ca="1" si="26"/>
        <v>0.80400000000000005</v>
      </c>
      <c r="AC89" s="74"/>
      <c r="AD89" s="74"/>
      <c r="AE89" s="74"/>
      <c r="AF89" s="74"/>
    </row>
    <row r="90" spans="1:32" s="99" customFormat="1" ht="15" customHeight="1">
      <c r="A90" s="104">
        <v>42349</v>
      </c>
      <c r="B90" s="98">
        <f>'115+740'!B91</f>
        <v>45149</v>
      </c>
      <c r="C90" s="97">
        <f t="shared" si="18"/>
        <v>1</v>
      </c>
      <c r="D90" s="96">
        <f t="shared" si="19"/>
        <v>1069</v>
      </c>
      <c r="E90" s="95">
        <f>VLOOKUP(B90,'115+740'!B91:AB192,3,FALSE)</f>
        <v>1466</v>
      </c>
      <c r="F90" s="92">
        <f t="shared" si="14"/>
        <v>2535</v>
      </c>
      <c r="G90" s="94">
        <f ca="1">VLOOKUP(B90,'115+740'!$B$15:$AB$115,20,FALSE)</f>
        <v>860</v>
      </c>
      <c r="H90" s="94">
        <f ca="1">VLOOKUP(B90,'115+740'!$B$15:$AB$115,4,FALSE)</f>
        <v>635</v>
      </c>
      <c r="I90" s="91">
        <f t="shared" ca="1" si="15"/>
        <v>1900</v>
      </c>
      <c r="J90" s="91">
        <f ca="1">VLOOKUP(B90,'115+740'!$B$15:$AB$115,13,FALSE)</f>
        <v>-100</v>
      </c>
      <c r="K90" s="89">
        <f>'115+740'!Q91</f>
        <v>0</v>
      </c>
      <c r="L90" s="88">
        <f t="shared" ca="1" si="20"/>
        <v>140</v>
      </c>
      <c r="M90" s="93">
        <f ca="1">VLOOKUP(B90,'115+740'!$B$14:$AB$115,21,FALSE)</f>
        <v>897</v>
      </c>
      <c r="N90" s="92">
        <f ca="1">VLOOKUP(B90,'115+740'!$B$15:$AB$115,5,FALSE)</f>
        <v>648</v>
      </c>
      <c r="O90" s="91">
        <f t="shared" ca="1" si="16"/>
        <v>1887</v>
      </c>
      <c r="P90" s="91">
        <f ca="1">VLOOKUP(B90,'115+740'!$B$15:$AB$115,14,FALSE)</f>
        <v>-113</v>
      </c>
      <c r="Q90" s="89">
        <f>'115+740'!R91</f>
        <v>0</v>
      </c>
      <c r="R90" s="88">
        <f t="shared" ca="1" si="21"/>
        <v>103</v>
      </c>
      <c r="S90" s="93">
        <f ca="1">VLOOKUP(B90,'115+740'!$B$14:$AB$115,22,FALSE)</f>
        <v>874</v>
      </c>
      <c r="T90" s="92">
        <f ca="1">VLOOKUP(B90,'115+740'!$B$15:$AB$115,6,FALSE)</f>
        <v>701</v>
      </c>
      <c r="U90" s="91">
        <f t="shared" ca="1" si="17"/>
        <v>1834</v>
      </c>
      <c r="V90" s="90">
        <f ca="1">VLOOKUP(B90,'115+740'!$B$15:$AB$115,15,FALSE)</f>
        <v>-166</v>
      </c>
      <c r="W90" s="89">
        <f>'115+740'!S91</f>
        <v>0</v>
      </c>
      <c r="X90" s="88">
        <f t="shared" ca="1" si="22"/>
        <v>126</v>
      </c>
      <c r="Y90" s="87">
        <f t="shared" ca="1" si="23"/>
        <v>0</v>
      </c>
      <c r="Z90" s="86">
        <f t="shared" ca="1" si="24"/>
        <v>0</v>
      </c>
      <c r="AA90" s="85">
        <f t="shared" ca="1" si="25"/>
        <v>1.0069999999999999</v>
      </c>
      <c r="AB90" s="85">
        <f t="shared" ca="1" si="26"/>
        <v>0.80400000000000005</v>
      </c>
      <c r="AC90" s="74"/>
      <c r="AD90" s="74"/>
      <c r="AE90" s="74"/>
      <c r="AF90" s="74"/>
    </row>
    <row r="91" spans="1:32" s="99" customFormat="1" ht="15" customHeight="1">
      <c r="A91" s="104">
        <v>42352</v>
      </c>
      <c r="B91" s="98">
        <f>'115+740'!B92</f>
        <v>45150</v>
      </c>
      <c r="C91" s="97">
        <f t="shared" si="18"/>
        <v>1</v>
      </c>
      <c r="D91" s="96">
        <f t="shared" si="19"/>
        <v>1069</v>
      </c>
      <c r="E91" s="95">
        <f>VLOOKUP(B91,'115+740'!B92:AB193,3,FALSE)</f>
        <v>1464</v>
      </c>
      <c r="F91" s="92">
        <f t="shared" si="14"/>
        <v>2533</v>
      </c>
      <c r="G91" s="94">
        <f ca="1">VLOOKUP(B91,'115+740'!$B$15:$AB$115,20,FALSE)</f>
        <v>860</v>
      </c>
      <c r="H91" s="94">
        <f ca="1">VLOOKUP(B91,'115+740'!$B$15:$AB$115,4,FALSE)</f>
        <v>633</v>
      </c>
      <c r="I91" s="91">
        <f t="shared" ca="1" si="15"/>
        <v>1900</v>
      </c>
      <c r="J91" s="91">
        <f ca="1">VLOOKUP(B91,'115+740'!$B$15:$AB$115,13,FALSE)</f>
        <v>-100</v>
      </c>
      <c r="K91" s="89">
        <f>'115+740'!Q92</f>
        <v>0</v>
      </c>
      <c r="L91" s="88">
        <f t="shared" ca="1" si="20"/>
        <v>140</v>
      </c>
      <c r="M91" s="93">
        <f ca="1">VLOOKUP(B91,'115+740'!$B$14:$AB$115,21,FALSE)</f>
        <v>897</v>
      </c>
      <c r="N91" s="92">
        <f ca="1">VLOOKUP(B91,'115+740'!$B$15:$AB$115,5,FALSE)</f>
        <v>646</v>
      </c>
      <c r="O91" s="91">
        <f t="shared" ca="1" si="16"/>
        <v>1887</v>
      </c>
      <c r="P91" s="91">
        <f ca="1">VLOOKUP(B91,'115+740'!$B$15:$AB$115,14,FALSE)</f>
        <v>-113</v>
      </c>
      <c r="Q91" s="89">
        <f>'115+740'!R92</f>
        <v>0</v>
      </c>
      <c r="R91" s="88">
        <f t="shared" ca="1" si="21"/>
        <v>103</v>
      </c>
      <c r="S91" s="93">
        <f ca="1">VLOOKUP(B91,'115+740'!$B$14:$AB$115,22,FALSE)</f>
        <v>874</v>
      </c>
      <c r="T91" s="92">
        <f ca="1">VLOOKUP(B91,'115+740'!$B$15:$AB$115,6,FALSE)</f>
        <v>699</v>
      </c>
      <c r="U91" s="91">
        <f t="shared" ca="1" si="17"/>
        <v>1834</v>
      </c>
      <c r="V91" s="90">
        <f ca="1">VLOOKUP(B91,'115+740'!$B$15:$AB$115,15,FALSE)</f>
        <v>-166</v>
      </c>
      <c r="W91" s="89">
        <f>'115+740'!S92</f>
        <v>0</v>
      </c>
      <c r="X91" s="88">
        <f t="shared" ca="1" si="22"/>
        <v>126</v>
      </c>
      <c r="Y91" s="87">
        <f t="shared" ca="1" si="23"/>
        <v>0</v>
      </c>
      <c r="Z91" s="86">
        <f t="shared" ca="1" si="24"/>
        <v>0</v>
      </c>
      <c r="AA91" s="85">
        <f t="shared" ca="1" si="25"/>
        <v>1.0069999999999999</v>
      </c>
      <c r="AB91" s="85">
        <f t="shared" ca="1" si="26"/>
        <v>0.80400000000000005</v>
      </c>
      <c r="AC91" s="74"/>
      <c r="AD91" s="74"/>
      <c r="AE91" s="74"/>
      <c r="AF91" s="74"/>
    </row>
    <row r="92" spans="1:32" s="99" customFormat="1" ht="15" customHeight="1">
      <c r="A92" s="104">
        <v>42353</v>
      </c>
      <c r="B92" s="98">
        <f>'115+740'!B93</f>
        <v>45151</v>
      </c>
      <c r="C92" s="97">
        <f t="shared" si="18"/>
        <v>1</v>
      </c>
      <c r="D92" s="96">
        <f t="shared" si="19"/>
        <v>1069</v>
      </c>
      <c r="E92" s="95">
        <f>VLOOKUP(B92,'115+740'!B93:AB194,3,FALSE)</f>
        <v>1462</v>
      </c>
      <c r="F92" s="92">
        <f t="shared" si="14"/>
        <v>2531</v>
      </c>
      <c r="G92" s="94">
        <f ca="1">VLOOKUP(B92,'115+740'!$B$15:$AB$115,20,FALSE)</f>
        <v>860</v>
      </c>
      <c r="H92" s="94">
        <f ca="1">VLOOKUP(B92,'115+740'!$B$15:$AB$115,4,FALSE)</f>
        <v>631</v>
      </c>
      <c r="I92" s="91">
        <f t="shared" ca="1" si="15"/>
        <v>1900</v>
      </c>
      <c r="J92" s="91">
        <f ca="1">VLOOKUP(B92,'115+740'!$B$15:$AB$115,13,FALSE)</f>
        <v>-100</v>
      </c>
      <c r="K92" s="89">
        <f>'115+740'!Q93</f>
        <v>0</v>
      </c>
      <c r="L92" s="88">
        <f t="shared" ca="1" si="20"/>
        <v>140</v>
      </c>
      <c r="M92" s="93">
        <f ca="1">VLOOKUP(B92,'115+740'!$B$14:$AB$115,21,FALSE)</f>
        <v>897</v>
      </c>
      <c r="N92" s="92">
        <f ca="1">VLOOKUP(B92,'115+740'!$B$15:$AB$115,5,FALSE)</f>
        <v>644</v>
      </c>
      <c r="O92" s="91">
        <f t="shared" ca="1" si="16"/>
        <v>1887</v>
      </c>
      <c r="P92" s="91">
        <f ca="1">VLOOKUP(B92,'115+740'!$B$15:$AB$115,14,FALSE)</f>
        <v>-113</v>
      </c>
      <c r="Q92" s="89">
        <f>'115+740'!R93</f>
        <v>0</v>
      </c>
      <c r="R92" s="88">
        <f t="shared" ca="1" si="21"/>
        <v>103</v>
      </c>
      <c r="S92" s="93">
        <f ca="1">VLOOKUP(B92,'115+740'!$B$14:$AB$115,22,FALSE)</f>
        <v>874</v>
      </c>
      <c r="T92" s="92">
        <f ca="1">VLOOKUP(B92,'115+740'!$B$15:$AB$115,6,FALSE)</f>
        <v>697</v>
      </c>
      <c r="U92" s="91">
        <f t="shared" ca="1" si="17"/>
        <v>1834</v>
      </c>
      <c r="V92" s="90">
        <f ca="1">VLOOKUP(B92,'115+740'!$B$15:$AB$115,15,FALSE)</f>
        <v>-166</v>
      </c>
      <c r="W92" s="89">
        <f>'115+740'!S93</f>
        <v>0</v>
      </c>
      <c r="X92" s="88">
        <f t="shared" ca="1" si="22"/>
        <v>126</v>
      </c>
      <c r="Y92" s="87">
        <f t="shared" ca="1" si="23"/>
        <v>0</v>
      </c>
      <c r="Z92" s="86">
        <f t="shared" ca="1" si="24"/>
        <v>0</v>
      </c>
      <c r="AA92" s="85">
        <f t="shared" ca="1" si="25"/>
        <v>1.0069999999999999</v>
      </c>
      <c r="AB92" s="85">
        <f t="shared" ca="1" si="26"/>
        <v>0.80400000000000005</v>
      </c>
      <c r="AC92" s="74"/>
      <c r="AD92" s="74"/>
      <c r="AE92" s="74"/>
      <c r="AF92" s="74"/>
    </row>
    <row r="93" spans="1:32" s="99" customFormat="1" ht="15" customHeight="1" thickBot="1">
      <c r="A93" s="103">
        <v>42353</v>
      </c>
      <c r="B93" s="98">
        <f>'115+740'!B94</f>
        <v>45152</v>
      </c>
      <c r="C93" s="97">
        <f t="shared" si="18"/>
        <v>1</v>
      </c>
      <c r="D93" s="96">
        <f t="shared" si="19"/>
        <v>1069</v>
      </c>
      <c r="E93" s="95">
        <f>VLOOKUP(B93,'115+740'!B94:AB195,3,FALSE)</f>
        <v>1460</v>
      </c>
      <c r="F93" s="92">
        <f t="shared" si="14"/>
        <v>2529</v>
      </c>
      <c r="G93" s="94">
        <f ca="1">VLOOKUP(B93,'115+740'!$B$15:$AB$115,20,FALSE)</f>
        <v>860</v>
      </c>
      <c r="H93" s="94">
        <f ca="1">VLOOKUP(B93,'115+740'!$B$15:$AB$115,4,FALSE)</f>
        <v>629</v>
      </c>
      <c r="I93" s="91">
        <f t="shared" ca="1" si="15"/>
        <v>1900</v>
      </c>
      <c r="J93" s="91">
        <f ca="1">VLOOKUP(B93,'115+740'!$B$15:$AB$115,13,FALSE)</f>
        <v>-100</v>
      </c>
      <c r="K93" s="89">
        <f>'115+740'!Q94</f>
        <v>0</v>
      </c>
      <c r="L93" s="88">
        <f t="shared" ca="1" si="20"/>
        <v>140</v>
      </c>
      <c r="M93" s="93">
        <f ca="1">VLOOKUP(B93,'115+740'!$B$14:$AB$115,21,FALSE)</f>
        <v>897</v>
      </c>
      <c r="N93" s="92">
        <f ca="1">VLOOKUP(B93,'115+740'!$B$15:$AB$115,5,FALSE)</f>
        <v>642</v>
      </c>
      <c r="O93" s="91">
        <f t="shared" ca="1" si="16"/>
        <v>1887</v>
      </c>
      <c r="P93" s="91">
        <f ca="1">VLOOKUP(B93,'115+740'!$B$15:$AB$115,14,FALSE)</f>
        <v>-113</v>
      </c>
      <c r="Q93" s="89">
        <f>'115+740'!R94</f>
        <v>0</v>
      </c>
      <c r="R93" s="88">
        <f t="shared" ca="1" si="21"/>
        <v>103</v>
      </c>
      <c r="S93" s="93">
        <f ca="1">VLOOKUP(B93,'115+740'!$B$14:$AB$115,22,FALSE)</f>
        <v>874</v>
      </c>
      <c r="T93" s="92">
        <f ca="1">VLOOKUP(B93,'115+740'!$B$15:$AB$115,6,FALSE)</f>
        <v>695</v>
      </c>
      <c r="U93" s="91">
        <f t="shared" ca="1" si="17"/>
        <v>1834</v>
      </c>
      <c r="V93" s="90">
        <f ca="1">VLOOKUP(B93,'115+740'!$B$15:$AB$115,15,FALSE)</f>
        <v>-166</v>
      </c>
      <c r="W93" s="89">
        <f>'115+740'!S94</f>
        <v>0</v>
      </c>
      <c r="X93" s="88">
        <f t="shared" ca="1" si="22"/>
        <v>126</v>
      </c>
      <c r="Y93" s="87">
        <f t="shared" ca="1" si="23"/>
        <v>0</v>
      </c>
      <c r="Z93" s="86">
        <f t="shared" ca="1" si="24"/>
        <v>0</v>
      </c>
      <c r="AA93" s="85">
        <f t="shared" ca="1" si="25"/>
        <v>1.0069999999999999</v>
      </c>
      <c r="AB93" s="85">
        <f t="shared" ca="1" si="26"/>
        <v>0.80400000000000005</v>
      </c>
      <c r="AC93" s="74"/>
      <c r="AD93" s="74"/>
      <c r="AE93" s="74"/>
      <c r="AF93" s="74"/>
    </row>
    <row r="94" spans="1:32" s="99" customFormat="1" ht="15" customHeight="1" thickTop="1">
      <c r="A94" s="100"/>
      <c r="B94" s="98">
        <f>'115+740'!B95</f>
        <v>45153</v>
      </c>
      <c r="C94" s="97">
        <f t="shared" si="18"/>
        <v>1</v>
      </c>
      <c r="D94" s="96">
        <f t="shared" si="19"/>
        <v>1069</v>
      </c>
      <c r="E94" s="95">
        <f>VLOOKUP(B94,'115+740'!B95:AB196,3,FALSE)</f>
        <v>1458</v>
      </c>
      <c r="F94" s="92">
        <f t="shared" si="14"/>
        <v>2527</v>
      </c>
      <c r="G94" s="94">
        <f ca="1">VLOOKUP(B94,'115+740'!$B$15:$AB$115,20,FALSE)</f>
        <v>860</v>
      </c>
      <c r="H94" s="94">
        <f ca="1">VLOOKUP(B94,'115+740'!$B$15:$AB$115,4,FALSE)</f>
        <v>627</v>
      </c>
      <c r="I94" s="91">
        <f t="shared" ca="1" si="15"/>
        <v>1900</v>
      </c>
      <c r="J94" s="91">
        <f ca="1">VLOOKUP(B94,'115+740'!$B$15:$AB$115,13,FALSE)</f>
        <v>-100</v>
      </c>
      <c r="K94" s="89">
        <f>'115+740'!Q95</f>
        <v>0</v>
      </c>
      <c r="L94" s="88">
        <f t="shared" ca="1" si="20"/>
        <v>140</v>
      </c>
      <c r="M94" s="93">
        <f ca="1">VLOOKUP(B94,'115+740'!$B$14:$AB$115,21,FALSE)</f>
        <v>897</v>
      </c>
      <c r="N94" s="92">
        <f ca="1">VLOOKUP(B94,'115+740'!$B$15:$AB$115,5,FALSE)</f>
        <v>640</v>
      </c>
      <c r="O94" s="91">
        <f t="shared" ca="1" si="16"/>
        <v>1887</v>
      </c>
      <c r="P94" s="91">
        <f ca="1">VLOOKUP(B94,'115+740'!$B$15:$AB$115,14,FALSE)</f>
        <v>-113</v>
      </c>
      <c r="Q94" s="89">
        <f>'115+740'!R95</f>
        <v>0</v>
      </c>
      <c r="R94" s="88">
        <f t="shared" ca="1" si="21"/>
        <v>103</v>
      </c>
      <c r="S94" s="93">
        <f ca="1">VLOOKUP(B94,'115+740'!$B$14:$AB$115,22,FALSE)</f>
        <v>874</v>
      </c>
      <c r="T94" s="92">
        <f ca="1">VLOOKUP(B94,'115+740'!$B$15:$AB$115,6,FALSE)</f>
        <v>693</v>
      </c>
      <c r="U94" s="91">
        <f t="shared" ca="1" si="17"/>
        <v>1834</v>
      </c>
      <c r="V94" s="90">
        <f ca="1">VLOOKUP(B94,'115+740'!$B$15:$AB$115,15,FALSE)</f>
        <v>-166</v>
      </c>
      <c r="W94" s="89">
        <f>'115+740'!S95</f>
        <v>0</v>
      </c>
      <c r="X94" s="88">
        <f t="shared" ca="1" si="22"/>
        <v>126</v>
      </c>
      <c r="Y94" s="87">
        <f t="shared" ca="1" si="23"/>
        <v>0</v>
      </c>
      <c r="Z94" s="86">
        <f t="shared" ca="1" si="24"/>
        <v>0</v>
      </c>
      <c r="AA94" s="85">
        <f t="shared" ca="1" si="25"/>
        <v>1.0069999999999999</v>
      </c>
      <c r="AB94" s="85">
        <f t="shared" ca="1" si="26"/>
        <v>0.80400000000000005</v>
      </c>
      <c r="AC94" s="74"/>
      <c r="AD94" s="74"/>
      <c r="AE94" s="74"/>
      <c r="AF94" s="74"/>
    </row>
    <row r="95" spans="1:32" s="99" customFormat="1" ht="15" customHeight="1">
      <c r="A95" s="100"/>
      <c r="B95" s="98">
        <f>'115+740'!B96</f>
        <v>45154</v>
      </c>
      <c r="C95" s="97">
        <f t="shared" si="18"/>
        <v>1</v>
      </c>
      <c r="D95" s="96">
        <f t="shared" si="19"/>
        <v>1069</v>
      </c>
      <c r="E95" s="95">
        <f>VLOOKUP(B95,'115+740'!B96:AB197,3,FALSE)</f>
        <v>1456</v>
      </c>
      <c r="F95" s="92">
        <f t="shared" si="14"/>
        <v>2525</v>
      </c>
      <c r="G95" s="94">
        <f ca="1">VLOOKUP(B95,'115+740'!$B$15:$AB$115,20,FALSE)</f>
        <v>860</v>
      </c>
      <c r="H95" s="94">
        <f ca="1">VLOOKUP(B95,'115+740'!$B$15:$AB$115,4,FALSE)</f>
        <v>625</v>
      </c>
      <c r="I95" s="91">
        <f t="shared" ca="1" si="15"/>
        <v>1900</v>
      </c>
      <c r="J95" s="91">
        <f ca="1">VLOOKUP(B95,'115+740'!$B$15:$AB$115,13,FALSE)</f>
        <v>-100</v>
      </c>
      <c r="K95" s="89">
        <f>'115+740'!Q96</f>
        <v>0</v>
      </c>
      <c r="L95" s="88">
        <f t="shared" ca="1" si="20"/>
        <v>140</v>
      </c>
      <c r="M95" s="93">
        <f ca="1">VLOOKUP(B95,'115+740'!$B$14:$AB$115,21,FALSE)</f>
        <v>897</v>
      </c>
      <c r="N95" s="92">
        <f ca="1">VLOOKUP(B95,'115+740'!$B$15:$AB$115,5,FALSE)</f>
        <v>638</v>
      </c>
      <c r="O95" s="91">
        <f t="shared" ca="1" si="16"/>
        <v>1887</v>
      </c>
      <c r="P95" s="91">
        <f ca="1">VLOOKUP(B95,'115+740'!$B$15:$AB$115,14,FALSE)</f>
        <v>-113</v>
      </c>
      <c r="Q95" s="89">
        <f>'115+740'!R96</f>
        <v>0</v>
      </c>
      <c r="R95" s="88">
        <f t="shared" ca="1" si="21"/>
        <v>103</v>
      </c>
      <c r="S95" s="93">
        <f ca="1">VLOOKUP(B95,'115+740'!$B$14:$AB$115,22,FALSE)</f>
        <v>874</v>
      </c>
      <c r="T95" s="92">
        <f ca="1">VLOOKUP(B95,'115+740'!$B$15:$AB$115,6,FALSE)</f>
        <v>691</v>
      </c>
      <c r="U95" s="91">
        <f t="shared" ca="1" si="17"/>
        <v>1834</v>
      </c>
      <c r="V95" s="90">
        <f ca="1">VLOOKUP(B95,'115+740'!$B$15:$AB$115,15,FALSE)</f>
        <v>-166</v>
      </c>
      <c r="W95" s="89">
        <f>'115+740'!S96</f>
        <v>0</v>
      </c>
      <c r="X95" s="88">
        <f t="shared" ca="1" si="22"/>
        <v>126</v>
      </c>
      <c r="Y95" s="87">
        <f t="shared" ca="1" si="23"/>
        <v>0</v>
      </c>
      <c r="Z95" s="86">
        <f t="shared" ca="1" si="24"/>
        <v>0</v>
      </c>
      <c r="AA95" s="85">
        <f t="shared" ca="1" si="25"/>
        <v>1.0069999999999999</v>
      </c>
      <c r="AB95" s="85">
        <f t="shared" ca="1" si="26"/>
        <v>0.80400000000000005</v>
      </c>
      <c r="AC95" s="74"/>
      <c r="AD95" s="74"/>
      <c r="AE95" s="74"/>
      <c r="AF95" s="74"/>
    </row>
    <row r="96" spans="1:32" s="99" customFormat="1" ht="15" customHeight="1">
      <c r="A96" s="100"/>
      <c r="B96" s="98">
        <f>'115+740'!B97</f>
        <v>45155</v>
      </c>
      <c r="C96" s="97">
        <f t="shared" si="18"/>
        <v>1</v>
      </c>
      <c r="D96" s="96">
        <f t="shared" si="19"/>
        <v>1069</v>
      </c>
      <c r="E96" s="95">
        <f>VLOOKUP(B96,'115+740'!B97:AB198,3,FALSE)</f>
        <v>1454</v>
      </c>
      <c r="F96" s="92">
        <f t="shared" si="14"/>
        <v>2523</v>
      </c>
      <c r="G96" s="94">
        <f ca="1">VLOOKUP(B96,'115+740'!$B$15:$AB$115,20,FALSE)</f>
        <v>860</v>
      </c>
      <c r="H96" s="94">
        <f ca="1">VLOOKUP(B96,'115+740'!$B$15:$AB$115,4,FALSE)</f>
        <v>623</v>
      </c>
      <c r="I96" s="91">
        <f t="shared" ca="1" si="15"/>
        <v>1900</v>
      </c>
      <c r="J96" s="91">
        <f ca="1">VLOOKUP(B96,'115+740'!$B$15:$AB$115,13,FALSE)</f>
        <v>-100</v>
      </c>
      <c r="K96" s="89">
        <f>'115+740'!Q97</f>
        <v>0</v>
      </c>
      <c r="L96" s="88">
        <f t="shared" ca="1" si="20"/>
        <v>140</v>
      </c>
      <c r="M96" s="93">
        <f ca="1">VLOOKUP(B96,'115+740'!$B$14:$AB$115,21,FALSE)</f>
        <v>897</v>
      </c>
      <c r="N96" s="92">
        <f ca="1">VLOOKUP(B96,'115+740'!$B$15:$AB$115,5,FALSE)</f>
        <v>636</v>
      </c>
      <c r="O96" s="91">
        <f t="shared" ca="1" si="16"/>
        <v>1887</v>
      </c>
      <c r="P96" s="91">
        <f ca="1">VLOOKUP(B96,'115+740'!$B$15:$AB$115,14,FALSE)</f>
        <v>-113</v>
      </c>
      <c r="Q96" s="89">
        <f>'115+740'!R97</f>
        <v>0</v>
      </c>
      <c r="R96" s="88">
        <f t="shared" ca="1" si="21"/>
        <v>103</v>
      </c>
      <c r="S96" s="93">
        <f ca="1">VLOOKUP(B96,'115+740'!$B$14:$AB$115,22,FALSE)</f>
        <v>874</v>
      </c>
      <c r="T96" s="92">
        <f ca="1">VLOOKUP(B96,'115+740'!$B$15:$AB$115,6,FALSE)</f>
        <v>689</v>
      </c>
      <c r="U96" s="91">
        <f t="shared" ca="1" si="17"/>
        <v>1834</v>
      </c>
      <c r="V96" s="90">
        <f ca="1">VLOOKUP(B96,'115+740'!$B$15:$AB$115,15,FALSE)</f>
        <v>-166</v>
      </c>
      <c r="W96" s="89">
        <f>'115+740'!S97</f>
        <v>0</v>
      </c>
      <c r="X96" s="88">
        <f t="shared" ca="1" si="22"/>
        <v>126</v>
      </c>
      <c r="Y96" s="87">
        <f t="shared" ca="1" si="23"/>
        <v>0</v>
      </c>
      <c r="Z96" s="86">
        <f t="shared" ca="1" si="24"/>
        <v>0</v>
      </c>
      <c r="AA96" s="85">
        <f t="shared" ca="1" si="25"/>
        <v>1.0069999999999999</v>
      </c>
      <c r="AB96" s="85">
        <f t="shared" ca="1" si="26"/>
        <v>0.80400000000000005</v>
      </c>
      <c r="AC96" s="74"/>
      <c r="AD96" s="74"/>
      <c r="AE96" s="74"/>
      <c r="AF96" s="74"/>
    </row>
    <row r="97" spans="1:32" s="101" customFormat="1" ht="15" customHeight="1">
      <c r="A97" s="100"/>
      <c r="B97" s="98">
        <f>'115+740'!B98</f>
        <v>45156</v>
      </c>
      <c r="C97" s="97">
        <f t="shared" si="18"/>
        <v>1</v>
      </c>
      <c r="D97" s="96">
        <f t="shared" si="19"/>
        <v>1069</v>
      </c>
      <c r="E97" s="95">
        <f>VLOOKUP(B97,'115+740'!B98:AB199,3,FALSE)</f>
        <v>1452</v>
      </c>
      <c r="F97" s="92">
        <f t="shared" si="14"/>
        <v>2521</v>
      </c>
      <c r="G97" s="94">
        <f ca="1">VLOOKUP(B97,'115+740'!$B$15:$AB$115,20,FALSE)</f>
        <v>860</v>
      </c>
      <c r="H97" s="94">
        <f ca="1">VLOOKUP(B97,'115+740'!$B$15:$AB$115,4,FALSE)</f>
        <v>621</v>
      </c>
      <c r="I97" s="91">
        <f t="shared" ca="1" si="15"/>
        <v>1900</v>
      </c>
      <c r="J97" s="91">
        <f ca="1">VLOOKUP(B97,'115+740'!$B$15:$AB$115,13,FALSE)</f>
        <v>-100</v>
      </c>
      <c r="K97" s="89">
        <f>'115+740'!Q98</f>
        <v>0</v>
      </c>
      <c r="L97" s="88">
        <f t="shared" ca="1" si="20"/>
        <v>140</v>
      </c>
      <c r="M97" s="93">
        <f ca="1">VLOOKUP(B97,'115+740'!$B$14:$AB$115,21,FALSE)</f>
        <v>897</v>
      </c>
      <c r="N97" s="92">
        <f ca="1">VLOOKUP(B97,'115+740'!$B$15:$AB$115,5,FALSE)</f>
        <v>634</v>
      </c>
      <c r="O97" s="91">
        <f t="shared" ca="1" si="16"/>
        <v>1887</v>
      </c>
      <c r="P97" s="91">
        <f ca="1">VLOOKUP(B97,'115+740'!$B$15:$AB$115,14,FALSE)</f>
        <v>-113</v>
      </c>
      <c r="Q97" s="89">
        <f>'115+740'!R98</f>
        <v>0</v>
      </c>
      <c r="R97" s="88">
        <f t="shared" ca="1" si="21"/>
        <v>103</v>
      </c>
      <c r="S97" s="93">
        <f ca="1">VLOOKUP(B97,'115+740'!$B$14:$AB$115,22,FALSE)</f>
        <v>874</v>
      </c>
      <c r="T97" s="92">
        <f ca="1">VLOOKUP(B97,'115+740'!$B$15:$AB$115,6,FALSE)</f>
        <v>687</v>
      </c>
      <c r="U97" s="91">
        <f t="shared" ca="1" si="17"/>
        <v>1834</v>
      </c>
      <c r="V97" s="90">
        <f ca="1">VLOOKUP(B97,'115+740'!$B$15:$AB$115,15,FALSE)</f>
        <v>-166</v>
      </c>
      <c r="W97" s="89">
        <f>'115+740'!S98</f>
        <v>0</v>
      </c>
      <c r="X97" s="88">
        <f t="shared" ca="1" si="22"/>
        <v>126</v>
      </c>
      <c r="Y97" s="87">
        <f t="shared" ca="1" si="23"/>
        <v>0</v>
      </c>
      <c r="Z97" s="86">
        <f t="shared" ca="1" si="24"/>
        <v>0</v>
      </c>
      <c r="AA97" s="85">
        <f t="shared" ca="1" si="25"/>
        <v>1.0069999999999999</v>
      </c>
      <c r="AB97" s="85">
        <f t="shared" ca="1" si="26"/>
        <v>0.80400000000000005</v>
      </c>
      <c r="AC97" s="102"/>
      <c r="AD97" s="102"/>
      <c r="AE97" s="102"/>
      <c r="AF97" s="102"/>
    </row>
    <row r="98" spans="1:32" s="99" customFormat="1" ht="15" customHeight="1">
      <c r="A98" s="100"/>
      <c r="B98" s="98">
        <f>'115+740'!B99</f>
        <v>45157</v>
      </c>
      <c r="C98" s="97">
        <f t="shared" si="18"/>
        <v>1</v>
      </c>
      <c r="D98" s="96">
        <f t="shared" si="19"/>
        <v>1069</v>
      </c>
      <c r="E98" s="95">
        <f>VLOOKUP(B98,'115+740'!B99:AB200,3,FALSE)</f>
        <v>1450</v>
      </c>
      <c r="F98" s="92">
        <f t="shared" si="14"/>
        <v>2519</v>
      </c>
      <c r="G98" s="94">
        <f ca="1">VLOOKUP(B98,'115+740'!$B$15:$AB$115,20,FALSE)</f>
        <v>860</v>
      </c>
      <c r="H98" s="94">
        <f ca="1">VLOOKUP(B98,'115+740'!$B$15:$AB$115,4,FALSE)</f>
        <v>619</v>
      </c>
      <c r="I98" s="91">
        <f t="shared" ca="1" si="15"/>
        <v>1900</v>
      </c>
      <c r="J98" s="91">
        <f ca="1">VLOOKUP(B98,'115+740'!$B$15:$AB$115,13,FALSE)</f>
        <v>-100</v>
      </c>
      <c r="K98" s="89">
        <f>'115+740'!Q99</f>
        <v>0</v>
      </c>
      <c r="L98" s="88">
        <f t="shared" ca="1" si="20"/>
        <v>140</v>
      </c>
      <c r="M98" s="93">
        <f ca="1">VLOOKUP(B98,'115+740'!$B$14:$AB$115,21,FALSE)</f>
        <v>897</v>
      </c>
      <c r="N98" s="92">
        <f ca="1">VLOOKUP(B98,'115+740'!$B$15:$AB$115,5,FALSE)</f>
        <v>632</v>
      </c>
      <c r="O98" s="91">
        <f t="shared" ca="1" si="16"/>
        <v>1887</v>
      </c>
      <c r="P98" s="91">
        <f ca="1">VLOOKUP(B98,'115+740'!$B$15:$AB$115,14,FALSE)</f>
        <v>-113</v>
      </c>
      <c r="Q98" s="89">
        <f>'115+740'!R99</f>
        <v>0</v>
      </c>
      <c r="R98" s="88">
        <f t="shared" ca="1" si="21"/>
        <v>103</v>
      </c>
      <c r="S98" s="93">
        <f ca="1">VLOOKUP(B98,'115+740'!$B$14:$AB$115,22,FALSE)</f>
        <v>874</v>
      </c>
      <c r="T98" s="92">
        <f ca="1">VLOOKUP(B98,'115+740'!$B$15:$AB$115,6,FALSE)</f>
        <v>685</v>
      </c>
      <c r="U98" s="91">
        <f t="shared" ca="1" si="17"/>
        <v>1834</v>
      </c>
      <c r="V98" s="90">
        <f ca="1">VLOOKUP(B98,'115+740'!$B$15:$AB$115,15,FALSE)</f>
        <v>-166</v>
      </c>
      <c r="W98" s="89">
        <f>'115+740'!S99</f>
        <v>0</v>
      </c>
      <c r="X98" s="88">
        <f t="shared" ca="1" si="22"/>
        <v>126</v>
      </c>
      <c r="Y98" s="87">
        <f t="shared" ca="1" si="23"/>
        <v>0</v>
      </c>
      <c r="Z98" s="86">
        <f t="shared" ca="1" si="24"/>
        <v>0</v>
      </c>
      <c r="AA98" s="85">
        <f t="shared" ca="1" si="25"/>
        <v>1.0069999999999999</v>
      </c>
      <c r="AB98" s="85">
        <f t="shared" ca="1" si="26"/>
        <v>0.80400000000000005</v>
      </c>
      <c r="AC98" s="74"/>
      <c r="AD98" s="74"/>
      <c r="AE98" s="74"/>
      <c r="AF98" s="74"/>
    </row>
    <row r="99" spans="1:32" s="99" customFormat="1" ht="15" customHeight="1">
      <c r="A99" s="100"/>
      <c r="B99" s="98">
        <f>'115+740'!B100</f>
        <v>45158</v>
      </c>
      <c r="C99" s="97">
        <f t="shared" si="18"/>
        <v>1</v>
      </c>
      <c r="D99" s="96">
        <f t="shared" si="19"/>
        <v>1069</v>
      </c>
      <c r="E99" s="95">
        <f>VLOOKUP(B99,'115+740'!B100:AB201,3,FALSE)</f>
        <v>1448</v>
      </c>
      <c r="F99" s="92">
        <f t="shared" si="14"/>
        <v>2517</v>
      </c>
      <c r="G99" s="94">
        <f ca="1">VLOOKUP(B99,'115+740'!$B$15:$AB$115,20,FALSE)</f>
        <v>860</v>
      </c>
      <c r="H99" s="94">
        <f ca="1">VLOOKUP(B99,'115+740'!$B$15:$AB$115,4,FALSE)</f>
        <v>617</v>
      </c>
      <c r="I99" s="91">
        <f t="shared" ca="1" si="15"/>
        <v>1900</v>
      </c>
      <c r="J99" s="91">
        <f ca="1">VLOOKUP(B99,'115+740'!$B$15:$AB$115,13,FALSE)</f>
        <v>-100</v>
      </c>
      <c r="K99" s="89">
        <f>'115+740'!Q100</f>
        <v>0</v>
      </c>
      <c r="L99" s="88">
        <f t="shared" ca="1" si="20"/>
        <v>140</v>
      </c>
      <c r="M99" s="93">
        <f ca="1">VLOOKUP(B99,'115+740'!$B$14:$AB$115,21,FALSE)</f>
        <v>897</v>
      </c>
      <c r="N99" s="92">
        <f ca="1">VLOOKUP(B99,'115+740'!$B$15:$AB$115,5,FALSE)</f>
        <v>630</v>
      </c>
      <c r="O99" s="91">
        <f t="shared" ca="1" si="16"/>
        <v>1887</v>
      </c>
      <c r="P99" s="91">
        <f ca="1">VLOOKUP(B99,'115+740'!$B$15:$AB$115,14,FALSE)</f>
        <v>-113</v>
      </c>
      <c r="Q99" s="89">
        <f>'115+740'!R100</f>
        <v>0</v>
      </c>
      <c r="R99" s="88">
        <f t="shared" ca="1" si="21"/>
        <v>103</v>
      </c>
      <c r="S99" s="93">
        <f ca="1">VLOOKUP(B99,'115+740'!$B$14:$AB$115,22,FALSE)</f>
        <v>874</v>
      </c>
      <c r="T99" s="92">
        <f ca="1">VLOOKUP(B99,'115+740'!$B$15:$AB$115,6,FALSE)</f>
        <v>683</v>
      </c>
      <c r="U99" s="91">
        <f t="shared" ca="1" si="17"/>
        <v>1834</v>
      </c>
      <c r="V99" s="90">
        <f ca="1">VLOOKUP(B99,'115+740'!$B$15:$AB$115,15,FALSE)</f>
        <v>-166</v>
      </c>
      <c r="W99" s="89">
        <f>'115+740'!S100</f>
        <v>0</v>
      </c>
      <c r="X99" s="88">
        <f t="shared" ca="1" si="22"/>
        <v>126</v>
      </c>
      <c r="Y99" s="87">
        <f t="shared" ca="1" si="23"/>
        <v>0</v>
      </c>
      <c r="Z99" s="86">
        <f t="shared" ca="1" si="24"/>
        <v>0</v>
      </c>
      <c r="AA99" s="85">
        <f t="shared" ca="1" si="25"/>
        <v>1.0069999999999999</v>
      </c>
      <c r="AB99" s="85">
        <f t="shared" ca="1" si="26"/>
        <v>0.80400000000000005</v>
      </c>
      <c r="AC99" s="74"/>
      <c r="AD99" s="74"/>
      <c r="AE99" s="74"/>
      <c r="AF99" s="74"/>
    </row>
    <row r="100" spans="1:32" s="99" customFormat="1" ht="15" customHeight="1">
      <c r="A100" s="100"/>
      <c r="B100" s="98">
        <f>'115+740'!B101</f>
        <v>45159</v>
      </c>
      <c r="C100" s="97">
        <f t="shared" si="18"/>
        <v>1</v>
      </c>
      <c r="D100" s="96">
        <f t="shared" si="19"/>
        <v>1069</v>
      </c>
      <c r="E100" s="95">
        <f>VLOOKUP(B100,'115+740'!B101:AB202,3,FALSE)</f>
        <v>1446</v>
      </c>
      <c r="F100" s="92">
        <f t="shared" si="14"/>
        <v>2515</v>
      </c>
      <c r="G100" s="94">
        <f ca="1">VLOOKUP(B100,'115+740'!$B$15:$AB$115,20,FALSE)</f>
        <v>860</v>
      </c>
      <c r="H100" s="94">
        <f ca="1">VLOOKUP(B100,'115+740'!$B$15:$AB$115,4,FALSE)</f>
        <v>615</v>
      </c>
      <c r="I100" s="91">
        <f t="shared" ca="1" si="15"/>
        <v>1900</v>
      </c>
      <c r="J100" s="91">
        <f ca="1">VLOOKUP(B100,'115+740'!$B$15:$AB$115,13,FALSE)</f>
        <v>-100</v>
      </c>
      <c r="K100" s="89">
        <f>'115+740'!Q101</f>
        <v>0</v>
      </c>
      <c r="L100" s="88">
        <f t="shared" ca="1" si="20"/>
        <v>140</v>
      </c>
      <c r="M100" s="93">
        <f ca="1">VLOOKUP(B100,'115+740'!$B$14:$AB$115,21,FALSE)</f>
        <v>897</v>
      </c>
      <c r="N100" s="92">
        <f ca="1">VLOOKUP(B100,'115+740'!$B$15:$AB$115,5,FALSE)</f>
        <v>628</v>
      </c>
      <c r="O100" s="91">
        <f t="shared" ca="1" si="16"/>
        <v>1887</v>
      </c>
      <c r="P100" s="91">
        <f ca="1">VLOOKUP(B100,'115+740'!$B$15:$AB$115,14,FALSE)</f>
        <v>-113</v>
      </c>
      <c r="Q100" s="89">
        <f>'115+740'!R101</f>
        <v>0</v>
      </c>
      <c r="R100" s="88">
        <f t="shared" ca="1" si="21"/>
        <v>103</v>
      </c>
      <c r="S100" s="93">
        <f ca="1">VLOOKUP(B100,'115+740'!$B$14:$AB$115,22,FALSE)</f>
        <v>874</v>
      </c>
      <c r="T100" s="92">
        <f ca="1">VLOOKUP(B100,'115+740'!$B$15:$AB$115,6,FALSE)</f>
        <v>681</v>
      </c>
      <c r="U100" s="91">
        <f t="shared" ca="1" si="17"/>
        <v>1834</v>
      </c>
      <c r="V100" s="90">
        <f ca="1">VLOOKUP(B100,'115+740'!$B$15:$AB$115,15,FALSE)</f>
        <v>-166</v>
      </c>
      <c r="W100" s="89">
        <f>'115+740'!S101</f>
        <v>0</v>
      </c>
      <c r="X100" s="88">
        <f t="shared" ca="1" si="22"/>
        <v>126</v>
      </c>
      <c r="Y100" s="87">
        <f t="shared" ca="1" si="23"/>
        <v>0</v>
      </c>
      <c r="Z100" s="86">
        <f t="shared" ca="1" si="24"/>
        <v>0</v>
      </c>
      <c r="AA100" s="85">
        <f t="shared" ca="1" si="25"/>
        <v>1.0069999999999999</v>
      </c>
      <c r="AB100" s="85">
        <f t="shared" ca="1" si="26"/>
        <v>0.80400000000000005</v>
      </c>
      <c r="AC100" s="74"/>
      <c r="AD100" s="74"/>
      <c r="AE100" s="74"/>
      <c r="AF100" s="74"/>
    </row>
    <row r="101" spans="1:32" s="99" customFormat="1" ht="15" customHeight="1">
      <c r="A101" s="100"/>
      <c r="B101" s="98">
        <f>'115+740'!B102</f>
        <v>45160</v>
      </c>
      <c r="C101" s="97">
        <f t="shared" si="18"/>
        <v>1</v>
      </c>
      <c r="D101" s="96">
        <f t="shared" si="19"/>
        <v>1069</v>
      </c>
      <c r="E101" s="95">
        <f>VLOOKUP(B101,'115+740'!B102:AB203,3,FALSE)</f>
        <v>1444</v>
      </c>
      <c r="F101" s="92">
        <f t="shared" si="14"/>
        <v>2513</v>
      </c>
      <c r="G101" s="94">
        <f ca="1">VLOOKUP(B101,'115+740'!$B$15:$AB$115,20,FALSE)</f>
        <v>860</v>
      </c>
      <c r="H101" s="94">
        <f ca="1">VLOOKUP(B101,'115+740'!$B$15:$AB$115,4,FALSE)</f>
        <v>613</v>
      </c>
      <c r="I101" s="91">
        <f t="shared" ca="1" si="15"/>
        <v>1900</v>
      </c>
      <c r="J101" s="91">
        <f ca="1">VLOOKUP(B101,'115+740'!$B$15:$AB$115,13,FALSE)</f>
        <v>-100</v>
      </c>
      <c r="K101" s="89">
        <f>'115+740'!Q102</f>
        <v>0</v>
      </c>
      <c r="L101" s="88">
        <f t="shared" ca="1" si="20"/>
        <v>140</v>
      </c>
      <c r="M101" s="93">
        <f ca="1">VLOOKUP(B101,'115+740'!$B$14:$AB$115,21,FALSE)</f>
        <v>897</v>
      </c>
      <c r="N101" s="92">
        <f ca="1">VLOOKUP(B101,'115+740'!$B$15:$AB$115,5,FALSE)</f>
        <v>626</v>
      </c>
      <c r="O101" s="91">
        <f t="shared" ca="1" si="16"/>
        <v>1887</v>
      </c>
      <c r="P101" s="91">
        <f ca="1">VLOOKUP(B101,'115+740'!$B$15:$AB$115,14,FALSE)</f>
        <v>-113</v>
      </c>
      <c r="Q101" s="89">
        <f>'115+740'!R102</f>
        <v>0</v>
      </c>
      <c r="R101" s="88">
        <f t="shared" ca="1" si="21"/>
        <v>103</v>
      </c>
      <c r="S101" s="93">
        <f ca="1">VLOOKUP(B101,'115+740'!$B$14:$AB$115,22,FALSE)</f>
        <v>874</v>
      </c>
      <c r="T101" s="92">
        <f ca="1">VLOOKUP(B101,'115+740'!$B$15:$AB$115,6,FALSE)</f>
        <v>679</v>
      </c>
      <c r="U101" s="91">
        <f t="shared" ca="1" si="17"/>
        <v>1834</v>
      </c>
      <c r="V101" s="90">
        <f ca="1">VLOOKUP(B101,'115+740'!$B$15:$AB$115,15,FALSE)</f>
        <v>-166</v>
      </c>
      <c r="W101" s="89">
        <f>'115+740'!S102</f>
        <v>0</v>
      </c>
      <c r="X101" s="88">
        <f t="shared" ca="1" si="22"/>
        <v>126</v>
      </c>
      <c r="Y101" s="87">
        <f t="shared" ca="1" si="23"/>
        <v>0</v>
      </c>
      <c r="Z101" s="86">
        <f t="shared" ca="1" si="24"/>
        <v>0</v>
      </c>
      <c r="AA101" s="85">
        <f t="shared" ca="1" si="25"/>
        <v>1.0069999999999999</v>
      </c>
      <c r="AB101" s="85">
        <f t="shared" ca="1" si="26"/>
        <v>0.80400000000000005</v>
      </c>
      <c r="AC101" s="74"/>
      <c r="AD101" s="74"/>
      <c r="AE101" s="74"/>
      <c r="AF101" s="74"/>
    </row>
    <row r="102" spans="1:32" s="99" customFormat="1" ht="15" customHeight="1">
      <c r="A102" s="100"/>
      <c r="B102" s="98">
        <f>'115+740'!B103</f>
        <v>45161</v>
      </c>
      <c r="C102" s="97">
        <f t="shared" si="18"/>
        <v>1</v>
      </c>
      <c r="D102" s="96">
        <f t="shared" si="19"/>
        <v>1069</v>
      </c>
      <c r="E102" s="95">
        <f>VLOOKUP(B102,'115+740'!B103:AB204,3,FALSE)</f>
        <v>1442</v>
      </c>
      <c r="F102" s="92">
        <f t="shared" si="14"/>
        <v>2511</v>
      </c>
      <c r="G102" s="94">
        <f ca="1">VLOOKUP(B102,'115+740'!$B$15:$AB$115,20,FALSE)</f>
        <v>860</v>
      </c>
      <c r="H102" s="94">
        <f ca="1">VLOOKUP(B102,'115+740'!$B$15:$AB$115,4,FALSE)</f>
        <v>611</v>
      </c>
      <c r="I102" s="91">
        <f t="shared" ca="1" si="15"/>
        <v>1900</v>
      </c>
      <c r="J102" s="91">
        <f ca="1">VLOOKUP(B102,'115+740'!$B$15:$AB$115,13,FALSE)</f>
        <v>-100</v>
      </c>
      <c r="K102" s="89">
        <f>'115+740'!Q103</f>
        <v>0</v>
      </c>
      <c r="L102" s="88">
        <f t="shared" ca="1" si="20"/>
        <v>140</v>
      </c>
      <c r="M102" s="93">
        <f ca="1">VLOOKUP(B102,'115+740'!$B$14:$AB$115,21,FALSE)</f>
        <v>897</v>
      </c>
      <c r="N102" s="92">
        <f ca="1">VLOOKUP(B102,'115+740'!$B$15:$AB$115,5,FALSE)</f>
        <v>624</v>
      </c>
      <c r="O102" s="91">
        <f t="shared" ca="1" si="16"/>
        <v>1887</v>
      </c>
      <c r="P102" s="91">
        <f ca="1">VLOOKUP(B102,'115+740'!$B$15:$AB$115,14,FALSE)</f>
        <v>-113</v>
      </c>
      <c r="Q102" s="89">
        <f>'115+740'!R103</f>
        <v>0</v>
      </c>
      <c r="R102" s="88">
        <f t="shared" ca="1" si="21"/>
        <v>103</v>
      </c>
      <c r="S102" s="93">
        <f ca="1">VLOOKUP(B102,'115+740'!$B$14:$AB$115,22,FALSE)</f>
        <v>874</v>
      </c>
      <c r="T102" s="92">
        <f ca="1">VLOOKUP(B102,'115+740'!$B$15:$AB$115,6,FALSE)</f>
        <v>677</v>
      </c>
      <c r="U102" s="91">
        <f t="shared" ca="1" si="17"/>
        <v>1834</v>
      </c>
      <c r="V102" s="90">
        <f ca="1">VLOOKUP(B102,'115+740'!$B$15:$AB$115,15,FALSE)</f>
        <v>-166</v>
      </c>
      <c r="W102" s="89">
        <f>'115+740'!S103</f>
        <v>0</v>
      </c>
      <c r="X102" s="88">
        <f t="shared" ca="1" si="22"/>
        <v>126</v>
      </c>
      <c r="Y102" s="87">
        <f t="shared" ca="1" si="23"/>
        <v>0</v>
      </c>
      <c r="Z102" s="86">
        <f t="shared" ca="1" si="24"/>
        <v>0</v>
      </c>
      <c r="AA102" s="85">
        <f t="shared" ca="1" si="25"/>
        <v>1.0069999999999999</v>
      </c>
      <c r="AB102" s="85">
        <f t="shared" ca="1" si="26"/>
        <v>0.80400000000000005</v>
      </c>
      <c r="AC102" s="74"/>
      <c r="AD102" s="74"/>
      <c r="AE102" s="74"/>
      <c r="AF102" s="74"/>
    </row>
    <row r="103" spans="1:32" s="99" customFormat="1" ht="15" customHeight="1">
      <c r="A103" s="100"/>
      <c r="B103" s="98">
        <f>'115+740'!B104</f>
        <v>45162</v>
      </c>
      <c r="C103" s="97">
        <f t="shared" si="18"/>
        <v>1</v>
      </c>
      <c r="D103" s="96">
        <f t="shared" si="19"/>
        <v>1069</v>
      </c>
      <c r="E103" s="95">
        <f>VLOOKUP(B103,'115+740'!B104:AB205,3,FALSE)</f>
        <v>1440</v>
      </c>
      <c r="F103" s="92">
        <f t="shared" si="14"/>
        <v>2509</v>
      </c>
      <c r="G103" s="94">
        <f ca="1">VLOOKUP(B103,'115+740'!$B$15:$AB$115,20,FALSE)</f>
        <v>860</v>
      </c>
      <c r="H103" s="94">
        <f ca="1">VLOOKUP(B103,'115+740'!$B$15:$AB$115,4,FALSE)</f>
        <v>609</v>
      </c>
      <c r="I103" s="91">
        <f t="shared" ca="1" si="15"/>
        <v>1900</v>
      </c>
      <c r="J103" s="91">
        <f ca="1">VLOOKUP(B103,'115+740'!$B$15:$AB$115,13,FALSE)</f>
        <v>-100</v>
      </c>
      <c r="K103" s="89">
        <f>'115+740'!Q104</f>
        <v>0</v>
      </c>
      <c r="L103" s="88">
        <f t="shared" ca="1" si="20"/>
        <v>140</v>
      </c>
      <c r="M103" s="93">
        <f ca="1">VLOOKUP(B103,'115+740'!$B$14:$AB$115,21,FALSE)</f>
        <v>897</v>
      </c>
      <c r="N103" s="92">
        <f ca="1">VLOOKUP(B103,'115+740'!$B$15:$AB$115,5,FALSE)</f>
        <v>622</v>
      </c>
      <c r="O103" s="91">
        <f t="shared" ca="1" si="16"/>
        <v>1887</v>
      </c>
      <c r="P103" s="91">
        <f ca="1">VLOOKUP(B103,'115+740'!$B$15:$AB$115,14,FALSE)</f>
        <v>-113</v>
      </c>
      <c r="Q103" s="89">
        <f>'115+740'!R104</f>
        <v>0</v>
      </c>
      <c r="R103" s="88">
        <f t="shared" ca="1" si="21"/>
        <v>103</v>
      </c>
      <c r="S103" s="93">
        <f ca="1">VLOOKUP(B103,'115+740'!$B$14:$AB$115,22,FALSE)</f>
        <v>874</v>
      </c>
      <c r="T103" s="92">
        <f ca="1">VLOOKUP(B103,'115+740'!$B$15:$AB$115,6,FALSE)</f>
        <v>675</v>
      </c>
      <c r="U103" s="91">
        <f t="shared" ca="1" si="17"/>
        <v>1834</v>
      </c>
      <c r="V103" s="90">
        <f ca="1">VLOOKUP(B103,'115+740'!$B$15:$AB$115,15,FALSE)</f>
        <v>-166</v>
      </c>
      <c r="W103" s="89">
        <f>'115+740'!S104</f>
        <v>0</v>
      </c>
      <c r="X103" s="88">
        <f t="shared" ca="1" si="22"/>
        <v>126</v>
      </c>
      <c r="Y103" s="87">
        <f t="shared" ca="1" si="23"/>
        <v>0</v>
      </c>
      <c r="Z103" s="86">
        <f t="shared" ca="1" si="24"/>
        <v>0</v>
      </c>
      <c r="AA103" s="85">
        <f t="shared" ca="1" si="25"/>
        <v>1.0069999999999999</v>
      </c>
      <c r="AB103" s="85">
        <f t="shared" ca="1" si="26"/>
        <v>0.80400000000000005</v>
      </c>
      <c r="AC103" s="74"/>
      <c r="AD103" s="74"/>
      <c r="AE103" s="74"/>
      <c r="AF103" s="74"/>
    </row>
    <row r="104" spans="1:32" s="99" customFormat="1" ht="15" customHeight="1">
      <c r="A104" s="100"/>
      <c r="B104" s="98">
        <f>'115+740'!B105</f>
        <v>45163</v>
      </c>
      <c r="C104" s="97">
        <f t="shared" si="18"/>
        <v>1</v>
      </c>
      <c r="D104" s="96">
        <f t="shared" si="19"/>
        <v>1069</v>
      </c>
      <c r="E104" s="95">
        <f>VLOOKUP(B104,'115+740'!B105:AB206,3,FALSE)</f>
        <v>1438</v>
      </c>
      <c r="F104" s="92">
        <f t="shared" si="14"/>
        <v>2507</v>
      </c>
      <c r="G104" s="94">
        <f ca="1">VLOOKUP(B104,'115+740'!$B$15:$AB$115,20,FALSE)</f>
        <v>860</v>
      </c>
      <c r="H104" s="94">
        <f ca="1">VLOOKUP(B104,'115+740'!$B$15:$AB$115,4,FALSE)</f>
        <v>607</v>
      </c>
      <c r="I104" s="91">
        <f t="shared" ca="1" si="15"/>
        <v>1900</v>
      </c>
      <c r="J104" s="91">
        <f ca="1">VLOOKUP(B104,'115+740'!$B$15:$AB$115,13,FALSE)</f>
        <v>-100</v>
      </c>
      <c r="K104" s="89">
        <f>'115+740'!Q105</f>
        <v>0</v>
      </c>
      <c r="L104" s="88">
        <f t="shared" ca="1" si="20"/>
        <v>140</v>
      </c>
      <c r="M104" s="93">
        <f ca="1">VLOOKUP(B104,'115+740'!$B$14:$AB$115,21,FALSE)</f>
        <v>897</v>
      </c>
      <c r="N104" s="92">
        <f ca="1">VLOOKUP(B104,'115+740'!$B$15:$AB$115,5,FALSE)</f>
        <v>620</v>
      </c>
      <c r="O104" s="91">
        <f t="shared" ca="1" si="16"/>
        <v>1887</v>
      </c>
      <c r="P104" s="91">
        <f ca="1">VLOOKUP(B104,'115+740'!$B$15:$AB$115,14,FALSE)</f>
        <v>-113</v>
      </c>
      <c r="Q104" s="89">
        <f>'115+740'!R105</f>
        <v>0</v>
      </c>
      <c r="R104" s="88">
        <f t="shared" ca="1" si="21"/>
        <v>103</v>
      </c>
      <c r="S104" s="93">
        <f ca="1">VLOOKUP(B104,'115+740'!$B$14:$AB$115,22,FALSE)</f>
        <v>874</v>
      </c>
      <c r="T104" s="92">
        <f ca="1">VLOOKUP(B104,'115+740'!$B$15:$AB$115,6,FALSE)</f>
        <v>673</v>
      </c>
      <c r="U104" s="91">
        <f t="shared" ca="1" si="17"/>
        <v>1834</v>
      </c>
      <c r="V104" s="90">
        <f ca="1">VLOOKUP(B104,'115+740'!$B$15:$AB$115,15,FALSE)</f>
        <v>-166</v>
      </c>
      <c r="W104" s="89">
        <f>'115+740'!S105</f>
        <v>0</v>
      </c>
      <c r="X104" s="88">
        <f t="shared" ca="1" si="22"/>
        <v>126</v>
      </c>
      <c r="Y104" s="87">
        <f t="shared" ca="1" si="23"/>
        <v>0</v>
      </c>
      <c r="Z104" s="86">
        <f t="shared" ca="1" si="24"/>
        <v>0</v>
      </c>
      <c r="AA104" s="85">
        <f t="shared" ca="1" si="25"/>
        <v>1.0069999999999999</v>
      </c>
      <c r="AB104" s="85">
        <f t="shared" ca="1" si="26"/>
        <v>0.80400000000000005</v>
      </c>
      <c r="AC104" s="74"/>
      <c r="AD104" s="74"/>
      <c r="AE104" s="74"/>
      <c r="AF104" s="74"/>
    </row>
    <row r="105" spans="1:32" s="99" customFormat="1" ht="15" customHeight="1">
      <c r="A105" s="100"/>
      <c r="B105" s="98">
        <f>'115+740'!B106</f>
        <v>45164</v>
      </c>
      <c r="C105" s="97">
        <f t="shared" si="18"/>
        <v>1</v>
      </c>
      <c r="D105" s="96">
        <f t="shared" si="19"/>
        <v>1069</v>
      </c>
      <c r="E105" s="95">
        <f>VLOOKUP(B105,'115+740'!B106:AB207,3,FALSE)</f>
        <v>1436</v>
      </c>
      <c r="F105" s="92">
        <f t="shared" si="14"/>
        <v>2505</v>
      </c>
      <c r="G105" s="94">
        <f ca="1">VLOOKUP(B105,'115+740'!$B$15:$AB$115,20,FALSE)</f>
        <v>860</v>
      </c>
      <c r="H105" s="94">
        <f ca="1">VLOOKUP(B105,'115+740'!$B$15:$AB$115,4,FALSE)</f>
        <v>605</v>
      </c>
      <c r="I105" s="91">
        <f t="shared" ca="1" si="15"/>
        <v>1900</v>
      </c>
      <c r="J105" s="91">
        <f ca="1">VLOOKUP(B105,'115+740'!$B$15:$AB$115,13,FALSE)</f>
        <v>-100</v>
      </c>
      <c r="K105" s="89">
        <f>'115+740'!Q106</f>
        <v>0</v>
      </c>
      <c r="L105" s="88">
        <f t="shared" ca="1" si="20"/>
        <v>140</v>
      </c>
      <c r="M105" s="93">
        <f ca="1">VLOOKUP(B105,'115+740'!$B$14:$AB$115,21,FALSE)</f>
        <v>897</v>
      </c>
      <c r="N105" s="92">
        <f ca="1">VLOOKUP(B105,'115+740'!$B$15:$AB$115,5,FALSE)</f>
        <v>618</v>
      </c>
      <c r="O105" s="91">
        <f t="shared" ca="1" si="16"/>
        <v>1887</v>
      </c>
      <c r="P105" s="91">
        <f ca="1">VLOOKUP(B105,'115+740'!$B$15:$AB$115,14,FALSE)</f>
        <v>-113</v>
      </c>
      <c r="Q105" s="89">
        <f>'115+740'!R106</f>
        <v>0</v>
      </c>
      <c r="R105" s="88">
        <f t="shared" ca="1" si="21"/>
        <v>103</v>
      </c>
      <c r="S105" s="93">
        <f ca="1">VLOOKUP(B105,'115+740'!$B$14:$AB$115,22,FALSE)</f>
        <v>874</v>
      </c>
      <c r="T105" s="92">
        <f ca="1">VLOOKUP(B105,'115+740'!$B$15:$AB$115,6,FALSE)</f>
        <v>671</v>
      </c>
      <c r="U105" s="91">
        <f t="shared" ca="1" si="17"/>
        <v>1834</v>
      </c>
      <c r="V105" s="90">
        <f ca="1">VLOOKUP(B105,'115+740'!$B$15:$AB$115,15,FALSE)</f>
        <v>-166</v>
      </c>
      <c r="W105" s="89">
        <f>'115+740'!S106</f>
        <v>0</v>
      </c>
      <c r="X105" s="88">
        <f t="shared" ca="1" si="22"/>
        <v>126</v>
      </c>
      <c r="Y105" s="87">
        <f t="shared" ca="1" si="23"/>
        <v>0</v>
      </c>
      <c r="Z105" s="86">
        <f t="shared" ca="1" si="24"/>
        <v>0</v>
      </c>
      <c r="AA105" s="85">
        <f t="shared" ca="1" si="25"/>
        <v>1.0069999999999999</v>
      </c>
      <c r="AB105" s="85">
        <f t="shared" ca="1" si="26"/>
        <v>0.80400000000000005</v>
      </c>
      <c r="AC105" s="74"/>
      <c r="AD105" s="74"/>
      <c r="AE105" s="74"/>
      <c r="AF105" s="74"/>
    </row>
    <row r="106" spans="1:32" s="99" customFormat="1" ht="15" customHeight="1">
      <c r="A106" s="100"/>
      <c r="B106" s="98">
        <f>'115+740'!B107</f>
        <v>45165</v>
      </c>
      <c r="C106" s="97">
        <f t="shared" si="18"/>
        <v>1</v>
      </c>
      <c r="D106" s="96">
        <f t="shared" si="19"/>
        <v>1069</v>
      </c>
      <c r="E106" s="95">
        <f>VLOOKUP(B106,'115+740'!B107:AB208,3,FALSE)</f>
        <v>1434</v>
      </c>
      <c r="F106" s="92">
        <f t="shared" si="14"/>
        <v>2503</v>
      </c>
      <c r="G106" s="94">
        <f ca="1">VLOOKUP(B106,'115+740'!$B$15:$AB$115,20,FALSE)</f>
        <v>860</v>
      </c>
      <c r="H106" s="94">
        <f ca="1">VLOOKUP(B106,'115+740'!$B$15:$AB$115,4,FALSE)</f>
        <v>603</v>
      </c>
      <c r="I106" s="91">
        <f t="shared" ca="1" si="15"/>
        <v>1900</v>
      </c>
      <c r="J106" s="91">
        <f ca="1">VLOOKUP(B106,'115+740'!$B$15:$AB$115,13,FALSE)</f>
        <v>-100</v>
      </c>
      <c r="K106" s="89">
        <f>'115+740'!Q107</f>
        <v>0</v>
      </c>
      <c r="L106" s="88">
        <f t="shared" ca="1" si="20"/>
        <v>140</v>
      </c>
      <c r="M106" s="93">
        <f ca="1">VLOOKUP(B106,'115+740'!$B$14:$AB$115,21,FALSE)</f>
        <v>897</v>
      </c>
      <c r="N106" s="92">
        <f ca="1">VLOOKUP(B106,'115+740'!$B$15:$AB$115,5,FALSE)</f>
        <v>616</v>
      </c>
      <c r="O106" s="91">
        <f t="shared" ca="1" si="16"/>
        <v>1887</v>
      </c>
      <c r="P106" s="91">
        <f ca="1">VLOOKUP(B106,'115+740'!$B$15:$AB$115,14,FALSE)</f>
        <v>-113</v>
      </c>
      <c r="Q106" s="89">
        <f>'115+740'!R107</f>
        <v>0</v>
      </c>
      <c r="R106" s="88">
        <f t="shared" ca="1" si="21"/>
        <v>103</v>
      </c>
      <c r="S106" s="93">
        <f ca="1">VLOOKUP(B106,'115+740'!$B$14:$AB$115,22,FALSE)</f>
        <v>874</v>
      </c>
      <c r="T106" s="92">
        <f ca="1">VLOOKUP(B106,'115+740'!$B$15:$AB$115,6,FALSE)</f>
        <v>669</v>
      </c>
      <c r="U106" s="91">
        <f t="shared" ca="1" si="17"/>
        <v>1834</v>
      </c>
      <c r="V106" s="90">
        <f ca="1">VLOOKUP(B106,'115+740'!$B$15:$AB$115,15,FALSE)</f>
        <v>-166</v>
      </c>
      <c r="W106" s="89">
        <f>'115+740'!S107</f>
        <v>0</v>
      </c>
      <c r="X106" s="88">
        <f t="shared" ca="1" si="22"/>
        <v>126</v>
      </c>
      <c r="Y106" s="87">
        <f t="shared" ca="1" si="23"/>
        <v>0</v>
      </c>
      <c r="Z106" s="86">
        <f t="shared" ca="1" si="24"/>
        <v>0</v>
      </c>
      <c r="AA106" s="85">
        <f t="shared" ca="1" si="25"/>
        <v>1.0069999999999999</v>
      </c>
      <c r="AB106" s="85">
        <f t="shared" ca="1" si="26"/>
        <v>0.80400000000000005</v>
      </c>
      <c r="AC106" s="74"/>
      <c r="AD106" s="74"/>
      <c r="AE106" s="74"/>
      <c r="AF106" s="74"/>
    </row>
    <row r="107" spans="1:32" s="99" customFormat="1" ht="15" customHeight="1">
      <c r="A107" s="100"/>
      <c r="B107" s="98">
        <f>'115+740'!B108</f>
        <v>45166</v>
      </c>
      <c r="C107" s="97">
        <f t="shared" si="18"/>
        <v>1</v>
      </c>
      <c r="D107" s="96">
        <f t="shared" si="19"/>
        <v>1069</v>
      </c>
      <c r="E107" s="95">
        <f>VLOOKUP(B107,'115+740'!B108:AB209,3,FALSE)</f>
        <v>1432</v>
      </c>
      <c r="F107" s="92">
        <f t="shared" si="14"/>
        <v>2501</v>
      </c>
      <c r="G107" s="94">
        <f ca="1">VLOOKUP(B107,'115+740'!$B$15:$AB$115,20,FALSE)</f>
        <v>860</v>
      </c>
      <c r="H107" s="94">
        <f ca="1">VLOOKUP(B107,'115+740'!$B$15:$AB$115,4,FALSE)</f>
        <v>601</v>
      </c>
      <c r="I107" s="91">
        <f t="shared" ca="1" si="15"/>
        <v>1900</v>
      </c>
      <c r="J107" s="91">
        <f ca="1">VLOOKUP(B107,'115+740'!$B$15:$AB$115,13,FALSE)</f>
        <v>-100</v>
      </c>
      <c r="K107" s="89">
        <f>'115+740'!Q108</f>
        <v>0</v>
      </c>
      <c r="L107" s="88">
        <f t="shared" ca="1" si="20"/>
        <v>140</v>
      </c>
      <c r="M107" s="93">
        <f ca="1">VLOOKUP(B107,'115+740'!$B$14:$AB$115,21,FALSE)</f>
        <v>897</v>
      </c>
      <c r="N107" s="92">
        <f ca="1">VLOOKUP(B107,'115+740'!$B$15:$AB$115,5,FALSE)</f>
        <v>614</v>
      </c>
      <c r="O107" s="91">
        <f t="shared" ca="1" si="16"/>
        <v>1887</v>
      </c>
      <c r="P107" s="91">
        <f ca="1">VLOOKUP(B107,'115+740'!$B$15:$AB$115,14,FALSE)</f>
        <v>-113</v>
      </c>
      <c r="Q107" s="89">
        <f>'115+740'!R108</f>
        <v>0</v>
      </c>
      <c r="R107" s="88">
        <f t="shared" ca="1" si="21"/>
        <v>103</v>
      </c>
      <c r="S107" s="93">
        <f ca="1">VLOOKUP(B107,'115+740'!$B$14:$AB$115,22,FALSE)</f>
        <v>874</v>
      </c>
      <c r="T107" s="92">
        <f ca="1">VLOOKUP(B107,'115+740'!$B$15:$AB$115,6,FALSE)</f>
        <v>667</v>
      </c>
      <c r="U107" s="91">
        <f t="shared" ca="1" si="17"/>
        <v>1834</v>
      </c>
      <c r="V107" s="90">
        <f ca="1">VLOOKUP(B107,'115+740'!$B$15:$AB$115,15,FALSE)</f>
        <v>-166</v>
      </c>
      <c r="W107" s="89">
        <f>'115+740'!S108</f>
        <v>0</v>
      </c>
      <c r="X107" s="88">
        <f t="shared" ca="1" si="22"/>
        <v>126</v>
      </c>
      <c r="Y107" s="87">
        <f t="shared" ca="1" si="23"/>
        <v>0</v>
      </c>
      <c r="Z107" s="86">
        <f t="shared" ca="1" si="24"/>
        <v>0</v>
      </c>
      <c r="AA107" s="85">
        <f t="shared" ca="1" si="25"/>
        <v>1.0069999999999999</v>
      </c>
      <c r="AB107" s="85">
        <f t="shared" ca="1" si="26"/>
        <v>0.80400000000000005</v>
      </c>
      <c r="AC107" s="74"/>
      <c r="AD107" s="74"/>
      <c r="AE107" s="74"/>
      <c r="AF107" s="74"/>
    </row>
    <row r="108" spans="1:32" s="99" customFormat="1" ht="15" customHeight="1">
      <c r="A108" s="100"/>
      <c r="B108" s="98">
        <f>'115+740'!B109</f>
        <v>45167</v>
      </c>
      <c r="C108" s="97">
        <f t="shared" si="18"/>
        <v>1</v>
      </c>
      <c r="D108" s="96">
        <f t="shared" si="19"/>
        <v>1069</v>
      </c>
      <c r="E108" s="95">
        <f>VLOOKUP(B108,'115+740'!B109:AB210,3,FALSE)</f>
        <v>1430</v>
      </c>
      <c r="F108" s="92">
        <f t="shared" si="14"/>
        <v>2499</v>
      </c>
      <c r="G108" s="94">
        <f ca="1">VLOOKUP(B108,'115+740'!$B$15:$AB$115,20,FALSE)</f>
        <v>860</v>
      </c>
      <c r="H108" s="94">
        <f ca="1">VLOOKUP(B108,'115+740'!$B$15:$AB$115,4,FALSE)</f>
        <v>599</v>
      </c>
      <c r="I108" s="91">
        <f t="shared" ca="1" si="15"/>
        <v>1900</v>
      </c>
      <c r="J108" s="91">
        <f ca="1">VLOOKUP(B108,'115+740'!$B$15:$AB$115,13,FALSE)</f>
        <v>-100</v>
      </c>
      <c r="K108" s="89">
        <f>'115+740'!Q109</f>
        <v>0</v>
      </c>
      <c r="L108" s="88">
        <f t="shared" ca="1" si="20"/>
        <v>140</v>
      </c>
      <c r="M108" s="93">
        <f ca="1">VLOOKUP(B108,'115+740'!$B$14:$AB$115,21,FALSE)</f>
        <v>897</v>
      </c>
      <c r="N108" s="92">
        <f ca="1">VLOOKUP(B108,'115+740'!$B$15:$AB$115,5,FALSE)</f>
        <v>612</v>
      </c>
      <c r="O108" s="91">
        <f t="shared" ca="1" si="16"/>
        <v>1887</v>
      </c>
      <c r="P108" s="91">
        <f ca="1">VLOOKUP(B108,'115+740'!$B$15:$AB$115,14,FALSE)</f>
        <v>-113</v>
      </c>
      <c r="Q108" s="89">
        <f>'115+740'!R109</f>
        <v>0</v>
      </c>
      <c r="R108" s="88">
        <f t="shared" ca="1" si="21"/>
        <v>103</v>
      </c>
      <c r="S108" s="93">
        <f ca="1">VLOOKUP(B108,'115+740'!$B$14:$AB$115,22,FALSE)</f>
        <v>874</v>
      </c>
      <c r="T108" s="92">
        <f ca="1">VLOOKUP(B108,'115+740'!$B$15:$AB$115,6,FALSE)</f>
        <v>665</v>
      </c>
      <c r="U108" s="91">
        <f t="shared" ca="1" si="17"/>
        <v>1834</v>
      </c>
      <c r="V108" s="90">
        <f ca="1">VLOOKUP(B108,'115+740'!$B$15:$AB$115,15,FALSE)</f>
        <v>-166</v>
      </c>
      <c r="W108" s="89">
        <f>'115+740'!S109</f>
        <v>0</v>
      </c>
      <c r="X108" s="88">
        <f t="shared" ca="1" si="22"/>
        <v>126</v>
      </c>
      <c r="Y108" s="87">
        <f t="shared" ca="1" si="23"/>
        <v>0</v>
      </c>
      <c r="Z108" s="86">
        <f t="shared" ca="1" si="24"/>
        <v>0</v>
      </c>
      <c r="AA108" s="85">
        <f t="shared" ca="1" si="25"/>
        <v>1.0069999999999999</v>
      </c>
      <c r="AB108" s="85">
        <f t="shared" ca="1" si="26"/>
        <v>0.80400000000000005</v>
      </c>
      <c r="AC108" s="74"/>
      <c r="AD108" s="74"/>
      <c r="AE108" s="74"/>
      <c r="AF108" s="74"/>
    </row>
    <row r="109" spans="1:32" s="99" customFormat="1" ht="15" customHeight="1">
      <c r="A109" s="100"/>
      <c r="B109" s="98">
        <f>'115+740'!B110</f>
        <v>45168</v>
      </c>
      <c r="C109" s="97">
        <f t="shared" si="18"/>
        <v>1</v>
      </c>
      <c r="D109" s="96">
        <f t="shared" si="19"/>
        <v>1069</v>
      </c>
      <c r="E109" s="95">
        <f>VLOOKUP(B109,'115+740'!B110:AB211,3,FALSE)</f>
        <v>1428</v>
      </c>
      <c r="F109" s="92">
        <f t="shared" si="14"/>
        <v>2497</v>
      </c>
      <c r="G109" s="94">
        <f ca="1">VLOOKUP(B109,'115+740'!$B$15:$AB$115,20,FALSE)</f>
        <v>860</v>
      </c>
      <c r="H109" s="94">
        <f ca="1">VLOOKUP(B109,'115+740'!$B$15:$AB$115,4,FALSE)</f>
        <v>597</v>
      </c>
      <c r="I109" s="91">
        <f t="shared" ca="1" si="15"/>
        <v>1900</v>
      </c>
      <c r="J109" s="91">
        <f ca="1">VLOOKUP(B109,'115+740'!$B$15:$AB$115,13,FALSE)</f>
        <v>-100</v>
      </c>
      <c r="K109" s="89">
        <f>'115+740'!Q110</f>
        <v>0</v>
      </c>
      <c r="L109" s="88">
        <f t="shared" ca="1" si="20"/>
        <v>140</v>
      </c>
      <c r="M109" s="93">
        <f ca="1">VLOOKUP(B109,'115+740'!$B$14:$AB$115,21,FALSE)</f>
        <v>897</v>
      </c>
      <c r="N109" s="92">
        <f ca="1">VLOOKUP(B109,'115+740'!$B$15:$AB$115,5,FALSE)</f>
        <v>610</v>
      </c>
      <c r="O109" s="91">
        <f t="shared" ca="1" si="16"/>
        <v>1887</v>
      </c>
      <c r="P109" s="91">
        <f ca="1">VLOOKUP(B109,'115+740'!$B$15:$AB$115,14,FALSE)</f>
        <v>-113</v>
      </c>
      <c r="Q109" s="89">
        <f>'115+740'!R110</f>
        <v>0</v>
      </c>
      <c r="R109" s="88">
        <f t="shared" ca="1" si="21"/>
        <v>103</v>
      </c>
      <c r="S109" s="93">
        <f ca="1">VLOOKUP(B109,'115+740'!$B$14:$AB$115,22,FALSE)</f>
        <v>874</v>
      </c>
      <c r="T109" s="92">
        <f ca="1">VLOOKUP(B109,'115+740'!$B$15:$AB$115,6,FALSE)</f>
        <v>663</v>
      </c>
      <c r="U109" s="91">
        <f t="shared" ca="1" si="17"/>
        <v>1834</v>
      </c>
      <c r="V109" s="90">
        <f ca="1">VLOOKUP(B109,'115+740'!$B$15:$AB$115,15,FALSE)</f>
        <v>-166</v>
      </c>
      <c r="W109" s="89">
        <f>'115+740'!S110</f>
        <v>0</v>
      </c>
      <c r="X109" s="88">
        <f t="shared" ca="1" si="22"/>
        <v>126</v>
      </c>
      <c r="Y109" s="87">
        <f t="shared" ca="1" si="23"/>
        <v>0</v>
      </c>
      <c r="Z109" s="86">
        <f t="shared" ca="1" si="24"/>
        <v>0</v>
      </c>
      <c r="AA109" s="85">
        <f t="shared" ca="1" si="25"/>
        <v>1.0069999999999999</v>
      </c>
      <c r="AB109" s="85">
        <f t="shared" ca="1" si="26"/>
        <v>0.80400000000000005</v>
      </c>
      <c r="AC109" s="74"/>
      <c r="AD109" s="74"/>
      <c r="AE109" s="74"/>
      <c r="AF109" s="74"/>
    </row>
    <row r="110" spans="1:32" s="99" customFormat="1" ht="15" customHeight="1">
      <c r="A110" s="100"/>
      <c r="B110" s="98">
        <f>'115+740'!B111</f>
        <v>45169</v>
      </c>
      <c r="C110" s="97">
        <f t="shared" si="18"/>
        <v>1</v>
      </c>
      <c r="D110" s="96">
        <f t="shared" si="19"/>
        <v>1069</v>
      </c>
      <c r="E110" s="95">
        <f>VLOOKUP(B110,'115+740'!B111:AB212,3,FALSE)</f>
        <v>1426</v>
      </c>
      <c r="F110" s="92">
        <f t="shared" si="14"/>
        <v>2495</v>
      </c>
      <c r="G110" s="94">
        <f ca="1">VLOOKUP(B110,'115+740'!$B$15:$AB$115,20,FALSE)</f>
        <v>860</v>
      </c>
      <c r="H110" s="94">
        <f ca="1">VLOOKUP(B110,'115+740'!$B$15:$AB$115,4,FALSE)</f>
        <v>595</v>
      </c>
      <c r="I110" s="91">
        <f t="shared" ca="1" si="15"/>
        <v>1900</v>
      </c>
      <c r="J110" s="91">
        <f ca="1">VLOOKUP(B110,'115+740'!$B$15:$AB$115,13,FALSE)</f>
        <v>-100</v>
      </c>
      <c r="K110" s="89">
        <f>'115+740'!Q111</f>
        <v>0</v>
      </c>
      <c r="L110" s="88">
        <f t="shared" ca="1" si="20"/>
        <v>140</v>
      </c>
      <c r="M110" s="93">
        <f ca="1">VLOOKUP(B110,'115+740'!$B$14:$AB$115,21,FALSE)</f>
        <v>897</v>
      </c>
      <c r="N110" s="92">
        <f ca="1">VLOOKUP(B110,'115+740'!$B$15:$AB$115,5,FALSE)</f>
        <v>608</v>
      </c>
      <c r="O110" s="91">
        <f t="shared" ca="1" si="16"/>
        <v>1887</v>
      </c>
      <c r="P110" s="91">
        <f ca="1">VLOOKUP(B110,'115+740'!$B$15:$AB$115,14,FALSE)</f>
        <v>-113</v>
      </c>
      <c r="Q110" s="89">
        <f>'115+740'!R111</f>
        <v>0</v>
      </c>
      <c r="R110" s="88">
        <f t="shared" ca="1" si="21"/>
        <v>103</v>
      </c>
      <c r="S110" s="93">
        <f ca="1">VLOOKUP(B110,'115+740'!$B$14:$AB$115,22,FALSE)</f>
        <v>874</v>
      </c>
      <c r="T110" s="92">
        <f ca="1">VLOOKUP(B110,'115+740'!$B$15:$AB$115,6,FALSE)</f>
        <v>661</v>
      </c>
      <c r="U110" s="91">
        <f t="shared" ca="1" si="17"/>
        <v>1834</v>
      </c>
      <c r="V110" s="90">
        <f ca="1">VLOOKUP(B110,'115+740'!$B$15:$AB$115,15,FALSE)</f>
        <v>-166</v>
      </c>
      <c r="W110" s="89">
        <f>'115+740'!S111</f>
        <v>0</v>
      </c>
      <c r="X110" s="88">
        <f t="shared" ca="1" si="22"/>
        <v>126</v>
      </c>
      <c r="Y110" s="87">
        <f t="shared" ca="1" si="23"/>
        <v>0</v>
      </c>
      <c r="Z110" s="86">
        <f t="shared" ca="1" si="24"/>
        <v>0</v>
      </c>
      <c r="AA110" s="85">
        <f t="shared" ca="1" si="25"/>
        <v>1.0069999999999999</v>
      </c>
      <c r="AB110" s="85">
        <f t="shared" ca="1" si="26"/>
        <v>0.80400000000000005</v>
      </c>
      <c r="AC110" s="74"/>
      <c r="AD110" s="74"/>
      <c r="AE110" s="74"/>
      <c r="AF110" s="74"/>
    </row>
    <row r="111" spans="1:32" s="99" customFormat="1" ht="15" customHeight="1">
      <c r="A111" s="100"/>
      <c r="B111" s="98">
        <f>'115+740'!B112</f>
        <v>45170</v>
      </c>
      <c r="C111" s="97">
        <f t="shared" si="18"/>
        <v>1</v>
      </c>
      <c r="D111" s="96">
        <f t="shared" si="19"/>
        <v>1069</v>
      </c>
      <c r="E111" s="95">
        <f>VLOOKUP(B111,'115+740'!B112:AB213,3,FALSE)</f>
        <v>1424</v>
      </c>
      <c r="F111" s="92">
        <f t="shared" si="14"/>
        <v>2493</v>
      </c>
      <c r="G111" s="94">
        <f ca="1">VLOOKUP(B111,'115+740'!$B$15:$AB$115,20,FALSE)</f>
        <v>860</v>
      </c>
      <c r="H111" s="94">
        <f ca="1">VLOOKUP(B111,'115+740'!$B$15:$AB$115,4,FALSE)</f>
        <v>593</v>
      </c>
      <c r="I111" s="91">
        <f t="shared" ca="1" si="15"/>
        <v>1900</v>
      </c>
      <c r="J111" s="91">
        <f ca="1">VLOOKUP(B111,'115+740'!$B$15:$AB$115,13,FALSE)</f>
        <v>-100</v>
      </c>
      <c r="K111" s="89">
        <f>'115+740'!Q112</f>
        <v>0</v>
      </c>
      <c r="L111" s="88">
        <f t="shared" ca="1" si="20"/>
        <v>140</v>
      </c>
      <c r="M111" s="93">
        <f ca="1">VLOOKUP(B111,'115+740'!$B$14:$AB$115,21,FALSE)</f>
        <v>897</v>
      </c>
      <c r="N111" s="92">
        <f ca="1">VLOOKUP(B111,'115+740'!$B$15:$AB$115,5,FALSE)</f>
        <v>606</v>
      </c>
      <c r="O111" s="91">
        <f t="shared" ca="1" si="16"/>
        <v>1887</v>
      </c>
      <c r="P111" s="91">
        <f ca="1">VLOOKUP(B111,'115+740'!$B$15:$AB$115,14,FALSE)</f>
        <v>-113</v>
      </c>
      <c r="Q111" s="89">
        <f>'115+740'!R112</f>
        <v>0</v>
      </c>
      <c r="R111" s="88">
        <f t="shared" ca="1" si="21"/>
        <v>103</v>
      </c>
      <c r="S111" s="93">
        <f ca="1">VLOOKUP(B111,'115+740'!$B$14:$AB$115,22,FALSE)</f>
        <v>874</v>
      </c>
      <c r="T111" s="92">
        <f ca="1">VLOOKUP(B111,'115+740'!$B$15:$AB$115,6,FALSE)</f>
        <v>659</v>
      </c>
      <c r="U111" s="91">
        <f t="shared" ca="1" si="17"/>
        <v>1834</v>
      </c>
      <c r="V111" s="90">
        <f ca="1">VLOOKUP(B111,'115+740'!$B$15:$AB$115,15,FALSE)</f>
        <v>-166</v>
      </c>
      <c r="W111" s="89">
        <f>'115+740'!S112</f>
        <v>0</v>
      </c>
      <c r="X111" s="88">
        <f t="shared" ca="1" si="22"/>
        <v>126</v>
      </c>
      <c r="Y111" s="87">
        <f t="shared" ca="1" si="23"/>
        <v>0</v>
      </c>
      <c r="Z111" s="86">
        <f t="shared" ca="1" si="24"/>
        <v>0</v>
      </c>
      <c r="AA111" s="85">
        <f t="shared" ca="1" si="25"/>
        <v>1.0069999999999999</v>
      </c>
      <c r="AB111" s="85">
        <f t="shared" ca="1" si="26"/>
        <v>0.80400000000000005</v>
      </c>
      <c r="AC111" s="74"/>
      <c r="AD111" s="74"/>
      <c r="AE111" s="74"/>
      <c r="AF111" s="74"/>
    </row>
    <row r="112" spans="1:32" s="99" customFormat="1" ht="15" customHeight="1">
      <c r="A112" s="100"/>
      <c r="B112" s="98">
        <f>'115+740'!B113</f>
        <v>45171</v>
      </c>
      <c r="C112" s="97">
        <f t="shared" si="18"/>
        <v>1</v>
      </c>
      <c r="D112" s="96">
        <f t="shared" si="19"/>
        <v>1069</v>
      </c>
      <c r="E112" s="95">
        <f>VLOOKUP(B112,'115+740'!B113:AB214,3,FALSE)</f>
        <v>1422</v>
      </c>
      <c r="F112" s="92">
        <f t="shared" si="14"/>
        <v>2491</v>
      </c>
      <c r="G112" s="94">
        <f ca="1">VLOOKUP(B112,'115+740'!$B$15:$AB$115,20,FALSE)</f>
        <v>860</v>
      </c>
      <c r="H112" s="94">
        <f ca="1">VLOOKUP(B112,'115+740'!$B$15:$AB$115,4,FALSE)</f>
        <v>591</v>
      </c>
      <c r="I112" s="91">
        <f t="shared" ca="1" si="15"/>
        <v>1900</v>
      </c>
      <c r="J112" s="91">
        <f ca="1">VLOOKUP(B112,'115+740'!$B$15:$AB$115,13,FALSE)</f>
        <v>-100</v>
      </c>
      <c r="K112" s="89">
        <f>'115+740'!Q113</f>
        <v>0</v>
      </c>
      <c r="L112" s="88">
        <f t="shared" ca="1" si="20"/>
        <v>140</v>
      </c>
      <c r="M112" s="93">
        <f ca="1">VLOOKUP(B112,'115+740'!$B$14:$AB$115,21,FALSE)</f>
        <v>897</v>
      </c>
      <c r="N112" s="92">
        <f ca="1">VLOOKUP(B112,'115+740'!$B$15:$AB$115,5,FALSE)</f>
        <v>604</v>
      </c>
      <c r="O112" s="91">
        <f t="shared" ca="1" si="16"/>
        <v>1887</v>
      </c>
      <c r="P112" s="91">
        <f ca="1">VLOOKUP(B112,'115+740'!$B$15:$AB$115,14,FALSE)</f>
        <v>-113</v>
      </c>
      <c r="Q112" s="89">
        <f>'115+740'!R113</f>
        <v>0</v>
      </c>
      <c r="R112" s="88">
        <f t="shared" ca="1" si="21"/>
        <v>103</v>
      </c>
      <c r="S112" s="93">
        <f ca="1">VLOOKUP(B112,'115+740'!$B$14:$AB$115,22,FALSE)</f>
        <v>874</v>
      </c>
      <c r="T112" s="92">
        <f ca="1">VLOOKUP(B112,'115+740'!$B$15:$AB$115,6,FALSE)</f>
        <v>657</v>
      </c>
      <c r="U112" s="91">
        <f t="shared" ca="1" si="17"/>
        <v>1834</v>
      </c>
      <c r="V112" s="90">
        <f ca="1">VLOOKUP(B112,'115+740'!$B$15:$AB$115,15,FALSE)</f>
        <v>-166</v>
      </c>
      <c r="W112" s="89">
        <f>'115+740'!S113</f>
        <v>0</v>
      </c>
      <c r="X112" s="88">
        <f t="shared" ca="1" si="22"/>
        <v>126</v>
      </c>
      <c r="Y112" s="87">
        <f t="shared" ca="1" si="23"/>
        <v>0</v>
      </c>
      <c r="Z112" s="86">
        <f t="shared" ca="1" si="24"/>
        <v>0</v>
      </c>
      <c r="AA112" s="85">
        <f t="shared" ca="1" si="25"/>
        <v>1.0069999999999999</v>
      </c>
      <c r="AB112" s="85">
        <f t="shared" ca="1" si="26"/>
        <v>0.80400000000000005</v>
      </c>
      <c r="AC112" s="74"/>
      <c r="AD112" s="74"/>
      <c r="AE112" s="74"/>
      <c r="AF112" s="74"/>
    </row>
    <row r="113" spans="1:32" s="99" customFormat="1" ht="15" customHeight="1">
      <c r="A113" s="100"/>
      <c r="B113" s="98">
        <f>'115+740'!B114</f>
        <v>45172</v>
      </c>
      <c r="C113" s="97">
        <f t="shared" si="18"/>
        <v>1</v>
      </c>
      <c r="D113" s="96">
        <f t="shared" si="19"/>
        <v>1069</v>
      </c>
      <c r="E113" s="95">
        <f>VLOOKUP(B113,'115+740'!B114:AB215,3,FALSE)</f>
        <v>1420</v>
      </c>
      <c r="F113" s="92">
        <f t="shared" si="14"/>
        <v>2489</v>
      </c>
      <c r="G113" s="94">
        <f ca="1">VLOOKUP(B113,'115+740'!$B$15:$AB$115,20,FALSE)</f>
        <v>860</v>
      </c>
      <c r="H113" s="94">
        <f ca="1">VLOOKUP(B113,'115+740'!$B$15:$AB$115,4,FALSE)</f>
        <v>589</v>
      </c>
      <c r="I113" s="91">
        <f t="shared" ca="1" si="15"/>
        <v>1900</v>
      </c>
      <c r="J113" s="91">
        <f ca="1">VLOOKUP(B113,'115+740'!$B$15:$AB$115,13,FALSE)</f>
        <v>-100</v>
      </c>
      <c r="K113" s="89">
        <f>'115+740'!Q114</f>
        <v>0</v>
      </c>
      <c r="L113" s="88">
        <f t="shared" ca="1" si="20"/>
        <v>140</v>
      </c>
      <c r="M113" s="93">
        <f ca="1">VLOOKUP(B113,'115+740'!$B$14:$AB$115,21,FALSE)</f>
        <v>897</v>
      </c>
      <c r="N113" s="92">
        <f ca="1">VLOOKUP(B113,'115+740'!$B$15:$AB$115,5,FALSE)</f>
        <v>602</v>
      </c>
      <c r="O113" s="91">
        <f t="shared" ca="1" si="16"/>
        <v>1887</v>
      </c>
      <c r="P113" s="91">
        <f ca="1">VLOOKUP(B113,'115+740'!$B$15:$AB$115,14,FALSE)</f>
        <v>-113</v>
      </c>
      <c r="Q113" s="89">
        <f>'115+740'!R114</f>
        <v>0</v>
      </c>
      <c r="R113" s="88">
        <f t="shared" ca="1" si="21"/>
        <v>103</v>
      </c>
      <c r="S113" s="93">
        <f ca="1">VLOOKUP(B113,'115+740'!$B$14:$AB$115,22,FALSE)</f>
        <v>874</v>
      </c>
      <c r="T113" s="92">
        <f ca="1">VLOOKUP(B113,'115+740'!$B$15:$AB$115,6,FALSE)</f>
        <v>655</v>
      </c>
      <c r="U113" s="91">
        <f t="shared" ca="1" si="17"/>
        <v>1834</v>
      </c>
      <c r="V113" s="90">
        <f ca="1">VLOOKUP(B113,'115+740'!$B$15:$AB$115,15,FALSE)</f>
        <v>-166</v>
      </c>
      <c r="W113" s="89">
        <f>'115+740'!S114</f>
        <v>0</v>
      </c>
      <c r="X113" s="88">
        <f t="shared" ca="1" si="22"/>
        <v>126</v>
      </c>
      <c r="Y113" s="87">
        <f t="shared" ca="1" si="23"/>
        <v>0</v>
      </c>
      <c r="Z113" s="86">
        <f t="shared" ca="1" si="24"/>
        <v>0</v>
      </c>
      <c r="AA113" s="85">
        <f t="shared" ca="1" si="25"/>
        <v>1.0069999999999999</v>
      </c>
      <c r="AB113" s="85">
        <f t="shared" ca="1" si="26"/>
        <v>0.80400000000000005</v>
      </c>
      <c r="AC113" s="74"/>
      <c r="AD113" s="74"/>
      <c r="AE113" s="74"/>
      <c r="AF113" s="74"/>
    </row>
    <row r="114" spans="1:32" s="99" customFormat="1" ht="15" customHeight="1">
      <c r="A114" s="100"/>
      <c r="B114" s="98">
        <f>'115+740'!B115</f>
        <v>45173</v>
      </c>
      <c r="C114" s="97">
        <f t="shared" si="18"/>
        <v>1</v>
      </c>
      <c r="D114" s="96">
        <f t="shared" si="19"/>
        <v>1069</v>
      </c>
      <c r="E114" s="95">
        <f>VLOOKUP(B114,'115+740'!B115:AB216,3,FALSE)</f>
        <v>1418</v>
      </c>
      <c r="F114" s="92">
        <f t="shared" si="14"/>
        <v>2487</v>
      </c>
      <c r="G114" s="94">
        <f ca="1">VLOOKUP(B114,'115+740'!$B$15:$AB$115,20,FALSE)</f>
        <v>860</v>
      </c>
      <c r="H114" s="94">
        <f ca="1">VLOOKUP(B114,'115+740'!$B$15:$AB$115,4,FALSE)</f>
        <v>587</v>
      </c>
      <c r="I114" s="91">
        <f t="shared" ca="1" si="15"/>
        <v>1900</v>
      </c>
      <c r="J114" s="91">
        <f ca="1">VLOOKUP(B114,'115+740'!$B$15:$AB$115,13,FALSE)</f>
        <v>-100</v>
      </c>
      <c r="K114" s="89">
        <f>'115+740'!Q115</f>
        <v>0</v>
      </c>
      <c r="L114" s="88">
        <f t="shared" ca="1" si="20"/>
        <v>140</v>
      </c>
      <c r="M114" s="93">
        <f ca="1">VLOOKUP(B114,'115+740'!$B$14:$AB$115,21,FALSE)</f>
        <v>897</v>
      </c>
      <c r="N114" s="92">
        <f ca="1">VLOOKUP(B114,'115+740'!$B$15:$AB$115,5,FALSE)</f>
        <v>600</v>
      </c>
      <c r="O114" s="91">
        <f t="shared" ca="1" si="16"/>
        <v>1887</v>
      </c>
      <c r="P114" s="91">
        <f ca="1">VLOOKUP(B114,'115+740'!$B$15:$AB$115,14,FALSE)</f>
        <v>-113</v>
      </c>
      <c r="Q114" s="89">
        <f>'115+740'!R115</f>
        <v>0</v>
      </c>
      <c r="R114" s="88">
        <f t="shared" ca="1" si="21"/>
        <v>103</v>
      </c>
      <c r="S114" s="93">
        <f ca="1">VLOOKUP(B114,'115+740'!$B$14:$AB$115,22,FALSE)</f>
        <v>874</v>
      </c>
      <c r="T114" s="92">
        <f ca="1">VLOOKUP(B114,'115+740'!$B$15:$AB$115,6,FALSE)</f>
        <v>653</v>
      </c>
      <c r="U114" s="91">
        <f t="shared" ca="1" si="17"/>
        <v>1834</v>
      </c>
      <c r="V114" s="90">
        <f ca="1">VLOOKUP(B114,'115+740'!$B$15:$AB$115,15,FALSE)</f>
        <v>-166</v>
      </c>
      <c r="W114" s="89">
        <f>'115+740'!S115</f>
        <v>0</v>
      </c>
      <c r="X114" s="88">
        <f t="shared" ca="1" si="22"/>
        <v>126</v>
      </c>
      <c r="Y114" s="87">
        <f t="shared" ca="1" si="23"/>
        <v>0</v>
      </c>
      <c r="Z114" s="86">
        <f t="shared" ca="1" si="24"/>
        <v>0</v>
      </c>
      <c r="AA114" s="85">
        <f t="shared" ca="1" si="25"/>
        <v>1.0069999999999999</v>
      </c>
      <c r="AB114" s="85">
        <f t="shared" ca="1" si="26"/>
        <v>0.80400000000000005</v>
      </c>
      <c r="AC114" s="74"/>
      <c r="AD114" s="74"/>
      <c r="AE114" s="74"/>
      <c r="AF114" s="74"/>
    </row>
    <row r="115" spans="1:32">
      <c r="B115" s="98">
        <f>'115+740'!B116</f>
        <v>45174</v>
      </c>
      <c r="C115" s="97">
        <f t="shared" si="18"/>
        <v>1</v>
      </c>
      <c r="D115" s="96">
        <f t="shared" si="19"/>
        <v>1069</v>
      </c>
      <c r="E115" s="95">
        <f>VLOOKUP(B115,'115+740'!B116:AB217,3,FALSE)</f>
        <v>1416</v>
      </c>
      <c r="F115" s="92">
        <f t="shared" si="14"/>
        <v>2485</v>
      </c>
      <c r="G115" s="94">
        <f ca="1">VLOOKUP(B115,'115+740'!$B$15:$AB$757,20,FALSE)</f>
        <v>860</v>
      </c>
      <c r="H115" s="94">
        <f ca="1">VLOOKUP(B115,'115+740'!$B$15:$AB$757,4,FALSE)</f>
        <v>585</v>
      </c>
      <c r="I115" s="91">
        <f t="shared" ca="1" si="15"/>
        <v>1900</v>
      </c>
      <c r="J115" s="91">
        <f ca="1">VLOOKUP(B115,'115+740'!$B$15:$AB$757,13,FALSE)</f>
        <v>-100</v>
      </c>
      <c r="K115" s="89">
        <f>'115+740'!Q116</f>
        <v>0</v>
      </c>
      <c r="L115" s="88">
        <f t="shared" ca="1" si="20"/>
        <v>140</v>
      </c>
      <c r="M115" s="93">
        <f ca="1">VLOOKUP(B115,'115+740'!$B$14:$AB$757,21,FALSE)</f>
        <v>897</v>
      </c>
      <c r="N115" s="92">
        <f ca="1">VLOOKUP(B115,'115+740'!$B$15:$AB$757,5,FALSE)</f>
        <v>598</v>
      </c>
      <c r="O115" s="91">
        <f t="shared" ca="1" si="16"/>
        <v>1887</v>
      </c>
      <c r="P115" s="91">
        <f ca="1">VLOOKUP(B115,'115+740'!$B$15:$AB$757,14,FALSE)</f>
        <v>-113</v>
      </c>
      <c r="Q115" s="89">
        <f>'115+740'!R116</f>
        <v>0</v>
      </c>
      <c r="R115" s="88">
        <f t="shared" ca="1" si="21"/>
        <v>103</v>
      </c>
      <c r="S115" s="93">
        <f ca="1">VLOOKUP(B115,'115+740'!$B$14:$AB$757,22,FALSE)</f>
        <v>874</v>
      </c>
      <c r="T115" s="92">
        <f ca="1">VLOOKUP(B115,'115+740'!$B$15:$AB$757,6,FALSE)</f>
        <v>651</v>
      </c>
      <c r="U115" s="91">
        <f t="shared" ca="1" si="17"/>
        <v>1834</v>
      </c>
      <c r="V115" s="90">
        <f ca="1">VLOOKUP(B115,'115+740'!$B$15:$AB$757,15,FALSE)</f>
        <v>-166</v>
      </c>
      <c r="W115" s="89">
        <f>'115+740'!S116</f>
        <v>0</v>
      </c>
      <c r="X115" s="88">
        <f t="shared" ca="1" si="22"/>
        <v>126</v>
      </c>
      <c r="Y115" s="87">
        <f t="shared" ca="1" si="23"/>
        <v>0</v>
      </c>
      <c r="Z115" s="86">
        <f t="shared" ca="1" si="24"/>
        <v>0</v>
      </c>
      <c r="AA115" s="85">
        <f t="shared" ca="1" si="25"/>
        <v>1.0069999999999999</v>
      </c>
      <c r="AB115" s="85">
        <f t="shared" ca="1" si="26"/>
        <v>0.80400000000000005</v>
      </c>
      <c r="AD115" s="73"/>
      <c r="AE115" s="72"/>
    </row>
    <row r="116" spans="1:32">
      <c r="B116" s="98">
        <f>'115+740'!B117</f>
        <v>45175</v>
      </c>
      <c r="C116" s="97">
        <f t="shared" si="18"/>
        <v>1</v>
      </c>
      <c r="D116" s="96">
        <f t="shared" si="19"/>
        <v>1069</v>
      </c>
      <c r="E116" s="95">
        <f>VLOOKUP(B116,'115+740'!B117:AB218,3,FALSE)</f>
        <v>1414</v>
      </c>
      <c r="F116" s="92">
        <f t="shared" si="14"/>
        <v>2483</v>
      </c>
      <c r="G116" s="94">
        <f ca="1">VLOOKUP(B116,'115+740'!$B$15:$AB$757,20,FALSE)</f>
        <v>860</v>
      </c>
      <c r="H116" s="94">
        <f ca="1">VLOOKUP(B116,'115+740'!$B$15:$AB$757,4,FALSE)</f>
        <v>583</v>
      </c>
      <c r="I116" s="91">
        <f t="shared" ca="1" si="15"/>
        <v>1900</v>
      </c>
      <c r="J116" s="91">
        <f ca="1">VLOOKUP(B116,'115+740'!$B$15:$AB$757,13,FALSE)</f>
        <v>-100</v>
      </c>
      <c r="K116" s="89">
        <f>'115+740'!Q117</f>
        <v>0</v>
      </c>
      <c r="L116" s="88">
        <f t="shared" ca="1" si="20"/>
        <v>140</v>
      </c>
      <c r="M116" s="93">
        <f ca="1">VLOOKUP(B116,'115+740'!$B$14:$AB$757,21,FALSE)</f>
        <v>897</v>
      </c>
      <c r="N116" s="92">
        <f ca="1">VLOOKUP(B116,'115+740'!$B$15:$AB$757,5,FALSE)</f>
        <v>596</v>
      </c>
      <c r="O116" s="91">
        <f t="shared" ca="1" si="16"/>
        <v>1887</v>
      </c>
      <c r="P116" s="91">
        <f ca="1">VLOOKUP(B116,'115+740'!$B$15:$AB$757,14,FALSE)</f>
        <v>-113</v>
      </c>
      <c r="Q116" s="89">
        <f>'115+740'!R117</f>
        <v>0</v>
      </c>
      <c r="R116" s="88">
        <f t="shared" ca="1" si="21"/>
        <v>103</v>
      </c>
      <c r="S116" s="93">
        <f ca="1">VLOOKUP(B116,'115+740'!$B$14:$AB$757,22,FALSE)</f>
        <v>874</v>
      </c>
      <c r="T116" s="92">
        <f ca="1">VLOOKUP(B116,'115+740'!$B$15:$AB$757,6,FALSE)</f>
        <v>649</v>
      </c>
      <c r="U116" s="91">
        <f t="shared" ca="1" si="17"/>
        <v>1834</v>
      </c>
      <c r="V116" s="90">
        <f ca="1">VLOOKUP(B116,'115+740'!$B$15:$AB$757,15,FALSE)</f>
        <v>-166</v>
      </c>
      <c r="W116" s="89">
        <f>'115+740'!S117</f>
        <v>0</v>
      </c>
      <c r="X116" s="88">
        <f t="shared" ca="1" si="22"/>
        <v>126</v>
      </c>
      <c r="Y116" s="87">
        <f t="shared" ca="1" si="23"/>
        <v>0</v>
      </c>
      <c r="Z116" s="86">
        <f t="shared" ca="1" si="24"/>
        <v>0</v>
      </c>
      <c r="AA116" s="85">
        <f t="shared" ca="1" si="25"/>
        <v>1.0069999999999999</v>
      </c>
      <c r="AB116" s="85">
        <f t="shared" ca="1" si="26"/>
        <v>0.80400000000000005</v>
      </c>
      <c r="AD116" s="73"/>
      <c r="AE116" s="72"/>
    </row>
    <row r="117" spans="1:32">
      <c r="B117" s="98">
        <f>'115+740'!B118</f>
        <v>45176</v>
      </c>
      <c r="C117" s="97">
        <f t="shared" si="18"/>
        <v>1</v>
      </c>
      <c r="D117" s="96">
        <f t="shared" si="19"/>
        <v>1069</v>
      </c>
      <c r="E117" s="95">
        <f>VLOOKUP(B117,'115+740'!B118:AB219,3,FALSE)</f>
        <v>1412</v>
      </c>
      <c r="F117" s="92">
        <f t="shared" si="14"/>
        <v>2481</v>
      </c>
      <c r="G117" s="94">
        <f ca="1">VLOOKUP(B117,'115+740'!$B$15:$AB$757,20,FALSE)</f>
        <v>860</v>
      </c>
      <c r="H117" s="94">
        <f ca="1">VLOOKUP(B117,'115+740'!$B$15:$AB$757,4,FALSE)</f>
        <v>581</v>
      </c>
      <c r="I117" s="91">
        <f t="shared" ca="1" si="15"/>
        <v>1900</v>
      </c>
      <c r="J117" s="91">
        <f ca="1">VLOOKUP(B117,'115+740'!$B$15:$AB$757,13,FALSE)</f>
        <v>-100</v>
      </c>
      <c r="K117" s="89">
        <f>'115+740'!Q118</f>
        <v>0</v>
      </c>
      <c r="L117" s="88">
        <f t="shared" ca="1" si="20"/>
        <v>140</v>
      </c>
      <c r="M117" s="93">
        <f ca="1">VLOOKUP(B117,'115+740'!$B$14:$AB$757,21,FALSE)</f>
        <v>897</v>
      </c>
      <c r="N117" s="92">
        <f ca="1">VLOOKUP(B117,'115+740'!$B$15:$AB$757,5,FALSE)</f>
        <v>594</v>
      </c>
      <c r="O117" s="91">
        <f t="shared" ca="1" si="16"/>
        <v>1887</v>
      </c>
      <c r="P117" s="91">
        <f ca="1">VLOOKUP(B117,'115+740'!$B$15:$AB$757,14,FALSE)</f>
        <v>-113</v>
      </c>
      <c r="Q117" s="89">
        <f>'115+740'!R118</f>
        <v>0</v>
      </c>
      <c r="R117" s="88">
        <f t="shared" ca="1" si="21"/>
        <v>103</v>
      </c>
      <c r="S117" s="93">
        <f ca="1">VLOOKUP(B117,'115+740'!$B$14:$AB$757,22,FALSE)</f>
        <v>874</v>
      </c>
      <c r="T117" s="92">
        <f ca="1">VLOOKUP(B117,'115+740'!$B$15:$AB$757,6,FALSE)</f>
        <v>647</v>
      </c>
      <c r="U117" s="91">
        <f t="shared" ca="1" si="17"/>
        <v>1834</v>
      </c>
      <c r="V117" s="90">
        <f ca="1">VLOOKUP(B117,'115+740'!$B$15:$AB$757,15,FALSE)</f>
        <v>-166</v>
      </c>
      <c r="W117" s="89">
        <f>'115+740'!S118</f>
        <v>0</v>
      </c>
      <c r="X117" s="88">
        <f t="shared" ca="1" si="22"/>
        <v>126</v>
      </c>
      <c r="Y117" s="87">
        <f t="shared" ca="1" si="23"/>
        <v>0</v>
      </c>
      <c r="Z117" s="86">
        <f t="shared" ca="1" si="24"/>
        <v>0</v>
      </c>
      <c r="AA117" s="85">
        <f t="shared" ca="1" si="25"/>
        <v>1.0069999999999999</v>
      </c>
      <c r="AB117" s="85">
        <f t="shared" ca="1" si="26"/>
        <v>0.80400000000000005</v>
      </c>
      <c r="AD117" s="73"/>
      <c r="AE117" s="72"/>
    </row>
    <row r="118" spans="1:32">
      <c r="B118" s="98">
        <f>'115+740'!B119</f>
        <v>45177</v>
      </c>
      <c r="C118" s="97">
        <f t="shared" si="18"/>
        <v>1</v>
      </c>
      <c r="D118" s="96">
        <f t="shared" si="19"/>
        <v>1069</v>
      </c>
      <c r="E118" s="95">
        <f>VLOOKUP(B118,'115+740'!B119:AB220,3,FALSE)</f>
        <v>1410</v>
      </c>
      <c r="F118" s="92">
        <f t="shared" si="14"/>
        <v>2479</v>
      </c>
      <c r="G118" s="94">
        <f ca="1">VLOOKUP(B118,'115+740'!$B$15:$AB$757,20,FALSE)</f>
        <v>860</v>
      </c>
      <c r="H118" s="94">
        <f ca="1">VLOOKUP(B118,'115+740'!$B$15:$AB$757,4,FALSE)</f>
        <v>579</v>
      </c>
      <c r="I118" s="91">
        <f t="shared" ca="1" si="15"/>
        <v>1900</v>
      </c>
      <c r="J118" s="91">
        <f ca="1">VLOOKUP(B118,'115+740'!$B$15:$AB$757,13,FALSE)</f>
        <v>-100</v>
      </c>
      <c r="K118" s="89">
        <f>'115+740'!Q119</f>
        <v>0</v>
      </c>
      <c r="L118" s="88">
        <f t="shared" ca="1" si="20"/>
        <v>140</v>
      </c>
      <c r="M118" s="93">
        <f ca="1">VLOOKUP(B118,'115+740'!$B$14:$AB$757,21,FALSE)</f>
        <v>897</v>
      </c>
      <c r="N118" s="92">
        <f ca="1">VLOOKUP(B118,'115+740'!$B$15:$AB$757,5,FALSE)</f>
        <v>592</v>
      </c>
      <c r="O118" s="91">
        <f t="shared" ca="1" si="16"/>
        <v>1887</v>
      </c>
      <c r="P118" s="91">
        <f ca="1">VLOOKUP(B118,'115+740'!$B$15:$AB$757,14,FALSE)</f>
        <v>-113</v>
      </c>
      <c r="Q118" s="89">
        <f>'115+740'!R119</f>
        <v>0</v>
      </c>
      <c r="R118" s="88">
        <f t="shared" ca="1" si="21"/>
        <v>103</v>
      </c>
      <c r="S118" s="93">
        <f ca="1">VLOOKUP(B118,'115+740'!$B$14:$AB$757,22,FALSE)</f>
        <v>874</v>
      </c>
      <c r="T118" s="92">
        <f ca="1">VLOOKUP(B118,'115+740'!$B$15:$AB$757,6,FALSE)</f>
        <v>645</v>
      </c>
      <c r="U118" s="91">
        <f t="shared" ca="1" si="17"/>
        <v>1834</v>
      </c>
      <c r="V118" s="90">
        <f ca="1">VLOOKUP(B118,'115+740'!$B$15:$AB$757,15,FALSE)</f>
        <v>-166</v>
      </c>
      <c r="W118" s="89">
        <f>'115+740'!S119</f>
        <v>0</v>
      </c>
      <c r="X118" s="88">
        <f t="shared" ca="1" si="22"/>
        <v>126</v>
      </c>
      <c r="Y118" s="87">
        <f t="shared" ca="1" si="23"/>
        <v>0</v>
      </c>
      <c r="Z118" s="86">
        <f t="shared" ca="1" si="24"/>
        <v>0</v>
      </c>
      <c r="AA118" s="85">
        <f t="shared" ca="1" si="25"/>
        <v>1.0069999999999999</v>
      </c>
      <c r="AB118" s="85">
        <f t="shared" ca="1" si="26"/>
        <v>0.80400000000000005</v>
      </c>
      <c r="AD118" s="73"/>
      <c r="AE118" s="72"/>
    </row>
    <row r="119" spans="1:32">
      <c r="B119" s="98">
        <f>'115+740'!B120</f>
        <v>45178</v>
      </c>
      <c r="C119" s="97">
        <f t="shared" si="18"/>
        <v>1</v>
      </c>
      <c r="D119" s="96">
        <f t="shared" si="19"/>
        <v>1069</v>
      </c>
      <c r="E119" s="95">
        <f>VLOOKUP(B119,'115+740'!B120:AB221,3,FALSE)</f>
        <v>1408</v>
      </c>
      <c r="F119" s="92">
        <f t="shared" si="14"/>
        <v>2477</v>
      </c>
      <c r="G119" s="94">
        <f ca="1">VLOOKUP(B119,'115+740'!$B$15:$AB$757,20,FALSE)</f>
        <v>860</v>
      </c>
      <c r="H119" s="94">
        <f ca="1">VLOOKUP(B119,'115+740'!$B$15:$AB$757,4,FALSE)</f>
        <v>577</v>
      </c>
      <c r="I119" s="91">
        <f t="shared" ca="1" si="15"/>
        <v>1900</v>
      </c>
      <c r="J119" s="91">
        <f ca="1">VLOOKUP(B119,'115+740'!$B$15:$AB$757,13,FALSE)</f>
        <v>-100</v>
      </c>
      <c r="K119" s="89">
        <f>'115+740'!Q120</f>
        <v>0</v>
      </c>
      <c r="L119" s="88">
        <f t="shared" ca="1" si="20"/>
        <v>140</v>
      </c>
      <c r="M119" s="93">
        <f ca="1">VLOOKUP(B119,'115+740'!$B$14:$AB$757,21,FALSE)</f>
        <v>897</v>
      </c>
      <c r="N119" s="92">
        <f ca="1">VLOOKUP(B119,'115+740'!$B$15:$AB$757,5,FALSE)</f>
        <v>590</v>
      </c>
      <c r="O119" s="91">
        <f t="shared" ca="1" si="16"/>
        <v>1887</v>
      </c>
      <c r="P119" s="91">
        <f ca="1">VLOOKUP(B119,'115+740'!$B$15:$AB$757,14,FALSE)</f>
        <v>-113</v>
      </c>
      <c r="Q119" s="89">
        <f>'115+740'!R120</f>
        <v>0</v>
      </c>
      <c r="R119" s="88">
        <f t="shared" ca="1" si="21"/>
        <v>103</v>
      </c>
      <c r="S119" s="93">
        <f ca="1">VLOOKUP(B119,'115+740'!$B$14:$AB$757,22,FALSE)</f>
        <v>874</v>
      </c>
      <c r="T119" s="92">
        <f ca="1">VLOOKUP(B119,'115+740'!$B$15:$AB$757,6,FALSE)</f>
        <v>643</v>
      </c>
      <c r="U119" s="91">
        <f t="shared" ca="1" si="17"/>
        <v>1834</v>
      </c>
      <c r="V119" s="90">
        <f ca="1">VLOOKUP(B119,'115+740'!$B$15:$AB$757,15,FALSE)</f>
        <v>-166</v>
      </c>
      <c r="W119" s="89">
        <f>'115+740'!S120</f>
        <v>0</v>
      </c>
      <c r="X119" s="88">
        <f t="shared" ca="1" si="22"/>
        <v>126</v>
      </c>
      <c r="Y119" s="87">
        <f t="shared" ca="1" si="23"/>
        <v>0</v>
      </c>
      <c r="Z119" s="86">
        <f t="shared" ca="1" si="24"/>
        <v>0</v>
      </c>
      <c r="AA119" s="85">
        <f t="shared" ca="1" si="25"/>
        <v>1.0069999999999999</v>
      </c>
      <c r="AB119" s="85">
        <f t="shared" ca="1" si="26"/>
        <v>0.80400000000000005</v>
      </c>
      <c r="AD119" s="73"/>
      <c r="AE119" s="72"/>
    </row>
    <row r="120" spans="1:32">
      <c r="B120" s="98">
        <f>'115+740'!B121</f>
        <v>45179</v>
      </c>
      <c r="C120" s="97">
        <f t="shared" si="18"/>
        <v>1</v>
      </c>
      <c r="D120" s="96">
        <f t="shared" si="19"/>
        <v>1069</v>
      </c>
      <c r="E120" s="95">
        <f>VLOOKUP(B120,'115+740'!B121:AB222,3,FALSE)</f>
        <v>1406</v>
      </c>
      <c r="F120" s="92">
        <f t="shared" si="14"/>
        <v>2475</v>
      </c>
      <c r="G120" s="94">
        <f ca="1">VLOOKUP(B120,'115+740'!$B$15:$AB$757,20,FALSE)</f>
        <v>860</v>
      </c>
      <c r="H120" s="94">
        <f ca="1">VLOOKUP(B120,'115+740'!$B$15:$AB$757,4,FALSE)</f>
        <v>575</v>
      </c>
      <c r="I120" s="91">
        <f t="shared" ca="1" si="15"/>
        <v>1900</v>
      </c>
      <c r="J120" s="91">
        <f ca="1">VLOOKUP(B120,'115+740'!$B$15:$AB$757,13,FALSE)</f>
        <v>-100</v>
      </c>
      <c r="K120" s="89">
        <f>'115+740'!Q121</f>
        <v>0</v>
      </c>
      <c r="L120" s="88">
        <f t="shared" ca="1" si="20"/>
        <v>140</v>
      </c>
      <c r="M120" s="93">
        <f ca="1">VLOOKUP(B120,'115+740'!$B$14:$AB$757,21,FALSE)</f>
        <v>897</v>
      </c>
      <c r="N120" s="92">
        <f ca="1">VLOOKUP(B120,'115+740'!$B$15:$AB$757,5,FALSE)</f>
        <v>588</v>
      </c>
      <c r="O120" s="91">
        <f t="shared" ca="1" si="16"/>
        <v>1887</v>
      </c>
      <c r="P120" s="91">
        <f ca="1">VLOOKUP(B120,'115+740'!$B$15:$AB$757,14,FALSE)</f>
        <v>-113</v>
      </c>
      <c r="Q120" s="89">
        <f>'115+740'!R121</f>
        <v>0</v>
      </c>
      <c r="R120" s="88">
        <f t="shared" ca="1" si="21"/>
        <v>103</v>
      </c>
      <c r="S120" s="93">
        <f ca="1">VLOOKUP(B120,'115+740'!$B$14:$AB$757,22,FALSE)</f>
        <v>874</v>
      </c>
      <c r="T120" s="92">
        <f ca="1">VLOOKUP(B120,'115+740'!$B$15:$AB$757,6,FALSE)</f>
        <v>641</v>
      </c>
      <c r="U120" s="91">
        <f t="shared" ca="1" si="17"/>
        <v>1834</v>
      </c>
      <c r="V120" s="90">
        <f ca="1">VLOOKUP(B120,'115+740'!$B$15:$AB$757,15,FALSE)</f>
        <v>-166</v>
      </c>
      <c r="W120" s="89">
        <f>'115+740'!S121</f>
        <v>0</v>
      </c>
      <c r="X120" s="88">
        <f t="shared" ca="1" si="22"/>
        <v>126</v>
      </c>
      <c r="Y120" s="87">
        <f t="shared" ca="1" si="23"/>
        <v>0</v>
      </c>
      <c r="Z120" s="86">
        <f t="shared" ca="1" si="24"/>
        <v>0</v>
      </c>
      <c r="AA120" s="85">
        <f t="shared" ca="1" si="25"/>
        <v>1.0069999999999999</v>
      </c>
      <c r="AB120" s="85">
        <f t="shared" ca="1" si="26"/>
        <v>0.80400000000000005</v>
      </c>
      <c r="AD120" s="73"/>
      <c r="AE120" s="72"/>
    </row>
    <row r="121" spans="1:32">
      <c r="B121" s="98">
        <f>'115+740'!B122</f>
        <v>45180</v>
      </c>
      <c r="C121" s="97">
        <f t="shared" si="18"/>
        <v>1</v>
      </c>
      <c r="D121" s="96">
        <f t="shared" si="19"/>
        <v>1069</v>
      </c>
      <c r="E121" s="95">
        <f>VLOOKUP(B121,'115+740'!B122:AB223,3,FALSE)</f>
        <v>1404</v>
      </c>
      <c r="F121" s="92">
        <f t="shared" si="14"/>
        <v>2473</v>
      </c>
      <c r="G121" s="94">
        <f ca="1">VLOOKUP(B121,'115+740'!$B$15:$AB$757,20,FALSE)</f>
        <v>860</v>
      </c>
      <c r="H121" s="94">
        <f ca="1">VLOOKUP(B121,'115+740'!$B$15:$AB$757,4,FALSE)</f>
        <v>573</v>
      </c>
      <c r="I121" s="91">
        <f t="shared" ca="1" si="15"/>
        <v>1900</v>
      </c>
      <c r="J121" s="91">
        <f ca="1">VLOOKUP(B121,'115+740'!$B$15:$AB$757,13,FALSE)</f>
        <v>-100</v>
      </c>
      <c r="K121" s="89">
        <f>'115+740'!Q122</f>
        <v>0</v>
      </c>
      <c r="L121" s="88">
        <f t="shared" ca="1" si="20"/>
        <v>140</v>
      </c>
      <c r="M121" s="93">
        <f ca="1">VLOOKUP(B121,'115+740'!$B$14:$AB$757,21,FALSE)</f>
        <v>897</v>
      </c>
      <c r="N121" s="92">
        <f ca="1">VLOOKUP(B121,'115+740'!$B$15:$AB$757,5,FALSE)</f>
        <v>586</v>
      </c>
      <c r="O121" s="91">
        <f t="shared" ca="1" si="16"/>
        <v>1887</v>
      </c>
      <c r="P121" s="91">
        <f ca="1">VLOOKUP(B121,'115+740'!$B$15:$AB$757,14,FALSE)</f>
        <v>-113</v>
      </c>
      <c r="Q121" s="89">
        <f>'115+740'!R122</f>
        <v>0</v>
      </c>
      <c r="R121" s="88">
        <f t="shared" ca="1" si="21"/>
        <v>103</v>
      </c>
      <c r="S121" s="93">
        <f ca="1">VLOOKUP(B121,'115+740'!$B$14:$AB$757,22,FALSE)</f>
        <v>874</v>
      </c>
      <c r="T121" s="92">
        <f ca="1">VLOOKUP(B121,'115+740'!$B$15:$AB$757,6,FALSE)</f>
        <v>639</v>
      </c>
      <c r="U121" s="91">
        <f t="shared" ca="1" si="17"/>
        <v>1834</v>
      </c>
      <c r="V121" s="90">
        <f ca="1">VLOOKUP(B121,'115+740'!$B$15:$AB$757,15,FALSE)</f>
        <v>-166</v>
      </c>
      <c r="W121" s="89">
        <f>'115+740'!S122</f>
        <v>0</v>
      </c>
      <c r="X121" s="88">
        <f t="shared" ca="1" si="22"/>
        <v>126</v>
      </c>
      <c r="Y121" s="87">
        <f t="shared" ca="1" si="23"/>
        <v>0</v>
      </c>
      <c r="Z121" s="86">
        <f t="shared" ca="1" si="24"/>
        <v>0</v>
      </c>
      <c r="AA121" s="85">
        <f t="shared" ca="1" si="25"/>
        <v>1.0069999999999999</v>
      </c>
      <c r="AB121" s="85">
        <f t="shared" ca="1" si="26"/>
        <v>0.80400000000000005</v>
      </c>
      <c r="AD121" s="73"/>
      <c r="AE121" s="72"/>
    </row>
    <row r="122" spans="1:32">
      <c r="B122" s="98">
        <f>'115+740'!B123</f>
        <v>45181</v>
      </c>
      <c r="C122" s="97">
        <f t="shared" si="18"/>
        <v>1</v>
      </c>
      <c r="D122" s="96">
        <f t="shared" si="19"/>
        <v>1069</v>
      </c>
      <c r="E122" s="95">
        <f>VLOOKUP(B122,'115+740'!B123:AB224,3,FALSE)</f>
        <v>1402</v>
      </c>
      <c r="F122" s="92">
        <f t="shared" si="14"/>
        <v>2471</v>
      </c>
      <c r="G122" s="94">
        <f ca="1">VLOOKUP(B122,'115+740'!$B$15:$AB$757,20,FALSE)</f>
        <v>860</v>
      </c>
      <c r="H122" s="94">
        <f ca="1">VLOOKUP(B122,'115+740'!$B$15:$AB$757,4,FALSE)</f>
        <v>571</v>
      </c>
      <c r="I122" s="91">
        <f t="shared" ca="1" si="15"/>
        <v>1900</v>
      </c>
      <c r="J122" s="91">
        <f ca="1">VLOOKUP(B122,'115+740'!$B$15:$AB$757,13,FALSE)</f>
        <v>-100</v>
      </c>
      <c r="K122" s="89">
        <f>'115+740'!Q123</f>
        <v>0</v>
      </c>
      <c r="L122" s="88">
        <f t="shared" ca="1" si="20"/>
        <v>140</v>
      </c>
      <c r="M122" s="93">
        <f ca="1">VLOOKUP(B122,'115+740'!$B$14:$AB$757,21,FALSE)</f>
        <v>897</v>
      </c>
      <c r="N122" s="92">
        <f ca="1">VLOOKUP(B122,'115+740'!$B$15:$AB$757,5,FALSE)</f>
        <v>584</v>
      </c>
      <c r="O122" s="91">
        <f t="shared" ca="1" si="16"/>
        <v>1887</v>
      </c>
      <c r="P122" s="91">
        <f ca="1">VLOOKUP(B122,'115+740'!$B$15:$AB$757,14,FALSE)</f>
        <v>-113</v>
      </c>
      <c r="Q122" s="89">
        <f>'115+740'!R123</f>
        <v>0</v>
      </c>
      <c r="R122" s="88">
        <f t="shared" ca="1" si="21"/>
        <v>103</v>
      </c>
      <c r="S122" s="93">
        <f ca="1">VLOOKUP(B122,'115+740'!$B$14:$AB$757,22,FALSE)</f>
        <v>874</v>
      </c>
      <c r="T122" s="92">
        <f ca="1">VLOOKUP(B122,'115+740'!$B$15:$AB$757,6,FALSE)</f>
        <v>637</v>
      </c>
      <c r="U122" s="91">
        <f t="shared" ca="1" si="17"/>
        <v>1834</v>
      </c>
      <c r="V122" s="90">
        <f ca="1">VLOOKUP(B122,'115+740'!$B$15:$AB$757,15,FALSE)</f>
        <v>-166</v>
      </c>
      <c r="W122" s="89">
        <f>'115+740'!S123</f>
        <v>0</v>
      </c>
      <c r="X122" s="88">
        <f t="shared" ca="1" si="22"/>
        <v>126</v>
      </c>
      <c r="Y122" s="87">
        <f t="shared" ca="1" si="23"/>
        <v>0</v>
      </c>
      <c r="Z122" s="86">
        <f t="shared" ca="1" si="24"/>
        <v>0</v>
      </c>
      <c r="AA122" s="85">
        <f t="shared" ca="1" si="25"/>
        <v>1.0069999999999999</v>
      </c>
      <c r="AB122" s="85">
        <f t="shared" ca="1" si="26"/>
        <v>0.80400000000000005</v>
      </c>
      <c r="AD122" s="73"/>
      <c r="AE122" s="72"/>
    </row>
    <row r="123" spans="1:32">
      <c r="B123" s="98">
        <f>'115+740'!B124</f>
        <v>45182</v>
      </c>
      <c r="C123" s="97">
        <f t="shared" si="18"/>
        <v>1</v>
      </c>
      <c r="D123" s="96">
        <f t="shared" si="19"/>
        <v>1069</v>
      </c>
      <c r="E123" s="95">
        <f>VLOOKUP(B123,'115+740'!B124:AB225,3,FALSE)</f>
        <v>1400</v>
      </c>
      <c r="F123" s="92">
        <f t="shared" si="14"/>
        <v>2469</v>
      </c>
      <c r="G123" s="94">
        <f ca="1">VLOOKUP(B123,'115+740'!$B$15:$AB$757,20,FALSE)</f>
        <v>860</v>
      </c>
      <c r="H123" s="94">
        <f ca="1">VLOOKUP(B123,'115+740'!$B$15:$AB$757,4,FALSE)</f>
        <v>569</v>
      </c>
      <c r="I123" s="91">
        <f t="shared" ca="1" si="15"/>
        <v>1900</v>
      </c>
      <c r="J123" s="91">
        <f ca="1">VLOOKUP(B123,'115+740'!$B$15:$AB$757,13,FALSE)</f>
        <v>-100</v>
      </c>
      <c r="K123" s="89">
        <f>'115+740'!Q124</f>
        <v>0</v>
      </c>
      <c r="L123" s="88">
        <f t="shared" ca="1" si="20"/>
        <v>140</v>
      </c>
      <c r="M123" s="93">
        <f ca="1">VLOOKUP(B123,'115+740'!$B$14:$AB$757,21,FALSE)</f>
        <v>897</v>
      </c>
      <c r="N123" s="92">
        <f ca="1">VLOOKUP(B123,'115+740'!$B$15:$AB$757,5,FALSE)</f>
        <v>582</v>
      </c>
      <c r="O123" s="91">
        <f t="shared" ca="1" si="16"/>
        <v>1887</v>
      </c>
      <c r="P123" s="91">
        <f ca="1">VLOOKUP(B123,'115+740'!$B$15:$AB$757,14,FALSE)</f>
        <v>-113</v>
      </c>
      <c r="Q123" s="89">
        <f>'115+740'!R124</f>
        <v>0</v>
      </c>
      <c r="R123" s="88">
        <f t="shared" ca="1" si="21"/>
        <v>103</v>
      </c>
      <c r="S123" s="93">
        <f ca="1">VLOOKUP(B123,'115+740'!$B$14:$AB$757,22,FALSE)</f>
        <v>874</v>
      </c>
      <c r="T123" s="92">
        <f ca="1">VLOOKUP(B123,'115+740'!$B$15:$AB$757,6,FALSE)</f>
        <v>635</v>
      </c>
      <c r="U123" s="91">
        <f t="shared" ca="1" si="17"/>
        <v>1834</v>
      </c>
      <c r="V123" s="90">
        <f ca="1">VLOOKUP(B123,'115+740'!$B$15:$AB$757,15,FALSE)</f>
        <v>-166</v>
      </c>
      <c r="W123" s="89">
        <f>'115+740'!S124</f>
        <v>0</v>
      </c>
      <c r="X123" s="88">
        <f t="shared" ca="1" si="22"/>
        <v>126</v>
      </c>
      <c r="Y123" s="87">
        <f t="shared" ca="1" si="23"/>
        <v>0</v>
      </c>
      <c r="Z123" s="86">
        <f t="shared" ca="1" si="24"/>
        <v>0</v>
      </c>
      <c r="AA123" s="85">
        <f t="shared" ca="1" si="25"/>
        <v>1.0069999999999999</v>
      </c>
      <c r="AB123" s="85">
        <f t="shared" ca="1" si="26"/>
        <v>0.80400000000000005</v>
      </c>
      <c r="AD123" s="73"/>
      <c r="AE123" s="72"/>
    </row>
    <row r="124" spans="1:32">
      <c r="B124" s="98">
        <f>'115+740'!B125</f>
        <v>45183</v>
      </c>
      <c r="C124" s="97">
        <f t="shared" si="18"/>
        <v>1</v>
      </c>
      <c r="D124" s="96">
        <f t="shared" si="19"/>
        <v>1069</v>
      </c>
      <c r="E124" s="95">
        <f>VLOOKUP(B124,'115+740'!B125:AB226,3,FALSE)</f>
        <v>1398</v>
      </c>
      <c r="F124" s="92">
        <f t="shared" si="14"/>
        <v>2467</v>
      </c>
      <c r="G124" s="94">
        <f ca="1">VLOOKUP(B124,'115+740'!$B$15:$AB$757,20,FALSE)</f>
        <v>860</v>
      </c>
      <c r="H124" s="94">
        <f ca="1">VLOOKUP(B124,'115+740'!$B$15:$AB$757,4,FALSE)</f>
        <v>567</v>
      </c>
      <c r="I124" s="91">
        <f t="shared" ca="1" si="15"/>
        <v>1900</v>
      </c>
      <c r="J124" s="91">
        <f ca="1">VLOOKUP(B124,'115+740'!$B$15:$AB$757,13,FALSE)</f>
        <v>-100</v>
      </c>
      <c r="K124" s="89">
        <f>'115+740'!Q125</f>
        <v>0</v>
      </c>
      <c r="L124" s="88">
        <f t="shared" ca="1" si="20"/>
        <v>140</v>
      </c>
      <c r="M124" s="93">
        <f ca="1">VLOOKUP(B124,'115+740'!$B$14:$AB$757,21,FALSE)</f>
        <v>897</v>
      </c>
      <c r="N124" s="92">
        <f ca="1">VLOOKUP(B124,'115+740'!$B$15:$AB$757,5,FALSE)</f>
        <v>580</v>
      </c>
      <c r="O124" s="91">
        <f t="shared" ca="1" si="16"/>
        <v>1887</v>
      </c>
      <c r="P124" s="91">
        <f ca="1">VLOOKUP(B124,'115+740'!$B$15:$AB$757,14,FALSE)</f>
        <v>-113</v>
      </c>
      <c r="Q124" s="89">
        <f>'115+740'!R125</f>
        <v>0</v>
      </c>
      <c r="R124" s="88">
        <f t="shared" ca="1" si="21"/>
        <v>103</v>
      </c>
      <c r="S124" s="93">
        <f ca="1">VLOOKUP(B124,'115+740'!$B$14:$AB$757,22,FALSE)</f>
        <v>874</v>
      </c>
      <c r="T124" s="92">
        <f ca="1">VLOOKUP(B124,'115+740'!$B$15:$AB$757,6,FALSE)</f>
        <v>633</v>
      </c>
      <c r="U124" s="91">
        <f t="shared" ca="1" si="17"/>
        <v>1834</v>
      </c>
      <c r="V124" s="90">
        <f ca="1">VLOOKUP(B124,'115+740'!$B$15:$AB$757,15,FALSE)</f>
        <v>-166</v>
      </c>
      <c r="W124" s="89">
        <f>'115+740'!S125</f>
        <v>0</v>
      </c>
      <c r="X124" s="88">
        <f t="shared" ca="1" si="22"/>
        <v>126</v>
      </c>
      <c r="Y124" s="87">
        <f t="shared" ca="1" si="23"/>
        <v>0</v>
      </c>
      <c r="Z124" s="86">
        <f t="shared" ca="1" si="24"/>
        <v>0</v>
      </c>
      <c r="AA124" s="85">
        <f t="shared" ca="1" si="25"/>
        <v>1.0069999999999999</v>
      </c>
      <c r="AB124" s="85">
        <f t="shared" ca="1" si="26"/>
        <v>0.80400000000000005</v>
      </c>
      <c r="AD124" s="73"/>
      <c r="AE124" s="72"/>
    </row>
    <row r="125" spans="1:32">
      <c r="B125" s="98">
        <f>'115+740'!B126</f>
        <v>45184</v>
      </c>
      <c r="C125" s="97">
        <f t="shared" si="18"/>
        <v>1</v>
      </c>
      <c r="D125" s="96">
        <f t="shared" si="19"/>
        <v>1069</v>
      </c>
      <c r="E125" s="95">
        <f>VLOOKUP(B125,'115+740'!B126:AB227,3,FALSE)</f>
        <v>1396</v>
      </c>
      <c r="F125" s="92">
        <f t="shared" si="14"/>
        <v>2465</v>
      </c>
      <c r="G125" s="94">
        <f ca="1">VLOOKUP(B125,'115+740'!$B$15:$AB$757,20,FALSE)</f>
        <v>860</v>
      </c>
      <c r="H125" s="94">
        <f ca="1">VLOOKUP(B125,'115+740'!$B$15:$AB$757,4,FALSE)</f>
        <v>565</v>
      </c>
      <c r="I125" s="91">
        <f t="shared" ca="1" si="15"/>
        <v>1900</v>
      </c>
      <c r="J125" s="91">
        <f ca="1">VLOOKUP(B125,'115+740'!$B$15:$AB$757,13,FALSE)</f>
        <v>-100</v>
      </c>
      <c r="K125" s="89">
        <f>'115+740'!Q126</f>
        <v>0</v>
      </c>
      <c r="L125" s="88">
        <f t="shared" ca="1" si="20"/>
        <v>140</v>
      </c>
      <c r="M125" s="93">
        <f ca="1">VLOOKUP(B125,'115+740'!$B$14:$AB$757,21,FALSE)</f>
        <v>897</v>
      </c>
      <c r="N125" s="92">
        <f ca="1">VLOOKUP(B125,'115+740'!$B$15:$AB$757,5,FALSE)</f>
        <v>578</v>
      </c>
      <c r="O125" s="91">
        <f t="shared" ca="1" si="16"/>
        <v>1887</v>
      </c>
      <c r="P125" s="91">
        <f ca="1">VLOOKUP(B125,'115+740'!$B$15:$AB$757,14,FALSE)</f>
        <v>-113</v>
      </c>
      <c r="Q125" s="89">
        <f>'115+740'!R126</f>
        <v>0</v>
      </c>
      <c r="R125" s="88">
        <f t="shared" ca="1" si="21"/>
        <v>103</v>
      </c>
      <c r="S125" s="93">
        <f ca="1">VLOOKUP(B125,'115+740'!$B$14:$AB$757,22,FALSE)</f>
        <v>874</v>
      </c>
      <c r="T125" s="92">
        <f ca="1">VLOOKUP(B125,'115+740'!$B$15:$AB$757,6,FALSE)</f>
        <v>631</v>
      </c>
      <c r="U125" s="91">
        <f t="shared" ca="1" si="17"/>
        <v>1834</v>
      </c>
      <c r="V125" s="90">
        <f ca="1">VLOOKUP(B125,'115+740'!$B$15:$AB$757,15,FALSE)</f>
        <v>-166</v>
      </c>
      <c r="W125" s="89">
        <f>'115+740'!S126</f>
        <v>0</v>
      </c>
      <c r="X125" s="88">
        <f t="shared" ca="1" si="22"/>
        <v>126</v>
      </c>
      <c r="Y125" s="87">
        <f t="shared" ca="1" si="23"/>
        <v>0</v>
      </c>
      <c r="Z125" s="86">
        <f t="shared" ca="1" si="24"/>
        <v>0</v>
      </c>
      <c r="AA125" s="85">
        <f t="shared" ca="1" si="25"/>
        <v>1.0069999999999999</v>
      </c>
      <c r="AB125" s="85">
        <f t="shared" ca="1" si="26"/>
        <v>0.80400000000000005</v>
      </c>
      <c r="AD125" s="73"/>
      <c r="AE125" s="72"/>
    </row>
    <row r="126" spans="1:32">
      <c r="B126" s="98">
        <f>'115+740'!B127</f>
        <v>45185</v>
      </c>
      <c r="C126" s="97">
        <f t="shared" si="18"/>
        <v>1</v>
      </c>
      <c r="D126" s="96">
        <f t="shared" si="19"/>
        <v>1069</v>
      </c>
      <c r="E126" s="95">
        <f>VLOOKUP(B126,'115+740'!B127:AB228,3,FALSE)</f>
        <v>1398</v>
      </c>
      <c r="F126" s="92">
        <f t="shared" si="14"/>
        <v>2467</v>
      </c>
      <c r="G126" s="94">
        <f ca="1">VLOOKUP(B126,'115+740'!$B$15:$AB$757,20,FALSE)</f>
        <v>860</v>
      </c>
      <c r="H126" s="94">
        <f ca="1">VLOOKUP(B126,'115+740'!$B$15:$AB$757,4,FALSE)</f>
        <v>567</v>
      </c>
      <c r="I126" s="91">
        <f t="shared" ca="1" si="15"/>
        <v>1900</v>
      </c>
      <c r="J126" s="91">
        <f ca="1">VLOOKUP(B126,'115+740'!$B$15:$AB$757,13,FALSE)</f>
        <v>-100</v>
      </c>
      <c r="K126" s="89">
        <f>'115+740'!Q127</f>
        <v>0</v>
      </c>
      <c r="L126" s="88">
        <f t="shared" ca="1" si="20"/>
        <v>140</v>
      </c>
      <c r="M126" s="93">
        <f ca="1">VLOOKUP(B126,'115+740'!$B$14:$AB$757,21,FALSE)</f>
        <v>897</v>
      </c>
      <c r="N126" s="92">
        <f ca="1">VLOOKUP(B126,'115+740'!$B$15:$AB$757,5,FALSE)</f>
        <v>580</v>
      </c>
      <c r="O126" s="91">
        <f t="shared" ca="1" si="16"/>
        <v>1887</v>
      </c>
      <c r="P126" s="91">
        <f ca="1">VLOOKUP(B126,'115+740'!$B$15:$AB$757,14,FALSE)</f>
        <v>-113</v>
      </c>
      <c r="Q126" s="89">
        <f>'115+740'!R127</f>
        <v>0</v>
      </c>
      <c r="R126" s="88">
        <f t="shared" ca="1" si="21"/>
        <v>103</v>
      </c>
      <c r="S126" s="93">
        <f ca="1">VLOOKUP(B126,'115+740'!$B$14:$AB$757,22,FALSE)</f>
        <v>874</v>
      </c>
      <c r="T126" s="92">
        <f ca="1">VLOOKUP(B126,'115+740'!$B$15:$AB$757,6,FALSE)</f>
        <v>633</v>
      </c>
      <c r="U126" s="91">
        <f t="shared" ca="1" si="17"/>
        <v>1834</v>
      </c>
      <c r="V126" s="90">
        <f ca="1">VLOOKUP(B126,'115+740'!$B$15:$AB$757,15,FALSE)</f>
        <v>-166</v>
      </c>
      <c r="W126" s="89">
        <f>'115+740'!S127</f>
        <v>0</v>
      </c>
      <c r="X126" s="88">
        <f t="shared" ca="1" si="22"/>
        <v>126</v>
      </c>
      <c r="Y126" s="87">
        <f t="shared" ca="1" si="23"/>
        <v>0</v>
      </c>
      <c r="Z126" s="86">
        <f t="shared" ca="1" si="24"/>
        <v>0</v>
      </c>
      <c r="AA126" s="85">
        <f t="shared" ca="1" si="25"/>
        <v>1.0069999999999999</v>
      </c>
      <c r="AB126" s="85">
        <f t="shared" ca="1" si="26"/>
        <v>0.80400000000000005</v>
      </c>
      <c r="AD126" s="73"/>
      <c r="AE126" s="72"/>
    </row>
    <row r="127" spans="1:32">
      <c r="B127" s="98">
        <f>'115+740'!B128</f>
        <v>45186</v>
      </c>
      <c r="C127" s="97">
        <f t="shared" si="18"/>
        <v>1</v>
      </c>
      <c r="D127" s="96">
        <f t="shared" si="19"/>
        <v>1069</v>
      </c>
      <c r="E127" s="95">
        <f>VLOOKUP(B127,'115+740'!B128:AB229,3,FALSE)</f>
        <v>1400</v>
      </c>
      <c r="F127" s="92">
        <f t="shared" si="14"/>
        <v>2469</v>
      </c>
      <c r="G127" s="94">
        <f ca="1">VLOOKUP(B127,'115+740'!$B$15:$AB$757,20,FALSE)</f>
        <v>860</v>
      </c>
      <c r="H127" s="94">
        <f ca="1">VLOOKUP(B127,'115+740'!$B$15:$AB$757,4,FALSE)</f>
        <v>569</v>
      </c>
      <c r="I127" s="91">
        <f t="shared" ca="1" si="15"/>
        <v>1900</v>
      </c>
      <c r="J127" s="91">
        <f ca="1">VLOOKUP(B127,'115+740'!$B$15:$AB$757,13,FALSE)</f>
        <v>-100</v>
      </c>
      <c r="K127" s="89">
        <f>'115+740'!Q128</f>
        <v>0</v>
      </c>
      <c r="L127" s="88">
        <f t="shared" ca="1" si="20"/>
        <v>140</v>
      </c>
      <c r="M127" s="93">
        <f ca="1">VLOOKUP(B127,'115+740'!$B$14:$AB$757,21,FALSE)</f>
        <v>897</v>
      </c>
      <c r="N127" s="92">
        <f ca="1">VLOOKUP(B127,'115+740'!$B$15:$AB$757,5,FALSE)</f>
        <v>582</v>
      </c>
      <c r="O127" s="91">
        <f t="shared" ca="1" si="16"/>
        <v>1887</v>
      </c>
      <c r="P127" s="91">
        <f ca="1">VLOOKUP(B127,'115+740'!$B$15:$AB$757,14,FALSE)</f>
        <v>-113</v>
      </c>
      <c r="Q127" s="89">
        <f>'115+740'!R128</f>
        <v>0</v>
      </c>
      <c r="R127" s="88">
        <f t="shared" ca="1" si="21"/>
        <v>103</v>
      </c>
      <c r="S127" s="93">
        <f ca="1">VLOOKUP(B127,'115+740'!$B$14:$AB$757,22,FALSE)</f>
        <v>874</v>
      </c>
      <c r="T127" s="92">
        <f ca="1">VLOOKUP(B127,'115+740'!$B$15:$AB$757,6,FALSE)</f>
        <v>635</v>
      </c>
      <c r="U127" s="91">
        <f t="shared" ca="1" si="17"/>
        <v>1834</v>
      </c>
      <c r="V127" s="90">
        <f ca="1">VLOOKUP(B127,'115+740'!$B$15:$AB$757,15,FALSE)</f>
        <v>-166</v>
      </c>
      <c r="W127" s="89">
        <f>'115+740'!S128</f>
        <v>0</v>
      </c>
      <c r="X127" s="88">
        <f t="shared" ca="1" si="22"/>
        <v>126</v>
      </c>
      <c r="Y127" s="87">
        <f t="shared" ca="1" si="23"/>
        <v>0</v>
      </c>
      <c r="Z127" s="86">
        <f t="shared" ca="1" si="24"/>
        <v>0</v>
      </c>
      <c r="AA127" s="85">
        <f t="shared" ca="1" si="25"/>
        <v>1.0069999999999999</v>
      </c>
      <c r="AB127" s="85">
        <f t="shared" ca="1" si="26"/>
        <v>0.80400000000000005</v>
      </c>
      <c r="AD127" s="73"/>
      <c r="AE127" s="72"/>
    </row>
    <row r="128" spans="1:32">
      <c r="B128" s="98">
        <f>'115+740'!B129</f>
        <v>45187</v>
      </c>
      <c r="C128" s="97">
        <f t="shared" si="18"/>
        <v>1</v>
      </c>
      <c r="D128" s="96">
        <f t="shared" si="19"/>
        <v>1069</v>
      </c>
      <c r="E128" s="95">
        <f>VLOOKUP(B128,'115+740'!B129:AB230,3,FALSE)</f>
        <v>1402</v>
      </c>
      <c r="F128" s="92">
        <f t="shared" si="14"/>
        <v>2471</v>
      </c>
      <c r="G128" s="94">
        <f ca="1">VLOOKUP(B128,'115+740'!$B$15:$AB$757,20,FALSE)</f>
        <v>860</v>
      </c>
      <c r="H128" s="94">
        <f ca="1">VLOOKUP(B128,'115+740'!$B$15:$AB$757,4,FALSE)</f>
        <v>571</v>
      </c>
      <c r="I128" s="91">
        <f t="shared" ca="1" si="15"/>
        <v>1900</v>
      </c>
      <c r="J128" s="91">
        <f ca="1">VLOOKUP(B128,'115+740'!$B$15:$AB$757,13,FALSE)</f>
        <v>-100</v>
      </c>
      <c r="K128" s="89">
        <f>'115+740'!Q129</f>
        <v>0</v>
      </c>
      <c r="L128" s="88">
        <f t="shared" ca="1" si="20"/>
        <v>140</v>
      </c>
      <c r="M128" s="93">
        <f ca="1">VLOOKUP(B128,'115+740'!$B$14:$AB$757,21,FALSE)</f>
        <v>897</v>
      </c>
      <c r="N128" s="92">
        <f ca="1">VLOOKUP(B128,'115+740'!$B$15:$AB$757,5,FALSE)</f>
        <v>584</v>
      </c>
      <c r="O128" s="91">
        <f t="shared" ca="1" si="16"/>
        <v>1887</v>
      </c>
      <c r="P128" s="91">
        <f ca="1">VLOOKUP(B128,'115+740'!$B$15:$AB$757,14,FALSE)</f>
        <v>-113</v>
      </c>
      <c r="Q128" s="89">
        <f>'115+740'!R129</f>
        <v>0</v>
      </c>
      <c r="R128" s="88">
        <f t="shared" ca="1" si="21"/>
        <v>103</v>
      </c>
      <c r="S128" s="93">
        <f ca="1">VLOOKUP(B128,'115+740'!$B$14:$AB$757,22,FALSE)</f>
        <v>874</v>
      </c>
      <c r="T128" s="92">
        <f ca="1">VLOOKUP(B128,'115+740'!$B$15:$AB$757,6,FALSE)</f>
        <v>637</v>
      </c>
      <c r="U128" s="91">
        <f t="shared" ca="1" si="17"/>
        <v>1834</v>
      </c>
      <c r="V128" s="90">
        <f ca="1">VLOOKUP(B128,'115+740'!$B$15:$AB$757,15,FALSE)</f>
        <v>-166</v>
      </c>
      <c r="W128" s="89">
        <f>'115+740'!S129</f>
        <v>0</v>
      </c>
      <c r="X128" s="88">
        <f t="shared" ca="1" si="22"/>
        <v>126</v>
      </c>
      <c r="Y128" s="87">
        <f t="shared" ca="1" si="23"/>
        <v>0</v>
      </c>
      <c r="Z128" s="86">
        <f t="shared" ca="1" si="24"/>
        <v>0</v>
      </c>
      <c r="AA128" s="85">
        <f t="shared" ca="1" si="25"/>
        <v>1.0069999999999999</v>
      </c>
      <c r="AB128" s="85">
        <f t="shared" ca="1" si="26"/>
        <v>0.80400000000000005</v>
      </c>
      <c r="AD128" s="73"/>
      <c r="AE128" s="72"/>
    </row>
    <row r="129" spans="2:31">
      <c r="B129" s="98">
        <f>'115+740'!B130</f>
        <v>45188</v>
      </c>
      <c r="C129" s="97">
        <f t="shared" si="18"/>
        <v>1</v>
      </c>
      <c r="D129" s="96">
        <f t="shared" si="19"/>
        <v>1069</v>
      </c>
      <c r="E129" s="95">
        <f>VLOOKUP(B129,'115+740'!B130:AB231,3,FALSE)</f>
        <v>1404</v>
      </c>
      <c r="F129" s="92">
        <f t="shared" si="14"/>
        <v>2473</v>
      </c>
      <c r="G129" s="94">
        <f ca="1">VLOOKUP(B129,'115+740'!$B$15:$AB$757,20,FALSE)</f>
        <v>860</v>
      </c>
      <c r="H129" s="94">
        <f ca="1">VLOOKUP(B129,'115+740'!$B$15:$AB$757,4,FALSE)</f>
        <v>573</v>
      </c>
      <c r="I129" s="91">
        <f t="shared" ca="1" si="15"/>
        <v>1900</v>
      </c>
      <c r="J129" s="91">
        <f ca="1">VLOOKUP(B129,'115+740'!$B$15:$AB$757,13,FALSE)</f>
        <v>-100</v>
      </c>
      <c r="K129" s="89">
        <f>'115+740'!Q130</f>
        <v>0</v>
      </c>
      <c r="L129" s="88">
        <f t="shared" ca="1" si="20"/>
        <v>140</v>
      </c>
      <c r="M129" s="93">
        <f ca="1">VLOOKUP(B129,'115+740'!$B$14:$AB$757,21,FALSE)</f>
        <v>897</v>
      </c>
      <c r="N129" s="92">
        <f ca="1">VLOOKUP(B129,'115+740'!$B$15:$AB$757,5,FALSE)</f>
        <v>586</v>
      </c>
      <c r="O129" s="91">
        <f t="shared" ca="1" si="16"/>
        <v>1887</v>
      </c>
      <c r="P129" s="91">
        <f ca="1">VLOOKUP(B129,'115+740'!$B$15:$AB$757,14,FALSE)</f>
        <v>-113</v>
      </c>
      <c r="Q129" s="89">
        <f>'115+740'!R130</f>
        <v>0</v>
      </c>
      <c r="R129" s="88">
        <f t="shared" ca="1" si="21"/>
        <v>103</v>
      </c>
      <c r="S129" s="93">
        <f ca="1">VLOOKUP(B129,'115+740'!$B$14:$AB$757,22,FALSE)</f>
        <v>874</v>
      </c>
      <c r="T129" s="92">
        <f ca="1">VLOOKUP(B129,'115+740'!$B$15:$AB$757,6,FALSE)</f>
        <v>639</v>
      </c>
      <c r="U129" s="91">
        <f t="shared" ca="1" si="17"/>
        <v>1834</v>
      </c>
      <c r="V129" s="90">
        <f ca="1">VLOOKUP(B129,'115+740'!$B$15:$AB$757,15,FALSE)</f>
        <v>-166</v>
      </c>
      <c r="W129" s="89">
        <f>'115+740'!S130</f>
        <v>0</v>
      </c>
      <c r="X129" s="88">
        <f t="shared" ca="1" si="22"/>
        <v>126</v>
      </c>
      <c r="Y129" s="87">
        <f t="shared" ca="1" si="23"/>
        <v>0</v>
      </c>
      <c r="Z129" s="86">
        <f t="shared" ca="1" si="24"/>
        <v>0</v>
      </c>
      <c r="AA129" s="85">
        <f t="shared" ca="1" si="25"/>
        <v>1.0069999999999999</v>
      </c>
      <c r="AB129" s="85">
        <f t="shared" ca="1" si="26"/>
        <v>0.80400000000000005</v>
      </c>
      <c r="AD129" s="73"/>
      <c r="AE129" s="72"/>
    </row>
    <row r="130" spans="2:31">
      <c r="B130" s="98">
        <f>'115+740'!B131</f>
        <v>45189</v>
      </c>
      <c r="C130" s="97">
        <f t="shared" si="18"/>
        <v>1</v>
      </c>
      <c r="D130" s="96">
        <f t="shared" si="19"/>
        <v>1069</v>
      </c>
      <c r="E130" s="95">
        <f>VLOOKUP(B130,'115+740'!B131:AB232,3,FALSE)</f>
        <v>1406</v>
      </c>
      <c r="F130" s="92">
        <f t="shared" si="14"/>
        <v>2475</v>
      </c>
      <c r="G130" s="94">
        <f ca="1">VLOOKUP(B130,'115+740'!$B$15:$AB$757,20,FALSE)</f>
        <v>860</v>
      </c>
      <c r="H130" s="94">
        <f ca="1">VLOOKUP(B130,'115+740'!$B$15:$AB$757,4,FALSE)</f>
        <v>575</v>
      </c>
      <c r="I130" s="91">
        <f t="shared" ca="1" si="15"/>
        <v>1900</v>
      </c>
      <c r="J130" s="91">
        <f ca="1">VLOOKUP(B130,'115+740'!$B$15:$AB$757,13,FALSE)</f>
        <v>-100</v>
      </c>
      <c r="K130" s="89">
        <f>'115+740'!Q131</f>
        <v>0</v>
      </c>
      <c r="L130" s="88">
        <f t="shared" ca="1" si="20"/>
        <v>140</v>
      </c>
      <c r="M130" s="93">
        <f ca="1">VLOOKUP(B130,'115+740'!$B$14:$AB$757,21,FALSE)</f>
        <v>897</v>
      </c>
      <c r="N130" s="92">
        <f ca="1">VLOOKUP(B130,'115+740'!$B$15:$AB$757,5,FALSE)</f>
        <v>588</v>
      </c>
      <c r="O130" s="91">
        <f t="shared" ca="1" si="16"/>
        <v>1887</v>
      </c>
      <c r="P130" s="91">
        <f ca="1">VLOOKUP(B130,'115+740'!$B$15:$AB$757,14,FALSE)</f>
        <v>-113</v>
      </c>
      <c r="Q130" s="89">
        <f>'115+740'!R131</f>
        <v>0</v>
      </c>
      <c r="R130" s="88">
        <f t="shared" ca="1" si="21"/>
        <v>103</v>
      </c>
      <c r="S130" s="93">
        <f ca="1">VLOOKUP(B130,'115+740'!$B$14:$AB$757,22,FALSE)</f>
        <v>874</v>
      </c>
      <c r="T130" s="92">
        <f ca="1">VLOOKUP(B130,'115+740'!$B$15:$AB$757,6,FALSE)</f>
        <v>641</v>
      </c>
      <c r="U130" s="91">
        <f t="shared" ca="1" si="17"/>
        <v>1834</v>
      </c>
      <c r="V130" s="90">
        <f ca="1">VLOOKUP(B130,'115+740'!$B$15:$AB$757,15,FALSE)</f>
        <v>-166</v>
      </c>
      <c r="W130" s="89">
        <f>'115+740'!S131</f>
        <v>0</v>
      </c>
      <c r="X130" s="88">
        <f t="shared" ca="1" si="22"/>
        <v>126</v>
      </c>
      <c r="Y130" s="87">
        <f t="shared" ca="1" si="23"/>
        <v>0</v>
      </c>
      <c r="Z130" s="86">
        <f t="shared" ca="1" si="24"/>
        <v>0</v>
      </c>
      <c r="AA130" s="85">
        <f t="shared" ca="1" si="25"/>
        <v>1.0069999999999999</v>
      </c>
      <c r="AB130" s="85">
        <f t="shared" ca="1" si="26"/>
        <v>0.80400000000000005</v>
      </c>
      <c r="AD130" s="73"/>
      <c r="AE130" s="72"/>
    </row>
    <row r="131" spans="2:31">
      <c r="B131" s="98">
        <f>'115+740'!B132</f>
        <v>45190</v>
      </c>
      <c r="C131" s="97">
        <f t="shared" si="18"/>
        <v>1</v>
      </c>
      <c r="D131" s="96">
        <f t="shared" si="19"/>
        <v>1069</v>
      </c>
      <c r="E131" s="95">
        <f>VLOOKUP(B131,'115+740'!B132:AB233,3,FALSE)</f>
        <v>1408</v>
      </c>
      <c r="F131" s="92">
        <f t="shared" si="14"/>
        <v>2477</v>
      </c>
      <c r="G131" s="94">
        <f ca="1">VLOOKUP(B131,'115+740'!$B$15:$AB$757,20,FALSE)</f>
        <v>860</v>
      </c>
      <c r="H131" s="94">
        <f ca="1">VLOOKUP(B131,'115+740'!$B$15:$AB$757,4,FALSE)</f>
        <v>577</v>
      </c>
      <c r="I131" s="91">
        <f t="shared" ca="1" si="15"/>
        <v>1900</v>
      </c>
      <c r="J131" s="91">
        <f ca="1">VLOOKUP(B131,'115+740'!$B$15:$AB$757,13,FALSE)</f>
        <v>-100</v>
      </c>
      <c r="K131" s="89">
        <f>'115+740'!Q132</f>
        <v>0</v>
      </c>
      <c r="L131" s="88">
        <f t="shared" ca="1" si="20"/>
        <v>140</v>
      </c>
      <c r="M131" s="93">
        <f ca="1">VLOOKUP(B131,'115+740'!$B$14:$AB$757,21,FALSE)</f>
        <v>897</v>
      </c>
      <c r="N131" s="92">
        <f ca="1">VLOOKUP(B131,'115+740'!$B$15:$AB$757,5,FALSE)</f>
        <v>590</v>
      </c>
      <c r="O131" s="91">
        <f t="shared" ca="1" si="16"/>
        <v>1887</v>
      </c>
      <c r="P131" s="91">
        <f ca="1">VLOOKUP(B131,'115+740'!$B$15:$AB$757,14,FALSE)</f>
        <v>-113</v>
      </c>
      <c r="Q131" s="89">
        <f>'115+740'!R132</f>
        <v>0</v>
      </c>
      <c r="R131" s="88">
        <f t="shared" ca="1" si="21"/>
        <v>103</v>
      </c>
      <c r="S131" s="93">
        <f ca="1">VLOOKUP(B131,'115+740'!$B$14:$AB$757,22,FALSE)</f>
        <v>874</v>
      </c>
      <c r="T131" s="92">
        <f ca="1">VLOOKUP(B131,'115+740'!$B$15:$AB$757,6,FALSE)</f>
        <v>643</v>
      </c>
      <c r="U131" s="91">
        <f t="shared" ca="1" si="17"/>
        <v>1834</v>
      </c>
      <c r="V131" s="90">
        <f ca="1">VLOOKUP(B131,'115+740'!$B$15:$AB$757,15,FALSE)</f>
        <v>-166</v>
      </c>
      <c r="W131" s="89">
        <f>'115+740'!S132</f>
        <v>0</v>
      </c>
      <c r="X131" s="88">
        <f t="shared" ca="1" si="22"/>
        <v>126</v>
      </c>
      <c r="Y131" s="87">
        <f t="shared" ca="1" si="23"/>
        <v>0</v>
      </c>
      <c r="Z131" s="86">
        <f t="shared" ca="1" si="24"/>
        <v>0</v>
      </c>
      <c r="AA131" s="85">
        <f t="shared" ca="1" si="25"/>
        <v>1.0069999999999999</v>
      </c>
      <c r="AB131" s="85">
        <f t="shared" ca="1" si="26"/>
        <v>0.80400000000000005</v>
      </c>
    </row>
    <row r="132" spans="2:31">
      <c r="B132" s="98">
        <f>'115+740'!B133</f>
        <v>45191</v>
      </c>
      <c r="C132" s="97">
        <f t="shared" si="18"/>
        <v>1</v>
      </c>
      <c r="D132" s="96">
        <f t="shared" si="19"/>
        <v>1069</v>
      </c>
      <c r="E132" s="95">
        <f>VLOOKUP(B132,'115+740'!B133:AB234,3,FALSE)</f>
        <v>1410</v>
      </c>
      <c r="F132" s="92">
        <f t="shared" si="14"/>
        <v>2479</v>
      </c>
      <c r="G132" s="94">
        <f ca="1">VLOOKUP(B132,'115+740'!$B$15:$AB$757,20,FALSE)</f>
        <v>860</v>
      </c>
      <c r="H132" s="94">
        <f ca="1">VLOOKUP(B132,'115+740'!$B$15:$AB$757,4,FALSE)</f>
        <v>579</v>
      </c>
      <c r="I132" s="91">
        <f t="shared" ca="1" si="15"/>
        <v>1900</v>
      </c>
      <c r="J132" s="91">
        <f ca="1">VLOOKUP(B132,'115+740'!$B$15:$AB$757,13,FALSE)</f>
        <v>-100</v>
      </c>
      <c r="K132" s="89">
        <f>'115+740'!Q133</f>
        <v>0</v>
      </c>
      <c r="L132" s="88">
        <f t="shared" ca="1" si="20"/>
        <v>140</v>
      </c>
      <c r="M132" s="93">
        <f ca="1">VLOOKUP(B132,'115+740'!$B$14:$AB$757,21,FALSE)</f>
        <v>897</v>
      </c>
      <c r="N132" s="92">
        <f ca="1">VLOOKUP(B132,'115+740'!$B$15:$AB$757,5,FALSE)</f>
        <v>592</v>
      </c>
      <c r="O132" s="91">
        <f t="shared" ca="1" si="16"/>
        <v>1887</v>
      </c>
      <c r="P132" s="91">
        <f ca="1">VLOOKUP(B132,'115+740'!$B$15:$AB$757,14,FALSE)</f>
        <v>-113</v>
      </c>
      <c r="Q132" s="89">
        <f>'115+740'!R133</f>
        <v>0</v>
      </c>
      <c r="R132" s="88">
        <f t="shared" ca="1" si="21"/>
        <v>103</v>
      </c>
      <c r="S132" s="93">
        <f ca="1">VLOOKUP(B132,'115+740'!$B$14:$AB$757,22,FALSE)</f>
        <v>874</v>
      </c>
      <c r="T132" s="92">
        <f ca="1">VLOOKUP(B132,'115+740'!$B$15:$AB$757,6,FALSE)</f>
        <v>645</v>
      </c>
      <c r="U132" s="91">
        <f t="shared" ca="1" si="17"/>
        <v>1834</v>
      </c>
      <c r="V132" s="90">
        <f ca="1">VLOOKUP(B132,'115+740'!$B$15:$AB$757,15,FALSE)</f>
        <v>-166</v>
      </c>
      <c r="W132" s="89">
        <f>'115+740'!S133</f>
        <v>0</v>
      </c>
      <c r="X132" s="88">
        <f t="shared" ca="1" si="22"/>
        <v>126</v>
      </c>
      <c r="Y132" s="87">
        <f t="shared" ca="1" si="23"/>
        <v>0</v>
      </c>
      <c r="Z132" s="86">
        <f t="shared" ca="1" si="24"/>
        <v>0</v>
      </c>
      <c r="AA132" s="85">
        <f t="shared" ca="1" si="25"/>
        <v>1.0069999999999999</v>
      </c>
      <c r="AB132" s="85">
        <f t="shared" ca="1" si="26"/>
        <v>0.80400000000000005</v>
      </c>
    </row>
    <row r="133" spans="2:31">
      <c r="B133" s="98">
        <f>'115+740'!B134</f>
        <v>45192</v>
      </c>
      <c r="C133" s="97">
        <f t="shared" si="18"/>
        <v>1</v>
      </c>
      <c r="D133" s="96">
        <f t="shared" si="19"/>
        <v>1069</v>
      </c>
      <c r="E133" s="95">
        <f>VLOOKUP(B133,'115+740'!B134:AB235,3,FALSE)</f>
        <v>1412</v>
      </c>
      <c r="F133" s="92">
        <f t="shared" si="14"/>
        <v>2481</v>
      </c>
      <c r="G133" s="94">
        <f ca="1">VLOOKUP(B133,'115+740'!$B$15:$AB$757,20,FALSE)</f>
        <v>860</v>
      </c>
      <c r="H133" s="94">
        <f ca="1">VLOOKUP(B133,'115+740'!$B$15:$AB$757,4,FALSE)</f>
        <v>581</v>
      </c>
      <c r="I133" s="91">
        <f t="shared" ca="1" si="15"/>
        <v>1900</v>
      </c>
      <c r="J133" s="91">
        <f ca="1">VLOOKUP(B133,'115+740'!$B$15:$AB$757,13,FALSE)</f>
        <v>-100</v>
      </c>
      <c r="K133" s="89">
        <f>'115+740'!Q134</f>
        <v>0</v>
      </c>
      <c r="L133" s="88">
        <f t="shared" ca="1" si="20"/>
        <v>140</v>
      </c>
      <c r="M133" s="93">
        <f ca="1">VLOOKUP(B133,'115+740'!$B$14:$AB$757,21,FALSE)</f>
        <v>897</v>
      </c>
      <c r="N133" s="92">
        <f ca="1">VLOOKUP(B133,'115+740'!$B$15:$AB$757,5,FALSE)</f>
        <v>594</v>
      </c>
      <c r="O133" s="91">
        <f t="shared" ca="1" si="16"/>
        <v>1887</v>
      </c>
      <c r="P133" s="91">
        <f ca="1">VLOOKUP(B133,'115+740'!$B$15:$AB$757,14,FALSE)</f>
        <v>-113</v>
      </c>
      <c r="Q133" s="89">
        <f>'115+740'!R134</f>
        <v>0</v>
      </c>
      <c r="R133" s="88">
        <f t="shared" ca="1" si="21"/>
        <v>103</v>
      </c>
      <c r="S133" s="93">
        <f ca="1">VLOOKUP(B133,'115+740'!$B$14:$AB$757,22,FALSE)</f>
        <v>874</v>
      </c>
      <c r="T133" s="92">
        <f ca="1">VLOOKUP(B133,'115+740'!$B$15:$AB$757,6,FALSE)</f>
        <v>647</v>
      </c>
      <c r="U133" s="91">
        <f t="shared" ca="1" si="17"/>
        <v>1834</v>
      </c>
      <c r="V133" s="90">
        <f ca="1">VLOOKUP(B133,'115+740'!$B$15:$AB$757,15,FALSE)</f>
        <v>-166</v>
      </c>
      <c r="W133" s="89">
        <f>'115+740'!S134</f>
        <v>0</v>
      </c>
      <c r="X133" s="88">
        <f t="shared" ca="1" si="22"/>
        <v>126</v>
      </c>
      <c r="Y133" s="87">
        <f t="shared" ca="1" si="23"/>
        <v>0</v>
      </c>
      <c r="Z133" s="86">
        <f t="shared" ca="1" si="24"/>
        <v>0</v>
      </c>
      <c r="AA133" s="85">
        <f t="shared" ca="1" si="25"/>
        <v>1.0069999999999999</v>
      </c>
      <c r="AB133" s="85">
        <f t="shared" ca="1" si="26"/>
        <v>0.80400000000000005</v>
      </c>
    </row>
    <row r="134" spans="2:31">
      <c r="B134" s="98">
        <f>'115+740'!B135</f>
        <v>45193</v>
      </c>
      <c r="C134" s="97">
        <f t="shared" si="18"/>
        <v>1</v>
      </c>
      <c r="D134" s="96">
        <f t="shared" si="19"/>
        <v>1069</v>
      </c>
      <c r="E134" s="95">
        <f>VLOOKUP(B134,'115+740'!B135:AB236,3,FALSE)</f>
        <v>1414</v>
      </c>
      <c r="F134" s="92">
        <f t="shared" si="14"/>
        <v>2483</v>
      </c>
      <c r="G134" s="94">
        <f ca="1">VLOOKUP(B134,'115+740'!$B$15:$AB$757,20,FALSE)</f>
        <v>860</v>
      </c>
      <c r="H134" s="94">
        <f ca="1">VLOOKUP(B134,'115+740'!$B$15:$AB$757,4,FALSE)</f>
        <v>583</v>
      </c>
      <c r="I134" s="91">
        <f t="shared" ca="1" si="15"/>
        <v>1900</v>
      </c>
      <c r="J134" s="91">
        <f ca="1">VLOOKUP(B134,'115+740'!$B$15:$AB$757,13,FALSE)</f>
        <v>-100</v>
      </c>
      <c r="K134" s="89">
        <f>'115+740'!Q135</f>
        <v>0</v>
      </c>
      <c r="L134" s="88">
        <f t="shared" ca="1" si="20"/>
        <v>140</v>
      </c>
      <c r="M134" s="93">
        <f ca="1">VLOOKUP(B134,'115+740'!$B$14:$AB$757,21,FALSE)</f>
        <v>897</v>
      </c>
      <c r="N134" s="92">
        <f ca="1">VLOOKUP(B134,'115+740'!$B$15:$AB$757,5,FALSE)</f>
        <v>596</v>
      </c>
      <c r="O134" s="91">
        <f t="shared" ca="1" si="16"/>
        <v>1887</v>
      </c>
      <c r="P134" s="91">
        <f ca="1">VLOOKUP(B134,'115+740'!$B$15:$AB$757,14,FALSE)</f>
        <v>-113</v>
      </c>
      <c r="Q134" s="89">
        <f>'115+740'!R135</f>
        <v>0</v>
      </c>
      <c r="R134" s="88">
        <f t="shared" ca="1" si="21"/>
        <v>103</v>
      </c>
      <c r="S134" s="93">
        <f ca="1">VLOOKUP(B134,'115+740'!$B$14:$AB$757,22,FALSE)</f>
        <v>874</v>
      </c>
      <c r="T134" s="92">
        <f ca="1">VLOOKUP(B134,'115+740'!$B$15:$AB$757,6,FALSE)</f>
        <v>649</v>
      </c>
      <c r="U134" s="91">
        <f t="shared" ca="1" si="17"/>
        <v>1834</v>
      </c>
      <c r="V134" s="90">
        <f ca="1">VLOOKUP(B134,'115+740'!$B$15:$AB$757,15,FALSE)</f>
        <v>-166</v>
      </c>
      <c r="W134" s="89">
        <f>'115+740'!S135</f>
        <v>0</v>
      </c>
      <c r="X134" s="88">
        <f t="shared" ca="1" si="22"/>
        <v>126</v>
      </c>
      <c r="Y134" s="87">
        <f t="shared" ca="1" si="23"/>
        <v>0</v>
      </c>
      <c r="Z134" s="86">
        <f t="shared" ca="1" si="24"/>
        <v>0</v>
      </c>
      <c r="AA134" s="85">
        <f t="shared" ca="1" si="25"/>
        <v>1.0069999999999999</v>
      </c>
      <c r="AB134" s="85">
        <f t="shared" ca="1" si="26"/>
        <v>0.80400000000000005</v>
      </c>
    </row>
    <row r="135" spans="2:31">
      <c r="B135" s="98">
        <f>'115+740'!B136</f>
        <v>45194</v>
      </c>
      <c r="C135" s="97">
        <f t="shared" si="18"/>
        <v>1</v>
      </c>
      <c r="D135" s="96">
        <f t="shared" si="19"/>
        <v>1069</v>
      </c>
      <c r="E135" s="95">
        <f>VLOOKUP(B135,'115+740'!B136:AB237,3,FALSE)</f>
        <v>1416</v>
      </c>
      <c r="F135" s="92">
        <f t="shared" si="14"/>
        <v>2485</v>
      </c>
      <c r="G135" s="94">
        <f ca="1">VLOOKUP(B135,'115+740'!$B$15:$AB$757,20,FALSE)</f>
        <v>860</v>
      </c>
      <c r="H135" s="94">
        <f ca="1">VLOOKUP(B135,'115+740'!$B$15:$AB$757,4,FALSE)</f>
        <v>585</v>
      </c>
      <c r="I135" s="91">
        <f t="shared" ca="1" si="15"/>
        <v>1900</v>
      </c>
      <c r="J135" s="91">
        <f ca="1">VLOOKUP(B135,'115+740'!$B$15:$AB$757,13,FALSE)</f>
        <v>-100</v>
      </c>
      <c r="K135" s="89">
        <f>'115+740'!Q136</f>
        <v>0</v>
      </c>
      <c r="L135" s="88">
        <f t="shared" ca="1" si="20"/>
        <v>140</v>
      </c>
      <c r="M135" s="93">
        <f ca="1">VLOOKUP(B135,'115+740'!$B$14:$AB$757,21,FALSE)</f>
        <v>897</v>
      </c>
      <c r="N135" s="92">
        <f ca="1">VLOOKUP(B135,'115+740'!$B$15:$AB$757,5,FALSE)</f>
        <v>598</v>
      </c>
      <c r="O135" s="91">
        <f t="shared" ca="1" si="16"/>
        <v>1887</v>
      </c>
      <c r="P135" s="91">
        <f ca="1">VLOOKUP(B135,'115+740'!$B$15:$AB$757,14,FALSE)</f>
        <v>-113</v>
      </c>
      <c r="Q135" s="89">
        <f>'115+740'!R136</f>
        <v>0</v>
      </c>
      <c r="R135" s="88">
        <f t="shared" ca="1" si="21"/>
        <v>103</v>
      </c>
      <c r="S135" s="93">
        <f ca="1">VLOOKUP(B135,'115+740'!$B$14:$AB$757,22,FALSE)</f>
        <v>874</v>
      </c>
      <c r="T135" s="92">
        <f ca="1">VLOOKUP(B135,'115+740'!$B$15:$AB$757,6,FALSE)</f>
        <v>651</v>
      </c>
      <c r="U135" s="91">
        <f t="shared" ca="1" si="17"/>
        <v>1834</v>
      </c>
      <c r="V135" s="90">
        <f ca="1">VLOOKUP(B135,'115+740'!$B$15:$AB$757,15,FALSE)</f>
        <v>-166</v>
      </c>
      <c r="W135" s="89">
        <f>'115+740'!S136</f>
        <v>0</v>
      </c>
      <c r="X135" s="88">
        <f t="shared" ca="1" si="22"/>
        <v>126</v>
      </c>
      <c r="Y135" s="87">
        <f t="shared" ca="1" si="23"/>
        <v>0</v>
      </c>
      <c r="Z135" s="86">
        <f t="shared" ca="1" si="24"/>
        <v>0</v>
      </c>
      <c r="AA135" s="85">
        <f t="shared" ca="1" si="25"/>
        <v>1.0069999999999999</v>
      </c>
      <c r="AB135" s="85">
        <f t="shared" ca="1" si="26"/>
        <v>0.80400000000000005</v>
      </c>
    </row>
    <row r="136" spans="2:31">
      <c r="B136" s="98">
        <f>'115+740'!B137</f>
        <v>45195</v>
      </c>
      <c r="C136" s="97">
        <f t="shared" si="18"/>
        <v>1</v>
      </c>
      <c r="D136" s="96">
        <f t="shared" si="19"/>
        <v>1069</v>
      </c>
      <c r="E136" s="95">
        <f>VLOOKUP(B136,'115+740'!B137:AB238,3,FALSE)</f>
        <v>1418</v>
      </c>
      <c r="F136" s="92">
        <f t="shared" si="14"/>
        <v>2487</v>
      </c>
      <c r="G136" s="94">
        <f ca="1">VLOOKUP(B136,'115+740'!$B$15:$AB$757,20,FALSE)</f>
        <v>860</v>
      </c>
      <c r="H136" s="94">
        <f ca="1">VLOOKUP(B136,'115+740'!$B$15:$AB$757,4,FALSE)</f>
        <v>587</v>
      </c>
      <c r="I136" s="91">
        <f t="shared" ca="1" si="15"/>
        <v>1900</v>
      </c>
      <c r="J136" s="91">
        <f ca="1">VLOOKUP(B136,'115+740'!$B$15:$AB$757,13,FALSE)</f>
        <v>-100</v>
      </c>
      <c r="K136" s="89">
        <f>'115+740'!Q137</f>
        <v>0</v>
      </c>
      <c r="L136" s="88">
        <f t="shared" ca="1" si="20"/>
        <v>140</v>
      </c>
      <c r="M136" s="93">
        <f ca="1">VLOOKUP(B136,'115+740'!$B$14:$AB$757,21,FALSE)</f>
        <v>897</v>
      </c>
      <c r="N136" s="92">
        <f ca="1">VLOOKUP(B136,'115+740'!$B$15:$AB$757,5,FALSE)</f>
        <v>600</v>
      </c>
      <c r="O136" s="91">
        <f t="shared" ca="1" si="16"/>
        <v>1887</v>
      </c>
      <c r="P136" s="91">
        <f ca="1">VLOOKUP(B136,'115+740'!$B$15:$AB$757,14,FALSE)</f>
        <v>-113</v>
      </c>
      <c r="Q136" s="89">
        <f>'115+740'!R137</f>
        <v>0</v>
      </c>
      <c r="R136" s="88">
        <f t="shared" ca="1" si="21"/>
        <v>103</v>
      </c>
      <c r="S136" s="93">
        <f ca="1">VLOOKUP(B136,'115+740'!$B$14:$AB$757,22,FALSE)</f>
        <v>874</v>
      </c>
      <c r="T136" s="92">
        <f ca="1">VLOOKUP(B136,'115+740'!$B$15:$AB$757,6,FALSE)</f>
        <v>653</v>
      </c>
      <c r="U136" s="91">
        <f t="shared" ca="1" si="17"/>
        <v>1834</v>
      </c>
      <c r="V136" s="90">
        <f ca="1">VLOOKUP(B136,'115+740'!$B$15:$AB$757,15,FALSE)</f>
        <v>-166</v>
      </c>
      <c r="W136" s="89">
        <f>'115+740'!S137</f>
        <v>0</v>
      </c>
      <c r="X136" s="88">
        <f t="shared" ca="1" si="22"/>
        <v>126</v>
      </c>
      <c r="Y136" s="87">
        <f t="shared" ca="1" si="23"/>
        <v>0</v>
      </c>
      <c r="Z136" s="86">
        <f t="shared" ca="1" si="24"/>
        <v>0</v>
      </c>
      <c r="AA136" s="85">
        <f t="shared" ca="1" si="25"/>
        <v>1.0069999999999999</v>
      </c>
      <c r="AB136" s="85">
        <f t="shared" ca="1" si="26"/>
        <v>0.80400000000000005</v>
      </c>
    </row>
    <row r="137" spans="2:31">
      <c r="B137" s="98">
        <f>'115+740'!B138</f>
        <v>45196</v>
      </c>
      <c r="C137" s="97">
        <f t="shared" si="18"/>
        <v>1</v>
      </c>
      <c r="D137" s="96">
        <f t="shared" si="19"/>
        <v>1069</v>
      </c>
      <c r="E137" s="95">
        <f>VLOOKUP(B137,'115+740'!B138:AB239,3,FALSE)</f>
        <v>1420</v>
      </c>
      <c r="F137" s="92">
        <f t="shared" si="14"/>
        <v>2489</v>
      </c>
      <c r="G137" s="94">
        <f ca="1">VLOOKUP(B137,'115+740'!$B$15:$AB$757,20,FALSE)</f>
        <v>860</v>
      </c>
      <c r="H137" s="94">
        <f ca="1">VLOOKUP(B137,'115+740'!$B$15:$AB$757,4,FALSE)</f>
        <v>589</v>
      </c>
      <c r="I137" s="91">
        <f t="shared" ca="1" si="15"/>
        <v>1900</v>
      </c>
      <c r="J137" s="91">
        <f ca="1">VLOOKUP(B137,'115+740'!$B$15:$AB$757,13,FALSE)</f>
        <v>-100</v>
      </c>
      <c r="K137" s="89">
        <f>'115+740'!Q138</f>
        <v>0</v>
      </c>
      <c r="L137" s="88">
        <f t="shared" ca="1" si="20"/>
        <v>140</v>
      </c>
      <c r="M137" s="93">
        <f ca="1">VLOOKUP(B137,'115+740'!$B$14:$AB$757,21,FALSE)</f>
        <v>897</v>
      </c>
      <c r="N137" s="92">
        <f ca="1">VLOOKUP(B137,'115+740'!$B$15:$AB$757,5,FALSE)</f>
        <v>602</v>
      </c>
      <c r="O137" s="91">
        <f t="shared" ca="1" si="16"/>
        <v>1887</v>
      </c>
      <c r="P137" s="91">
        <f ca="1">VLOOKUP(B137,'115+740'!$B$15:$AB$757,14,FALSE)</f>
        <v>-113</v>
      </c>
      <c r="Q137" s="89">
        <f>'115+740'!R138</f>
        <v>0</v>
      </c>
      <c r="R137" s="88">
        <f t="shared" ca="1" si="21"/>
        <v>103</v>
      </c>
      <c r="S137" s="93">
        <f ca="1">VLOOKUP(B137,'115+740'!$B$14:$AB$757,22,FALSE)</f>
        <v>874</v>
      </c>
      <c r="T137" s="92">
        <f ca="1">VLOOKUP(B137,'115+740'!$B$15:$AB$757,6,FALSE)</f>
        <v>655</v>
      </c>
      <c r="U137" s="91">
        <f t="shared" ca="1" si="17"/>
        <v>1834</v>
      </c>
      <c r="V137" s="90">
        <f ca="1">VLOOKUP(B137,'115+740'!$B$15:$AB$757,15,FALSE)</f>
        <v>-166</v>
      </c>
      <c r="W137" s="89">
        <f>'115+740'!S138</f>
        <v>0</v>
      </c>
      <c r="X137" s="88">
        <f t="shared" ca="1" si="22"/>
        <v>126</v>
      </c>
      <c r="Y137" s="87">
        <f t="shared" ca="1" si="23"/>
        <v>0</v>
      </c>
      <c r="Z137" s="86">
        <f t="shared" ca="1" si="24"/>
        <v>0</v>
      </c>
      <c r="AA137" s="85">
        <f t="shared" ca="1" si="25"/>
        <v>1.0069999999999999</v>
      </c>
      <c r="AB137" s="85">
        <f t="shared" ca="1" si="26"/>
        <v>0.80400000000000005</v>
      </c>
    </row>
    <row r="138" spans="2:31">
      <c r="B138" s="98">
        <f>'115+740'!B139</f>
        <v>45197</v>
      </c>
      <c r="C138" s="97">
        <f t="shared" si="18"/>
        <v>1</v>
      </c>
      <c r="D138" s="96">
        <f t="shared" si="19"/>
        <v>1069</v>
      </c>
      <c r="E138" s="95">
        <f>VLOOKUP(B138,'115+740'!B139:AB240,3,FALSE)</f>
        <v>1422</v>
      </c>
      <c r="F138" s="92">
        <f t="shared" si="14"/>
        <v>2491</v>
      </c>
      <c r="G138" s="94">
        <f ca="1">VLOOKUP(B138,'115+740'!$B$15:$AB$757,20,FALSE)</f>
        <v>860</v>
      </c>
      <c r="H138" s="94">
        <f ca="1">VLOOKUP(B138,'115+740'!$B$15:$AB$757,4,FALSE)</f>
        <v>591</v>
      </c>
      <c r="I138" s="91">
        <f t="shared" ca="1" si="15"/>
        <v>1900</v>
      </c>
      <c r="J138" s="91">
        <f ca="1">VLOOKUP(B138,'115+740'!$B$15:$AB$757,13,FALSE)</f>
        <v>-100</v>
      </c>
      <c r="K138" s="89">
        <f>'115+740'!Q139</f>
        <v>0</v>
      </c>
      <c r="L138" s="88">
        <f t="shared" ca="1" si="20"/>
        <v>140</v>
      </c>
      <c r="M138" s="93">
        <f ca="1">VLOOKUP(B138,'115+740'!$B$14:$AB$757,21,FALSE)</f>
        <v>897</v>
      </c>
      <c r="N138" s="92">
        <f ca="1">VLOOKUP(B138,'115+740'!$B$15:$AB$757,5,FALSE)</f>
        <v>604</v>
      </c>
      <c r="O138" s="91">
        <f t="shared" ca="1" si="16"/>
        <v>1887</v>
      </c>
      <c r="P138" s="91">
        <f ca="1">VLOOKUP(B138,'115+740'!$B$15:$AB$757,14,FALSE)</f>
        <v>-113</v>
      </c>
      <c r="Q138" s="89">
        <f>'115+740'!R139</f>
        <v>0</v>
      </c>
      <c r="R138" s="88">
        <f t="shared" ca="1" si="21"/>
        <v>103</v>
      </c>
      <c r="S138" s="93">
        <f ca="1">VLOOKUP(B138,'115+740'!$B$14:$AB$757,22,FALSE)</f>
        <v>874</v>
      </c>
      <c r="T138" s="92">
        <f ca="1">VLOOKUP(B138,'115+740'!$B$15:$AB$757,6,FALSE)</f>
        <v>657</v>
      </c>
      <c r="U138" s="91">
        <f t="shared" ca="1" si="17"/>
        <v>1834</v>
      </c>
      <c r="V138" s="90">
        <f ca="1">VLOOKUP(B138,'115+740'!$B$15:$AB$757,15,FALSE)</f>
        <v>-166</v>
      </c>
      <c r="W138" s="89">
        <f>'115+740'!S139</f>
        <v>0</v>
      </c>
      <c r="X138" s="88">
        <f t="shared" ca="1" si="22"/>
        <v>126</v>
      </c>
      <c r="Y138" s="87">
        <f t="shared" ca="1" si="23"/>
        <v>0</v>
      </c>
      <c r="Z138" s="86">
        <f t="shared" ca="1" si="24"/>
        <v>0</v>
      </c>
      <c r="AA138" s="85">
        <f t="shared" ca="1" si="25"/>
        <v>1.0069999999999999</v>
      </c>
      <c r="AB138" s="85">
        <f t="shared" ca="1" si="26"/>
        <v>0.80400000000000005</v>
      </c>
    </row>
    <row r="139" spans="2:31">
      <c r="B139" s="98">
        <f>'115+740'!B140</f>
        <v>45198</v>
      </c>
      <c r="C139" s="97">
        <f t="shared" si="18"/>
        <v>1</v>
      </c>
      <c r="D139" s="96">
        <f t="shared" si="19"/>
        <v>1069</v>
      </c>
      <c r="E139" s="95">
        <f>VLOOKUP(B139,'115+740'!B140:AB241,3,FALSE)</f>
        <v>1424</v>
      </c>
      <c r="F139" s="92">
        <f t="shared" si="14"/>
        <v>2493</v>
      </c>
      <c r="G139" s="94">
        <f ca="1">VLOOKUP(B139,'115+740'!$B$15:$AB$757,20,FALSE)</f>
        <v>860</v>
      </c>
      <c r="H139" s="94">
        <f ca="1">VLOOKUP(B139,'115+740'!$B$15:$AB$757,4,FALSE)</f>
        <v>593</v>
      </c>
      <c r="I139" s="91">
        <f t="shared" ca="1" si="15"/>
        <v>1900</v>
      </c>
      <c r="J139" s="91">
        <f ca="1">VLOOKUP(B139,'115+740'!$B$15:$AB$757,13,FALSE)</f>
        <v>-100</v>
      </c>
      <c r="K139" s="89">
        <f>'115+740'!Q140</f>
        <v>0</v>
      </c>
      <c r="L139" s="88">
        <f t="shared" ca="1" si="20"/>
        <v>140</v>
      </c>
      <c r="M139" s="93">
        <f ca="1">VLOOKUP(B139,'115+740'!$B$14:$AB$757,21,FALSE)</f>
        <v>897</v>
      </c>
      <c r="N139" s="92">
        <f ca="1">VLOOKUP(B139,'115+740'!$B$15:$AB$757,5,FALSE)</f>
        <v>606</v>
      </c>
      <c r="O139" s="91">
        <f t="shared" ca="1" si="16"/>
        <v>1887</v>
      </c>
      <c r="P139" s="91">
        <f ca="1">VLOOKUP(B139,'115+740'!$B$15:$AB$757,14,FALSE)</f>
        <v>-113</v>
      </c>
      <c r="Q139" s="89">
        <f>'115+740'!R140</f>
        <v>0</v>
      </c>
      <c r="R139" s="88">
        <f t="shared" ca="1" si="21"/>
        <v>103</v>
      </c>
      <c r="S139" s="93">
        <f ca="1">VLOOKUP(B139,'115+740'!$B$14:$AB$757,22,FALSE)</f>
        <v>874</v>
      </c>
      <c r="T139" s="92">
        <f ca="1">VLOOKUP(B139,'115+740'!$B$15:$AB$757,6,FALSE)</f>
        <v>659</v>
      </c>
      <c r="U139" s="91">
        <f t="shared" ca="1" si="17"/>
        <v>1834</v>
      </c>
      <c r="V139" s="90">
        <f ca="1">VLOOKUP(B139,'115+740'!$B$15:$AB$757,15,FALSE)</f>
        <v>-166</v>
      </c>
      <c r="W139" s="89">
        <f>'115+740'!S140</f>
        <v>0</v>
      </c>
      <c r="X139" s="88">
        <f t="shared" ca="1" si="22"/>
        <v>126</v>
      </c>
      <c r="Y139" s="87">
        <f t="shared" ca="1" si="23"/>
        <v>0</v>
      </c>
      <c r="Z139" s="86">
        <f t="shared" ca="1" si="24"/>
        <v>0</v>
      </c>
      <c r="AA139" s="85">
        <f t="shared" ca="1" si="25"/>
        <v>1.0069999999999999</v>
      </c>
      <c r="AB139" s="85">
        <f t="shared" ca="1" si="26"/>
        <v>0.80400000000000005</v>
      </c>
    </row>
    <row r="140" spans="2:31">
      <c r="B140" s="98">
        <f>'115+740'!B141</f>
        <v>45199</v>
      </c>
      <c r="C140" s="97">
        <f t="shared" si="18"/>
        <v>1</v>
      </c>
      <c r="D140" s="96">
        <f t="shared" si="19"/>
        <v>1069</v>
      </c>
      <c r="E140" s="95">
        <f>VLOOKUP(B140,'115+740'!B141:AB242,3,FALSE)</f>
        <v>1426</v>
      </c>
      <c r="F140" s="92">
        <f t="shared" si="14"/>
        <v>2495</v>
      </c>
      <c r="G140" s="94">
        <f ca="1">VLOOKUP(B140,'115+740'!$B$15:$AB$757,20,FALSE)</f>
        <v>860</v>
      </c>
      <c r="H140" s="94">
        <f ca="1">VLOOKUP(B140,'115+740'!$B$15:$AB$757,4,FALSE)</f>
        <v>595</v>
      </c>
      <c r="I140" s="91">
        <f t="shared" ca="1" si="15"/>
        <v>1900</v>
      </c>
      <c r="J140" s="91">
        <f ca="1">VLOOKUP(B140,'115+740'!$B$15:$AB$757,13,FALSE)</f>
        <v>-100</v>
      </c>
      <c r="K140" s="89">
        <f>'115+740'!Q141</f>
        <v>0</v>
      </c>
      <c r="L140" s="88">
        <f t="shared" ca="1" si="20"/>
        <v>140</v>
      </c>
      <c r="M140" s="93">
        <f ca="1">VLOOKUP(B140,'115+740'!$B$14:$AB$757,21,FALSE)</f>
        <v>897</v>
      </c>
      <c r="N140" s="92">
        <f ca="1">VLOOKUP(B140,'115+740'!$B$15:$AB$757,5,FALSE)</f>
        <v>608</v>
      </c>
      <c r="O140" s="91">
        <f t="shared" ca="1" si="16"/>
        <v>1887</v>
      </c>
      <c r="P140" s="91">
        <f ca="1">VLOOKUP(B140,'115+740'!$B$15:$AB$757,14,FALSE)</f>
        <v>-113</v>
      </c>
      <c r="Q140" s="89">
        <f>'115+740'!R141</f>
        <v>0</v>
      </c>
      <c r="R140" s="88">
        <f t="shared" ca="1" si="21"/>
        <v>103</v>
      </c>
      <c r="S140" s="93">
        <f ca="1">VLOOKUP(B140,'115+740'!$B$14:$AB$757,22,FALSE)</f>
        <v>874</v>
      </c>
      <c r="T140" s="92">
        <f ca="1">VLOOKUP(B140,'115+740'!$B$15:$AB$757,6,FALSE)</f>
        <v>661</v>
      </c>
      <c r="U140" s="91">
        <f t="shared" ca="1" si="17"/>
        <v>1834</v>
      </c>
      <c r="V140" s="90">
        <f ca="1">VLOOKUP(B140,'115+740'!$B$15:$AB$757,15,FALSE)</f>
        <v>-166</v>
      </c>
      <c r="W140" s="89">
        <f>'115+740'!S141</f>
        <v>0</v>
      </c>
      <c r="X140" s="88">
        <f t="shared" ca="1" si="22"/>
        <v>126</v>
      </c>
      <c r="Y140" s="87">
        <f t="shared" ca="1" si="23"/>
        <v>0</v>
      </c>
      <c r="Z140" s="86">
        <f t="shared" ca="1" si="24"/>
        <v>0</v>
      </c>
      <c r="AA140" s="85">
        <f t="shared" ca="1" si="25"/>
        <v>1.0069999999999999</v>
      </c>
      <c r="AB140" s="85">
        <f t="shared" ca="1" si="26"/>
        <v>0.80400000000000005</v>
      </c>
    </row>
    <row r="141" spans="2:31">
      <c r="B141" s="98">
        <f>'115+740'!B142</f>
        <v>45200</v>
      </c>
      <c r="C141" s="97">
        <f t="shared" si="18"/>
        <v>1</v>
      </c>
      <c r="D141" s="96">
        <f t="shared" si="19"/>
        <v>1069</v>
      </c>
      <c r="E141" s="95">
        <f>VLOOKUP(B141,'115+740'!B142:AB243,3,FALSE)</f>
        <v>1428</v>
      </c>
      <c r="F141" s="92">
        <f t="shared" ref="F141:F204" si="27">D141+E141</f>
        <v>2497</v>
      </c>
      <c r="G141" s="94">
        <f ca="1">VLOOKUP(B141,'115+740'!$B$15:$AB$757,20,FALSE)</f>
        <v>860</v>
      </c>
      <c r="H141" s="94">
        <f ca="1">VLOOKUP(B141,'115+740'!$B$15:$AB$757,4,FALSE)</f>
        <v>597</v>
      </c>
      <c r="I141" s="91">
        <f t="shared" ref="I141:I204" ca="1" si="28">F141-H141</f>
        <v>1900</v>
      </c>
      <c r="J141" s="91">
        <f ca="1">VLOOKUP(B141,'115+740'!$B$15:$AB$757,13,FALSE)</f>
        <v>-100</v>
      </c>
      <c r="K141" s="89">
        <f>'115+740'!Q142</f>
        <v>0</v>
      </c>
      <c r="L141" s="88">
        <f t="shared" ca="1" si="20"/>
        <v>140</v>
      </c>
      <c r="M141" s="93">
        <f ca="1">VLOOKUP(B141,'115+740'!$B$14:$AB$757,21,FALSE)</f>
        <v>897</v>
      </c>
      <c r="N141" s="92">
        <f ca="1">VLOOKUP(B141,'115+740'!$B$15:$AB$757,5,FALSE)</f>
        <v>610</v>
      </c>
      <c r="O141" s="91">
        <f t="shared" ref="O141:O204" ca="1" si="29">F141-N141</f>
        <v>1887</v>
      </c>
      <c r="P141" s="91">
        <f ca="1">VLOOKUP(B141,'115+740'!$B$15:$AB$757,14,FALSE)</f>
        <v>-113</v>
      </c>
      <c r="Q141" s="89">
        <f>'115+740'!R142</f>
        <v>0</v>
      </c>
      <c r="R141" s="88">
        <f t="shared" ca="1" si="21"/>
        <v>103</v>
      </c>
      <c r="S141" s="93">
        <f ca="1">VLOOKUP(B141,'115+740'!$B$14:$AB$757,22,FALSE)</f>
        <v>874</v>
      </c>
      <c r="T141" s="92">
        <f ca="1">VLOOKUP(B141,'115+740'!$B$15:$AB$757,6,FALSE)</f>
        <v>663</v>
      </c>
      <c r="U141" s="91">
        <f t="shared" ref="U141:U204" ca="1" si="30">F141-T141</f>
        <v>1834</v>
      </c>
      <c r="V141" s="90">
        <f ca="1">VLOOKUP(B141,'115+740'!$B$15:$AB$757,15,FALSE)</f>
        <v>-166</v>
      </c>
      <c r="W141" s="89">
        <f>'115+740'!S142</f>
        <v>0</v>
      </c>
      <c r="X141" s="88">
        <f t="shared" ca="1" si="22"/>
        <v>126</v>
      </c>
      <c r="Y141" s="87">
        <f t="shared" ca="1" si="23"/>
        <v>0</v>
      </c>
      <c r="Z141" s="86">
        <f t="shared" ca="1" si="24"/>
        <v>0</v>
      </c>
      <c r="AA141" s="85">
        <f t="shared" ca="1" si="25"/>
        <v>1.0069999999999999</v>
      </c>
      <c r="AB141" s="85">
        <f t="shared" ca="1" si="26"/>
        <v>0.80400000000000005</v>
      </c>
    </row>
    <row r="142" spans="2:31">
      <c r="B142" s="98">
        <f>'115+740'!B143</f>
        <v>45201</v>
      </c>
      <c r="C142" s="97">
        <f t="shared" ref="C142:C205" si="31">B142-B141</f>
        <v>1</v>
      </c>
      <c r="D142" s="96">
        <f t="shared" ref="D142:D205" si="32">D141</f>
        <v>1069</v>
      </c>
      <c r="E142" s="95">
        <f>VLOOKUP(B142,'115+740'!B143:AB244,3,FALSE)</f>
        <v>1430</v>
      </c>
      <c r="F142" s="92">
        <f t="shared" si="27"/>
        <v>2499</v>
      </c>
      <c r="G142" s="94">
        <f ca="1">VLOOKUP(B142,'115+740'!$B$15:$AB$757,20,FALSE)</f>
        <v>860</v>
      </c>
      <c r="H142" s="94">
        <f ca="1">VLOOKUP(B142,'115+740'!$B$15:$AB$757,4,FALSE)</f>
        <v>599</v>
      </c>
      <c r="I142" s="91">
        <f t="shared" ca="1" si="28"/>
        <v>1900</v>
      </c>
      <c r="J142" s="91">
        <f ca="1">VLOOKUP(B142,'115+740'!$B$15:$AB$757,13,FALSE)</f>
        <v>-100</v>
      </c>
      <c r="K142" s="89">
        <f>'115+740'!Q143</f>
        <v>0</v>
      </c>
      <c r="L142" s="88">
        <f t="shared" ref="L142:L205" ca="1" si="33">+K142+L141</f>
        <v>140</v>
      </c>
      <c r="M142" s="93">
        <f ca="1">VLOOKUP(B142,'115+740'!$B$14:$AB$757,21,FALSE)</f>
        <v>897</v>
      </c>
      <c r="N142" s="92">
        <f ca="1">VLOOKUP(B142,'115+740'!$B$15:$AB$757,5,FALSE)</f>
        <v>612</v>
      </c>
      <c r="O142" s="91">
        <f t="shared" ca="1" si="29"/>
        <v>1887</v>
      </c>
      <c r="P142" s="91">
        <f ca="1">VLOOKUP(B142,'115+740'!$B$15:$AB$757,14,FALSE)</f>
        <v>-113</v>
      </c>
      <c r="Q142" s="89">
        <f>'115+740'!R143</f>
        <v>0</v>
      </c>
      <c r="R142" s="88">
        <f t="shared" ref="R142:R205" ca="1" si="34">+Q142+R141</f>
        <v>103</v>
      </c>
      <c r="S142" s="93">
        <f ca="1">VLOOKUP(B142,'115+740'!$B$14:$AB$757,22,FALSE)</f>
        <v>874</v>
      </c>
      <c r="T142" s="92">
        <f ca="1">VLOOKUP(B142,'115+740'!$B$15:$AB$757,6,FALSE)</f>
        <v>665</v>
      </c>
      <c r="U142" s="91">
        <f t="shared" ca="1" si="30"/>
        <v>1834</v>
      </c>
      <c r="V142" s="90">
        <f ca="1">VLOOKUP(B142,'115+740'!$B$15:$AB$757,15,FALSE)</f>
        <v>-166</v>
      </c>
      <c r="W142" s="89">
        <f>'115+740'!S143</f>
        <v>0</v>
      </c>
      <c r="X142" s="88">
        <f t="shared" ref="X142:X205" ca="1" si="35">+W142+X141</f>
        <v>126</v>
      </c>
      <c r="Y142" s="87">
        <f t="shared" ref="Y142:Y205" ca="1" si="36">S142-S141</f>
        <v>0</v>
      </c>
      <c r="Z142" s="86">
        <f t="shared" ref="Z142:Z205" ca="1" si="37">IF(Y142&gt;0,Y142,0)/1000</f>
        <v>0</v>
      </c>
      <c r="AA142" s="85">
        <f t="shared" ref="AA142:AA205" ca="1" si="38">AA141+Z142</f>
        <v>1.0069999999999999</v>
      </c>
      <c r="AB142" s="85">
        <f t="shared" ref="AB142:AB205" ca="1" si="39">(M142-$M$13-R142)/1000</f>
        <v>0.80400000000000005</v>
      </c>
    </row>
    <row r="143" spans="2:31">
      <c r="B143" s="98">
        <f>'115+740'!B144</f>
        <v>45202</v>
      </c>
      <c r="C143" s="97">
        <f t="shared" si="31"/>
        <v>1</v>
      </c>
      <c r="D143" s="96">
        <f t="shared" si="32"/>
        <v>1069</v>
      </c>
      <c r="E143" s="95">
        <f>VLOOKUP(B143,'115+740'!B144:AB245,3,FALSE)</f>
        <v>1432</v>
      </c>
      <c r="F143" s="92">
        <f t="shared" si="27"/>
        <v>2501</v>
      </c>
      <c r="G143" s="94">
        <f ca="1">VLOOKUP(B143,'115+740'!$B$15:$AB$757,20,FALSE)</f>
        <v>860</v>
      </c>
      <c r="H143" s="94">
        <f ca="1">VLOOKUP(B143,'115+740'!$B$15:$AB$757,4,FALSE)</f>
        <v>601</v>
      </c>
      <c r="I143" s="91">
        <f t="shared" ca="1" si="28"/>
        <v>1900</v>
      </c>
      <c r="J143" s="91">
        <f ca="1">VLOOKUP(B143,'115+740'!$B$15:$AB$757,13,FALSE)</f>
        <v>-100</v>
      </c>
      <c r="K143" s="89">
        <f>'115+740'!Q144</f>
        <v>0</v>
      </c>
      <c r="L143" s="88">
        <f t="shared" ca="1" si="33"/>
        <v>140</v>
      </c>
      <c r="M143" s="93">
        <f ca="1">VLOOKUP(B143,'115+740'!$B$14:$AB$757,21,FALSE)</f>
        <v>897</v>
      </c>
      <c r="N143" s="92">
        <f ca="1">VLOOKUP(B143,'115+740'!$B$15:$AB$757,5,FALSE)</f>
        <v>614</v>
      </c>
      <c r="O143" s="91">
        <f t="shared" ca="1" si="29"/>
        <v>1887</v>
      </c>
      <c r="P143" s="91">
        <f ca="1">VLOOKUP(B143,'115+740'!$B$15:$AB$757,14,FALSE)</f>
        <v>-113</v>
      </c>
      <c r="Q143" s="89">
        <f>'115+740'!R144</f>
        <v>0</v>
      </c>
      <c r="R143" s="88">
        <f t="shared" ca="1" si="34"/>
        <v>103</v>
      </c>
      <c r="S143" s="93">
        <f ca="1">VLOOKUP(B143,'115+740'!$B$14:$AB$757,22,FALSE)</f>
        <v>874</v>
      </c>
      <c r="T143" s="92">
        <f ca="1">VLOOKUP(B143,'115+740'!$B$15:$AB$757,6,FALSE)</f>
        <v>667</v>
      </c>
      <c r="U143" s="91">
        <f t="shared" ca="1" si="30"/>
        <v>1834</v>
      </c>
      <c r="V143" s="90">
        <f ca="1">VLOOKUP(B143,'115+740'!$B$15:$AB$757,15,FALSE)</f>
        <v>-166</v>
      </c>
      <c r="W143" s="89">
        <f>'115+740'!S144</f>
        <v>0</v>
      </c>
      <c r="X143" s="88">
        <f t="shared" ca="1" si="35"/>
        <v>126</v>
      </c>
      <c r="Y143" s="87">
        <f t="shared" ca="1" si="36"/>
        <v>0</v>
      </c>
      <c r="Z143" s="86">
        <f t="shared" ca="1" si="37"/>
        <v>0</v>
      </c>
      <c r="AA143" s="85">
        <f t="shared" ca="1" si="38"/>
        <v>1.0069999999999999</v>
      </c>
      <c r="AB143" s="85">
        <f t="shared" ca="1" si="39"/>
        <v>0.80400000000000005</v>
      </c>
    </row>
    <row r="144" spans="2:31">
      <c r="B144" s="98">
        <f>'115+740'!B145</f>
        <v>45203</v>
      </c>
      <c r="C144" s="97">
        <f t="shared" si="31"/>
        <v>1</v>
      </c>
      <c r="D144" s="96">
        <f t="shared" si="32"/>
        <v>1069</v>
      </c>
      <c r="E144" s="95">
        <f>VLOOKUP(B144,'115+740'!B145:AB246,3,FALSE)</f>
        <v>1434</v>
      </c>
      <c r="F144" s="92">
        <f t="shared" si="27"/>
        <v>2503</v>
      </c>
      <c r="G144" s="94">
        <f ca="1">VLOOKUP(B144,'115+740'!$B$15:$AB$757,20,FALSE)</f>
        <v>860</v>
      </c>
      <c r="H144" s="94">
        <f ca="1">VLOOKUP(B144,'115+740'!$B$15:$AB$757,4,FALSE)</f>
        <v>603</v>
      </c>
      <c r="I144" s="91">
        <f t="shared" ca="1" si="28"/>
        <v>1900</v>
      </c>
      <c r="J144" s="91">
        <f ca="1">VLOOKUP(B144,'115+740'!$B$15:$AB$757,13,FALSE)</f>
        <v>-100</v>
      </c>
      <c r="K144" s="89">
        <f>'115+740'!Q145</f>
        <v>0</v>
      </c>
      <c r="L144" s="88">
        <f t="shared" ca="1" si="33"/>
        <v>140</v>
      </c>
      <c r="M144" s="93">
        <f ca="1">VLOOKUP(B144,'115+740'!$B$14:$AB$757,21,FALSE)</f>
        <v>897</v>
      </c>
      <c r="N144" s="92">
        <f ca="1">VLOOKUP(B144,'115+740'!$B$15:$AB$757,5,FALSE)</f>
        <v>616</v>
      </c>
      <c r="O144" s="91">
        <f t="shared" ca="1" si="29"/>
        <v>1887</v>
      </c>
      <c r="P144" s="91">
        <f ca="1">VLOOKUP(B144,'115+740'!$B$15:$AB$757,14,FALSE)</f>
        <v>-113</v>
      </c>
      <c r="Q144" s="89">
        <f>'115+740'!R145</f>
        <v>0</v>
      </c>
      <c r="R144" s="88">
        <f t="shared" ca="1" si="34"/>
        <v>103</v>
      </c>
      <c r="S144" s="93">
        <f ca="1">VLOOKUP(B144,'115+740'!$B$14:$AB$757,22,FALSE)</f>
        <v>874</v>
      </c>
      <c r="T144" s="92">
        <f ca="1">VLOOKUP(B144,'115+740'!$B$15:$AB$757,6,FALSE)</f>
        <v>669</v>
      </c>
      <c r="U144" s="91">
        <f t="shared" ca="1" si="30"/>
        <v>1834</v>
      </c>
      <c r="V144" s="90">
        <f ca="1">VLOOKUP(B144,'115+740'!$B$15:$AB$757,15,FALSE)</f>
        <v>-166</v>
      </c>
      <c r="W144" s="89">
        <f>'115+740'!S145</f>
        <v>0</v>
      </c>
      <c r="X144" s="88">
        <f t="shared" ca="1" si="35"/>
        <v>126</v>
      </c>
      <c r="Y144" s="87">
        <f t="shared" ca="1" si="36"/>
        <v>0</v>
      </c>
      <c r="Z144" s="86">
        <f t="shared" ca="1" si="37"/>
        <v>0</v>
      </c>
      <c r="AA144" s="85">
        <f t="shared" ca="1" si="38"/>
        <v>1.0069999999999999</v>
      </c>
      <c r="AB144" s="85">
        <f t="shared" ca="1" si="39"/>
        <v>0.80400000000000005</v>
      </c>
    </row>
    <row r="145" spans="2:28">
      <c r="B145" s="98">
        <f>'115+740'!B146</f>
        <v>45204</v>
      </c>
      <c r="C145" s="97">
        <f t="shared" si="31"/>
        <v>1</v>
      </c>
      <c r="D145" s="96">
        <f t="shared" si="32"/>
        <v>1069</v>
      </c>
      <c r="E145" s="95">
        <f>VLOOKUP(B145,'115+740'!B146:AB247,3,FALSE)</f>
        <v>1436</v>
      </c>
      <c r="F145" s="92">
        <f t="shared" si="27"/>
        <v>2505</v>
      </c>
      <c r="G145" s="94">
        <f ca="1">VLOOKUP(B145,'115+740'!$B$15:$AB$757,20,FALSE)</f>
        <v>860</v>
      </c>
      <c r="H145" s="94">
        <f ca="1">VLOOKUP(B145,'115+740'!$B$15:$AB$757,4,FALSE)</f>
        <v>605</v>
      </c>
      <c r="I145" s="91">
        <f t="shared" ca="1" si="28"/>
        <v>1900</v>
      </c>
      <c r="J145" s="91">
        <f ca="1">VLOOKUP(B145,'115+740'!$B$15:$AB$757,13,FALSE)</f>
        <v>-100</v>
      </c>
      <c r="K145" s="89">
        <f>'115+740'!Q146</f>
        <v>0</v>
      </c>
      <c r="L145" s="88">
        <f t="shared" ca="1" si="33"/>
        <v>140</v>
      </c>
      <c r="M145" s="93">
        <f ca="1">VLOOKUP(B145,'115+740'!$B$14:$AB$757,21,FALSE)</f>
        <v>897</v>
      </c>
      <c r="N145" s="92">
        <f ca="1">VLOOKUP(B145,'115+740'!$B$15:$AB$757,5,FALSE)</f>
        <v>618</v>
      </c>
      <c r="O145" s="91">
        <f t="shared" ca="1" si="29"/>
        <v>1887</v>
      </c>
      <c r="P145" s="91">
        <f ca="1">VLOOKUP(B145,'115+740'!$B$15:$AB$757,14,FALSE)</f>
        <v>-113</v>
      </c>
      <c r="Q145" s="89">
        <f>'115+740'!R146</f>
        <v>0</v>
      </c>
      <c r="R145" s="88">
        <f t="shared" ca="1" si="34"/>
        <v>103</v>
      </c>
      <c r="S145" s="93">
        <f ca="1">VLOOKUP(B145,'115+740'!$B$14:$AB$757,22,FALSE)</f>
        <v>874</v>
      </c>
      <c r="T145" s="92">
        <f ca="1">VLOOKUP(B145,'115+740'!$B$15:$AB$757,6,FALSE)</f>
        <v>671</v>
      </c>
      <c r="U145" s="91">
        <f t="shared" ca="1" si="30"/>
        <v>1834</v>
      </c>
      <c r="V145" s="90">
        <f ca="1">VLOOKUP(B145,'115+740'!$B$15:$AB$757,15,FALSE)</f>
        <v>-166</v>
      </c>
      <c r="W145" s="89">
        <f>'115+740'!S146</f>
        <v>0</v>
      </c>
      <c r="X145" s="88">
        <f t="shared" ca="1" si="35"/>
        <v>126</v>
      </c>
      <c r="Y145" s="87">
        <f t="shared" ca="1" si="36"/>
        <v>0</v>
      </c>
      <c r="Z145" s="86">
        <f t="shared" ca="1" si="37"/>
        <v>0</v>
      </c>
      <c r="AA145" s="85">
        <f t="shared" ca="1" si="38"/>
        <v>1.0069999999999999</v>
      </c>
      <c r="AB145" s="85">
        <f t="shared" ca="1" si="39"/>
        <v>0.80400000000000005</v>
      </c>
    </row>
    <row r="146" spans="2:28">
      <c r="B146" s="98">
        <f>'115+740'!B147</f>
        <v>45205</v>
      </c>
      <c r="C146" s="97">
        <f t="shared" si="31"/>
        <v>1</v>
      </c>
      <c r="D146" s="96">
        <f t="shared" si="32"/>
        <v>1069</v>
      </c>
      <c r="E146" s="95">
        <f>VLOOKUP(B146,'115+740'!B147:AB248,3,FALSE)</f>
        <v>1438</v>
      </c>
      <c r="F146" s="92">
        <f t="shared" si="27"/>
        <v>2507</v>
      </c>
      <c r="G146" s="94">
        <f ca="1">VLOOKUP(B146,'115+740'!$B$15:$AB$757,20,FALSE)</f>
        <v>860</v>
      </c>
      <c r="H146" s="94">
        <f ca="1">VLOOKUP(B146,'115+740'!$B$15:$AB$757,4,FALSE)</f>
        <v>607</v>
      </c>
      <c r="I146" s="91">
        <f t="shared" ca="1" si="28"/>
        <v>1900</v>
      </c>
      <c r="J146" s="91">
        <f ca="1">VLOOKUP(B146,'115+740'!$B$15:$AB$757,13,FALSE)</f>
        <v>-100</v>
      </c>
      <c r="K146" s="89">
        <f>'115+740'!Q147</f>
        <v>0</v>
      </c>
      <c r="L146" s="88">
        <f t="shared" ca="1" si="33"/>
        <v>140</v>
      </c>
      <c r="M146" s="93">
        <f ca="1">VLOOKUP(B146,'115+740'!$B$14:$AB$757,21,FALSE)</f>
        <v>897</v>
      </c>
      <c r="N146" s="92">
        <f ca="1">VLOOKUP(B146,'115+740'!$B$15:$AB$757,5,FALSE)</f>
        <v>620</v>
      </c>
      <c r="O146" s="91">
        <f t="shared" ca="1" si="29"/>
        <v>1887</v>
      </c>
      <c r="P146" s="91">
        <f ca="1">VLOOKUP(B146,'115+740'!$B$15:$AB$757,14,FALSE)</f>
        <v>-113</v>
      </c>
      <c r="Q146" s="89">
        <f>'115+740'!R147</f>
        <v>0</v>
      </c>
      <c r="R146" s="88">
        <f t="shared" ca="1" si="34"/>
        <v>103</v>
      </c>
      <c r="S146" s="93">
        <f ca="1">VLOOKUP(B146,'115+740'!$B$14:$AB$757,22,FALSE)</f>
        <v>874</v>
      </c>
      <c r="T146" s="92">
        <f ca="1">VLOOKUP(B146,'115+740'!$B$15:$AB$757,6,FALSE)</f>
        <v>673</v>
      </c>
      <c r="U146" s="91">
        <f t="shared" ca="1" si="30"/>
        <v>1834</v>
      </c>
      <c r="V146" s="90">
        <f ca="1">VLOOKUP(B146,'115+740'!$B$15:$AB$757,15,FALSE)</f>
        <v>-166</v>
      </c>
      <c r="W146" s="89">
        <f>'115+740'!S147</f>
        <v>0</v>
      </c>
      <c r="X146" s="88">
        <f t="shared" ca="1" si="35"/>
        <v>126</v>
      </c>
      <c r="Y146" s="87">
        <f t="shared" ca="1" si="36"/>
        <v>0</v>
      </c>
      <c r="Z146" s="86">
        <f t="shared" ca="1" si="37"/>
        <v>0</v>
      </c>
      <c r="AA146" s="85">
        <f t="shared" ca="1" si="38"/>
        <v>1.0069999999999999</v>
      </c>
      <c r="AB146" s="85">
        <f t="shared" ca="1" si="39"/>
        <v>0.80400000000000005</v>
      </c>
    </row>
    <row r="147" spans="2:28">
      <c r="B147" s="98">
        <f>'115+740'!B148</f>
        <v>45206</v>
      </c>
      <c r="C147" s="97">
        <f t="shared" si="31"/>
        <v>1</v>
      </c>
      <c r="D147" s="96">
        <f t="shared" si="32"/>
        <v>1069</v>
      </c>
      <c r="E147" s="95">
        <f>VLOOKUP(B147,'115+740'!B148:AB249,3,FALSE)</f>
        <v>1440</v>
      </c>
      <c r="F147" s="92">
        <f t="shared" si="27"/>
        <v>2509</v>
      </c>
      <c r="G147" s="94">
        <f ca="1">VLOOKUP(B147,'115+740'!$B$15:$AB$757,20,FALSE)</f>
        <v>860</v>
      </c>
      <c r="H147" s="94">
        <f ca="1">VLOOKUP(B147,'115+740'!$B$15:$AB$757,4,FALSE)</f>
        <v>609</v>
      </c>
      <c r="I147" s="91">
        <f t="shared" ca="1" si="28"/>
        <v>1900</v>
      </c>
      <c r="J147" s="91">
        <f ca="1">VLOOKUP(B147,'115+740'!$B$15:$AB$757,13,FALSE)</f>
        <v>-100</v>
      </c>
      <c r="K147" s="89">
        <f>'115+740'!Q148</f>
        <v>0</v>
      </c>
      <c r="L147" s="88">
        <f t="shared" ca="1" si="33"/>
        <v>140</v>
      </c>
      <c r="M147" s="93">
        <f ca="1">VLOOKUP(B147,'115+740'!$B$14:$AB$757,21,FALSE)</f>
        <v>897</v>
      </c>
      <c r="N147" s="92">
        <f ca="1">VLOOKUP(B147,'115+740'!$B$15:$AB$757,5,FALSE)</f>
        <v>622</v>
      </c>
      <c r="O147" s="91">
        <f t="shared" ca="1" si="29"/>
        <v>1887</v>
      </c>
      <c r="P147" s="91">
        <f ca="1">VLOOKUP(B147,'115+740'!$B$15:$AB$757,14,FALSE)</f>
        <v>-113</v>
      </c>
      <c r="Q147" s="89">
        <f>'115+740'!R148</f>
        <v>0</v>
      </c>
      <c r="R147" s="88">
        <f t="shared" ca="1" si="34"/>
        <v>103</v>
      </c>
      <c r="S147" s="93">
        <f ca="1">VLOOKUP(B147,'115+740'!$B$14:$AB$757,22,FALSE)</f>
        <v>874</v>
      </c>
      <c r="T147" s="92">
        <f ca="1">VLOOKUP(B147,'115+740'!$B$15:$AB$757,6,FALSE)</f>
        <v>675</v>
      </c>
      <c r="U147" s="91">
        <f t="shared" ca="1" si="30"/>
        <v>1834</v>
      </c>
      <c r="V147" s="90">
        <f ca="1">VLOOKUP(B147,'115+740'!$B$15:$AB$757,15,FALSE)</f>
        <v>-166</v>
      </c>
      <c r="W147" s="89">
        <f>'115+740'!S148</f>
        <v>0</v>
      </c>
      <c r="X147" s="88">
        <f t="shared" ca="1" si="35"/>
        <v>126</v>
      </c>
      <c r="Y147" s="87">
        <f t="shared" ca="1" si="36"/>
        <v>0</v>
      </c>
      <c r="Z147" s="86">
        <f t="shared" ca="1" si="37"/>
        <v>0</v>
      </c>
      <c r="AA147" s="85">
        <f t="shared" ca="1" si="38"/>
        <v>1.0069999999999999</v>
      </c>
      <c r="AB147" s="85">
        <f t="shared" ca="1" si="39"/>
        <v>0.80400000000000005</v>
      </c>
    </row>
    <row r="148" spans="2:28">
      <c r="B148" s="98">
        <f>'115+740'!B149</f>
        <v>45207</v>
      </c>
      <c r="C148" s="97">
        <f t="shared" si="31"/>
        <v>1</v>
      </c>
      <c r="D148" s="96">
        <f t="shared" si="32"/>
        <v>1069</v>
      </c>
      <c r="E148" s="95">
        <f>VLOOKUP(B148,'115+740'!B149:AB250,3,FALSE)</f>
        <v>1442</v>
      </c>
      <c r="F148" s="92">
        <f t="shared" si="27"/>
        <v>2511</v>
      </c>
      <c r="G148" s="94">
        <f ca="1">VLOOKUP(B148,'115+740'!$B$15:$AB$757,20,FALSE)</f>
        <v>860</v>
      </c>
      <c r="H148" s="94">
        <f ca="1">VLOOKUP(B148,'115+740'!$B$15:$AB$757,4,FALSE)</f>
        <v>611</v>
      </c>
      <c r="I148" s="91">
        <f t="shared" ca="1" si="28"/>
        <v>1900</v>
      </c>
      <c r="J148" s="91">
        <f ca="1">VLOOKUP(B148,'115+740'!$B$15:$AB$757,13,FALSE)</f>
        <v>-100</v>
      </c>
      <c r="K148" s="89">
        <f>'115+740'!Q149</f>
        <v>0</v>
      </c>
      <c r="L148" s="88">
        <f t="shared" ca="1" si="33"/>
        <v>140</v>
      </c>
      <c r="M148" s="93">
        <f ca="1">VLOOKUP(B148,'115+740'!$B$14:$AB$757,21,FALSE)</f>
        <v>897</v>
      </c>
      <c r="N148" s="92">
        <f ca="1">VLOOKUP(B148,'115+740'!$B$15:$AB$757,5,FALSE)</f>
        <v>624</v>
      </c>
      <c r="O148" s="91">
        <f t="shared" ca="1" si="29"/>
        <v>1887</v>
      </c>
      <c r="P148" s="91">
        <f ca="1">VLOOKUP(B148,'115+740'!$B$15:$AB$757,14,FALSE)</f>
        <v>-113</v>
      </c>
      <c r="Q148" s="89">
        <f>'115+740'!R149</f>
        <v>0</v>
      </c>
      <c r="R148" s="88">
        <f t="shared" ca="1" si="34"/>
        <v>103</v>
      </c>
      <c r="S148" s="93">
        <f ca="1">VLOOKUP(B148,'115+740'!$B$14:$AB$757,22,FALSE)</f>
        <v>874</v>
      </c>
      <c r="T148" s="92">
        <f ca="1">VLOOKUP(B148,'115+740'!$B$15:$AB$757,6,FALSE)</f>
        <v>677</v>
      </c>
      <c r="U148" s="91">
        <f t="shared" ca="1" si="30"/>
        <v>1834</v>
      </c>
      <c r="V148" s="90">
        <f ca="1">VLOOKUP(B148,'115+740'!$B$15:$AB$757,15,FALSE)</f>
        <v>-166</v>
      </c>
      <c r="W148" s="89">
        <f>'115+740'!S149</f>
        <v>0</v>
      </c>
      <c r="X148" s="88">
        <f t="shared" ca="1" si="35"/>
        <v>126</v>
      </c>
      <c r="Y148" s="87">
        <f t="shared" ca="1" si="36"/>
        <v>0</v>
      </c>
      <c r="Z148" s="86">
        <f t="shared" ca="1" si="37"/>
        <v>0</v>
      </c>
      <c r="AA148" s="85">
        <f t="shared" ca="1" si="38"/>
        <v>1.0069999999999999</v>
      </c>
      <c r="AB148" s="85">
        <f t="shared" ca="1" si="39"/>
        <v>0.80400000000000005</v>
      </c>
    </row>
    <row r="149" spans="2:28">
      <c r="B149" s="98">
        <f>'115+740'!B150</f>
        <v>45208</v>
      </c>
      <c r="C149" s="97">
        <f t="shared" si="31"/>
        <v>1</v>
      </c>
      <c r="D149" s="96">
        <f t="shared" si="32"/>
        <v>1069</v>
      </c>
      <c r="E149" s="95">
        <f>VLOOKUP(B149,'115+740'!B150:AB251,3,FALSE)</f>
        <v>1444</v>
      </c>
      <c r="F149" s="92">
        <f t="shared" si="27"/>
        <v>2513</v>
      </c>
      <c r="G149" s="94">
        <f ca="1">VLOOKUP(B149,'115+740'!$B$15:$AB$757,20,FALSE)</f>
        <v>860</v>
      </c>
      <c r="H149" s="94">
        <f ca="1">VLOOKUP(B149,'115+740'!$B$15:$AB$757,4,FALSE)</f>
        <v>613</v>
      </c>
      <c r="I149" s="91">
        <f t="shared" ca="1" si="28"/>
        <v>1900</v>
      </c>
      <c r="J149" s="91">
        <f ca="1">VLOOKUP(B149,'115+740'!$B$15:$AB$757,13,FALSE)</f>
        <v>-100</v>
      </c>
      <c r="K149" s="89">
        <f>'115+740'!Q150</f>
        <v>0</v>
      </c>
      <c r="L149" s="88">
        <f t="shared" ca="1" si="33"/>
        <v>140</v>
      </c>
      <c r="M149" s="93">
        <f ca="1">VLOOKUP(B149,'115+740'!$B$14:$AB$757,21,FALSE)</f>
        <v>897</v>
      </c>
      <c r="N149" s="92">
        <f ca="1">VLOOKUP(B149,'115+740'!$B$15:$AB$757,5,FALSE)</f>
        <v>626</v>
      </c>
      <c r="O149" s="91">
        <f t="shared" ca="1" si="29"/>
        <v>1887</v>
      </c>
      <c r="P149" s="91">
        <f ca="1">VLOOKUP(B149,'115+740'!$B$15:$AB$757,14,FALSE)</f>
        <v>-113</v>
      </c>
      <c r="Q149" s="89">
        <f>'115+740'!R150</f>
        <v>0</v>
      </c>
      <c r="R149" s="88">
        <f t="shared" ca="1" si="34"/>
        <v>103</v>
      </c>
      <c r="S149" s="93">
        <f ca="1">VLOOKUP(B149,'115+740'!$B$14:$AB$757,22,FALSE)</f>
        <v>874</v>
      </c>
      <c r="T149" s="92">
        <f ca="1">VLOOKUP(B149,'115+740'!$B$15:$AB$757,6,FALSE)</f>
        <v>679</v>
      </c>
      <c r="U149" s="91">
        <f t="shared" ca="1" si="30"/>
        <v>1834</v>
      </c>
      <c r="V149" s="90">
        <f ca="1">VLOOKUP(B149,'115+740'!$B$15:$AB$757,15,FALSE)</f>
        <v>-166</v>
      </c>
      <c r="W149" s="89">
        <f>'115+740'!S150</f>
        <v>0</v>
      </c>
      <c r="X149" s="88">
        <f t="shared" ca="1" si="35"/>
        <v>126</v>
      </c>
      <c r="Y149" s="87">
        <f t="shared" ca="1" si="36"/>
        <v>0</v>
      </c>
      <c r="Z149" s="86">
        <f t="shared" ca="1" si="37"/>
        <v>0</v>
      </c>
      <c r="AA149" s="85">
        <f t="shared" ca="1" si="38"/>
        <v>1.0069999999999999</v>
      </c>
      <c r="AB149" s="85">
        <f t="shared" ca="1" si="39"/>
        <v>0.80400000000000005</v>
      </c>
    </row>
    <row r="150" spans="2:28">
      <c r="B150" s="98">
        <f>'115+740'!B151</f>
        <v>45209</v>
      </c>
      <c r="C150" s="97">
        <f t="shared" si="31"/>
        <v>1</v>
      </c>
      <c r="D150" s="96">
        <f t="shared" si="32"/>
        <v>1069</v>
      </c>
      <c r="E150" s="95">
        <f>VLOOKUP(B150,'115+740'!B151:AB252,3,FALSE)</f>
        <v>1446</v>
      </c>
      <c r="F150" s="92">
        <f t="shared" si="27"/>
        <v>2515</v>
      </c>
      <c r="G150" s="94">
        <f ca="1">VLOOKUP(B150,'115+740'!$B$15:$AB$757,20,FALSE)</f>
        <v>860</v>
      </c>
      <c r="H150" s="94">
        <f ca="1">VLOOKUP(B150,'115+740'!$B$15:$AB$757,4,FALSE)</f>
        <v>615</v>
      </c>
      <c r="I150" s="91">
        <f t="shared" ca="1" si="28"/>
        <v>1900</v>
      </c>
      <c r="J150" s="91">
        <f ca="1">VLOOKUP(B150,'115+740'!$B$15:$AB$757,13,FALSE)</f>
        <v>-100</v>
      </c>
      <c r="K150" s="89">
        <f>'115+740'!Q151</f>
        <v>0</v>
      </c>
      <c r="L150" s="88">
        <f t="shared" ca="1" si="33"/>
        <v>140</v>
      </c>
      <c r="M150" s="93">
        <f ca="1">VLOOKUP(B150,'115+740'!$B$14:$AB$757,21,FALSE)</f>
        <v>897</v>
      </c>
      <c r="N150" s="92">
        <f ca="1">VLOOKUP(B150,'115+740'!$B$15:$AB$757,5,FALSE)</f>
        <v>628</v>
      </c>
      <c r="O150" s="91">
        <f t="shared" ca="1" si="29"/>
        <v>1887</v>
      </c>
      <c r="P150" s="91">
        <f ca="1">VLOOKUP(B150,'115+740'!$B$15:$AB$757,14,FALSE)</f>
        <v>-113</v>
      </c>
      <c r="Q150" s="89">
        <f>'115+740'!R151</f>
        <v>0</v>
      </c>
      <c r="R150" s="88">
        <f t="shared" ca="1" si="34"/>
        <v>103</v>
      </c>
      <c r="S150" s="93">
        <f ca="1">VLOOKUP(B150,'115+740'!$B$14:$AB$757,22,FALSE)</f>
        <v>874</v>
      </c>
      <c r="T150" s="92">
        <f ca="1">VLOOKUP(B150,'115+740'!$B$15:$AB$757,6,FALSE)</f>
        <v>681</v>
      </c>
      <c r="U150" s="91">
        <f t="shared" ca="1" si="30"/>
        <v>1834</v>
      </c>
      <c r="V150" s="90">
        <f ca="1">VLOOKUP(B150,'115+740'!$B$15:$AB$757,15,FALSE)</f>
        <v>-166</v>
      </c>
      <c r="W150" s="89">
        <f>'115+740'!S151</f>
        <v>0</v>
      </c>
      <c r="X150" s="88">
        <f t="shared" ca="1" si="35"/>
        <v>126</v>
      </c>
      <c r="Y150" s="87">
        <f t="shared" ca="1" si="36"/>
        <v>0</v>
      </c>
      <c r="Z150" s="86">
        <f t="shared" ca="1" si="37"/>
        <v>0</v>
      </c>
      <c r="AA150" s="85">
        <f t="shared" ca="1" si="38"/>
        <v>1.0069999999999999</v>
      </c>
      <c r="AB150" s="85">
        <f t="shared" ca="1" si="39"/>
        <v>0.80400000000000005</v>
      </c>
    </row>
    <row r="151" spans="2:28">
      <c r="B151" s="98">
        <f>'115+740'!B152</f>
        <v>45210</v>
      </c>
      <c r="C151" s="97">
        <f t="shared" si="31"/>
        <v>1</v>
      </c>
      <c r="D151" s="96">
        <f t="shared" si="32"/>
        <v>1069</v>
      </c>
      <c r="E151" s="95">
        <f>VLOOKUP(B151,'115+740'!B152:AB253,3,FALSE)</f>
        <v>1448</v>
      </c>
      <c r="F151" s="92">
        <f t="shared" si="27"/>
        <v>2517</v>
      </c>
      <c r="G151" s="94">
        <f ca="1">VLOOKUP(B151,'115+740'!$B$15:$AB$757,20,FALSE)</f>
        <v>860</v>
      </c>
      <c r="H151" s="94">
        <f ca="1">VLOOKUP(B151,'115+740'!$B$15:$AB$757,4,FALSE)</f>
        <v>617</v>
      </c>
      <c r="I151" s="91">
        <f t="shared" ca="1" si="28"/>
        <v>1900</v>
      </c>
      <c r="J151" s="91">
        <f ca="1">VLOOKUP(B151,'115+740'!$B$15:$AB$757,13,FALSE)</f>
        <v>-100</v>
      </c>
      <c r="K151" s="89">
        <f>'115+740'!Q152</f>
        <v>0</v>
      </c>
      <c r="L151" s="88">
        <f t="shared" ca="1" si="33"/>
        <v>140</v>
      </c>
      <c r="M151" s="93">
        <f ca="1">VLOOKUP(B151,'115+740'!$B$14:$AB$757,21,FALSE)</f>
        <v>897</v>
      </c>
      <c r="N151" s="92">
        <f ca="1">VLOOKUP(B151,'115+740'!$B$15:$AB$757,5,FALSE)</f>
        <v>630</v>
      </c>
      <c r="O151" s="91">
        <f t="shared" ca="1" si="29"/>
        <v>1887</v>
      </c>
      <c r="P151" s="91">
        <f ca="1">VLOOKUP(B151,'115+740'!$B$15:$AB$757,14,FALSE)</f>
        <v>-113</v>
      </c>
      <c r="Q151" s="89">
        <f>'115+740'!R152</f>
        <v>0</v>
      </c>
      <c r="R151" s="88">
        <f t="shared" ca="1" si="34"/>
        <v>103</v>
      </c>
      <c r="S151" s="93">
        <f ca="1">VLOOKUP(B151,'115+740'!$B$14:$AB$757,22,FALSE)</f>
        <v>874</v>
      </c>
      <c r="T151" s="92">
        <f ca="1">VLOOKUP(B151,'115+740'!$B$15:$AB$757,6,FALSE)</f>
        <v>683</v>
      </c>
      <c r="U151" s="91">
        <f t="shared" ca="1" si="30"/>
        <v>1834</v>
      </c>
      <c r="V151" s="90">
        <f ca="1">VLOOKUP(B151,'115+740'!$B$15:$AB$757,15,FALSE)</f>
        <v>-166</v>
      </c>
      <c r="W151" s="89">
        <f>'115+740'!S152</f>
        <v>0</v>
      </c>
      <c r="X151" s="88">
        <f t="shared" ca="1" si="35"/>
        <v>126</v>
      </c>
      <c r="Y151" s="87">
        <f t="shared" ca="1" si="36"/>
        <v>0</v>
      </c>
      <c r="Z151" s="86">
        <f t="shared" ca="1" si="37"/>
        <v>0</v>
      </c>
      <c r="AA151" s="85">
        <f t="shared" ca="1" si="38"/>
        <v>1.0069999999999999</v>
      </c>
      <c r="AB151" s="85">
        <f t="shared" ca="1" si="39"/>
        <v>0.80400000000000005</v>
      </c>
    </row>
    <row r="152" spans="2:28">
      <c r="B152" s="98">
        <f>'115+740'!B153</f>
        <v>45211</v>
      </c>
      <c r="C152" s="97">
        <f t="shared" si="31"/>
        <v>1</v>
      </c>
      <c r="D152" s="96">
        <f t="shared" si="32"/>
        <v>1069</v>
      </c>
      <c r="E152" s="95">
        <f>VLOOKUP(B152,'115+740'!B153:AB254,3,FALSE)</f>
        <v>1450</v>
      </c>
      <c r="F152" s="92">
        <f t="shared" si="27"/>
        <v>2519</v>
      </c>
      <c r="G152" s="94">
        <f ca="1">VLOOKUP(B152,'115+740'!$B$15:$AB$757,20,FALSE)</f>
        <v>860</v>
      </c>
      <c r="H152" s="94">
        <f ca="1">VLOOKUP(B152,'115+740'!$B$15:$AB$757,4,FALSE)</f>
        <v>619</v>
      </c>
      <c r="I152" s="91">
        <f t="shared" ca="1" si="28"/>
        <v>1900</v>
      </c>
      <c r="J152" s="91">
        <f ca="1">VLOOKUP(B152,'115+740'!$B$15:$AB$757,13,FALSE)</f>
        <v>-100</v>
      </c>
      <c r="K152" s="89">
        <f>'115+740'!Q153</f>
        <v>0</v>
      </c>
      <c r="L152" s="88">
        <f t="shared" ca="1" si="33"/>
        <v>140</v>
      </c>
      <c r="M152" s="93">
        <f ca="1">VLOOKUP(B152,'115+740'!$B$14:$AB$757,21,FALSE)</f>
        <v>897</v>
      </c>
      <c r="N152" s="92">
        <f ca="1">VLOOKUP(B152,'115+740'!$B$15:$AB$757,5,FALSE)</f>
        <v>632</v>
      </c>
      <c r="O152" s="91">
        <f t="shared" ca="1" si="29"/>
        <v>1887</v>
      </c>
      <c r="P152" s="91">
        <f ca="1">VLOOKUP(B152,'115+740'!$B$15:$AB$757,14,FALSE)</f>
        <v>-113</v>
      </c>
      <c r="Q152" s="89">
        <f>'115+740'!R153</f>
        <v>0</v>
      </c>
      <c r="R152" s="88">
        <f t="shared" ca="1" si="34"/>
        <v>103</v>
      </c>
      <c r="S152" s="93">
        <f ca="1">VLOOKUP(B152,'115+740'!$B$14:$AB$757,22,FALSE)</f>
        <v>874</v>
      </c>
      <c r="T152" s="92">
        <f ca="1">VLOOKUP(B152,'115+740'!$B$15:$AB$757,6,FALSE)</f>
        <v>685</v>
      </c>
      <c r="U152" s="91">
        <f t="shared" ca="1" si="30"/>
        <v>1834</v>
      </c>
      <c r="V152" s="90">
        <f ca="1">VLOOKUP(B152,'115+740'!$B$15:$AB$757,15,FALSE)</f>
        <v>-166</v>
      </c>
      <c r="W152" s="89">
        <f>'115+740'!S153</f>
        <v>0</v>
      </c>
      <c r="X152" s="88">
        <f t="shared" ca="1" si="35"/>
        <v>126</v>
      </c>
      <c r="Y152" s="87">
        <f t="shared" ca="1" si="36"/>
        <v>0</v>
      </c>
      <c r="Z152" s="86">
        <f t="shared" ca="1" si="37"/>
        <v>0</v>
      </c>
      <c r="AA152" s="85">
        <f t="shared" ca="1" si="38"/>
        <v>1.0069999999999999</v>
      </c>
      <c r="AB152" s="85">
        <f t="shared" ca="1" si="39"/>
        <v>0.80400000000000005</v>
      </c>
    </row>
    <row r="153" spans="2:28">
      <c r="B153" s="98">
        <f>'115+740'!B154</f>
        <v>45212</v>
      </c>
      <c r="C153" s="97">
        <f t="shared" si="31"/>
        <v>1</v>
      </c>
      <c r="D153" s="96">
        <f t="shared" si="32"/>
        <v>1069</v>
      </c>
      <c r="E153" s="95">
        <f>VLOOKUP(B153,'115+740'!B154:AB255,3,FALSE)</f>
        <v>1452</v>
      </c>
      <c r="F153" s="92">
        <f t="shared" si="27"/>
        <v>2521</v>
      </c>
      <c r="G153" s="94">
        <f ca="1">VLOOKUP(B153,'115+740'!$B$15:$AB$757,20,FALSE)</f>
        <v>860</v>
      </c>
      <c r="H153" s="94">
        <f ca="1">VLOOKUP(B153,'115+740'!$B$15:$AB$757,4,FALSE)</f>
        <v>621</v>
      </c>
      <c r="I153" s="91">
        <f t="shared" ca="1" si="28"/>
        <v>1900</v>
      </c>
      <c r="J153" s="91">
        <f ca="1">VLOOKUP(B153,'115+740'!$B$15:$AB$757,13,FALSE)</f>
        <v>-100</v>
      </c>
      <c r="K153" s="89">
        <f>'115+740'!Q154</f>
        <v>0</v>
      </c>
      <c r="L153" s="88">
        <f t="shared" ca="1" si="33"/>
        <v>140</v>
      </c>
      <c r="M153" s="93">
        <f ca="1">VLOOKUP(B153,'115+740'!$B$14:$AB$757,21,FALSE)</f>
        <v>897</v>
      </c>
      <c r="N153" s="92">
        <f ca="1">VLOOKUP(B153,'115+740'!$B$15:$AB$757,5,FALSE)</f>
        <v>634</v>
      </c>
      <c r="O153" s="91">
        <f t="shared" ca="1" si="29"/>
        <v>1887</v>
      </c>
      <c r="P153" s="91">
        <f ca="1">VLOOKUP(B153,'115+740'!$B$15:$AB$757,14,FALSE)</f>
        <v>-113</v>
      </c>
      <c r="Q153" s="89">
        <f>'115+740'!R154</f>
        <v>0</v>
      </c>
      <c r="R153" s="88">
        <f t="shared" ca="1" si="34"/>
        <v>103</v>
      </c>
      <c r="S153" s="93">
        <f ca="1">VLOOKUP(B153,'115+740'!$B$14:$AB$757,22,FALSE)</f>
        <v>874</v>
      </c>
      <c r="T153" s="92">
        <f ca="1">VLOOKUP(B153,'115+740'!$B$15:$AB$757,6,FALSE)</f>
        <v>687</v>
      </c>
      <c r="U153" s="91">
        <f t="shared" ca="1" si="30"/>
        <v>1834</v>
      </c>
      <c r="V153" s="90">
        <f ca="1">VLOOKUP(B153,'115+740'!$B$15:$AB$757,15,FALSE)</f>
        <v>-166</v>
      </c>
      <c r="W153" s="89">
        <f>'115+740'!S154</f>
        <v>0</v>
      </c>
      <c r="X153" s="88">
        <f t="shared" ca="1" si="35"/>
        <v>126</v>
      </c>
      <c r="Y153" s="87">
        <f t="shared" ca="1" si="36"/>
        <v>0</v>
      </c>
      <c r="Z153" s="86">
        <f t="shared" ca="1" si="37"/>
        <v>0</v>
      </c>
      <c r="AA153" s="85">
        <f t="shared" ca="1" si="38"/>
        <v>1.0069999999999999</v>
      </c>
      <c r="AB153" s="85">
        <f t="shared" ca="1" si="39"/>
        <v>0.80400000000000005</v>
      </c>
    </row>
    <row r="154" spans="2:28">
      <c r="B154" s="98">
        <f>'115+740'!B155</f>
        <v>45213</v>
      </c>
      <c r="C154" s="97">
        <f t="shared" si="31"/>
        <v>1</v>
      </c>
      <c r="D154" s="96">
        <f t="shared" si="32"/>
        <v>1069</v>
      </c>
      <c r="E154" s="95">
        <f>VLOOKUP(B154,'115+740'!B155:AB256,3,FALSE)</f>
        <v>1454</v>
      </c>
      <c r="F154" s="92">
        <f t="shared" si="27"/>
        <v>2523</v>
      </c>
      <c r="G154" s="94">
        <f ca="1">VLOOKUP(B154,'115+740'!$B$15:$AB$757,20,FALSE)</f>
        <v>860</v>
      </c>
      <c r="H154" s="94">
        <f ca="1">VLOOKUP(B154,'115+740'!$B$15:$AB$757,4,FALSE)</f>
        <v>623</v>
      </c>
      <c r="I154" s="91">
        <f t="shared" ca="1" si="28"/>
        <v>1900</v>
      </c>
      <c r="J154" s="91">
        <f ca="1">VLOOKUP(B154,'115+740'!$B$15:$AB$757,13,FALSE)</f>
        <v>-100</v>
      </c>
      <c r="K154" s="89">
        <f>'115+740'!Q155</f>
        <v>0</v>
      </c>
      <c r="L154" s="88">
        <f t="shared" ca="1" si="33"/>
        <v>140</v>
      </c>
      <c r="M154" s="93">
        <f ca="1">VLOOKUP(B154,'115+740'!$B$14:$AB$757,21,FALSE)</f>
        <v>897</v>
      </c>
      <c r="N154" s="92">
        <f ca="1">VLOOKUP(B154,'115+740'!$B$15:$AB$757,5,FALSE)</f>
        <v>636</v>
      </c>
      <c r="O154" s="91">
        <f t="shared" ca="1" si="29"/>
        <v>1887</v>
      </c>
      <c r="P154" s="91">
        <f ca="1">VLOOKUP(B154,'115+740'!$B$15:$AB$757,14,FALSE)</f>
        <v>-113</v>
      </c>
      <c r="Q154" s="89">
        <f>'115+740'!R155</f>
        <v>0</v>
      </c>
      <c r="R154" s="88">
        <f t="shared" ca="1" si="34"/>
        <v>103</v>
      </c>
      <c r="S154" s="93">
        <f ca="1">VLOOKUP(B154,'115+740'!$B$14:$AB$757,22,FALSE)</f>
        <v>874</v>
      </c>
      <c r="T154" s="92">
        <f ca="1">VLOOKUP(B154,'115+740'!$B$15:$AB$757,6,FALSE)</f>
        <v>689</v>
      </c>
      <c r="U154" s="91">
        <f t="shared" ca="1" si="30"/>
        <v>1834</v>
      </c>
      <c r="V154" s="90">
        <f ca="1">VLOOKUP(B154,'115+740'!$B$15:$AB$757,15,FALSE)</f>
        <v>-166</v>
      </c>
      <c r="W154" s="89">
        <f>'115+740'!S155</f>
        <v>0</v>
      </c>
      <c r="X154" s="88">
        <f t="shared" ca="1" si="35"/>
        <v>126</v>
      </c>
      <c r="Y154" s="87">
        <f t="shared" ca="1" si="36"/>
        <v>0</v>
      </c>
      <c r="Z154" s="86">
        <f t="shared" ca="1" si="37"/>
        <v>0</v>
      </c>
      <c r="AA154" s="85">
        <f t="shared" ca="1" si="38"/>
        <v>1.0069999999999999</v>
      </c>
      <c r="AB154" s="85">
        <f t="shared" ca="1" si="39"/>
        <v>0.80400000000000005</v>
      </c>
    </row>
    <row r="155" spans="2:28">
      <c r="B155" s="98">
        <f>'115+740'!B156</f>
        <v>45214</v>
      </c>
      <c r="C155" s="97">
        <f t="shared" si="31"/>
        <v>1</v>
      </c>
      <c r="D155" s="96">
        <f t="shared" si="32"/>
        <v>1069</v>
      </c>
      <c r="E155" s="95">
        <f>VLOOKUP(B155,'115+740'!B156:AB257,3,FALSE)</f>
        <v>1456</v>
      </c>
      <c r="F155" s="92">
        <f t="shared" si="27"/>
        <v>2525</v>
      </c>
      <c r="G155" s="94">
        <f ca="1">VLOOKUP(B155,'115+740'!$B$15:$AB$757,20,FALSE)</f>
        <v>860</v>
      </c>
      <c r="H155" s="94">
        <f ca="1">VLOOKUP(B155,'115+740'!$B$15:$AB$757,4,FALSE)</f>
        <v>625</v>
      </c>
      <c r="I155" s="91">
        <f t="shared" ca="1" si="28"/>
        <v>1900</v>
      </c>
      <c r="J155" s="91">
        <f ca="1">VLOOKUP(B155,'115+740'!$B$15:$AB$757,13,FALSE)</f>
        <v>-100</v>
      </c>
      <c r="K155" s="89">
        <f>'115+740'!Q156</f>
        <v>0</v>
      </c>
      <c r="L155" s="88">
        <f t="shared" ca="1" si="33"/>
        <v>140</v>
      </c>
      <c r="M155" s="93">
        <f ca="1">VLOOKUP(B155,'115+740'!$B$14:$AB$757,21,FALSE)</f>
        <v>897</v>
      </c>
      <c r="N155" s="92">
        <f ca="1">VLOOKUP(B155,'115+740'!$B$15:$AB$757,5,FALSE)</f>
        <v>638</v>
      </c>
      <c r="O155" s="91">
        <f t="shared" ca="1" si="29"/>
        <v>1887</v>
      </c>
      <c r="P155" s="91">
        <f ca="1">VLOOKUP(B155,'115+740'!$B$15:$AB$757,14,FALSE)</f>
        <v>-113</v>
      </c>
      <c r="Q155" s="89">
        <f>'115+740'!R156</f>
        <v>0</v>
      </c>
      <c r="R155" s="88">
        <f t="shared" ca="1" si="34"/>
        <v>103</v>
      </c>
      <c r="S155" s="93">
        <f ca="1">VLOOKUP(B155,'115+740'!$B$14:$AB$757,22,FALSE)</f>
        <v>874</v>
      </c>
      <c r="T155" s="92">
        <f ca="1">VLOOKUP(B155,'115+740'!$B$15:$AB$757,6,FALSE)</f>
        <v>691</v>
      </c>
      <c r="U155" s="91">
        <f t="shared" ca="1" si="30"/>
        <v>1834</v>
      </c>
      <c r="V155" s="90">
        <f ca="1">VLOOKUP(B155,'115+740'!$B$15:$AB$757,15,FALSE)</f>
        <v>-166</v>
      </c>
      <c r="W155" s="89">
        <f>'115+740'!S156</f>
        <v>0</v>
      </c>
      <c r="X155" s="88">
        <f t="shared" ca="1" si="35"/>
        <v>126</v>
      </c>
      <c r="Y155" s="87">
        <f t="shared" ca="1" si="36"/>
        <v>0</v>
      </c>
      <c r="Z155" s="86">
        <f t="shared" ca="1" si="37"/>
        <v>0</v>
      </c>
      <c r="AA155" s="85">
        <f t="shared" ca="1" si="38"/>
        <v>1.0069999999999999</v>
      </c>
      <c r="AB155" s="85">
        <f t="shared" ca="1" si="39"/>
        <v>0.80400000000000005</v>
      </c>
    </row>
    <row r="156" spans="2:28">
      <c r="B156" s="98">
        <f>'115+740'!B157</f>
        <v>45215</v>
      </c>
      <c r="C156" s="97">
        <f t="shared" si="31"/>
        <v>1</v>
      </c>
      <c r="D156" s="96">
        <f t="shared" si="32"/>
        <v>1069</v>
      </c>
      <c r="E156" s="95">
        <f>VLOOKUP(B156,'115+740'!B157:AB258,3,FALSE)</f>
        <v>1458</v>
      </c>
      <c r="F156" s="92">
        <f t="shared" si="27"/>
        <v>2527</v>
      </c>
      <c r="G156" s="94">
        <f ca="1">VLOOKUP(B156,'115+740'!$B$15:$AB$757,20,FALSE)</f>
        <v>860</v>
      </c>
      <c r="H156" s="94">
        <f ca="1">VLOOKUP(B156,'115+740'!$B$15:$AB$757,4,FALSE)</f>
        <v>627</v>
      </c>
      <c r="I156" s="91">
        <f t="shared" ca="1" si="28"/>
        <v>1900</v>
      </c>
      <c r="J156" s="91">
        <f ca="1">VLOOKUP(B156,'115+740'!$B$15:$AB$757,13,FALSE)</f>
        <v>-100</v>
      </c>
      <c r="K156" s="89">
        <f>'115+740'!Q157</f>
        <v>0</v>
      </c>
      <c r="L156" s="88">
        <f t="shared" ca="1" si="33"/>
        <v>140</v>
      </c>
      <c r="M156" s="93">
        <f ca="1">VLOOKUP(B156,'115+740'!$B$14:$AB$757,21,FALSE)</f>
        <v>897</v>
      </c>
      <c r="N156" s="92">
        <f ca="1">VLOOKUP(B156,'115+740'!$B$15:$AB$757,5,FALSE)</f>
        <v>640</v>
      </c>
      <c r="O156" s="91">
        <f t="shared" ca="1" si="29"/>
        <v>1887</v>
      </c>
      <c r="P156" s="91">
        <f ca="1">VLOOKUP(B156,'115+740'!$B$15:$AB$757,14,FALSE)</f>
        <v>-113</v>
      </c>
      <c r="Q156" s="89">
        <f>'115+740'!R157</f>
        <v>0</v>
      </c>
      <c r="R156" s="88">
        <f t="shared" ca="1" si="34"/>
        <v>103</v>
      </c>
      <c r="S156" s="93">
        <f ca="1">VLOOKUP(B156,'115+740'!$B$14:$AB$757,22,FALSE)</f>
        <v>874</v>
      </c>
      <c r="T156" s="92">
        <f ca="1">VLOOKUP(B156,'115+740'!$B$15:$AB$757,6,FALSE)</f>
        <v>693</v>
      </c>
      <c r="U156" s="91">
        <f t="shared" ca="1" si="30"/>
        <v>1834</v>
      </c>
      <c r="V156" s="90">
        <f ca="1">VLOOKUP(B156,'115+740'!$B$15:$AB$757,15,FALSE)</f>
        <v>-166</v>
      </c>
      <c r="W156" s="89">
        <f>'115+740'!S157</f>
        <v>0</v>
      </c>
      <c r="X156" s="88">
        <f t="shared" ca="1" si="35"/>
        <v>126</v>
      </c>
      <c r="Y156" s="87">
        <f t="shared" ca="1" si="36"/>
        <v>0</v>
      </c>
      <c r="Z156" s="86">
        <f t="shared" ca="1" si="37"/>
        <v>0</v>
      </c>
      <c r="AA156" s="85">
        <f t="shared" ca="1" si="38"/>
        <v>1.0069999999999999</v>
      </c>
      <c r="AB156" s="85">
        <f t="shared" ca="1" si="39"/>
        <v>0.80400000000000005</v>
      </c>
    </row>
    <row r="157" spans="2:28">
      <c r="B157" s="98">
        <f>'115+740'!B158</f>
        <v>45216</v>
      </c>
      <c r="C157" s="97">
        <f t="shared" si="31"/>
        <v>1</v>
      </c>
      <c r="D157" s="96">
        <f t="shared" si="32"/>
        <v>1069</v>
      </c>
      <c r="E157" s="95">
        <f>VLOOKUP(B157,'115+740'!B158:AB259,3,FALSE)</f>
        <v>1460</v>
      </c>
      <c r="F157" s="92">
        <f t="shared" si="27"/>
        <v>2529</v>
      </c>
      <c r="G157" s="94">
        <f ca="1">VLOOKUP(B157,'115+740'!$B$15:$AB$757,20,FALSE)</f>
        <v>860</v>
      </c>
      <c r="H157" s="94">
        <f ca="1">VLOOKUP(B157,'115+740'!$B$15:$AB$757,4,FALSE)</f>
        <v>629</v>
      </c>
      <c r="I157" s="91">
        <f t="shared" ca="1" si="28"/>
        <v>1900</v>
      </c>
      <c r="J157" s="91">
        <f ca="1">VLOOKUP(B157,'115+740'!$B$15:$AB$757,13,FALSE)</f>
        <v>-100</v>
      </c>
      <c r="K157" s="89">
        <f>'115+740'!Q158</f>
        <v>0</v>
      </c>
      <c r="L157" s="88">
        <f t="shared" ca="1" si="33"/>
        <v>140</v>
      </c>
      <c r="M157" s="93">
        <f ca="1">VLOOKUP(B157,'115+740'!$B$14:$AB$757,21,FALSE)</f>
        <v>897</v>
      </c>
      <c r="N157" s="92">
        <f ca="1">VLOOKUP(B157,'115+740'!$B$15:$AB$757,5,FALSE)</f>
        <v>642</v>
      </c>
      <c r="O157" s="91">
        <f t="shared" ca="1" si="29"/>
        <v>1887</v>
      </c>
      <c r="P157" s="91">
        <f ca="1">VLOOKUP(B157,'115+740'!$B$15:$AB$757,14,FALSE)</f>
        <v>-113</v>
      </c>
      <c r="Q157" s="89">
        <f>'115+740'!R158</f>
        <v>0</v>
      </c>
      <c r="R157" s="88">
        <f t="shared" ca="1" si="34"/>
        <v>103</v>
      </c>
      <c r="S157" s="93">
        <f ca="1">VLOOKUP(B157,'115+740'!$B$14:$AB$757,22,FALSE)</f>
        <v>874</v>
      </c>
      <c r="T157" s="92">
        <f ca="1">VLOOKUP(B157,'115+740'!$B$15:$AB$757,6,FALSE)</f>
        <v>695</v>
      </c>
      <c r="U157" s="91">
        <f t="shared" ca="1" si="30"/>
        <v>1834</v>
      </c>
      <c r="V157" s="90">
        <f ca="1">VLOOKUP(B157,'115+740'!$B$15:$AB$757,15,FALSE)</f>
        <v>-166</v>
      </c>
      <c r="W157" s="89">
        <f>'115+740'!S158</f>
        <v>0</v>
      </c>
      <c r="X157" s="88">
        <f t="shared" ca="1" si="35"/>
        <v>126</v>
      </c>
      <c r="Y157" s="87">
        <f t="shared" ca="1" si="36"/>
        <v>0</v>
      </c>
      <c r="Z157" s="86">
        <f t="shared" ca="1" si="37"/>
        <v>0</v>
      </c>
      <c r="AA157" s="85">
        <f t="shared" ca="1" si="38"/>
        <v>1.0069999999999999</v>
      </c>
      <c r="AB157" s="85">
        <f t="shared" ca="1" si="39"/>
        <v>0.80400000000000005</v>
      </c>
    </row>
    <row r="158" spans="2:28">
      <c r="B158" s="98">
        <f>'115+740'!B159</f>
        <v>45217</v>
      </c>
      <c r="C158" s="97">
        <f t="shared" si="31"/>
        <v>1</v>
      </c>
      <c r="D158" s="96">
        <f t="shared" si="32"/>
        <v>1069</v>
      </c>
      <c r="E158" s="95">
        <f>VLOOKUP(B158,'115+740'!B159:AB260,3,FALSE)</f>
        <v>1462</v>
      </c>
      <c r="F158" s="92">
        <f t="shared" si="27"/>
        <v>2531</v>
      </c>
      <c r="G158" s="94">
        <f ca="1">VLOOKUP(B158,'115+740'!$B$15:$AB$757,20,FALSE)</f>
        <v>860</v>
      </c>
      <c r="H158" s="94">
        <f ca="1">VLOOKUP(B158,'115+740'!$B$15:$AB$757,4,FALSE)</f>
        <v>631</v>
      </c>
      <c r="I158" s="91">
        <f t="shared" ca="1" si="28"/>
        <v>1900</v>
      </c>
      <c r="J158" s="91">
        <f ca="1">VLOOKUP(B158,'115+740'!$B$15:$AB$757,13,FALSE)</f>
        <v>-100</v>
      </c>
      <c r="K158" s="89">
        <f>'115+740'!Q159</f>
        <v>0</v>
      </c>
      <c r="L158" s="88">
        <f t="shared" ca="1" si="33"/>
        <v>140</v>
      </c>
      <c r="M158" s="93">
        <f ca="1">VLOOKUP(B158,'115+740'!$B$14:$AB$757,21,FALSE)</f>
        <v>897</v>
      </c>
      <c r="N158" s="92">
        <f ca="1">VLOOKUP(B158,'115+740'!$B$15:$AB$757,5,FALSE)</f>
        <v>644</v>
      </c>
      <c r="O158" s="91">
        <f t="shared" ca="1" si="29"/>
        <v>1887</v>
      </c>
      <c r="P158" s="91">
        <f ca="1">VLOOKUP(B158,'115+740'!$B$15:$AB$757,14,FALSE)</f>
        <v>-113</v>
      </c>
      <c r="Q158" s="89">
        <f>'115+740'!R159</f>
        <v>0</v>
      </c>
      <c r="R158" s="88">
        <f t="shared" ca="1" si="34"/>
        <v>103</v>
      </c>
      <c r="S158" s="93">
        <f ca="1">VLOOKUP(B158,'115+740'!$B$14:$AB$757,22,FALSE)</f>
        <v>874</v>
      </c>
      <c r="T158" s="92">
        <f ca="1">VLOOKUP(B158,'115+740'!$B$15:$AB$757,6,FALSE)</f>
        <v>697</v>
      </c>
      <c r="U158" s="91">
        <f t="shared" ca="1" si="30"/>
        <v>1834</v>
      </c>
      <c r="V158" s="90">
        <f ca="1">VLOOKUP(B158,'115+740'!$B$15:$AB$757,15,FALSE)</f>
        <v>-166</v>
      </c>
      <c r="W158" s="89">
        <f>'115+740'!S159</f>
        <v>0</v>
      </c>
      <c r="X158" s="88">
        <f t="shared" ca="1" si="35"/>
        <v>126</v>
      </c>
      <c r="Y158" s="87">
        <f t="shared" ca="1" si="36"/>
        <v>0</v>
      </c>
      <c r="Z158" s="86">
        <f t="shared" ca="1" si="37"/>
        <v>0</v>
      </c>
      <c r="AA158" s="85">
        <f t="shared" ca="1" si="38"/>
        <v>1.0069999999999999</v>
      </c>
      <c r="AB158" s="85">
        <f t="shared" ca="1" si="39"/>
        <v>0.80400000000000005</v>
      </c>
    </row>
    <row r="159" spans="2:28">
      <c r="B159" s="98">
        <f>'115+740'!B160</f>
        <v>45218</v>
      </c>
      <c r="C159" s="97">
        <f t="shared" si="31"/>
        <v>1</v>
      </c>
      <c r="D159" s="96">
        <f t="shared" si="32"/>
        <v>1069</v>
      </c>
      <c r="E159" s="95">
        <f>VLOOKUP(B159,'115+740'!B160:AB261,3,FALSE)</f>
        <v>1464</v>
      </c>
      <c r="F159" s="92">
        <f t="shared" si="27"/>
        <v>2533</v>
      </c>
      <c r="G159" s="94">
        <f ca="1">VLOOKUP(B159,'115+740'!$B$15:$AB$757,20,FALSE)</f>
        <v>860</v>
      </c>
      <c r="H159" s="94">
        <f ca="1">VLOOKUP(B159,'115+740'!$B$15:$AB$757,4,FALSE)</f>
        <v>633</v>
      </c>
      <c r="I159" s="91">
        <f t="shared" ca="1" si="28"/>
        <v>1900</v>
      </c>
      <c r="J159" s="91">
        <f ca="1">VLOOKUP(B159,'115+740'!$B$15:$AB$757,13,FALSE)</f>
        <v>-100</v>
      </c>
      <c r="K159" s="89">
        <f>'115+740'!Q160</f>
        <v>0</v>
      </c>
      <c r="L159" s="88">
        <f t="shared" ca="1" si="33"/>
        <v>140</v>
      </c>
      <c r="M159" s="93">
        <f ca="1">VLOOKUP(B159,'115+740'!$B$14:$AB$757,21,FALSE)</f>
        <v>897</v>
      </c>
      <c r="N159" s="92">
        <f ca="1">VLOOKUP(B159,'115+740'!$B$15:$AB$757,5,FALSE)</f>
        <v>646</v>
      </c>
      <c r="O159" s="91">
        <f t="shared" ca="1" si="29"/>
        <v>1887</v>
      </c>
      <c r="P159" s="91">
        <f ca="1">VLOOKUP(B159,'115+740'!$B$15:$AB$757,14,FALSE)</f>
        <v>-113</v>
      </c>
      <c r="Q159" s="89">
        <f>'115+740'!R160</f>
        <v>0</v>
      </c>
      <c r="R159" s="88">
        <f t="shared" ca="1" si="34"/>
        <v>103</v>
      </c>
      <c r="S159" s="93">
        <f ca="1">VLOOKUP(B159,'115+740'!$B$14:$AB$757,22,FALSE)</f>
        <v>874</v>
      </c>
      <c r="T159" s="92">
        <f ca="1">VLOOKUP(B159,'115+740'!$B$15:$AB$757,6,FALSE)</f>
        <v>699</v>
      </c>
      <c r="U159" s="91">
        <f t="shared" ca="1" si="30"/>
        <v>1834</v>
      </c>
      <c r="V159" s="90">
        <f ca="1">VLOOKUP(B159,'115+740'!$B$15:$AB$757,15,FALSE)</f>
        <v>-166</v>
      </c>
      <c r="W159" s="89">
        <f>'115+740'!S160</f>
        <v>0</v>
      </c>
      <c r="X159" s="88">
        <f t="shared" ca="1" si="35"/>
        <v>126</v>
      </c>
      <c r="Y159" s="87">
        <f t="shared" ca="1" si="36"/>
        <v>0</v>
      </c>
      <c r="Z159" s="86">
        <f t="shared" ca="1" si="37"/>
        <v>0</v>
      </c>
      <c r="AA159" s="85">
        <f t="shared" ca="1" si="38"/>
        <v>1.0069999999999999</v>
      </c>
      <c r="AB159" s="85">
        <f t="shared" ca="1" si="39"/>
        <v>0.80400000000000005</v>
      </c>
    </row>
    <row r="160" spans="2:28">
      <c r="B160" s="98">
        <f>'115+740'!B161</f>
        <v>45219</v>
      </c>
      <c r="C160" s="97">
        <f t="shared" si="31"/>
        <v>1</v>
      </c>
      <c r="D160" s="96">
        <f t="shared" si="32"/>
        <v>1069</v>
      </c>
      <c r="E160" s="95">
        <f>VLOOKUP(B160,'115+740'!B161:AB262,3,FALSE)</f>
        <v>1466</v>
      </c>
      <c r="F160" s="92">
        <f t="shared" si="27"/>
        <v>2535</v>
      </c>
      <c r="G160" s="94">
        <f ca="1">VLOOKUP(B160,'115+740'!$B$15:$AB$757,20,FALSE)</f>
        <v>860</v>
      </c>
      <c r="H160" s="94">
        <f ca="1">VLOOKUP(B160,'115+740'!$B$15:$AB$757,4,FALSE)</f>
        <v>635</v>
      </c>
      <c r="I160" s="91">
        <f t="shared" ca="1" si="28"/>
        <v>1900</v>
      </c>
      <c r="J160" s="91">
        <f ca="1">VLOOKUP(B160,'115+740'!$B$15:$AB$757,13,FALSE)</f>
        <v>-100</v>
      </c>
      <c r="K160" s="89">
        <f>'115+740'!Q161</f>
        <v>0</v>
      </c>
      <c r="L160" s="88">
        <f t="shared" ca="1" si="33"/>
        <v>140</v>
      </c>
      <c r="M160" s="93">
        <f ca="1">VLOOKUP(B160,'115+740'!$B$14:$AB$757,21,FALSE)</f>
        <v>897</v>
      </c>
      <c r="N160" s="92">
        <f ca="1">VLOOKUP(B160,'115+740'!$B$15:$AB$757,5,FALSE)</f>
        <v>648</v>
      </c>
      <c r="O160" s="91">
        <f t="shared" ca="1" si="29"/>
        <v>1887</v>
      </c>
      <c r="P160" s="91">
        <f ca="1">VLOOKUP(B160,'115+740'!$B$15:$AB$757,14,FALSE)</f>
        <v>-113</v>
      </c>
      <c r="Q160" s="89">
        <f>'115+740'!R161</f>
        <v>0</v>
      </c>
      <c r="R160" s="88">
        <f t="shared" ca="1" si="34"/>
        <v>103</v>
      </c>
      <c r="S160" s="93">
        <f ca="1">VLOOKUP(B160,'115+740'!$B$14:$AB$757,22,FALSE)</f>
        <v>874</v>
      </c>
      <c r="T160" s="92">
        <f ca="1">VLOOKUP(B160,'115+740'!$B$15:$AB$757,6,FALSE)</f>
        <v>701</v>
      </c>
      <c r="U160" s="91">
        <f t="shared" ca="1" si="30"/>
        <v>1834</v>
      </c>
      <c r="V160" s="90">
        <f ca="1">VLOOKUP(B160,'115+740'!$B$15:$AB$757,15,FALSE)</f>
        <v>-166</v>
      </c>
      <c r="W160" s="89">
        <f>'115+740'!S161</f>
        <v>0</v>
      </c>
      <c r="X160" s="88">
        <f t="shared" ca="1" si="35"/>
        <v>126</v>
      </c>
      <c r="Y160" s="87">
        <f t="shared" ca="1" si="36"/>
        <v>0</v>
      </c>
      <c r="Z160" s="86">
        <f t="shared" ca="1" si="37"/>
        <v>0</v>
      </c>
      <c r="AA160" s="85">
        <f t="shared" ca="1" si="38"/>
        <v>1.0069999999999999</v>
      </c>
      <c r="AB160" s="85">
        <f t="shared" ca="1" si="39"/>
        <v>0.80400000000000005</v>
      </c>
    </row>
    <row r="161" spans="2:28">
      <c r="B161" s="98">
        <f>'115+740'!B162</f>
        <v>45220</v>
      </c>
      <c r="C161" s="97">
        <f t="shared" si="31"/>
        <v>1</v>
      </c>
      <c r="D161" s="96">
        <f t="shared" si="32"/>
        <v>1069</v>
      </c>
      <c r="E161" s="95">
        <f>VLOOKUP(B161,'115+740'!B162:AB263,3,FALSE)</f>
        <v>1468</v>
      </c>
      <c r="F161" s="92">
        <f t="shared" si="27"/>
        <v>2537</v>
      </c>
      <c r="G161" s="94">
        <f ca="1">VLOOKUP(B161,'115+740'!$B$15:$AB$757,20,FALSE)</f>
        <v>860</v>
      </c>
      <c r="H161" s="94">
        <f ca="1">VLOOKUP(B161,'115+740'!$B$15:$AB$757,4,FALSE)</f>
        <v>637</v>
      </c>
      <c r="I161" s="91">
        <f t="shared" ca="1" si="28"/>
        <v>1900</v>
      </c>
      <c r="J161" s="91">
        <f ca="1">VLOOKUP(B161,'115+740'!$B$15:$AB$757,13,FALSE)</f>
        <v>-100</v>
      </c>
      <c r="K161" s="89">
        <f>'115+740'!Q162</f>
        <v>0</v>
      </c>
      <c r="L161" s="88">
        <f t="shared" ca="1" si="33"/>
        <v>140</v>
      </c>
      <c r="M161" s="93">
        <f ca="1">VLOOKUP(B161,'115+740'!$B$14:$AB$757,21,FALSE)</f>
        <v>897</v>
      </c>
      <c r="N161" s="92">
        <f ca="1">VLOOKUP(B161,'115+740'!$B$15:$AB$757,5,FALSE)</f>
        <v>650</v>
      </c>
      <c r="O161" s="91">
        <f t="shared" ca="1" si="29"/>
        <v>1887</v>
      </c>
      <c r="P161" s="91">
        <f ca="1">VLOOKUP(B161,'115+740'!$B$15:$AB$757,14,FALSE)</f>
        <v>-113</v>
      </c>
      <c r="Q161" s="89">
        <f>'115+740'!R162</f>
        <v>0</v>
      </c>
      <c r="R161" s="88">
        <f t="shared" ca="1" si="34"/>
        <v>103</v>
      </c>
      <c r="S161" s="93">
        <f ca="1">VLOOKUP(B161,'115+740'!$B$14:$AB$757,22,FALSE)</f>
        <v>874</v>
      </c>
      <c r="T161" s="92">
        <f ca="1">VLOOKUP(B161,'115+740'!$B$15:$AB$757,6,FALSE)</f>
        <v>703</v>
      </c>
      <c r="U161" s="91">
        <f t="shared" ca="1" si="30"/>
        <v>1834</v>
      </c>
      <c r="V161" s="90">
        <f ca="1">VLOOKUP(B161,'115+740'!$B$15:$AB$757,15,FALSE)</f>
        <v>-166</v>
      </c>
      <c r="W161" s="89">
        <f>'115+740'!S162</f>
        <v>0</v>
      </c>
      <c r="X161" s="88">
        <f t="shared" ca="1" si="35"/>
        <v>126</v>
      </c>
      <c r="Y161" s="87">
        <f t="shared" ca="1" si="36"/>
        <v>0</v>
      </c>
      <c r="Z161" s="86">
        <f t="shared" ca="1" si="37"/>
        <v>0</v>
      </c>
      <c r="AA161" s="85">
        <f t="shared" ca="1" si="38"/>
        <v>1.0069999999999999</v>
      </c>
      <c r="AB161" s="85">
        <f t="shared" ca="1" si="39"/>
        <v>0.80400000000000005</v>
      </c>
    </row>
    <row r="162" spans="2:28">
      <c r="B162" s="98">
        <f>'115+740'!B163</f>
        <v>45221</v>
      </c>
      <c r="C162" s="97">
        <f t="shared" si="31"/>
        <v>1</v>
      </c>
      <c r="D162" s="96">
        <f t="shared" si="32"/>
        <v>1069</v>
      </c>
      <c r="E162" s="95">
        <f>VLOOKUP(B162,'115+740'!B163:AB264,3,FALSE)</f>
        <v>1470</v>
      </c>
      <c r="F162" s="92">
        <f t="shared" si="27"/>
        <v>2539</v>
      </c>
      <c r="G162" s="94">
        <f ca="1">VLOOKUP(B162,'115+740'!$B$15:$AB$757,20,FALSE)</f>
        <v>860</v>
      </c>
      <c r="H162" s="94">
        <f ca="1">VLOOKUP(B162,'115+740'!$B$15:$AB$757,4,FALSE)</f>
        <v>639</v>
      </c>
      <c r="I162" s="91">
        <f t="shared" ca="1" si="28"/>
        <v>1900</v>
      </c>
      <c r="J162" s="91">
        <f ca="1">VLOOKUP(B162,'115+740'!$B$15:$AB$757,13,FALSE)</f>
        <v>-100</v>
      </c>
      <c r="K162" s="89">
        <f>'115+740'!Q163</f>
        <v>0</v>
      </c>
      <c r="L162" s="88">
        <f t="shared" ca="1" si="33"/>
        <v>140</v>
      </c>
      <c r="M162" s="93">
        <f ca="1">VLOOKUP(B162,'115+740'!$B$14:$AB$757,21,FALSE)</f>
        <v>897</v>
      </c>
      <c r="N162" s="92">
        <f ca="1">VLOOKUP(B162,'115+740'!$B$15:$AB$757,5,FALSE)</f>
        <v>652</v>
      </c>
      <c r="O162" s="91">
        <f t="shared" ca="1" si="29"/>
        <v>1887</v>
      </c>
      <c r="P162" s="91">
        <f ca="1">VLOOKUP(B162,'115+740'!$B$15:$AB$757,14,FALSE)</f>
        <v>-113</v>
      </c>
      <c r="Q162" s="89">
        <f>'115+740'!R163</f>
        <v>0</v>
      </c>
      <c r="R162" s="88">
        <f t="shared" ca="1" si="34"/>
        <v>103</v>
      </c>
      <c r="S162" s="93">
        <f ca="1">VLOOKUP(B162,'115+740'!$B$14:$AB$757,22,FALSE)</f>
        <v>874</v>
      </c>
      <c r="T162" s="92">
        <f ca="1">VLOOKUP(B162,'115+740'!$B$15:$AB$757,6,FALSE)</f>
        <v>705</v>
      </c>
      <c r="U162" s="91">
        <f t="shared" ca="1" si="30"/>
        <v>1834</v>
      </c>
      <c r="V162" s="90">
        <f ca="1">VLOOKUP(B162,'115+740'!$B$15:$AB$757,15,FALSE)</f>
        <v>-166</v>
      </c>
      <c r="W162" s="89">
        <f>'115+740'!S163</f>
        <v>0</v>
      </c>
      <c r="X162" s="88">
        <f t="shared" ca="1" si="35"/>
        <v>126</v>
      </c>
      <c r="Y162" s="87">
        <f t="shared" ca="1" si="36"/>
        <v>0</v>
      </c>
      <c r="Z162" s="86">
        <f t="shared" ca="1" si="37"/>
        <v>0</v>
      </c>
      <c r="AA162" s="85">
        <f t="shared" ca="1" si="38"/>
        <v>1.0069999999999999</v>
      </c>
      <c r="AB162" s="85">
        <f t="shared" ca="1" si="39"/>
        <v>0.80400000000000005</v>
      </c>
    </row>
    <row r="163" spans="2:28">
      <c r="B163" s="98">
        <f>'115+740'!B164</f>
        <v>45222</v>
      </c>
      <c r="C163" s="97">
        <f t="shared" si="31"/>
        <v>1</v>
      </c>
      <c r="D163" s="96">
        <f t="shared" si="32"/>
        <v>1069</v>
      </c>
      <c r="E163" s="95">
        <f>VLOOKUP(B163,'115+740'!B164:AB265,3,FALSE)</f>
        <v>1472</v>
      </c>
      <c r="F163" s="92">
        <f t="shared" si="27"/>
        <v>2541</v>
      </c>
      <c r="G163" s="94">
        <f ca="1">VLOOKUP(B163,'115+740'!$B$15:$AB$757,20,FALSE)</f>
        <v>860</v>
      </c>
      <c r="H163" s="94">
        <f ca="1">VLOOKUP(B163,'115+740'!$B$15:$AB$757,4,FALSE)</f>
        <v>641</v>
      </c>
      <c r="I163" s="91">
        <f t="shared" ca="1" si="28"/>
        <v>1900</v>
      </c>
      <c r="J163" s="91">
        <f ca="1">VLOOKUP(B163,'115+740'!$B$15:$AB$757,13,FALSE)</f>
        <v>-100</v>
      </c>
      <c r="K163" s="89">
        <f>'115+740'!Q164</f>
        <v>0</v>
      </c>
      <c r="L163" s="88">
        <f t="shared" ca="1" si="33"/>
        <v>140</v>
      </c>
      <c r="M163" s="93">
        <f ca="1">VLOOKUP(B163,'115+740'!$B$14:$AB$757,21,FALSE)</f>
        <v>897</v>
      </c>
      <c r="N163" s="92">
        <f ca="1">VLOOKUP(B163,'115+740'!$B$15:$AB$757,5,FALSE)</f>
        <v>654</v>
      </c>
      <c r="O163" s="91">
        <f t="shared" ca="1" si="29"/>
        <v>1887</v>
      </c>
      <c r="P163" s="91">
        <f ca="1">VLOOKUP(B163,'115+740'!$B$15:$AB$757,14,FALSE)</f>
        <v>-113</v>
      </c>
      <c r="Q163" s="89">
        <f>'115+740'!R164</f>
        <v>0</v>
      </c>
      <c r="R163" s="88">
        <f t="shared" ca="1" si="34"/>
        <v>103</v>
      </c>
      <c r="S163" s="93">
        <f ca="1">VLOOKUP(B163,'115+740'!$B$14:$AB$757,22,FALSE)</f>
        <v>874</v>
      </c>
      <c r="T163" s="92">
        <f ca="1">VLOOKUP(B163,'115+740'!$B$15:$AB$757,6,FALSE)</f>
        <v>707</v>
      </c>
      <c r="U163" s="91">
        <f t="shared" ca="1" si="30"/>
        <v>1834</v>
      </c>
      <c r="V163" s="90">
        <f ca="1">VLOOKUP(B163,'115+740'!$B$15:$AB$757,15,FALSE)</f>
        <v>-166</v>
      </c>
      <c r="W163" s="89">
        <f>'115+740'!S164</f>
        <v>0</v>
      </c>
      <c r="X163" s="88">
        <f t="shared" ca="1" si="35"/>
        <v>126</v>
      </c>
      <c r="Y163" s="87">
        <f t="shared" ca="1" si="36"/>
        <v>0</v>
      </c>
      <c r="Z163" s="86">
        <f t="shared" ca="1" si="37"/>
        <v>0</v>
      </c>
      <c r="AA163" s="85">
        <f t="shared" ca="1" si="38"/>
        <v>1.0069999999999999</v>
      </c>
      <c r="AB163" s="85">
        <f t="shared" ca="1" si="39"/>
        <v>0.80400000000000005</v>
      </c>
    </row>
    <row r="164" spans="2:28">
      <c r="B164" s="98">
        <f>'115+740'!B165</f>
        <v>45223</v>
      </c>
      <c r="C164" s="97">
        <f t="shared" si="31"/>
        <v>1</v>
      </c>
      <c r="D164" s="96">
        <f t="shared" si="32"/>
        <v>1069</v>
      </c>
      <c r="E164" s="95">
        <f>VLOOKUP(B164,'115+740'!B165:AB266,3,FALSE)</f>
        <v>1474</v>
      </c>
      <c r="F164" s="92">
        <f t="shared" si="27"/>
        <v>2543</v>
      </c>
      <c r="G164" s="94">
        <f ca="1">VLOOKUP(B164,'115+740'!$B$15:$AB$757,20,FALSE)</f>
        <v>860</v>
      </c>
      <c r="H164" s="94">
        <f ca="1">VLOOKUP(B164,'115+740'!$B$15:$AB$757,4,FALSE)</f>
        <v>643</v>
      </c>
      <c r="I164" s="91">
        <f t="shared" ca="1" si="28"/>
        <v>1900</v>
      </c>
      <c r="J164" s="91">
        <f ca="1">VLOOKUP(B164,'115+740'!$B$15:$AB$757,13,FALSE)</f>
        <v>-100</v>
      </c>
      <c r="K164" s="89">
        <f>'115+740'!Q165</f>
        <v>0</v>
      </c>
      <c r="L164" s="88">
        <f t="shared" ca="1" si="33"/>
        <v>140</v>
      </c>
      <c r="M164" s="93">
        <f ca="1">VLOOKUP(B164,'115+740'!$B$14:$AB$757,21,FALSE)</f>
        <v>897</v>
      </c>
      <c r="N164" s="92">
        <f ca="1">VLOOKUP(B164,'115+740'!$B$15:$AB$757,5,FALSE)</f>
        <v>656</v>
      </c>
      <c r="O164" s="91">
        <f t="shared" ca="1" si="29"/>
        <v>1887</v>
      </c>
      <c r="P164" s="91">
        <f ca="1">VLOOKUP(B164,'115+740'!$B$15:$AB$757,14,FALSE)</f>
        <v>-113</v>
      </c>
      <c r="Q164" s="89">
        <f>'115+740'!R165</f>
        <v>0</v>
      </c>
      <c r="R164" s="88">
        <f t="shared" ca="1" si="34"/>
        <v>103</v>
      </c>
      <c r="S164" s="93">
        <f ca="1">VLOOKUP(B164,'115+740'!$B$14:$AB$757,22,FALSE)</f>
        <v>874</v>
      </c>
      <c r="T164" s="92">
        <f ca="1">VLOOKUP(B164,'115+740'!$B$15:$AB$757,6,FALSE)</f>
        <v>709</v>
      </c>
      <c r="U164" s="91">
        <f t="shared" ca="1" si="30"/>
        <v>1834</v>
      </c>
      <c r="V164" s="90">
        <f ca="1">VLOOKUP(B164,'115+740'!$B$15:$AB$757,15,FALSE)</f>
        <v>-166</v>
      </c>
      <c r="W164" s="89">
        <f>'115+740'!S165</f>
        <v>0</v>
      </c>
      <c r="X164" s="88">
        <f t="shared" ca="1" si="35"/>
        <v>126</v>
      </c>
      <c r="Y164" s="87">
        <f t="shared" ca="1" si="36"/>
        <v>0</v>
      </c>
      <c r="Z164" s="86">
        <f t="shared" ca="1" si="37"/>
        <v>0</v>
      </c>
      <c r="AA164" s="85">
        <f t="shared" ca="1" si="38"/>
        <v>1.0069999999999999</v>
      </c>
      <c r="AB164" s="85">
        <f t="shared" ca="1" si="39"/>
        <v>0.80400000000000005</v>
      </c>
    </row>
    <row r="165" spans="2:28">
      <c r="B165" s="98">
        <f>'115+740'!B166</f>
        <v>45224</v>
      </c>
      <c r="C165" s="97">
        <f t="shared" si="31"/>
        <v>1</v>
      </c>
      <c r="D165" s="96">
        <f t="shared" si="32"/>
        <v>1069</v>
      </c>
      <c r="E165" s="95">
        <f>VLOOKUP(B165,'115+740'!B166:AB267,3,FALSE)</f>
        <v>1476</v>
      </c>
      <c r="F165" s="92">
        <f t="shared" si="27"/>
        <v>2545</v>
      </c>
      <c r="G165" s="94">
        <f ca="1">VLOOKUP(B165,'115+740'!$B$15:$AB$757,20,FALSE)</f>
        <v>860</v>
      </c>
      <c r="H165" s="94">
        <f ca="1">VLOOKUP(B165,'115+740'!$B$15:$AB$757,4,FALSE)</f>
        <v>645</v>
      </c>
      <c r="I165" s="91">
        <f t="shared" ca="1" si="28"/>
        <v>1900</v>
      </c>
      <c r="J165" s="91">
        <f ca="1">VLOOKUP(B165,'115+740'!$B$15:$AB$757,13,FALSE)</f>
        <v>-100</v>
      </c>
      <c r="K165" s="89">
        <f>'115+740'!Q166</f>
        <v>0</v>
      </c>
      <c r="L165" s="88">
        <f t="shared" ca="1" si="33"/>
        <v>140</v>
      </c>
      <c r="M165" s="93">
        <f ca="1">VLOOKUP(B165,'115+740'!$B$14:$AB$757,21,FALSE)</f>
        <v>897</v>
      </c>
      <c r="N165" s="92">
        <f ca="1">VLOOKUP(B165,'115+740'!$B$15:$AB$757,5,FALSE)</f>
        <v>658</v>
      </c>
      <c r="O165" s="91">
        <f t="shared" ca="1" si="29"/>
        <v>1887</v>
      </c>
      <c r="P165" s="91">
        <f ca="1">VLOOKUP(B165,'115+740'!$B$15:$AB$757,14,FALSE)</f>
        <v>-113</v>
      </c>
      <c r="Q165" s="89">
        <f>'115+740'!R166</f>
        <v>0</v>
      </c>
      <c r="R165" s="88">
        <f t="shared" ca="1" si="34"/>
        <v>103</v>
      </c>
      <c r="S165" s="93">
        <f ca="1">VLOOKUP(B165,'115+740'!$B$14:$AB$757,22,FALSE)</f>
        <v>874</v>
      </c>
      <c r="T165" s="92">
        <f ca="1">VLOOKUP(B165,'115+740'!$B$15:$AB$757,6,FALSE)</f>
        <v>711</v>
      </c>
      <c r="U165" s="91">
        <f t="shared" ca="1" si="30"/>
        <v>1834</v>
      </c>
      <c r="V165" s="90">
        <f ca="1">VLOOKUP(B165,'115+740'!$B$15:$AB$757,15,FALSE)</f>
        <v>-166</v>
      </c>
      <c r="W165" s="89">
        <f>'115+740'!S166</f>
        <v>0</v>
      </c>
      <c r="X165" s="88">
        <f t="shared" ca="1" si="35"/>
        <v>126</v>
      </c>
      <c r="Y165" s="87">
        <f t="shared" ca="1" si="36"/>
        <v>0</v>
      </c>
      <c r="Z165" s="86">
        <f t="shared" ca="1" si="37"/>
        <v>0</v>
      </c>
      <c r="AA165" s="85">
        <f t="shared" ca="1" si="38"/>
        <v>1.0069999999999999</v>
      </c>
      <c r="AB165" s="85">
        <f t="shared" ca="1" si="39"/>
        <v>0.80400000000000005</v>
      </c>
    </row>
    <row r="166" spans="2:28">
      <c r="B166" s="98">
        <f>'115+740'!B167</f>
        <v>45225</v>
      </c>
      <c r="C166" s="97">
        <f t="shared" si="31"/>
        <v>1</v>
      </c>
      <c r="D166" s="96">
        <f t="shared" si="32"/>
        <v>1069</v>
      </c>
      <c r="E166" s="95">
        <f>VLOOKUP(B166,'115+740'!B167:AB268,3,FALSE)</f>
        <v>1478</v>
      </c>
      <c r="F166" s="92">
        <f t="shared" si="27"/>
        <v>2547</v>
      </c>
      <c r="G166" s="94">
        <f ca="1">VLOOKUP(B166,'115+740'!$B$15:$AB$757,20,FALSE)</f>
        <v>860</v>
      </c>
      <c r="H166" s="94">
        <f ca="1">VLOOKUP(B166,'115+740'!$B$15:$AB$757,4,FALSE)</f>
        <v>647</v>
      </c>
      <c r="I166" s="91">
        <f t="shared" ca="1" si="28"/>
        <v>1900</v>
      </c>
      <c r="J166" s="91">
        <f ca="1">VLOOKUP(B166,'115+740'!$B$15:$AB$757,13,FALSE)</f>
        <v>-100</v>
      </c>
      <c r="K166" s="89">
        <f>'115+740'!Q167</f>
        <v>0</v>
      </c>
      <c r="L166" s="88">
        <f t="shared" ca="1" si="33"/>
        <v>140</v>
      </c>
      <c r="M166" s="93">
        <f ca="1">VLOOKUP(B166,'115+740'!$B$14:$AB$757,21,FALSE)</f>
        <v>897</v>
      </c>
      <c r="N166" s="92">
        <f ca="1">VLOOKUP(B166,'115+740'!$B$15:$AB$757,5,FALSE)</f>
        <v>660</v>
      </c>
      <c r="O166" s="91">
        <f t="shared" ca="1" si="29"/>
        <v>1887</v>
      </c>
      <c r="P166" s="91">
        <f ca="1">VLOOKUP(B166,'115+740'!$B$15:$AB$757,14,FALSE)</f>
        <v>-113</v>
      </c>
      <c r="Q166" s="89">
        <f>'115+740'!R167</f>
        <v>0</v>
      </c>
      <c r="R166" s="88">
        <f t="shared" ca="1" si="34"/>
        <v>103</v>
      </c>
      <c r="S166" s="93">
        <f ca="1">VLOOKUP(B166,'115+740'!$B$14:$AB$757,22,FALSE)</f>
        <v>874</v>
      </c>
      <c r="T166" s="92">
        <f ca="1">VLOOKUP(B166,'115+740'!$B$15:$AB$757,6,FALSE)</f>
        <v>713</v>
      </c>
      <c r="U166" s="91">
        <f t="shared" ca="1" si="30"/>
        <v>1834</v>
      </c>
      <c r="V166" s="90">
        <f ca="1">VLOOKUP(B166,'115+740'!$B$15:$AB$757,15,FALSE)</f>
        <v>-166</v>
      </c>
      <c r="W166" s="89">
        <f>'115+740'!S167</f>
        <v>0</v>
      </c>
      <c r="X166" s="88">
        <f t="shared" ca="1" si="35"/>
        <v>126</v>
      </c>
      <c r="Y166" s="87">
        <f t="shared" ca="1" si="36"/>
        <v>0</v>
      </c>
      <c r="Z166" s="86">
        <f t="shared" ca="1" si="37"/>
        <v>0</v>
      </c>
      <c r="AA166" s="85">
        <f t="shared" ca="1" si="38"/>
        <v>1.0069999999999999</v>
      </c>
      <c r="AB166" s="85">
        <f t="shared" ca="1" si="39"/>
        <v>0.80400000000000005</v>
      </c>
    </row>
    <row r="167" spans="2:28">
      <c r="B167" s="98">
        <f>'115+740'!B168</f>
        <v>45226</v>
      </c>
      <c r="C167" s="97">
        <f t="shared" si="31"/>
        <v>1</v>
      </c>
      <c r="D167" s="96">
        <f t="shared" si="32"/>
        <v>1069</v>
      </c>
      <c r="E167" s="95">
        <f>VLOOKUP(B167,'115+740'!B168:AB269,3,FALSE)</f>
        <v>1480</v>
      </c>
      <c r="F167" s="92">
        <f t="shared" si="27"/>
        <v>2549</v>
      </c>
      <c r="G167" s="94">
        <f ca="1">VLOOKUP(B167,'115+740'!$B$15:$AB$757,20,FALSE)</f>
        <v>860</v>
      </c>
      <c r="H167" s="94">
        <f ca="1">VLOOKUP(B167,'115+740'!$B$15:$AB$757,4,FALSE)</f>
        <v>649</v>
      </c>
      <c r="I167" s="91">
        <f t="shared" ca="1" si="28"/>
        <v>1900</v>
      </c>
      <c r="J167" s="91">
        <f ca="1">VLOOKUP(B167,'115+740'!$B$15:$AB$757,13,FALSE)</f>
        <v>-100</v>
      </c>
      <c r="K167" s="89">
        <f>'115+740'!Q168</f>
        <v>0</v>
      </c>
      <c r="L167" s="88">
        <f t="shared" ca="1" si="33"/>
        <v>140</v>
      </c>
      <c r="M167" s="93">
        <f ca="1">VLOOKUP(B167,'115+740'!$B$14:$AB$757,21,FALSE)</f>
        <v>897</v>
      </c>
      <c r="N167" s="92">
        <f ca="1">VLOOKUP(B167,'115+740'!$B$15:$AB$757,5,FALSE)</f>
        <v>662</v>
      </c>
      <c r="O167" s="91">
        <f t="shared" ca="1" si="29"/>
        <v>1887</v>
      </c>
      <c r="P167" s="91">
        <f ca="1">VLOOKUP(B167,'115+740'!$B$15:$AB$757,14,FALSE)</f>
        <v>-113</v>
      </c>
      <c r="Q167" s="89">
        <f>'115+740'!R168</f>
        <v>0</v>
      </c>
      <c r="R167" s="88">
        <f t="shared" ca="1" si="34"/>
        <v>103</v>
      </c>
      <c r="S167" s="93">
        <f ca="1">VLOOKUP(B167,'115+740'!$B$14:$AB$757,22,FALSE)</f>
        <v>874</v>
      </c>
      <c r="T167" s="92">
        <f ca="1">VLOOKUP(B167,'115+740'!$B$15:$AB$757,6,FALSE)</f>
        <v>715</v>
      </c>
      <c r="U167" s="91">
        <f t="shared" ca="1" si="30"/>
        <v>1834</v>
      </c>
      <c r="V167" s="90">
        <f ca="1">VLOOKUP(B167,'115+740'!$B$15:$AB$757,15,FALSE)</f>
        <v>-166</v>
      </c>
      <c r="W167" s="89">
        <f>'115+740'!S168</f>
        <v>0</v>
      </c>
      <c r="X167" s="88">
        <f t="shared" ca="1" si="35"/>
        <v>126</v>
      </c>
      <c r="Y167" s="87">
        <f t="shared" ca="1" si="36"/>
        <v>0</v>
      </c>
      <c r="Z167" s="86">
        <f t="shared" ca="1" si="37"/>
        <v>0</v>
      </c>
      <c r="AA167" s="85">
        <f t="shared" ca="1" si="38"/>
        <v>1.0069999999999999</v>
      </c>
      <c r="AB167" s="85">
        <f t="shared" ca="1" si="39"/>
        <v>0.80400000000000005</v>
      </c>
    </row>
    <row r="168" spans="2:28">
      <c r="B168" s="98">
        <f>'115+740'!B169</f>
        <v>45227</v>
      </c>
      <c r="C168" s="97">
        <f t="shared" si="31"/>
        <v>1</v>
      </c>
      <c r="D168" s="96">
        <f t="shared" si="32"/>
        <v>1069</v>
      </c>
      <c r="E168" s="95">
        <f>VLOOKUP(B168,'115+740'!B169:AB270,3,FALSE)</f>
        <v>1482</v>
      </c>
      <c r="F168" s="92">
        <f t="shared" si="27"/>
        <v>2551</v>
      </c>
      <c r="G168" s="94">
        <f ca="1">VLOOKUP(B168,'115+740'!$B$15:$AB$757,20,FALSE)</f>
        <v>860</v>
      </c>
      <c r="H168" s="94">
        <f ca="1">VLOOKUP(B168,'115+740'!$B$15:$AB$757,4,FALSE)</f>
        <v>651</v>
      </c>
      <c r="I168" s="91">
        <f t="shared" ca="1" si="28"/>
        <v>1900</v>
      </c>
      <c r="J168" s="91">
        <f ca="1">VLOOKUP(B168,'115+740'!$B$15:$AB$757,13,FALSE)</f>
        <v>-100</v>
      </c>
      <c r="K168" s="89">
        <f>'115+740'!Q169</f>
        <v>0</v>
      </c>
      <c r="L168" s="88">
        <f t="shared" ca="1" si="33"/>
        <v>140</v>
      </c>
      <c r="M168" s="93">
        <f ca="1">VLOOKUP(B168,'115+740'!$B$14:$AB$757,21,FALSE)</f>
        <v>897</v>
      </c>
      <c r="N168" s="92">
        <f ca="1">VLOOKUP(B168,'115+740'!$B$15:$AB$757,5,FALSE)</f>
        <v>664</v>
      </c>
      <c r="O168" s="91">
        <f t="shared" ca="1" si="29"/>
        <v>1887</v>
      </c>
      <c r="P168" s="91">
        <f ca="1">VLOOKUP(B168,'115+740'!$B$15:$AB$757,14,FALSE)</f>
        <v>-113</v>
      </c>
      <c r="Q168" s="89">
        <f>'115+740'!R169</f>
        <v>0</v>
      </c>
      <c r="R168" s="88">
        <f t="shared" ca="1" si="34"/>
        <v>103</v>
      </c>
      <c r="S168" s="93">
        <f ca="1">VLOOKUP(B168,'115+740'!$B$14:$AB$757,22,FALSE)</f>
        <v>874</v>
      </c>
      <c r="T168" s="92">
        <f ca="1">VLOOKUP(B168,'115+740'!$B$15:$AB$757,6,FALSE)</f>
        <v>717</v>
      </c>
      <c r="U168" s="91">
        <f t="shared" ca="1" si="30"/>
        <v>1834</v>
      </c>
      <c r="V168" s="90">
        <f ca="1">VLOOKUP(B168,'115+740'!$B$15:$AB$757,15,FALSE)</f>
        <v>-166</v>
      </c>
      <c r="W168" s="89">
        <f>'115+740'!S169</f>
        <v>0</v>
      </c>
      <c r="X168" s="88">
        <f t="shared" ca="1" si="35"/>
        <v>126</v>
      </c>
      <c r="Y168" s="87">
        <f t="shared" ca="1" si="36"/>
        <v>0</v>
      </c>
      <c r="Z168" s="86">
        <f t="shared" ca="1" si="37"/>
        <v>0</v>
      </c>
      <c r="AA168" s="85">
        <f t="shared" ca="1" si="38"/>
        <v>1.0069999999999999</v>
      </c>
      <c r="AB168" s="85">
        <f t="shared" ca="1" si="39"/>
        <v>0.80400000000000005</v>
      </c>
    </row>
    <row r="169" spans="2:28">
      <c r="B169" s="98">
        <f>'115+740'!B170</f>
        <v>45228</v>
      </c>
      <c r="C169" s="97">
        <f t="shared" si="31"/>
        <v>1</v>
      </c>
      <c r="D169" s="96">
        <f t="shared" si="32"/>
        <v>1069</v>
      </c>
      <c r="E169" s="95">
        <f>VLOOKUP(B169,'115+740'!B170:AB271,3,FALSE)</f>
        <v>1484</v>
      </c>
      <c r="F169" s="92">
        <f t="shared" si="27"/>
        <v>2553</v>
      </c>
      <c r="G169" s="94">
        <f ca="1">VLOOKUP(B169,'115+740'!$B$15:$AB$757,20,FALSE)</f>
        <v>860</v>
      </c>
      <c r="H169" s="94">
        <f ca="1">VLOOKUP(B169,'115+740'!$B$15:$AB$757,4,FALSE)</f>
        <v>653</v>
      </c>
      <c r="I169" s="91">
        <f t="shared" ca="1" si="28"/>
        <v>1900</v>
      </c>
      <c r="J169" s="91">
        <f ca="1">VLOOKUP(B169,'115+740'!$B$15:$AB$757,13,FALSE)</f>
        <v>-100</v>
      </c>
      <c r="K169" s="89">
        <f>'115+740'!Q170</f>
        <v>0</v>
      </c>
      <c r="L169" s="88">
        <f t="shared" ca="1" si="33"/>
        <v>140</v>
      </c>
      <c r="M169" s="93">
        <f ca="1">VLOOKUP(B169,'115+740'!$B$14:$AB$757,21,FALSE)</f>
        <v>897</v>
      </c>
      <c r="N169" s="92">
        <f ca="1">VLOOKUP(B169,'115+740'!$B$15:$AB$757,5,FALSE)</f>
        <v>666</v>
      </c>
      <c r="O169" s="91">
        <f t="shared" ca="1" si="29"/>
        <v>1887</v>
      </c>
      <c r="P169" s="91">
        <f ca="1">VLOOKUP(B169,'115+740'!$B$15:$AB$757,14,FALSE)</f>
        <v>-113</v>
      </c>
      <c r="Q169" s="89">
        <f>'115+740'!R170</f>
        <v>0</v>
      </c>
      <c r="R169" s="88">
        <f t="shared" ca="1" si="34"/>
        <v>103</v>
      </c>
      <c r="S169" s="93">
        <f ca="1">VLOOKUP(B169,'115+740'!$B$14:$AB$757,22,FALSE)</f>
        <v>874</v>
      </c>
      <c r="T169" s="92">
        <f ca="1">VLOOKUP(B169,'115+740'!$B$15:$AB$757,6,FALSE)</f>
        <v>719</v>
      </c>
      <c r="U169" s="91">
        <f t="shared" ca="1" si="30"/>
        <v>1834</v>
      </c>
      <c r="V169" s="90">
        <f ca="1">VLOOKUP(B169,'115+740'!$B$15:$AB$757,15,FALSE)</f>
        <v>-166</v>
      </c>
      <c r="W169" s="89">
        <f>'115+740'!S170</f>
        <v>0</v>
      </c>
      <c r="X169" s="88">
        <f t="shared" ca="1" si="35"/>
        <v>126</v>
      </c>
      <c r="Y169" s="87">
        <f t="shared" ca="1" si="36"/>
        <v>0</v>
      </c>
      <c r="Z169" s="86">
        <f t="shared" ca="1" si="37"/>
        <v>0</v>
      </c>
      <c r="AA169" s="85">
        <f t="shared" ca="1" si="38"/>
        <v>1.0069999999999999</v>
      </c>
      <c r="AB169" s="85">
        <f t="shared" ca="1" si="39"/>
        <v>0.80400000000000005</v>
      </c>
    </row>
    <row r="170" spans="2:28">
      <c r="B170" s="98">
        <f>'115+740'!B171</f>
        <v>45229</v>
      </c>
      <c r="C170" s="97">
        <f t="shared" si="31"/>
        <v>1</v>
      </c>
      <c r="D170" s="96">
        <f t="shared" si="32"/>
        <v>1069</v>
      </c>
      <c r="E170" s="95">
        <f>VLOOKUP(B170,'115+740'!B171:AB272,3,FALSE)</f>
        <v>1486</v>
      </c>
      <c r="F170" s="92">
        <f t="shared" si="27"/>
        <v>2555</v>
      </c>
      <c r="G170" s="94">
        <f ca="1">VLOOKUP(B170,'115+740'!$B$15:$AB$757,20,FALSE)</f>
        <v>860</v>
      </c>
      <c r="H170" s="94">
        <f ca="1">VLOOKUP(B170,'115+740'!$B$15:$AB$757,4,FALSE)</f>
        <v>655</v>
      </c>
      <c r="I170" s="91">
        <f t="shared" ca="1" si="28"/>
        <v>1900</v>
      </c>
      <c r="J170" s="91">
        <f ca="1">VLOOKUP(B170,'115+740'!$B$15:$AB$757,13,FALSE)</f>
        <v>-100</v>
      </c>
      <c r="K170" s="89">
        <f>'115+740'!Q171</f>
        <v>0</v>
      </c>
      <c r="L170" s="88">
        <f t="shared" ca="1" si="33"/>
        <v>140</v>
      </c>
      <c r="M170" s="93">
        <f ca="1">VLOOKUP(B170,'115+740'!$B$14:$AB$757,21,FALSE)</f>
        <v>897</v>
      </c>
      <c r="N170" s="92">
        <f ca="1">VLOOKUP(B170,'115+740'!$B$15:$AB$757,5,FALSE)</f>
        <v>668</v>
      </c>
      <c r="O170" s="91">
        <f t="shared" ca="1" si="29"/>
        <v>1887</v>
      </c>
      <c r="P170" s="91">
        <f ca="1">VLOOKUP(B170,'115+740'!$B$15:$AB$757,14,FALSE)</f>
        <v>-113</v>
      </c>
      <c r="Q170" s="89">
        <f>'115+740'!R171</f>
        <v>0</v>
      </c>
      <c r="R170" s="88">
        <f t="shared" ca="1" si="34"/>
        <v>103</v>
      </c>
      <c r="S170" s="93">
        <f ca="1">VLOOKUP(B170,'115+740'!$B$14:$AB$757,22,FALSE)</f>
        <v>874</v>
      </c>
      <c r="T170" s="92">
        <f ca="1">VLOOKUP(B170,'115+740'!$B$15:$AB$757,6,FALSE)</f>
        <v>721</v>
      </c>
      <c r="U170" s="91">
        <f t="shared" ca="1" si="30"/>
        <v>1834</v>
      </c>
      <c r="V170" s="90">
        <f ca="1">VLOOKUP(B170,'115+740'!$B$15:$AB$757,15,FALSE)</f>
        <v>-166</v>
      </c>
      <c r="W170" s="89">
        <f>'115+740'!S171</f>
        <v>0</v>
      </c>
      <c r="X170" s="88">
        <f t="shared" ca="1" si="35"/>
        <v>126</v>
      </c>
      <c r="Y170" s="87">
        <f t="shared" ca="1" si="36"/>
        <v>0</v>
      </c>
      <c r="Z170" s="86">
        <f t="shared" ca="1" si="37"/>
        <v>0</v>
      </c>
      <c r="AA170" s="85">
        <f t="shared" ca="1" si="38"/>
        <v>1.0069999999999999</v>
      </c>
      <c r="AB170" s="85">
        <f t="shared" ca="1" si="39"/>
        <v>0.80400000000000005</v>
      </c>
    </row>
    <row r="171" spans="2:28">
      <c r="B171" s="98">
        <f>'115+740'!B172</f>
        <v>45230</v>
      </c>
      <c r="C171" s="97">
        <f t="shared" si="31"/>
        <v>1</v>
      </c>
      <c r="D171" s="96">
        <f t="shared" si="32"/>
        <v>1069</v>
      </c>
      <c r="E171" s="95">
        <f>VLOOKUP(B171,'115+740'!B172:AB273,3,FALSE)</f>
        <v>1488</v>
      </c>
      <c r="F171" s="92">
        <f t="shared" si="27"/>
        <v>2557</v>
      </c>
      <c r="G171" s="94">
        <f ca="1">VLOOKUP(B171,'115+740'!$B$15:$AB$757,20,FALSE)</f>
        <v>860</v>
      </c>
      <c r="H171" s="94">
        <f ca="1">VLOOKUP(B171,'115+740'!$B$15:$AB$757,4,FALSE)</f>
        <v>657</v>
      </c>
      <c r="I171" s="91">
        <f t="shared" ca="1" si="28"/>
        <v>1900</v>
      </c>
      <c r="J171" s="91">
        <f ca="1">VLOOKUP(B171,'115+740'!$B$15:$AB$757,13,FALSE)</f>
        <v>-100</v>
      </c>
      <c r="K171" s="89">
        <f>'115+740'!Q172</f>
        <v>0</v>
      </c>
      <c r="L171" s="88">
        <f t="shared" ca="1" si="33"/>
        <v>140</v>
      </c>
      <c r="M171" s="93">
        <f ca="1">VLOOKUP(B171,'115+740'!$B$14:$AB$757,21,FALSE)</f>
        <v>897</v>
      </c>
      <c r="N171" s="92">
        <f ca="1">VLOOKUP(B171,'115+740'!$B$15:$AB$757,5,FALSE)</f>
        <v>670</v>
      </c>
      <c r="O171" s="91">
        <f t="shared" ca="1" si="29"/>
        <v>1887</v>
      </c>
      <c r="P171" s="91">
        <f ca="1">VLOOKUP(B171,'115+740'!$B$15:$AB$757,14,FALSE)</f>
        <v>-113</v>
      </c>
      <c r="Q171" s="89">
        <f>'115+740'!R172</f>
        <v>0</v>
      </c>
      <c r="R171" s="88">
        <f t="shared" ca="1" si="34"/>
        <v>103</v>
      </c>
      <c r="S171" s="93">
        <f ca="1">VLOOKUP(B171,'115+740'!$B$14:$AB$757,22,FALSE)</f>
        <v>874</v>
      </c>
      <c r="T171" s="92">
        <f ca="1">VLOOKUP(B171,'115+740'!$B$15:$AB$757,6,FALSE)</f>
        <v>723</v>
      </c>
      <c r="U171" s="91">
        <f t="shared" ca="1" si="30"/>
        <v>1834</v>
      </c>
      <c r="V171" s="90">
        <f ca="1">VLOOKUP(B171,'115+740'!$B$15:$AB$757,15,FALSE)</f>
        <v>-166</v>
      </c>
      <c r="W171" s="89">
        <f>'115+740'!S172</f>
        <v>0</v>
      </c>
      <c r="X171" s="88">
        <f t="shared" ca="1" si="35"/>
        <v>126</v>
      </c>
      <c r="Y171" s="87">
        <f t="shared" ca="1" si="36"/>
        <v>0</v>
      </c>
      <c r="Z171" s="86">
        <f t="shared" ca="1" si="37"/>
        <v>0</v>
      </c>
      <c r="AA171" s="85">
        <f t="shared" ca="1" si="38"/>
        <v>1.0069999999999999</v>
      </c>
      <c r="AB171" s="85">
        <f t="shared" ca="1" si="39"/>
        <v>0.80400000000000005</v>
      </c>
    </row>
    <row r="172" spans="2:28">
      <c r="B172" s="98">
        <f>'115+740'!B173</f>
        <v>45231</v>
      </c>
      <c r="C172" s="97">
        <f t="shared" si="31"/>
        <v>1</v>
      </c>
      <c r="D172" s="96">
        <f t="shared" si="32"/>
        <v>1069</v>
      </c>
      <c r="E172" s="95">
        <f>VLOOKUP(B172,'115+740'!B173:AB274,3,FALSE)</f>
        <v>1490</v>
      </c>
      <c r="F172" s="92">
        <f t="shared" si="27"/>
        <v>2559</v>
      </c>
      <c r="G172" s="94">
        <f ca="1">VLOOKUP(B172,'115+740'!$B$15:$AB$757,20,FALSE)</f>
        <v>860</v>
      </c>
      <c r="H172" s="94">
        <f ca="1">VLOOKUP(B172,'115+740'!$B$15:$AB$757,4,FALSE)</f>
        <v>659</v>
      </c>
      <c r="I172" s="91">
        <f t="shared" ca="1" si="28"/>
        <v>1900</v>
      </c>
      <c r="J172" s="91">
        <f ca="1">VLOOKUP(B172,'115+740'!$B$15:$AB$757,13,FALSE)</f>
        <v>-100</v>
      </c>
      <c r="K172" s="89">
        <f>'115+740'!Q173</f>
        <v>0</v>
      </c>
      <c r="L172" s="88">
        <f t="shared" ca="1" si="33"/>
        <v>140</v>
      </c>
      <c r="M172" s="93">
        <f ca="1">VLOOKUP(B172,'115+740'!$B$14:$AB$757,21,FALSE)</f>
        <v>897</v>
      </c>
      <c r="N172" s="92">
        <f ca="1">VLOOKUP(B172,'115+740'!$B$15:$AB$757,5,FALSE)</f>
        <v>672</v>
      </c>
      <c r="O172" s="91">
        <f t="shared" ca="1" si="29"/>
        <v>1887</v>
      </c>
      <c r="P172" s="91">
        <f ca="1">VLOOKUP(B172,'115+740'!$B$15:$AB$757,14,FALSE)</f>
        <v>-113</v>
      </c>
      <c r="Q172" s="89">
        <f>'115+740'!R173</f>
        <v>0</v>
      </c>
      <c r="R172" s="88">
        <f t="shared" ca="1" si="34"/>
        <v>103</v>
      </c>
      <c r="S172" s="93">
        <f ca="1">VLOOKUP(B172,'115+740'!$B$14:$AB$757,22,FALSE)</f>
        <v>874</v>
      </c>
      <c r="T172" s="92">
        <f ca="1">VLOOKUP(B172,'115+740'!$B$15:$AB$757,6,FALSE)</f>
        <v>725</v>
      </c>
      <c r="U172" s="91">
        <f t="shared" ca="1" si="30"/>
        <v>1834</v>
      </c>
      <c r="V172" s="90">
        <f ca="1">VLOOKUP(B172,'115+740'!$B$15:$AB$757,15,FALSE)</f>
        <v>-166</v>
      </c>
      <c r="W172" s="89">
        <f>'115+740'!S173</f>
        <v>0</v>
      </c>
      <c r="X172" s="88">
        <f t="shared" ca="1" si="35"/>
        <v>126</v>
      </c>
      <c r="Y172" s="87">
        <f t="shared" ca="1" si="36"/>
        <v>0</v>
      </c>
      <c r="Z172" s="86">
        <f t="shared" ca="1" si="37"/>
        <v>0</v>
      </c>
      <c r="AA172" s="85">
        <f t="shared" ca="1" si="38"/>
        <v>1.0069999999999999</v>
      </c>
      <c r="AB172" s="85">
        <f t="shared" ca="1" si="39"/>
        <v>0.80400000000000005</v>
      </c>
    </row>
    <row r="173" spans="2:28">
      <c r="B173" s="98">
        <f>'115+740'!B174</f>
        <v>45232</v>
      </c>
      <c r="C173" s="97">
        <f t="shared" si="31"/>
        <v>1</v>
      </c>
      <c r="D173" s="96">
        <f t="shared" si="32"/>
        <v>1069</v>
      </c>
      <c r="E173" s="95">
        <f>VLOOKUP(B173,'115+740'!B174:AB275,3,FALSE)</f>
        <v>1492</v>
      </c>
      <c r="F173" s="92">
        <f t="shared" si="27"/>
        <v>2561</v>
      </c>
      <c r="G173" s="94">
        <f ca="1">VLOOKUP(B173,'115+740'!$B$15:$AB$757,20,FALSE)</f>
        <v>860</v>
      </c>
      <c r="H173" s="94">
        <f ca="1">VLOOKUP(B173,'115+740'!$B$15:$AB$757,4,FALSE)</f>
        <v>661</v>
      </c>
      <c r="I173" s="91">
        <f t="shared" ca="1" si="28"/>
        <v>1900</v>
      </c>
      <c r="J173" s="91">
        <f ca="1">VLOOKUP(B173,'115+740'!$B$15:$AB$757,13,FALSE)</f>
        <v>-100</v>
      </c>
      <c r="K173" s="89">
        <f>'115+740'!Q174</f>
        <v>0</v>
      </c>
      <c r="L173" s="88">
        <f t="shared" ca="1" si="33"/>
        <v>140</v>
      </c>
      <c r="M173" s="93">
        <f ca="1">VLOOKUP(B173,'115+740'!$B$14:$AB$757,21,FALSE)</f>
        <v>897</v>
      </c>
      <c r="N173" s="92">
        <f ca="1">VLOOKUP(B173,'115+740'!$B$15:$AB$757,5,FALSE)</f>
        <v>674</v>
      </c>
      <c r="O173" s="91">
        <f t="shared" ca="1" si="29"/>
        <v>1887</v>
      </c>
      <c r="P173" s="91">
        <f ca="1">VLOOKUP(B173,'115+740'!$B$15:$AB$757,14,FALSE)</f>
        <v>-113</v>
      </c>
      <c r="Q173" s="89">
        <f>'115+740'!R174</f>
        <v>0</v>
      </c>
      <c r="R173" s="88">
        <f t="shared" ca="1" si="34"/>
        <v>103</v>
      </c>
      <c r="S173" s="93">
        <f ca="1">VLOOKUP(B173,'115+740'!$B$14:$AB$757,22,FALSE)</f>
        <v>874</v>
      </c>
      <c r="T173" s="92">
        <f ca="1">VLOOKUP(B173,'115+740'!$B$15:$AB$757,6,FALSE)</f>
        <v>727</v>
      </c>
      <c r="U173" s="91">
        <f t="shared" ca="1" si="30"/>
        <v>1834</v>
      </c>
      <c r="V173" s="90">
        <f ca="1">VLOOKUP(B173,'115+740'!$B$15:$AB$757,15,FALSE)</f>
        <v>-166</v>
      </c>
      <c r="W173" s="89">
        <f>'115+740'!S174</f>
        <v>0</v>
      </c>
      <c r="X173" s="88">
        <f t="shared" ca="1" si="35"/>
        <v>126</v>
      </c>
      <c r="Y173" s="87">
        <f t="shared" ca="1" si="36"/>
        <v>0</v>
      </c>
      <c r="Z173" s="86">
        <f t="shared" ca="1" si="37"/>
        <v>0</v>
      </c>
      <c r="AA173" s="85">
        <f t="shared" ca="1" si="38"/>
        <v>1.0069999999999999</v>
      </c>
      <c r="AB173" s="85">
        <f t="shared" ca="1" si="39"/>
        <v>0.80400000000000005</v>
      </c>
    </row>
    <row r="174" spans="2:28">
      <c r="B174" s="98">
        <f>'115+740'!B175</f>
        <v>45233</v>
      </c>
      <c r="C174" s="97">
        <f t="shared" si="31"/>
        <v>1</v>
      </c>
      <c r="D174" s="96">
        <f t="shared" si="32"/>
        <v>1069</v>
      </c>
      <c r="E174" s="95">
        <f>VLOOKUP(B174,'115+740'!B175:AB276,3,FALSE)</f>
        <v>1494</v>
      </c>
      <c r="F174" s="92">
        <f t="shared" si="27"/>
        <v>2563</v>
      </c>
      <c r="G174" s="94">
        <f ca="1">VLOOKUP(B174,'115+740'!$B$15:$AB$757,20,FALSE)</f>
        <v>860</v>
      </c>
      <c r="H174" s="94">
        <f ca="1">VLOOKUP(B174,'115+740'!$B$15:$AB$757,4,FALSE)</f>
        <v>663</v>
      </c>
      <c r="I174" s="91">
        <f t="shared" ca="1" si="28"/>
        <v>1900</v>
      </c>
      <c r="J174" s="91">
        <f ca="1">VLOOKUP(B174,'115+740'!$B$15:$AB$757,13,FALSE)</f>
        <v>-100</v>
      </c>
      <c r="K174" s="89">
        <f>'115+740'!Q175</f>
        <v>0</v>
      </c>
      <c r="L174" s="88">
        <f t="shared" ca="1" si="33"/>
        <v>140</v>
      </c>
      <c r="M174" s="93">
        <f ca="1">VLOOKUP(B174,'115+740'!$B$14:$AB$757,21,FALSE)</f>
        <v>897</v>
      </c>
      <c r="N174" s="92">
        <f ca="1">VLOOKUP(B174,'115+740'!$B$15:$AB$757,5,FALSE)</f>
        <v>676</v>
      </c>
      <c r="O174" s="91">
        <f t="shared" ca="1" si="29"/>
        <v>1887</v>
      </c>
      <c r="P174" s="91">
        <f ca="1">VLOOKUP(B174,'115+740'!$B$15:$AB$757,14,FALSE)</f>
        <v>-113</v>
      </c>
      <c r="Q174" s="89">
        <f>'115+740'!R175</f>
        <v>0</v>
      </c>
      <c r="R174" s="88">
        <f t="shared" ca="1" si="34"/>
        <v>103</v>
      </c>
      <c r="S174" s="93">
        <f ca="1">VLOOKUP(B174,'115+740'!$B$14:$AB$757,22,FALSE)</f>
        <v>874</v>
      </c>
      <c r="T174" s="92">
        <f ca="1">VLOOKUP(B174,'115+740'!$B$15:$AB$757,6,FALSE)</f>
        <v>729</v>
      </c>
      <c r="U174" s="91">
        <f t="shared" ca="1" si="30"/>
        <v>1834</v>
      </c>
      <c r="V174" s="90">
        <f ca="1">VLOOKUP(B174,'115+740'!$B$15:$AB$757,15,FALSE)</f>
        <v>-166</v>
      </c>
      <c r="W174" s="89">
        <f>'115+740'!S175</f>
        <v>0</v>
      </c>
      <c r="X174" s="88">
        <f t="shared" ca="1" si="35"/>
        <v>126</v>
      </c>
      <c r="Y174" s="87">
        <f t="shared" ca="1" si="36"/>
        <v>0</v>
      </c>
      <c r="Z174" s="86">
        <f t="shared" ca="1" si="37"/>
        <v>0</v>
      </c>
      <c r="AA174" s="85">
        <f t="shared" ca="1" si="38"/>
        <v>1.0069999999999999</v>
      </c>
      <c r="AB174" s="85">
        <f t="shared" ca="1" si="39"/>
        <v>0.80400000000000005</v>
      </c>
    </row>
    <row r="175" spans="2:28">
      <c r="B175" s="98">
        <f>'115+740'!B176</f>
        <v>45234</v>
      </c>
      <c r="C175" s="97">
        <f t="shared" si="31"/>
        <v>1</v>
      </c>
      <c r="D175" s="96">
        <f t="shared" si="32"/>
        <v>1069</v>
      </c>
      <c r="E175" s="95">
        <f>VLOOKUP(B175,'115+740'!B176:AB277,3,FALSE)</f>
        <v>1496</v>
      </c>
      <c r="F175" s="92">
        <f t="shared" si="27"/>
        <v>2565</v>
      </c>
      <c r="G175" s="94">
        <f ca="1">VLOOKUP(B175,'115+740'!$B$15:$AB$757,20,FALSE)</f>
        <v>860</v>
      </c>
      <c r="H175" s="94">
        <f ca="1">VLOOKUP(B175,'115+740'!$B$15:$AB$757,4,FALSE)</f>
        <v>665</v>
      </c>
      <c r="I175" s="91">
        <f t="shared" ca="1" si="28"/>
        <v>1900</v>
      </c>
      <c r="J175" s="91">
        <f ca="1">VLOOKUP(B175,'115+740'!$B$15:$AB$757,13,FALSE)</f>
        <v>-100</v>
      </c>
      <c r="K175" s="89">
        <f>'115+740'!Q176</f>
        <v>0</v>
      </c>
      <c r="L175" s="88">
        <f t="shared" ca="1" si="33"/>
        <v>140</v>
      </c>
      <c r="M175" s="93">
        <f ca="1">VLOOKUP(B175,'115+740'!$B$14:$AB$757,21,FALSE)</f>
        <v>897</v>
      </c>
      <c r="N175" s="92">
        <f ca="1">VLOOKUP(B175,'115+740'!$B$15:$AB$757,5,FALSE)</f>
        <v>678</v>
      </c>
      <c r="O175" s="91">
        <f t="shared" ca="1" si="29"/>
        <v>1887</v>
      </c>
      <c r="P175" s="91">
        <f ca="1">VLOOKUP(B175,'115+740'!$B$15:$AB$757,14,FALSE)</f>
        <v>-113</v>
      </c>
      <c r="Q175" s="89">
        <f>'115+740'!R176</f>
        <v>0</v>
      </c>
      <c r="R175" s="88">
        <f t="shared" ca="1" si="34"/>
        <v>103</v>
      </c>
      <c r="S175" s="93">
        <f ca="1">VLOOKUP(B175,'115+740'!$B$14:$AB$757,22,FALSE)</f>
        <v>874</v>
      </c>
      <c r="T175" s="92">
        <f ca="1">VLOOKUP(B175,'115+740'!$B$15:$AB$757,6,FALSE)</f>
        <v>731</v>
      </c>
      <c r="U175" s="91">
        <f t="shared" ca="1" si="30"/>
        <v>1834</v>
      </c>
      <c r="V175" s="90">
        <f ca="1">VLOOKUP(B175,'115+740'!$B$15:$AB$757,15,FALSE)</f>
        <v>-166</v>
      </c>
      <c r="W175" s="89">
        <f>'115+740'!S176</f>
        <v>0</v>
      </c>
      <c r="X175" s="88">
        <f t="shared" ca="1" si="35"/>
        <v>126</v>
      </c>
      <c r="Y175" s="87">
        <f t="shared" ca="1" si="36"/>
        <v>0</v>
      </c>
      <c r="Z175" s="86">
        <f t="shared" ca="1" si="37"/>
        <v>0</v>
      </c>
      <c r="AA175" s="85">
        <f t="shared" ca="1" si="38"/>
        <v>1.0069999999999999</v>
      </c>
      <c r="AB175" s="85">
        <f t="shared" ca="1" si="39"/>
        <v>0.80400000000000005</v>
      </c>
    </row>
    <row r="176" spans="2:28">
      <c r="B176" s="98">
        <f>'115+740'!B177</f>
        <v>45235</v>
      </c>
      <c r="C176" s="97">
        <f t="shared" si="31"/>
        <v>1</v>
      </c>
      <c r="D176" s="96">
        <f t="shared" si="32"/>
        <v>1069</v>
      </c>
      <c r="E176" s="95">
        <f>VLOOKUP(B176,'115+740'!B177:AB278,3,FALSE)</f>
        <v>1498</v>
      </c>
      <c r="F176" s="92">
        <f t="shared" si="27"/>
        <v>2567</v>
      </c>
      <c r="G176" s="94">
        <f ca="1">VLOOKUP(B176,'115+740'!$B$15:$AB$757,20,FALSE)</f>
        <v>860</v>
      </c>
      <c r="H176" s="94">
        <f ca="1">VLOOKUP(B176,'115+740'!$B$15:$AB$757,4,FALSE)</f>
        <v>667</v>
      </c>
      <c r="I176" s="91">
        <f t="shared" ca="1" si="28"/>
        <v>1900</v>
      </c>
      <c r="J176" s="91">
        <f ca="1">VLOOKUP(B176,'115+740'!$B$15:$AB$757,13,FALSE)</f>
        <v>-100</v>
      </c>
      <c r="K176" s="89">
        <f>'115+740'!Q177</f>
        <v>0</v>
      </c>
      <c r="L176" s="88">
        <f t="shared" ca="1" si="33"/>
        <v>140</v>
      </c>
      <c r="M176" s="93">
        <f ca="1">VLOOKUP(B176,'115+740'!$B$14:$AB$757,21,FALSE)</f>
        <v>897</v>
      </c>
      <c r="N176" s="92">
        <f ca="1">VLOOKUP(B176,'115+740'!$B$15:$AB$757,5,FALSE)</f>
        <v>680</v>
      </c>
      <c r="O176" s="91">
        <f t="shared" ca="1" si="29"/>
        <v>1887</v>
      </c>
      <c r="P176" s="91">
        <f ca="1">VLOOKUP(B176,'115+740'!$B$15:$AB$757,14,FALSE)</f>
        <v>-113</v>
      </c>
      <c r="Q176" s="89">
        <f>'115+740'!R177</f>
        <v>0</v>
      </c>
      <c r="R176" s="88">
        <f t="shared" ca="1" si="34"/>
        <v>103</v>
      </c>
      <c r="S176" s="93">
        <f ca="1">VLOOKUP(B176,'115+740'!$B$14:$AB$757,22,FALSE)</f>
        <v>874</v>
      </c>
      <c r="T176" s="92">
        <f ca="1">VLOOKUP(B176,'115+740'!$B$15:$AB$757,6,FALSE)</f>
        <v>733</v>
      </c>
      <c r="U176" s="91">
        <f t="shared" ca="1" si="30"/>
        <v>1834</v>
      </c>
      <c r="V176" s="90">
        <f ca="1">VLOOKUP(B176,'115+740'!$B$15:$AB$757,15,FALSE)</f>
        <v>-166</v>
      </c>
      <c r="W176" s="89">
        <f>'115+740'!S177</f>
        <v>0</v>
      </c>
      <c r="X176" s="88">
        <f t="shared" ca="1" si="35"/>
        <v>126</v>
      </c>
      <c r="Y176" s="87">
        <f t="shared" ca="1" si="36"/>
        <v>0</v>
      </c>
      <c r="Z176" s="86">
        <f t="shared" ca="1" si="37"/>
        <v>0</v>
      </c>
      <c r="AA176" s="85">
        <f t="shared" ca="1" si="38"/>
        <v>1.0069999999999999</v>
      </c>
      <c r="AB176" s="85">
        <f t="shared" ca="1" si="39"/>
        <v>0.80400000000000005</v>
      </c>
    </row>
    <row r="177" spans="2:28">
      <c r="B177" s="98">
        <f>'115+740'!B178</f>
        <v>45236</v>
      </c>
      <c r="C177" s="97">
        <f t="shared" si="31"/>
        <v>1</v>
      </c>
      <c r="D177" s="96">
        <f t="shared" si="32"/>
        <v>1069</v>
      </c>
      <c r="E177" s="95">
        <f>VLOOKUP(B177,'115+740'!B178:AB279,3,FALSE)</f>
        <v>1500</v>
      </c>
      <c r="F177" s="92">
        <f t="shared" si="27"/>
        <v>2569</v>
      </c>
      <c r="G177" s="94">
        <f ca="1">VLOOKUP(B177,'115+740'!$B$15:$AB$757,20,FALSE)</f>
        <v>860</v>
      </c>
      <c r="H177" s="94">
        <f ca="1">VLOOKUP(B177,'115+740'!$B$15:$AB$757,4,FALSE)</f>
        <v>669</v>
      </c>
      <c r="I177" s="91">
        <f t="shared" ca="1" si="28"/>
        <v>1900</v>
      </c>
      <c r="J177" s="91">
        <f ca="1">VLOOKUP(B177,'115+740'!$B$15:$AB$757,13,FALSE)</f>
        <v>-100</v>
      </c>
      <c r="K177" s="89">
        <f>'115+740'!Q178</f>
        <v>0</v>
      </c>
      <c r="L177" s="88">
        <f t="shared" ca="1" si="33"/>
        <v>140</v>
      </c>
      <c r="M177" s="93">
        <f ca="1">VLOOKUP(B177,'115+740'!$B$14:$AB$757,21,FALSE)</f>
        <v>897</v>
      </c>
      <c r="N177" s="92">
        <f ca="1">VLOOKUP(B177,'115+740'!$B$15:$AB$757,5,FALSE)</f>
        <v>682</v>
      </c>
      <c r="O177" s="91">
        <f t="shared" ca="1" si="29"/>
        <v>1887</v>
      </c>
      <c r="P177" s="91">
        <f ca="1">VLOOKUP(B177,'115+740'!$B$15:$AB$757,14,FALSE)</f>
        <v>-113</v>
      </c>
      <c r="Q177" s="89">
        <f>'115+740'!R178</f>
        <v>0</v>
      </c>
      <c r="R177" s="88">
        <f t="shared" ca="1" si="34"/>
        <v>103</v>
      </c>
      <c r="S177" s="93">
        <f ca="1">VLOOKUP(B177,'115+740'!$B$14:$AB$757,22,FALSE)</f>
        <v>874</v>
      </c>
      <c r="T177" s="92">
        <f ca="1">VLOOKUP(B177,'115+740'!$B$15:$AB$757,6,FALSE)</f>
        <v>735</v>
      </c>
      <c r="U177" s="91">
        <f t="shared" ca="1" si="30"/>
        <v>1834</v>
      </c>
      <c r="V177" s="90">
        <f ca="1">VLOOKUP(B177,'115+740'!$B$15:$AB$757,15,FALSE)</f>
        <v>-166</v>
      </c>
      <c r="W177" s="89">
        <f>'115+740'!S178</f>
        <v>0</v>
      </c>
      <c r="X177" s="88">
        <f t="shared" ca="1" si="35"/>
        <v>126</v>
      </c>
      <c r="Y177" s="87">
        <f t="shared" ca="1" si="36"/>
        <v>0</v>
      </c>
      <c r="Z177" s="86">
        <f t="shared" ca="1" si="37"/>
        <v>0</v>
      </c>
      <c r="AA177" s="85">
        <f t="shared" ca="1" si="38"/>
        <v>1.0069999999999999</v>
      </c>
      <c r="AB177" s="85">
        <f t="shared" ca="1" si="39"/>
        <v>0.80400000000000005</v>
      </c>
    </row>
    <row r="178" spans="2:28">
      <c r="B178" s="98">
        <f>'115+740'!B179</f>
        <v>45237</v>
      </c>
      <c r="C178" s="97">
        <f t="shared" si="31"/>
        <v>1</v>
      </c>
      <c r="D178" s="96">
        <f t="shared" si="32"/>
        <v>1069</v>
      </c>
      <c r="E178" s="95">
        <f>VLOOKUP(B178,'115+740'!B179:AB280,3,FALSE)</f>
        <v>1502</v>
      </c>
      <c r="F178" s="92">
        <f t="shared" si="27"/>
        <v>2571</v>
      </c>
      <c r="G178" s="94">
        <f ca="1">VLOOKUP(B178,'115+740'!$B$15:$AB$757,20,FALSE)</f>
        <v>860</v>
      </c>
      <c r="H178" s="94">
        <f ca="1">VLOOKUP(B178,'115+740'!$B$15:$AB$757,4,FALSE)</f>
        <v>671</v>
      </c>
      <c r="I178" s="91">
        <f t="shared" ca="1" si="28"/>
        <v>1900</v>
      </c>
      <c r="J178" s="91">
        <f ca="1">VLOOKUP(B178,'115+740'!$B$15:$AB$757,13,FALSE)</f>
        <v>-100</v>
      </c>
      <c r="K178" s="89">
        <f>'115+740'!Q179</f>
        <v>0</v>
      </c>
      <c r="L178" s="88">
        <f t="shared" ca="1" si="33"/>
        <v>140</v>
      </c>
      <c r="M178" s="93">
        <f ca="1">VLOOKUP(B178,'115+740'!$B$14:$AB$757,21,FALSE)</f>
        <v>897</v>
      </c>
      <c r="N178" s="92">
        <f ca="1">VLOOKUP(B178,'115+740'!$B$15:$AB$757,5,FALSE)</f>
        <v>684</v>
      </c>
      <c r="O178" s="91">
        <f t="shared" ca="1" si="29"/>
        <v>1887</v>
      </c>
      <c r="P178" s="91">
        <f ca="1">VLOOKUP(B178,'115+740'!$B$15:$AB$757,14,FALSE)</f>
        <v>-113</v>
      </c>
      <c r="Q178" s="89">
        <f>'115+740'!R179</f>
        <v>0</v>
      </c>
      <c r="R178" s="88">
        <f t="shared" ca="1" si="34"/>
        <v>103</v>
      </c>
      <c r="S178" s="93">
        <f ca="1">VLOOKUP(B178,'115+740'!$B$14:$AB$757,22,FALSE)</f>
        <v>874</v>
      </c>
      <c r="T178" s="92">
        <f ca="1">VLOOKUP(B178,'115+740'!$B$15:$AB$757,6,FALSE)</f>
        <v>737</v>
      </c>
      <c r="U178" s="91">
        <f t="shared" ca="1" si="30"/>
        <v>1834</v>
      </c>
      <c r="V178" s="90">
        <f ca="1">VLOOKUP(B178,'115+740'!$B$15:$AB$757,15,FALSE)</f>
        <v>-166</v>
      </c>
      <c r="W178" s="89">
        <f>'115+740'!S179</f>
        <v>0</v>
      </c>
      <c r="X178" s="88">
        <f t="shared" ca="1" si="35"/>
        <v>126</v>
      </c>
      <c r="Y178" s="87">
        <f t="shared" ca="1" si="36"/>
        <v>0</v>
      </c>
      <c r="Z178" s="86">
        <f t="shared" ca="1" si="37"/>
        <v>0</v>
      </c>
      <c r="AA178" s="85">
        <f t="shared" ca="1" si="38"/>
        <v>1.0069999999999999</v>
      </c>
      <c r="AB178" s="85">
        <f t="shared" ca="1" si="39"/>
        <v>0.80400000000000005</v>
      </c>
    </row>
    <row r="179" spans="2:28">
      <c r="B179" s="98">
        <f>'115+740'!B180</f>
        <v>45238</v>
      </c>
      <c r="C179" s="97">
        <f t="shared" si="31"/>
        <v>1</v>
      </c>
      <c r="D179" s="96">
        <f t="shared" si="32"/>
        <v>1069</v>
      </c>
      <c r="E179" s="95">
        <f>VLOOKUP(B179,'115+740'!B180:AB281,3,FALSE)</f>
        <v>1504</v>
      </c>
      <c r="F179" s="92">
        <f t="shared" si="27"/>
        <v>2573</v>
      </c>
      <c r="G179" s="94">
        <f ca="1">VLOOKUP(B179,'115+740'!$B$15:$AB$757,20,FALSE)</f>
        <v>860</v>
      </c>
      <c r="H179" s="94">
        <f ca="1">VLOOKUP(B179,'115+740'!$B$15:$AB$757,4,FALSE)</f>
        <v>673</v>
      </c>
      <c r="I179" s="91">
        <f t="shared" ca="1" si="28"/>
        <v>1900</v>
      </c>
      <c r="J179" s="91">
        <f ca="1">VLOOKUP(B179,'115+740'!$B$15:$AB$757,13,FALSE)</f>
        <v>-100</v>
      </c>
      <c r="K179" s="89">
        <f>'115+740'!Q180</f>
        <v>0</v>
      </c>
      <c r="L179" s="88">
        <f t="shared" ca="1" si="33"/>
        <v>140</v>
      </c>
      <c r="M179" s="93">
        <f ca="1">VLOOKUP(B179,'115+740'!$B$14:$AB$757,21,FALSE)</f>
        <v>897</v>
      </c>
      <c r="N179" s="92">
        <f ca="1">VLOOKUP(B179,'115+740'!$B$15:$AB$757,5,FALSE)</f>
        <v>686</v>
      </c>
      <c r="O179" s="91">
        <f t="shared" ca="1" si="29"/>
        <v>1887</v>
      </c>
      <c r="P179" s="91">
        <f ca="1">VLOOKUP(B179,'115+740'!$B$15:$AB$757,14,FALSE)</f>
        <v>-113</v>
      </c>
      <c r="Q179" s="89">
        <f>'115+740'!R180</f>
        <v>0</v>
      </c>
      <c r="R179" s="88">
        <f t="shared" ca="1" si="34"/>
        <v>103</v>
      </c>
      <c r="S179" s="93">
        <f ca="1">VLOOKUP(B179,'115+740'!$B$14:$AB$757,22,FALSE)</f>
        <v>874</v>
      </c>
      <c r="T179" s="92">
        <f ca="1">VLOOKUP(B179,'115+740'!$B$15:$AB$757,6,FALSE)</f>
        <v>739</v>
      </c>
      <c r="U179" s="91">
        <f t="shared" ca="1" si="30"/>
        <v>1834</v>
      </c>
      <c r="V179" s="90">
        <f ca="1">VLOOKUP(B179,'115+740'!$B$15:$AB$757,15,FALSE)</f>
        <v>-166</v>
      </c>
      <c r="W179" s="89">
        <f>'115+740'!S180</f>
        <v>0</v>
      </c>
      <c r="X179" s="88">
        <f t="shared" ca="1" si="35"/>
        <v>126</v>
      </c>
      <c r="Y179" s="87">
        <f t="shared" ca="1" si="36"/>
        <v>0</v>
      </c>
      <c r="Z179" s="86">
        <f t="shared" ca="1" si="37"/>
        <v>0</v>
      </c>
      <c r="AA179" s="85">
        <f t="shared" ca="1" si="38"/>
        <v>1.0069999999999999</v>
      </c>
      <c r="AB179" s="85">
        <f t="shared" ca="1" si="39"/>
        <v>0.80400000000000005</v>
      </c>
    </row>
    <row r="180" spans="2:28">
      <c r="B180" s="98">
        <f>'115+740'!B181</f>
        <v>45239</v>
      </c>
      <c r="C180" s="97">
        <f t="shared" si="31"/>
        <v>1</v>
      </c>
      <c r="D180" s="96">
        <f t="shared" si="32"/>
        <v>1069</v>
      </c>
      <c r="E180" s="95">
        <f>VLOOKUP(B180,'115+740'!B181:AB282,3,FALSE)</f>
        <v>1506</v>
      </c>
      <c r="F180" s="92">
        <f t="shared" si="27"/>
        <v>2575</v>
      </c>
      <c r="G180" s="94">
        <f ca="1">VLOOKUP(B180,'115+740'!$B$15:$AB$757,20,FALSE)</f>
        <v>860</v>
      </c>
      <c r="H180" s="94">
        <f ca="1">VLOOKUP(B180,'115+740'!$B$15:$AB$757,4,FALSE)</f>
        <v>675</v>
      </c>
      <c r="I180" s="91">
        <f t="shared" ca="1" si="28"/>
        <v>1900</v>
      </c>
      <c r="J180" s="91">
        <f ca="1">VLOOKUP(B180,'115+740'!$B$15:$AB$757,13,FALSE)</f>
        <v>-100</v>
      </c>
      <c r="K180" s="89">
        <f>'115+740'!Q181</f>
        <v>0</v>
      </c>
      <c r="L180" s="88">
        <f t="shared" ca="1" si="33"/>
        <v>140</v>
      </c>
      <c r="M180" s="93">
        <f ca="1">VLOOKUP(B180,'115+740'!$B$14:$AB$757,21,FALSE)</f>
        <v>897</v>
      </c>
      <c r="N180" s="92">
        <f ca="1">VLOOKUP(B180,'115+740'!$B$15:$AB$757,5,FALSE)</f>
        <v>688</v>
      </c>
      <c r="O180" s="91">
        <f t="shared" ca="1" si="29"/>
        <v>1887</v>
      </c>
      <c r="P180" s="91">
        <f ca="1">VLOOKUP(B180,'115+740'!$B$15:$AB$757,14,FALSE)</f>
        <v>-113</v>
      </c>
      <c r="Q180" s="89">
        <f>'115+740'!R181</f>
        <v>0</v>
      </c>
      <c r="R180" s="88">
        <f t="shared" ca="1" si="34"/>
        <v>103</v>
      </c>
      <c r="S180" s="93">
        <f ca="1">VLOOKUP(B180,'115+740'!$B$14:$AB$757,22,FALSE)</f>
        <v>874</v>
      </c>
      <c r="T180" s="92">
        <f ca="1">VLOOKUP(B180,'115+740'!$B$15:$AB$757,6,FALSE)</f>
        <v>741</v>
      </c>
      <c r="U180" s="91">
        <f t="shared" ca="1" si="30"/>
        <v>1834</v>
      </c>
      <c r="V180" s="90">
        <f ca="1">VLOOKUP(B180,'115+740'!$B$15:$AB$757,15,FALSE)</f>
        <v>-166</v>
      </c>
      <c r="W180" s="89">
        <f>'115+740'!S181</f>
        <v>0</v>
      </c>
      <c r="X180" s="88">
        <f t="shared" ca="1" si="35"/>
        <v>126</v>
      </c>
      <c r="Y180" s="87">
        <f t="shared" ca="1" si="36"/>
        <v>0</v>
      </c>
      <c r="Z180" s="86">
        <f t="shared" ca="1" si="37"/>
        <v>0</v>
      </c>
      <c r="AA180" s="85">
        <f t="shared" ca="1" si="38"/>
        <v>1.0069999999999999</v>
      </c>
      <c r="AB180" s="85">
        <f t="shared" ca="1" si="39"/>
        <v>0.80400000000000005</v>
      </c>
    </row>
    <row r="181" spans="2:28">
      <c r="B181" s="98">
        <f>'115+740'!B182</f>
        <v>45240</v>
      </c>
      <c r="C181" s="97">
        <f t="shared" si="31"/>
        <v>1</v>
      </c>
      <c r="D181" s="96">
        <f t="shared" si="32"/>
        <v>1069</v>
      </c>
      <c r="E181" s="95">
        <f>VLOOKUP(B181,'115+740'!B182:AB283,3,FALSE)</f>
        <v>1508</v>
      </c>
      <c r="F181" s="92">
        <f t="shared" si="27"/>
        <v>2577</v>
      </c>
      <c r="G181" s="94">
        <f ca="1">VLOOKUP(B181,'115+740'!$B$15:$AB$757,20,FALSE)</f>
        <v>860</v>
      </c>
      <c r="H181" s="94">
        <f ca="1">VLOOKUP(B181,'115+740'!$B$15:$AB$757,4,FALSE)</f>
        <v>677</v>
      </c>
      <c r="I181" s="91">
        <f t="shared" ca="1" si="28"/>
        <v>1900</v>
      </c>
      <c r="J181" s="91">
        <f ca="1">VLOOKUP(B181,'115+740'!$B$15:$AB$757,13,FALSE)</f>
        <v>-100</v>
      </c>
      <c r="K181" s="89">
        <f>'115+740'!Q182</f>
        <v>0</v>
      </c>
      <c r="L181" s="88">
        <f t="shared" ca="1" si="33"/>
        <v>140</v>
      </c>
      <c r="M181" s="93">
        <f ca="1">VLOOKUP(B181,'115+740'!$B$14:$AB$757,21,FALSE)</f>
        <v>897</v>
      </c>
      <c r="N181" s="92">
        <f ca="1">VLOOKUP(B181,'115+740'!$B$15:$AB$757,5,FALSE)</f>
        <v>690</v>
      </c>
      <c r="O181" s="91">
        <f t="shared" ca="1" si="29"/>
        <v>1887</v>
      </c>
      <c r="P181" s="91">
        <f ca="1">VLOOKUP(B181,'115+740'!$B$15:$AB$757,14,FALSE)</f>
        <v>-113</v>
      </c>
      <c r="Q181" s="89">
        <f>'115+740'!R182</f>
        <v>0</v>
      </c>
      <c r="R181" s="88">
        <f t="shared" ca="1" si="34"/>
        <v>103</v>
      </c>
      <c r="S181" s="93">
        <f ca="1">VLOOKUP(B181,'115+740'!$B$14:$AB$757,22,FALSE)</f>
        <v>874</v>
      </c>
      <c r="T181" s="92">
        <f ca="1">VLOOKUP(B181,'115+740'!$B$15:$AB$757,6,FALSE)</f>
        <v>743</v>
      </c>
      <c r="U181" s="91">
        <f t="shared" ca="1" si="30"/>
        <v>1834</v>
      </c>
      <c r="V181" s="90">
        <f ca="1">VLOOKUP(B181,'115+740'!$B$15:$AB$757,15,FALSE)</f>
        <v>-166</v>
      </c>
      <c r="W181" s="89">
        <f>'115+740'!S182</f>
        <v>0</v>
      </c>
      <c r="X181" s="88">
        <f t="shared" ca="1" si="35"/>
        <v>126</v>
      </c>
      <c r="Y181" s="87">
        <f t="shared" ca="1" si="36"/>
        <v>0</v>
      </c>
      <c r="Z181" s="86">
        <f t="shared" ca="1" si="37"/>
        <v>0</v>
      </c>
      <c r="AA181" s="85">
        <f t="shared" ca="1" si="38"/>
        <v>1.0069999999999999</v>
      </c>
      <c r="AB181" s="85">
        <f t="shared" ca="1" si="39"/>
        <v>0.80400000000000005</v>
      </c>
    </row>
    <row r="182" spans="2:28">
      <c r="B182" s="98">
        <f>'115+740'!B183</f>
        <v>45241</v>
      </c>
      <c r="C182" s="97">
        <f t="shared" si="31"/>
        <v>1</v>
      </c>
      <c r="D182" s="96">
        <f t="shared" si="32"/>
        <v>1069</v>
      </c>
      <c r="E182" s="95">
        <f>VLOOKUP(B182,'115+740'!B183:AB284,3,FALSE)</f>
        <v>1510</v>
      </c>
      <c r="F182" s="92">
        <f t="shared" si="27"/>
        <v>2579</v>
      </c>
      <c r="G182" s="94">
        <f ca="1">VLOOKUP(B182,'115+740'!$B$15:$AB$757,20,FALSE)</f>
        <v>860</v>
      </c>
      <c r="H182" s="94">
        <f ca="1">VLOOKUP(B182,'115+740'!$B$15:$AB$757,4,FALSE)</f>
        <v>679</v>
      </c>
      <c r="I182" s="91">
        <f t="shared" ca="1" si="28"/>
        <v>1900</v>
      </c>
      <c r="J182" s="91">
        <f ca="1">VLOOKUP(B182,'115+740'!$B$15:$AB$757,13,FALSE)</f>
        <v>-100</v>
      </c>
      <c r="K182" s="89">
        <f>'115+740'!Q183</f>
        <v>0</v>
      </c>
      <c r="L182" s="88">
        <f t="shared" ca="1" si="33"/>
        <v>140</v>
      </c>
      <c r="M182" s="93">
        <f ca="1">VLOOKUP(B182,'115+740'!$B$14:$AB$757,21,FALSE)</f>
        <v>897</v>
      </c>
      <c r="N182" s="92">
        <f ca="1">VLOOKUP(B182,'115+740'!$B$15:$AB$757,5,FALSE)</f>
        <v>692</v>
      </c>
      <c r="O182" s="91">
        <f t="shared" ca="1" si="29"/>
        <v>1887</v>
      </c>
      <c r="P182" s="91">
        <f ca="1">VLOOKUP(B182,'115+740'!$B$15:$AB$757,14,FALSE)</f>
        <v>-113</v>
      </c>
      <c r="Q182" s="89">
        <f>'115+740'!R183</f>
        <v>0</v>
      </c>
      <c r="R182" s="88">
        <f t="shared" ca="1" si="34"/>
        <v>103</v>
      </c>
      <c r="S182" s="93">
        <f ca="1">VLOOKUP(B182,'115+740'!$B$14:$AB$757,22,FALSE)</f>
        <v>874</v>
      </c>
      <c r="T182" s="92">
        <f ca="1">VLOOKUP(B182,'115+740'!$B$15:$AB$757,6,FALSE)</f>
        <v>745</v>
      </c>
      <c r="U182" s="91">
        <f t="shared" ca="1" si="30"/>
        <v>1834</v>
      </c>
      <c r="V182" s="90">
        <f ca="1">VLOOKUP(B182,'115+740'!$B$15:$AB$757,15,FALSE)</f>
        <v>-166</v>
      </c>
      <c r="W182" s="89">
        <f>'115+740'!S183</f>
        <v>0</v>
      </c>
      <c r="X182" s="88">
        <f t="shared" ca="1" si="35"/>
        <v>126</v>
      </c>
      <c r="Y182" s="87">
        <f t="shared" ca="1" si="36"/>
        <v>0</v>
      </c>
      <c r="Z182" s="86">
        <f t="shared" ca="1" si="37"/>
        <v>0</v>
      </c>
      <c r="AA182" s="85">
        <f t="shared" ca="1" si="38"/>
        <v>1.0069999999999999</v>
      </c>
      <c r="AB182" s="85">
        <f t="shared" ca="1" si="39"/>
        <v>0.80400000000000005</v>
      </c>
    </row>
    <row r="183" spans="2:28">
      <c r="B183" s="98">
        <f>'115+740'!B184</f>
        <v>45242</v>
      </c>
      <c r="C183" s="97">
        <f t="shared" si="31"/>
        <v>1</v>
      </c>
      <c r="D183" s="96">
        <f t="shared" si="32"/>
        <v>1069</v>
      </c>
      <c r="E183" s="95">
        <f>VLOOKUP(B183,'115+740'!B184:AB285,3,FALSE)</f>
        <v>1512</v>
      </c>
      <c r="F183" s="92">
        <f t="shared" si="27"/>
        <v>2581</v>
      </c>
      <c r="G183" s="94">
        <f ca="1">VLOOKUP(B183,'115+740'!$B$15:$AB$757,20,FALSE)</f>
        <v>860</v>
      </c>
      <c r="H183" s="94">
        <f ca="1">VLOOKUP(B183,'115+740'!$B$15:$AB$757,4,FALSE)</f>
        <v>681</v>
      </c>
      <c r="I183" s="91">
        <f t="shared" ca="1" si="28"/>
        <v>1900</v>
      </c>
      <c r="J183" s="91">
        <f ca="1">VLOOKUP(B183,'115+740'!$B$15:$AB$757,13,FALSE)</f>
        <v>-100</v>
      </c>
      <c r="K183" s="89">
        <f>'115+740'!Q184</f>
        <v>0</v>
      </c>
      <c r="L183" s="88">
        <f t="shared" ca="1" si="33"/>
        <v>140</v>
      </c>
      <c r="M183" s="93">
        <f ca="1">VLOOKUP(B183,'115+740'!$B$14:$AB$757,21,FALSE)</f>
        <v>897</v>
      </c>
      <c r="N183" s="92">
        <f ca="1">VLOOKUP(B183,'115+740'!$B$15:$AB$757,5,FALSE)</f>
        <v>694</v>
      </c>
      <c r="O183" s="91">
        <f t="shared" ca="1" si="29"/>
        <v>1887</v>
      </c>
      <c r="P183" s="91">
        <f ca="1">VLOOKUP(B183,'115+740'!$B$15:$AB$757,14,FALSE)</f>
        <v>-113</v>
      </c>
      <c r="Q183" s="89">
        <f>'115+740'!R184</f>
        <v>0</v>
      </c>
      <c r="R183" s="88">
        <f t="shared" ca="1" si="34"/>
        <v>103</v>
      </c>
      <c r="S183" s="93">
        <f ca="1">VLOOKUP(B183,'115+740'!$B$14:$AB$757,22,FALSE)</f>
        <v>874</v>
      </c>
      <c r="T183" s="92">
        <f ca="1">VLOOKUP(B183,'115+740'!$B$15:$AB$757,6,FALSE)</f>
        <v>747</v>
      </c>
      <c r="U183" s="91">
        <f t="shared" ca="1" si="30"/>
        <v>1834</v>
      </c>
      <c r="V183" s="90">
        <f ca="1">VLOOKUP(B183,'115+740'!$B$15:$AB$757,15,FALSE)</f>
        <v>-166</v>
      </c>
      <c r="W183" s="89">
        <f>'115+740'!S184</f>
        <v>0</v>
      </c>
      <c r="X183" s="88">
        <f t="shared" ca="1" si="35"/>
        <v>126</v>
      </c>
      <c r="Y183" s="87">
        <f t="shared" ca="1" si="36"/>
        <v>0</v>
      </c>
      <c r="Z183" s="86">
        <f t="shared" ca="1" si="37"/>
        <v>0</v>
      </c>
      <c r="AA183" s="85">
        <f t="shared" ca="1" si="38"/>
        <v>1.0069999999999999</v>
      </c>
      <c r="AB183" s="85">
        <f t="shared" ca="1" si="39"/>
        <v>0.80400000000000005</v>
      </c>
    </row>
    <row r="184" spans="2:28">
      <c r="B184" s="98">
        <f>'115+740'!B185</f>
        <v>45243</v>
      </c>
      <c r="C184" s="97">
        <f t="shared" si="31"/>
        <v>1</v>
      </c>
      <c r="D184" s="96">
        <f t="shared" si="32"/>
        <v>1069</v>
      </c>
      <c r="E184" s="95">
        <f>VLOOKUP(B184,'115+740'!B185:AB286,3,FALSE)</f>
        <v>1514</v>
      </c>
      <c r="F184" s="92">
        <f t="shared" si="27"/>
        <v>2583</v>
      </c>
      <c r="G184" s="94">
        <f ca="1">VLOOKUP(B184,'115+740'!$B$15:$AB$757,20,FALSE)</f>
        <v>860</v>
      </c>
      <c r="H184" s="94">
        <f ca="1">VLOOKUP(B184,'115+740'!$B$15:$AB$757,4,FALSE)</f>
        <v>683</v>
      </c>
      <c r="I184" s="91">
        <f t="shared" ca="1" si="28"/>
        <v>1900</v>
      </c>
      <c r="J184" s="91">
        <f ca="1">VLOOKUP(B184,'115+740'!$B$15:$AB$757,13,FALSE)</f>
        <v>-100</v>
      </c>
      <c r="K184" s="89">
        <f>'115+740'!Q185</f>
        <v>0</v>
      </c>
      <c r="L184" s="88">
        <f t="shared" ca="1" si="33"/>
        <v>140</v>
      </c>
      <c r="M184" s="93">
        <f ca="1">VLOOKUP(B184,'115+740'!$B$14:$AB$757,21,FALSE)</f>
        <v>897</v>
      </c>
      <c r="N184" s="92">
        <f ca="1">VLOOKUP(B184,'115+740'!$B$15:$AB$757,5,FALSE)</f>
        <v>696</v>
      </c>
      <c r="O184" s="91">
        <f t="shared" ca="1" si="29"/>
        <v>1887</v>
      </c>
      <c r="P184" s="91">
        <f ca="1">VLOOKUP(B184,'115+740'!$B$15:$AB$757,14,FALSE)</f>
        <v>-113</v>
      </c>
      <c r="Q184" s="89">
        <f>'115+740'!R185</f>
        <v>0</v>
      </c>
      <c r="R184" s="88">
        <f t="shared" ca="1" si="34"/>
        <v>103</v>
      </c>
      <c r="S184" s="93">
        <f ca="1">VLOOKUP(B184,'115+740'!$B$14:$AB$757,22,FALSE)</f>
        <v>874</v>
      </c>
      <c r="T184" s="92">
        <f ca="1">VLOOKUP(B184,'115+740'!$B$15:$AB$757,6,FALSE)</f>
        <v>749</v>
      </c>
      <c r="U184" s="91">
        <f t="shared" ca="1" si="30"/>
        <v>1834</v>
      </c>
      <c r="V184" s="90">
        <f ca="1">VLOOKUP(B184,'115+740'!$B$15:$AB$757,15,FALSE)</f>
        <v>-166</v>
      </c>
      <c r="W184" s="89">
        <f>'115+740'!S185</f>
        <v>0</v>
      </c>
      <c r="X184" s="88">
        <f t="shared" ca="1" si="35"/>
        <v>126</v>
      </c>
      <c r="Y184" s="87">
        <f t="shared" ca="1" si="36"/>
        <v>0</v>
      </c>
      <c r="Z184" s="86">
        <f t="shared" ca="1" si="37"/>
        <v>0</v>
      </c>
      <c r="AA184" s="85">
        <f t="shared" ca="1" si="38"/>
        <v>1.0069999999999999</v>
      </c>
      <c r="AB184" s="85">
        <f t="shared" ca="1" si="39"/>
        <v>0.80400000000000005</v>
      </c>
    </row>
    <row r="185" spans="2:28">
      <c r="B185" s="98">
        <f>'115+740'!B186</f>
        <v>45244</v>
      </c>
      <c r="C185" s="97">
        <f t="shared" si="31"/>
        <v>1</v>
      </c>
      <c r="D185" s="96">
        <f t="shared" si="32"/>
        <v>1069</v>
      </c>
      <c r="E185" s="95">
        <f>VLOOKUP(B185,'115+740'!B186:AB287,3,FALSE)</f>
        <v>1516</v>
      </c>
      <c r="F185" s="92">
        <f t="shared" si="27"/>
        <v>2585</v>
      </c>
      <c r="G185" s="94">
        <f ca="1">VLOOKUP(B185,'115+740'!$B$15:$AB$757,20,FALSE)</f>
        <v>860</v>
      </c>
      <c r="H185" s="94">
        <f ca="1">VLOOKUP(B185,'115+740'!$B$15:$AB$757,4,FALSE)</f>
        <v>685</v>
      </c>
      <c r="I185" s="91">
        <f t="shared" ca="1" si="28"/>
        <v>1900</v>
      </c>
      <c r="J185" s="91">
        <f ca="1">VLOOKUP(B185,'115+740'!$B$15:$AB$757,13,FALSE)</f>
        <v>-100</v>
      </c>
      <c r="K185" s="89">
        <f>'115+740'!Q186</f>
        <v>0</v>
      </c>
      <c r="L185" s="88">
        <f t="shared" ca="1" si="33"/>
        <v>140</v>
      </c>
      <c r="M185" s="93">
        <f ca="1">VLOOKUP(B185,'115+740'!$B$14:$AB$757,21,FALSE)</f>
        <v>897</v>
      </c>
      <c r="N185" s="92">
        <f ca="1">VLOOKUP(B185,'115+740'!$B$15:$AB$757,5,FALSE)</f>
        <v>698</v>
      </c>
      <c r="O185" s="91">
        <f t="shared" ca="1" si="29"/>
        <v>1887</v>
      </c>
      <c r="P185" s="91">
        <f ca="1">VLOOKUP(B185,'115+740'!$B$15:$AB$757,14,FALSE)</f>
        <v>-113</v>
      </c>
      <c r="Q185" s="89">
        <f>'115+740'!R186</f>
        <v>0</v>
      </c>
      <c r="R185" s="88">
        <f t="shared" ca="1" si="34"/>
        <v>103</v>
      </c>
      <c r="S185" s="93">
        <f ca="1">VLOOKUP(B185,'115+740'!$B$14:$AB$757,22,FALSE)</f>
        <v>874</v>
      </c>
      <c r="T185" s="92">
        <f ca="1">VLOOKUP(B185,'115+740'!$B$15:$AB$757,6,FALSE)</f>
        <v>751</v>
      </c>
      <c r="U185" s="91">
        <f t="shared" ca="1" si="30"/>
        <v>1834</v>
      </c>
      <c r="V185" s="90">
        <f ca="1">VLOOKUP(B185,'115+740'!$B$15:$AB$757,15,FALSE)</f>
        <v>-166</v>
      </c>
      <c r="W185" s="89">
        <f>'115+740'!S186</f>
        <v>0</v>
      </c>
      <c r="X185" s="88">
        <f t="shared" ca="1" si="35"/>
        <v>126</v>
      </c>
      <c r="Y185" s="87">
        <f t="shared" ca="1" si="36"/>
        <v>0</v>
      </c>
      <c r="Z185" s="86">
        <f t="shared" ca="1" si="37"/>
        <v>0</v>
      </c>
      <c r="AA185" s="85">
        <f t="shared" ca="1" si="38"/>
        <v>1.0069999999999999</v>
      </c>
      <c r="AB185" s="85">
        <f t="shared" ca="1" si="39"/>
        <v>0.80400000000000005</v>
      </c>
    </row>
    <row r="186" spans="2:28">
      <c r="B186" s="98">
        <f>'115+740'!B187</f>
        <v>45245</v>
      </c>
      <c r="C186" s="97">
        <f t="shared" si="31"/>
        <v>1</v>
      </c>
      <c r="D186" s="96">
        <f t="shared" si="32"/>
        <v>1069</v>
      </c>
      <c r="E186" s="95">
        <f>VLOOKUP(B186,'115+740'!B187:AB288,3,FALSE)</f>
        <v>1518</v>
      </c>
      <c r="F186" s="92">
        <f t="shared" si="27"/>
        <v>2587</v>
      </c>
      <c r="G186" s="94">
        <f ca="1">VLOOKUP(B186,'115+740'!$B$15:$AB$757,20,FALSE)</f>
        <v>860</v>
      </c>
      <c r="H186" s="94">
        <f ca="1">VLOOKUP(B186,'115+740'!$B$15:$AB$757,4,FALSE)</f>
        <v>687</v>
      </c>
      <c r="I186" s="91">
        <f t="shared" ca="1" si="28"/>
        <v>1900</v>
      </c>
      <c r="J186" s="91">
        <f ca="1">VLOOKUP(B186,'115+740'!$B$15:$AB$757,13,FALSE)</f>
        <v>-100</v>
      </c>
      <c r="K186" s="89">
        <f>'115+740'!Q187</f>
        <v>0</v>
      </c>
      <c r="L186" s="88">
        <f t="shared" ca="1" si="33"/>
        <v>140</v>
      </c>
      <c r="M186" s="93">
        <f ca="1">VLOOKUP(B186,'115+740'!$B$14:$AB$757,21,FALSE)</f>
        <v>897</v>
      </c>
      <c r="N186" s="92">
        <f ca="1">VLOOKUP(B186,'115+740'!$B$15:$AB$757,5,FALSE)</f>
        <v>700</v>
      </c>
      <c r="O186" s="91">
        <f t="shared" ca="1" si="29"/>
        <v>1887</v>
      </c>
      <c r="P186" s="91">
        <f ca="1">VLOOKUP(B186,'115+740'!$B$15:$AB$757,14,FALSE)</f>
        <v>-113</v>
      </c>
      <c r="Q186" s="89">
        <f>'115+740'!R187</f>
        <v>0</v>
      </c>
      <c r="R186" s="88">
        <f t="shared" ca="1" si="34"/>
        <v>103</v>
      </c>
      <c r="S186" s="93">
        <f ca="1">VLOOKUP(B186,'115+740'!$B$14:$AB$757,22,FALSE)</f>
        <v>874</v>
      </c>
      <c r="T186" s="92">
        <f ca="1">VLOOKUP(B186,'115+740'!$B$15:$AB$757,6,FALSE)</f>
        <v>753</v>
      </c>
      <c r="U186" s="91">
        <f t="shared" ca="1" si="30"/>
        <v>1834</v>
      </c>
      <c r="V186" s="90">
        <f ca="1">VLOOKUP(B186,'115+740'!$B$15:$AB$757,15,FALSE)</f>
        <v>-166</v>
      </c>
      <c r="W186" s="89">
        <f>'115+740'!S187</f>
        <v>0</v>
      </c>
      <c r="X186" s="88">
        <f t="shared" ca="1" si="35"/>
        <v>126</v>
      </c>
      <c r="Y186" s="87">
        <f t="shared" ca="1" si="36"/>
        <v>0</v>
      </c>
      <c r="Z186" s="86">
        <f t="shared" ca="1" si="37"/>
        <v>0</v>
      </c>
      <c r="AA186" s="85">
        <f t="shared" ca="1" si="38"/>
        <v>1.0069999999999999</v>
      </c>
      <c r="AB186" s="85">
        <f t="shared" ca="1" si="39"/>
        <v>0.80400000000000005</v>
      </c>
    </row>
    <row r="187" spans="2:28">
      <c r="B187" s="98">
        <f>'115+740'!B188</f>
        <v>45246</v>
      </c>
      <c r="C187" s="97">
        <f t="shared" si="31"/>
        <v>1</v>
      </c>
      <c r="D187" s="96">
        <f t="shared" si="32"/>
        <v>1069</v>
      </c>
      <c r="E187" s="95">
        <f>VLOOKUP(B187,'115+740'!B188:AB289,3,FALSE)</f>
        <v>1520</v>
      </c>
      <c r="F187" s="92">
        <f t="shared" si="27"/>
        <v>2589</v>
      </c>
      <c r="G187" s="94">
        <f ca="1">VLOOKUP(B187,'115+740'!$B$15:$AB$757,20,FALSE)</f>
        <v>860</v>
      </c>
      <c r="H187" s="94">
        <f ca="1">VLOOKUP(B187,'115+740'!$B$15:$AB$757,4,FALSE)</f>
        <v>689</v>
      </c>
      <c r="I187" s="91">
        <f t="shared" ca="1" si="28"/>
        <v>1900</v>
      </c>
      <c r="J187" s="91">
        <f ca="1">VLOOKUP(B187,'115+740'!$B$15:$AB$757,13,FALSE)</f>
        <v>-100</v>
      </c>
      <c r="K187" s="89">
        <f>'115+740'!Q188</f>
        <v>0</v>
      </c>
      <c r="L187" s="88">
        <f t="shared" ca="1" si="33"/>
        <v>140</v>
      </c>
      <c r="M187" s="93">
        <f ca="1">VLOOKUP(B187,'115+740'!$B$14:$AB$757,21,FALSE)</f>
        <v>897</v>
      </c>
      <c r="N187" s="92">
        <f ca="1">VLOOKUP(B187,'115+740'!$B$15:$AB$757,5,FALSE)</f>
        <v>702</v>
      </c>
      <c r="O187" s="91">
        <f t="shared" ca="1" si="29"/>
        <v>1887</v>
      </c>
      <c r="P187" s="91">
        <f ca="1">VLOOKUP(B187,'115+740'!$B$15:$AB$757,14,FALSE)</f>
        <v>-113</v>
      </c>
      <c r="Q187" s="89">
        <f>'115+740'!R188</f>
        <v>0</v>
      </c>
      <c r="R187" s="88">
        <f t="shared" ca="1" si="34"/>
        <v>103</v>
      </c>
      <c r="S187" s="93">
        <f ca="1">VLOOKUP(B187,'115+740'!$B$14:$AB$757,22,FALSE)</f>
        <v>874</v>
      </c>
      <c r="T187" s="92">
        <f ca="1">VLOOKUP(B187,'115+740'!$B$15:$AB$757,6,FALSE)</f>
        <v>755</v>
      </c>
      <c r="U187" s="91">
        <f t="shared" ca="1" si="30"/>
        <v>1834</v>
      </c>
      <c r="V187" s="90">
        <f ca="1">VLOOKUP(B187,'115+740'!$B$15:$AB$757,15,FALSE)</f>
        <v>-166</v>
      </c>
      <c r="W187" s="89">
        <f>'115+740'!S188</f>
        <v>0</v>
      </c>
      <c r="X187" s="88">
        <f t="shared" ca="1" si="35"/>
        <v>126</v>
      </c>
      <c r="Y187" s="87">
        <f t="shared" ca="1" si="36"/>
        <v>0</v>
      </c>
      <c r="Z187" s="86">
        <f t="shared" ca="1" si="37"/>
        <v>0</v>
      </c>
      <c r="AA187" s="85">
        <f t="shared" ca="1" si="38"/>
        <v>1.0069999999999999</v>
      </c>
      <c r="AB187" s="85">
        <f t="shared" ca="1" si="39"/>
        <v>0.80400000000000005</v>
      </c>
    </row>
    <row r="188" spans="2:28">
      <c r="B188" s="98">
        <f>'115+740'!B189</f>
        <v>45247</v>
      </c>
      <c r="C188" s="97">
        <f t="shared" si="31"/>
        <v>1</v>
      </c>
      <c r="D188" s="96">
        <f t="shared" si="32"/>
        <v>1069</v>
      </c>
      <c r="E188" s="95">
        <f>VLOOKUP(B188,'115+740'!B189:AB290,3,FALSE)</f>
        <v>1522</v>
      </c>
      <c r="F188" s="92">
        <f t="shared" si="27"/>
        <v>2591</v>
      </c>
      <c r="G188" s="94">
        <f ca="1">VLOOKUP(B188,'115+740'!$B$15:$AB$757,20,FALSE)</f>
        <v>860</v>
      </c>
      <c r="H188" s="94">
        <f ca="1">VLOOKUP(B188,'115+740'!$B$15:$AB$757,4,FALSE)</f>
        <v>691</v>
      </c>
      <c r="I188" s="91">
        <f t="shared" ca="1" si="28"/>
        <v>1900</v>
      </c>
      <c r="J188" s="91">
        <f ca="1">VLOOKUP(B188,'115+740'!$B$15:$AB$757,13,FALSE)</f>
        <v>-100</v>
      </c>
      <c r="K188" s="89">
        <f>'115+740'!Q189</f>
        <v>0</v>
      </c>
      <c r="L188" s="88">
        <f t="shared" ca="1" si="33"/>
        <v>140</v>
      </c>
      <c r="M188" s="93">
        <f ca="1">VLOOKUP(B188,'115+740'!$B$14:$AB$757,21,FALSE)</f>
        <v>897</v>
      </c>
      <c r="N188" s="92">
        <f ca="1">VLOOKUP(B188,'115+740'!$B$15:$AB$757,5,FALSE)</f>
        <v>704</v>
      </c>
      <c r="O188" s="91">
        <f t="shared" ca="1" si="29"/>
        <v>1887</v>
      </c>
      <c r="P188" s="91">
        <f ca="1">VLOOKUP(B188,'115+740'!$B$15:$AB$757,14,FALSE)</f>
        <v>-113</v>
      </c>
      <c r="Q188" s="89">
        <f>'115+740'!R189</f>
        <v>0</v>
      </c>
      <c r="R188" s="88">
        <f t="shared" ca="1" si="34"/>
        <v>103</v>
      </c>
      <c r="S188" s="93">
        <f ca="1">VLOOKUP(B188,'115+740'!$B$14:$AB$757,22,FALSE)</f>
        <v>874</v>
      </c>
      <c r="T188" s="92">
        <f ca="1">VLOOKUP(B188,'115+740'!$B$15:$AB$757,6,FALSE)</f>
        <v>757</v>
      </c>
      <c r="U188" s="91">
        <f t="shared" ca="1" si="30"/>
        <v>1834</v>
      </c>
      <c r="V188" s="90">
        <f ca="1">VLOOKUP(B188,'115+740'!$B$15:$AB$757,15,FALSE)</f>
        <v>-166</v>
      </c>
      <c r="W188" s="89">
        <f>'115+740'!S189</f>
        <v>0</v>
      </c>
      <c r="X188" s="88">
        <f t="shared" ca="1" si="35"/>
        <v>126</v>
      </c>
      <c r="Y188" s="87">
        <f t="shared" ca="1" si="36"/>
        <v>0</v>
      </c>
      <c r="Z188" s="86">
        <f t="shared" ca="1" si="37"/>
        <v>0</v>
      </c>
      <c r="AA188" s="85">
        <f t="shared" ca="1" si="38"/>
        <v>1.0069999999999999</v>
      </c>
      <c r="AB188" s="85">
        <f t="shared" ca="1" si="39"/>
        <v>0.80400000000000005</v>
      </c>
    </row>
    <row r="189" spans="2:28">
      <c r="B189" s="98">
        <f>'115+740'!B190</f>
        <v>45248</v>
      </c>
      <c r="C189" s="97">
        <f t="shared" si="31"/>
        <v>1</v>
      </c>
      <c r="D189" s="96">
        <f t="shared" si="32"/>
        <v>1069</v>
      </c>
      <c r="E189" s="95">
        <f>VLOOKUP(B189,'115+740'!B190:AB291,3,FALSE)</f>
        <v>1524</v>
      </c>
      <c r="F189" s="92">
        <f t="shared" si="27"/>
        <v>2593</v>
      </c>
      <c r="G189" s="94">
        <f ca="1">VLOOKUP(B189,'115+740'!$B$15:$AB$757,20,FALSE)</f>
        <v>860</v>
      </c>
      <c r="H189" s="94">
        <f ca="1">VLOOKUP(B189,'115+740'!$B$15:$AB$757,4,FALSE)</f>
        <v>693</v>
      </c>
      <c r="I189" s="91">
        <f t="shared" ca="1" si="28"/>
        <v>1900</v>
      </c>
      <c r="J189" s="91">
        <f ca="1">VLOOKUP(B189,'115+740'!$B$15:$AB$757,13,FALSE)</f>
        <v>-100</v>
      </c>
      <c r="K189" s="89">
        <f>'115+740'!Q190</f>
        <v>0</v>
      </c>
      <c r="L189" s="88">
        <f t="shared" ca="1" si="33"/>
        <v>140</v>
      </c>
      <c r="M189" s="93">
        <f ca="1">VLOOKUP(B189,'115+740'!$B$14:$AB$757,21,FALSE)</f>
        <v>897</v>
      </c>
      <c r="N189" s="92">
        <f ca="1">VLOOKUP(B189,'115+740'!$B$15:$AB$757,5,FALSE)</f>
        <v>706</v>
      </c>
      <c r="O189" s="91">
        <f t="shared" ca="1" si="29"/>
        <v>1887</v>
      </c>
      <c r="P189" s="91">
        <f ca="1">VLOOKUP(B189,'115+740'!$B$15:$AB$757,14,FALSE)</f>
        <v>-113</v>
      </c>
      <c r="Q189" s="89">
        <f>'115+740'!R190</f>
        <v>0</v>
      </c>
      <c r="R189" s="88">
        <f t="shared" ca="1" si="34"/>
        <v>103</v>
      </c>
      <c r="S189" s="93">
        <f ca="1">VLOOKUP(B189,'115+740'!$B$14:$AB$757,22,FALSE)</f>
        <v>874</v>
      </c>
      <c r="T189" s="92">
        <f ca="1">VLOOKUP(B189,'115+740'!$B$15:$AB$757,6,FALSE)</f>
        <v>759</v>
      </c>
      <c r="U189" s="91">
        <f t="shared" ca="1" si="30"/>
        <v>1834</v>
      </c>
      <c r="V189" s="90">
        <f ca="1">VLOOKUP(B189,'115+740'!$B$15:$AB$757,15,FALSE)</f>
        <v>-166</v>
      </c>
      <c r="W189" s="89">
        <f>'115+740'!S190</f>
        <v>0</v>
      </c>
      <c r="X189" s="88">
        <f t="shared" ca="1" si="35"/>
        <v>126</v>
      </c>
      <c r="Y189" s="87">
        <f t="shared" ca="1" si="36"/>
        <v>0</v>
      </c>
      <c r="Z189" s="86">
        <f t="shared" ca="1" si="37"/>
        <v>0</v>
      </c>
      <c r="AA189" s="85">
        <f t="shared" ca="1" si="38"/>
        <v>1.0069999999999999</v>
      </c>
      <c r="AB189" s="85">
        <f t="shared" ca="1" si="39"/>
        <v>0.80400000000000005</v>
      </c>
    </row>
    <row r="190" spans="2:28">
      <c r="B190" s="98">
        <f>'115+740'!B191</f>
        <v>45249</v>
      </c>
      <c r="C190" s="97">
        <f t="shared" si="31"/>
        <v>1</v>
      </c>
      <c r="D190" s="96">
        <f t="shared" si="32"/>
        <v>1069</v>
      </c>
      <c r="E190" s="95">
        <f>VLOOKUP(B190,'115+740'!B191:AB292,3,FALSE)</f>
        <v>1526</v>
      </c>
      <c r="F190" s="92">
        <f t="shared" si="27"/>
        <v>2595</v>
      </c>
      <c r="G190" s="94">
        <f ca="1">VLOOKUP(B190,'115+740'!$B$15:$AB$757,20,FALSE)</f>
        <v>860</v>
      </c>
      <c r="H190" s="94">
        <f ca="1">VLOOKUP(B190,'115+740'!$B$15:$AB$757,4,FALSE)</f>
        <v>695</v>
      </c>
      <c r="I190" s="91">
        <f t="shared" ca="1" si="28"/>
        <v>1900</v>
      </c>
      <c r="J190" s="91">
        <f ca="1">VLOOKUP(B190,'115+740'!$B$15:$AB$757,13,FALSE)</f>
        <v>-100</v>
      </c>
      <c r="K190" s="89">
        <f>'115+740'!Q191</f>
        <v>0</v>
      </c>
      <c r="L190" s="88">
        <f t="shared" ca="1" si="33"/>
        <v>140</v>
      </c>
      <c r="M190" s="93">
        <f ca="1">VLOOKUP(B190,'115+740'!$B$14:$AB$757,21,FALSE)</f>
        <v>897</v>
      </c>
      <c r="N190" s="92">
        <f ca="1">VLOOKUP(B190,'115+740'!$B$15:$AB$757,5,FALSE)</f>
        <v>708</v>
      </c>
      <c r="O190" s="91">
        <f t="shared" ca="1" si="29"/>
        <v>1887</v>
      </c>
      <c r="P190" s="91">
        <f ca="1">VLOOKUP(B190,'115+740'!$B$15:$AB$757,14,FALSE)</f>
        <v>-113</v>
      </c>
      <c r="Q190" s="89">
        <f>'115+740'!R191</f>
        <v>0</v>
      </c>
      <c r="R190" s="88">
        <f t="shared" ca="1" si="34"/>
        <v>103</v>
      </c>
      <c r="S190" s="93">
        <f ca="1">VLOOKUP(B190,'115+740'!$B$14:$AB$757,22,FALSE)</f>
        <v>874</v>
      </c>
      <c r="T190" s="92">
        <f ca="1">VLOOKUP(B190,'115+740'!$B$15:$AB$757,6,FALSE)</f>
        <v>761</v>
      </c>
      <c r="U190" s="91">
        <f t="shared" ca="1" si="30"/>
        <v>1834</v>
      </c>
      <c r="V190" s="90">
        <f ca="1">VLOOKUP(B190,'115+740'!$B$15:$AB$757,15,FALSE)</f>
        <v>-166</v>
      </c>
      <c r="W190" s="89">
        <f>'115+740'!S191</f>
        <v>0</v>
      </c>
      <c r="X190" s="88">
        <f t="shared" ca="1" si="35"/>
        <v>126</v>
      </c>
      <c r="Y190" s="87">
        <f t="shared" ca="1" si="36"/>
        <v>0</v>
      </c>
      <c r="Z190" s="86">
        <f t="shared" ca="1" si="37"/>
        <v>0</v>
      </c>
      <c r="AA190" s="85">
        <f t="shared" ca="1" si="38"/>
        <v>1.0069999999999999</v>
      </c>
      <c r="AB190" s="85">
        <f t="shared" ca="1" si="39"/>
        <v>0.80400000000000005</v>
      </c>
    </row>
    <row r="191" spans="2:28">
      <c r="B191" s="98">
        <f>'115+740'!B192</f>
        <v>45250</v>
      </c>
      <c r="C191" s="97">
        <f t="shared" si="31"/>
        <v>1</v>
      </c>
      <c r="D191" s="96">
        <f t="shared" si="32"/>
        <v>1069</v>
      </c>
      <c r="E191" s="95">
        <f>VLOOKUP(B191,'115+740'!B192:AB293,3,FALSE)</f>
        <v>1528</v>
      </c>
      <c r="F191" s="92">
        <f t="shared" si="27"/>
        <v>2597</v>
      </c>
      <c r="G191" s="94">
        <f ca="1">VLOOKUP(B191,'115+740'!$B$15:$AB$757,20,FALSE)</f>
        <v>860</v>
      </c>
      <c r="H191" s="94">
        <f ca="1">VLOOKUP(B191,'115+740'!$B$15:$AB$757,4,FALSE)</f>
        <v>697</v>
      </c>
      <c r="I191" s="91">
        <f t="shared" ca="1" si="28"/>
        <v>1900</v>
      </c>
      <c r="J191" s="91">
        <f ca="1">VLOOKUP(B191,'115+740'!$B$15:$AB$757,13,FALSE)</f>
        <v>-100</v>
      </c>
      <c r="K191" s="89">
        <f>'115+740'!Q192</f>
        <v>0</v>
      </c>
      <c r="L191" s="88">
        <f t="shared" ca="1" si="33"/>
        <v>140</v>
      </c>
      <c r="M191" s="93">
        <f ca="1">VLOOKUP(B191,'115+740'!$B$14:$AB$757,21,FALSE)</f>
        <v>897</v>
      </c>
      <c r="N191" s="92">
        <f ca="1">VLOOKUP(B191,'115+740'!$B$15:$AB$757,5,FALSE)</f>
        <v>710</v>
      </c>
      <c r="O191" s="91">
        <f t="shared" ca="1" si="29"/>
        <v>1887</v>
      </c>
      <c r="P191" s="91">
        <f ca="1">VLOOKUP(B191,'115+740'!$B$15:$AB$757,14,FALSE)</f>
        <v>-113</v>
      </c>
      <c r="Q191" s="89">
        <f>'115+740'!R192</f>
        <v>0</v>
      </c>
      <c r="R191" s="88">
        <f t="shared" ca="1" si="34"/>
        <v>103</v>
      </c>
      <c r="S191" s="93">
        <f ca="1">VLOOKUP(B191,'115+740'!$B$14:$AB$757,22,FALSE)</f>
        <v>874</v>
      </c>
      <c r="T191" s="92">
        <f ca="1">VLOOKUP(B191,'115+740'!$B$15:$AB$757,6,FALSE)</f>
        <v>763</v>
      </c>
      <c r="U191" s="91">
        <f t="shared" ca="1" si="30"/>
        <v>1834</v>
      </c>
      <c r="V191" s="90">
        <f ca="1">VLOOKUP(B191,'115+740'!$B$15:$AB$757,15,FALSE)</f>
        <v>-166</v>
      </c>
      <c r="W191" s="89">
        <f>'115+740'!S192</f>
        <v>0</v>
      </c>
      <c r="X191" s="88">
        <f t="shared" ca="1" si="35"/>
        <v>126</v>
      </c>
      <c r="Y191" s="87">
        <f t="shared" ca="1" si="36"/>
        <v>0</v>
      </c>
      <c r="Z191" s="86">
        <f t="shared" ca="1" si="37"/>
        <v>0</v>
      </c>
      <c r="AA191" s="85">
        <f t="shared" ca="1" si="38"/>
        <v>1.0069999999999999</v>
      </c>
      <c r="AB191" s="85">
        <f t="shared" ca="1" si="39"/>
        <v>0.80400000000000005</v>
      </c>
    </row>
    <row r="192" spans="2:28">
      <c r="B192" s="98">
        <f>'115+740'!B193</f>
        <v>45251</v>
      </c>
      <c r="C192" s="97">
        <f t="shared" si="31"/>
        <v>1</v>
      </c>
      <c r="D192" s="96">
        <f t="shared" si="32"/>
        <v>1069</v>
      </c>
      <c r="E192" s="95">
        <f>VLOOKUP(B192,'115+740'!B193:AB294,3,FALSE)</f>
        <v>1530</v>
      </c>
      <c r="F192" s="92">
        <f t="shared" si="27"/>
        <v>2599</v>
      </c>
      <c r="G192" s="94">
        <f ca="1">VLOOKUP(B192,'115+740'!$B$15:$AB$757,20,FALSE)</f>
        <v>860</v>
      </c>
      <c r="H192" s="94">
        <f ca="1">VLOOKUP(B192,'115+740'!$B$15:$AB$757,4,FALSE)</f>
        <v>699</v>
      </c>
      <c r="I192" s="91">
        <f t="shared" ca="1" si="28"/>
        <v>1900</v>
      </c>
      <c r="J192" s="91">
        <f ca="1">VLOOKUP(B192,'115+740'!$B$15:$AB$757,13,FALSE)</f>
        <v>-100</v>
      </c>
      <c r="K192" s="89">
        <f>'115+740'!Q193</f>
        <v>0</v>
      </c>
      <c r="L192" s="88">
        <f t="shared" ca="1" si="33"/>
        <v>140</v>
      </c>
      <c r="M192" s="93">
        <f ca="1">VLOOKUP(B192,'115+740'!$B$14:$AB$757,21,FALSE)</f>
        <v>897</v>
      </c>
      <c r="N192" s="92">
        <f ca="1">VLOOKUP(B192,'115+740'!$B$15:$AB$757,5,FALSE)</f>
        <v>712</v>
      </c>
      <c r="O192" s="91">
        <f t="shared" ca="1" si="29"/>
        <v>1887</v>
      </c>
      <c r="P192" s="91">
        <f ca="1">VLOOKUP(B192,'115+740'!$B$15:$AB$757,14,FALSE)</f>
        <v>-113</v>
      </c>
      <c r="Q192" s="89">
        <f>'115+740'!R193</f>
        <v>0</v>
      </c>
      <c r="R192" s="88">
        <f t="shared" ca="1" si="34"/>
        <v>103</v>
      </c>
      <c r="S192" s="93">
        <f ca="1">VLOOKUP(B192,'115+740'!$B$14:$AB$757,22,FALSE)</f>
        <v>874</v>
      </c>
      <c r="T192" s="92">
        <f ca="1">VLOOKUP(B192,'115+740'!$B$15:$AB$757,6,FALSE)</f>
        <v>765</v>
      </c>
      <c r="U192" s="91">
        <f t="shared" ca="1" si="30"/>
        <v>1834</v>
      </c>
      <c r="V192" s="90">
        <f ca="1">VLOOKUP(B192,'115+740'!$B$15:$AB$757,15,FALSE)</f>
        <v>-166</v>
      </c>
      <c r="W192" s="89">
        <f>'115+740'!S193</f>
        <v>0</v>
      </c>
      <c r="X192" s="88">
        <f t="shared" ca="1" si="35"/>
        <v>126</v>
      </c>
      <c r="Y192" s="87">
        <f t="shared" ca="1" si="36"/>
        <v>0</v>
      </c>
      <c r="Z192" s="86">
        <f t="shared" ca="1" si="37"/>
        <v>0</v>
      </c>
      <c r="AA192" s="85">
        <f t="shared" ca="1" si="38"/>
        <v>1.0069999999999999</v>
      </c>
      <c r="AB192" s="85">
        <f t="shared" ca="1" si="39"/>
        <v>0.80400000000000005</v>
      </c>
    </row>
    <row r="193" spans="2:28">
      <c r="B193" s="98">
        <f>'115+740'!B194</f>
        <v>45252</v>
      </c>
      <c r="C193" s="97">
        <f t="shared" si="31"/>
        <v>1</v>
      </c>
      <c r="D193" s="96">
        <f t="shared" si="32"/>
        <v>1069</v>
      </c>
      <c r="E193" s="95">
        <f>VLOOKUP(B193,'115+740'!B194:AB295,3,FALSE)</f>
        <v>1532</v>
      </c>
      <c r="F193" s="92">
        <f t="shared" si="27"/>
        <v>2601</v>
      </c>
      <c r="G193" s="94">
        <f ca="1">VLOOKUP(B193,'115+740'!$B$15:$AB$757,20,FALSE)</f>
        <v>860</v>
      </c>
      <c r="H193" s="94">
        <f ca="1">VLOOKUP(B193,'115+740'!$B$15:$AB$757,4,FALSE)</f>
        <v>701</v>
      </c>
      <c r="I193" s="91">
        <f t="shared" ca="1" si="28"/>
        <v>1900</v>
      </c>
      <c r="J193" s="91">
        <f ca="1">VLOOKUP(B193,'115+740'!$B$15:$AB$757,13,FALSE)</f>
        <v>-100</v>
      </c>
      <c r="K193" s="89">
        <f>'115+740'!Q194</f>
        <v>0</v>
      </c>
      <c r="L193" s="88">
        <f t="shared" ca="1" si="33"/>
        <v>140</v>
      </c>
      <c r="M193" s="93">
        <f ca="1">VLOOKUP(B193,'115+740'!$B$14:$AB$757,21,FALSE)</f>
        <v>897</v>
      </c>
      <c r="N193" s="92">
        <f ca="1">VLOOKUP(B193,'115+740'!$B$15:$AB$757,5,FALSE)</f>
        <v>714</v>
      </c>
      <c r="O193" s="91">
        <f t="shared" ca="1" si="29"/>
        <v>1887</v>
      </c>
      <c r="P193" s="91">
        <f ca="1">VLOOKUP(B193,'115+740'!$B$15:$AB$757,14,FALSE)</f>
        <v>-113</v>
      </c>
      <c r="Q193" s="89">
        <f>'115+740'!R194</f>
        <v>0</v>
      </c>
      <c r="R193" s="88">
        <f t="shared" ca="1" si="34"/>
        <v>103</v>
      </c>
      <c r="S193" s="93">
        <f ca="1">VLOOKUP(B193,'115+740'!$B$14:$AB$757,22,FALSE)</f>
        <v>874</v>
      </c>
      <c r="T193" s="92">
        <f ca="1">VLOOKUP(B193,'115+740'!$B$15:$AB$757,6,FALSE)</f>
        <v>767</v>
      </c>
      <c r="U193" s="91">
        <f t="shared" ca="1" si="30"/>
        <v>1834</v>
      </c>
      <c r="V193" s="90">
        <f ca="1">VLOOKUP(B193,'115+740'!$B$15:$AB$757,15,FALSE)</f>
        <v>-166</v>
      </c>
      <c r="W193" s="89">
        <f>'115+740'!S194</f>
        <v>0</v>
      </c>
      <c r="X193" s="88">
        <f t="shared" ca="1" si="35"/>
        <v>126</v>
      </c>
      <c r="Y193" s="87">
        <f t="shared" ca="1" si="36"/>
        <v>0</v>
      </c>
      <c r="Z193" s="86">
        <f t="shared" ca="1" si="37"/>
        <v>0</v>
      </c>
      <c r="AA193" s="85">
        <f t="shared" ca="1" si="38"/>
        <v>1.0069999999999999</v>
      </c>
      <c r="AB193" s="85">
        <f t="shared" ca="1" si="39"/>
        <v>0.80400000000000005</v>
      </c>
    </row>
    <row r="194" spans="2:28">
      <c r="B194" s="98">
        <f>'115+740'!B195</f>
        <v>45253</v>
      </c>
      <c r="C194" s="97">
        <f t="shared" si="31"/>
        <v>1</v>
      </c>
      <c r="D194" s="96">
        <f t="shared" si="32"/>
        <v>1069</v>
      </c>
      <c r="E194" s="95">
        <f>VLOOKUP(B194,'115+740'!B195:AB296,3,FALSE)</f>
        <v>1534</v>
      </c>
      <c r="F194" s="92">
        <f t="shared" si="27"/>
        <v>2603</v>
      </c>
      <c r="G194" s="94">
        <f ca="1">VLOOKUP(B194,'115+740'!$B$15:$AB$757,20,FALSE)</f>
        <v>860</v>
      </c>
      <c r="H194" s="94">
        <f ca="1">VLOOKUP(B194,'115+740'!$B$15:$AB$757,4,FALSE)</f>
        <v>703</v>
      </c>
      <c r="I194" s="91">
        <f t="shared" ca="1" si="28"/>
        <v>1900</v>
      </c>
      <c r="J194" s="91">
        <f ca="1">VLOOKUP(B194,'115+740'!$B$15:$AB$757,13,FALSE)</f>
        <v>-100</v>
      </c>
      <c r="K194" s="89">
        <f>'115+740'!Q195</f>
        <v>0</v>
      </c>
      <c r="L194" s="88">
        <f t="shared" ca="1" si="33"/>
        <v>140</v>
      </c>
      <c r="M194" s="93">
        <f ca="1">VLOOKUP(B194,'115+740'!$B$14:$AB$757,21,FALSE)</f>
        <v>897</v>
      </c>
      <c r="N194" s="92">
        <f ca="1">VLOOKUP(B194,'115+740'!$B$15:$AB$757,5,FALSE)</f>
        <v>716</v>
      </c>
      <c r="O194" s="91">
        <f t="shared" ca="1" si="29"/>
        <v>1887</v>
      </c>
      <c r="P194" s="91">
        <f ca="1">VLOOKUP(B194,'115+740'!$B$15:$AB$757,14,FALSE)</f>
        <v>-113</v>
      </c>
      <c r="Q194" s="89">
        <f>'115+740'!R195</f>
        <v>0</v>
      </c>
      <c r="R194" s="88">
        <f t="shared" ca="1" si="34"/>
        <v>103</v>
      </c>
      <c r="S194" s="93">
        <f ca="1">VLOOKUP(B194,'115+740'!$B$14:$AB$757,22,FALSE)</f>
        <v>874</v>
      </c>
      <c r="T194" s="92">
        <f ca="1">VLOOKUP(B194,'115+740'!$B$15:$AB$757,6,FALSE)</f>
        <v>769</v>
      </c>
      <c r="U194" s="91">
        <f t="shared" ca="1" si="30"/>
        <v>1834</v>
      </c>
      <c r="V194" s="90">
        <f ca="1">VLOOKUP(B194,'115+740'!$B$15:$AB$757,15,FALSE)</f>
        <v>-166</v>
      </c>
      <c r="W194" s="89">
        <f>'115+740'!S195</f>
        <v>0</v>
      </c>
      <c r="X194" s="88">
        <f t="shared" ca="1" si="35"/>
        <v>126</v>
      </c>
      <c r="Y194" s="87">
        <f t="shared" ca="1" si="36"/>
        <v>0</v>
      </c>
      <c r="Z194" s="86">
        <f t="shared" ca="1" si="37"/>
        <v>0</v>
      </c>
      <c r="AA194" s="85">
        <f t="shared" ca="1" si="38"/>
        <v>1.0069999999999999</v>
      </c>
      <c r="AB194" s="85">
        <f t="shared" ca="1" si="39"/>
        <v>0.80400000000000005</v>
      </c>
    </row>
    <row r="195" spans="2:28">
      <c r="B195" s="98">
        <f>'115+740'!B196</f>
        <v>45254</v>
      </c>
      <c r="C195" s="97">
        <f t="shared" si="31"/>
        <v>1</v>
      </c>
      <c r="D195" s="96">
        <f t="shared" si="32"/>
        <v>1069</v>
      </c>
      <c r="E195" s="95">
        <f>VLOOKUP(B195,'115+740'!B196:AB297,3,FALSE)</f>
        <v>1536</v>
      </c>
      <c r="F195" s="92">
        <f t="shared" si="27"/>
        <v>2605</v>
      </c>
      <c r="G195" s="94">
        <f ca="1">VLOOKUP(B195,'115+740'!$B$15:$AB$757,20,FALSE)</f>
        <v>860</v>
      </c>
      <c r="H195" s="94">
        <f ca="1">VLOOKUP(B195,'115+740'!$B$15:$AB$757,4,FALSE)</f>
        <v>705</v>
      </c>
      <c r="I195" s="91">
        <f t="shared" ca="1" si="28"/>
        <v>1900</v>
      </c>
      <c r="J195" s="91">
        <f ca="1">VLOOKUP(B195,'115+740'!$B$15:$AB$757,13,FALSE)</f>
        <v>-100</v>
      </c>
      <c r="K195" s="89">
        <f>'115+740'!Q196</f>
        <v>0</v>
      </c>
      <c r="L195" s="88">
        <f t="shared" ca="1" si="33"/>
        <v>140</v>
      </c>
      <c r="M195" s="93">
        <f ca="1">VLOOKUP(B195,'115+740'!$B$14:$AB$757,21,FALSE)</f>
        <v>897</v>
      </c>
      <c r="N195" s="92">
        <f ca="1">VLOOKUP(B195,'115+740'!$B$15:$AB$757,5,FALSE)</f>
        <v>718</v>
      </c>
      <c r="O195" s="91">
        <f t="shared" ca="1" si="29"/>
        <v>1887</v>
      </c>
      <c r="P195" s="91">
        <f ca="1">VLOOKUP(B195,'115+740'!$B$15:$AB$757,14,FALSE)</f>
        <v>-113</v>
      </c>
      <c r="Q195" s="89">
        <f>'115+740'!R196</f>
        <v>0</v>
      </c>
      <c r="R195" s="88">
        <f t="shared" ca="1" si="34"/>
        <v>103</v>
      </c>
      <c r="S195" s="93">
        <f ca="1">VLOOKUP(B195,'115+740'!$B$14:$AB$757,22,FALSE)</f>
        <v>874</v>
      </c>
      <c r="T195" s="92">
        <f ca="1">VLOOKUP(B195,'115+740'!$B$15:$AB$757,6,FALSE)</f>
        <v>771</v>
      </c>
      <c r="U195" s="91">
        <f t="shared" ca="1" si="30"/>
        <v>1834</v>
      </c>
      <c r="V195" s="90">
        <f ca="1">VLOOKUP(B195,'115+740'!$B$15:$AB$757,15,FALSE)</f>
        <v>-166</v>
      </c>
      <c r="W195" s="89">
        <f>'115+740'!S196</f>
        <v>0</v>
      </c>
      <c r="X195" s="88">
        <f t="shared" ca="1" si="35"/>
        <v>126</v>
      </c>
      <c r="Y195" s="87">
        <f t="shared" ca="1" si="36"/>
        <v>0</v>
      </c>
      <c r="Z195" s="86">
        <f t="shared" ca="1" si="37"/>
        <v>0</v>
      </c>
      <c r="AA195" s="85">
        <f t="shared" ca="1" si="38"/>
        <v>1.0069999999999999</v>
      </c>
      <c r="AB195" s="85">
        <f t="shared" ca="1" si="39"/>
        <v>0.80400000000000005</v>
      </c>
    </row>
    <row r="196" spans="2:28">
      <c r="B196" s="98">
        <f>'115+740'!B197</f>
        <v>45255</v>
      </c>
      <c r="C196" s="97">
        <f t="shared" si="31"/>
        <v>1</v>
      </c>
      <c r="D196" s="96">
        <f t="shared" si="32"/>
        <v>1069</v>
      </c>
      <c r="E196" s="95">
        <f>VLOOKUP(B196,'115+740'!B197:AB298,3,FALSE)</f>
        <v>1538</v>
      </c>
      <c r="F196" s="92">
        <f t="shared" si="27"/>
        <v>2607</v>
      </c>
      <c r="G196" s="94">
        <f ca="1">VLOOKUP(B196,'115+740'!$B$15:$AB$757,20,FALSE)</f>
        <v>860</v>
      </c>
      <c r="H196" s="94">
        <f ca="1">VLOOKUP(B196,'115+740'!$B$15:$AB$757,4,FALSE)</f>
        <v>707</v>
      </c>
      <c r="I196" s="91">
        <f t="shared" ca="1" si="28"/>
        <v>1900</v>
      </c>
      <c r="J196" s="91">
        <f ca="1">VLOOKUP(B196,'115+740'!$B$15:$AB$757,13,FALSE)</f>
        <v>-100</v>
      </c>
      <c r="K196" s="89">
        <f>'115+740'!Q197</f>
        <v>0</v>
      </c>
      <c r="L196" s="88">
        <f t="shared" ca="1" si="33"/>
        <v>140</v>
      </c>
      <c r="M196" s="93">
        <f ca="1">VLOOKUP(B196,'115+740'!$B$14:$AB$757,21,FALSE)</f>
        <v>897</v>
      </c>
      <c r="N196" s="92">
        <f ca="1">VLOOKUP(B196,'115+740'!$B$15:$AB$757,5,FALSE)</f>
        <v>720</v>
      </c>
      <c r="O196" s="91">
        <f t="shared" ca="1" si="29"/>
        <v>1887</v>
      </c>
      <c r="P196" s="91">
        <f ca="1">VLOOKUP(B196,'115+740'!$B$15:$AB$757,14,FALSE)</f>
        <v>-113</v>
      </c>
      <c r="Q196" s="89">
        <f>'115+740'!R197</f>
        <v>0</v>
      </c>
      <c r="R196" s="88">
        <f t="shared" ca="1" si="34"/>
        <v>103</v>
      </c>
      <c r="S196" s="93">
        <f ca="1">VLOOKUP(B196,'115+740'!$B$14:$AB$757,22,FALSE)</f>
        <v>874</v>
      </c>
      <c r="T196" s="92">
        <f ca="1">VLOOKUP(B196,'115+740'!$B$15:$AB$757,6,FALSE)</f>
        <v>773</v>
      </c>
      <c r="U196" s="91">
        <f t="shared" ca="1" si="30"/>
        <v>1834</v>
      </c>
      <c r="V196" s="90">
        <f ca="1">VLOOKUP(B196,'115+740'!$B$15:$AB$757,15,FALSE)</f>
        <v>-166</v>
      </c>
      <c r="W196" s="89">
        <f>'115+740'!S197</f>
        <v>0</v>
      </c>
      <c r="X196" s="88">
        <f t="shared" ca="1" si="35"/>
        <v>126</v>
      </c>
      <c r="Y196" s="87">
        <f t="shared" ca="1" si="36"/>
        <v>0</v>
      </c>
      <c r="Z196" s="86">
        <f t="shared" ca="1" si="37"/>
        <v>0</v>
      </c>
      <c r="AA196" s="85">
        <f t="shared" ca="1" si="38"/>
        <v>1.0069999999999999</v>
      </c>
      <c r="AB196" s="85">
        <f t="shared" ca="1" si="39"/>
        <v>0.80400000000000005</v>
      </c>
    </row>
    <row r="197" spans="2:28">
      <c r="B197" s="98">
        <f>'115+740'!B198</f>
        <v>45256</v>
      </c>
      <c r="C197" s="97">
        <f t="shared" si="31"/>
        <v>1</v>
      </c>
      <c r="D197" s="96">
        <f t="shared" si="32"/>
        <v>1069</v>
      </c>
      <c r="E197" s="95">
        <f>VLOOKUP(B197,'115+740'!B198:AB299,3,FALSE)</f>
        <v>1540</v>
      </c>
      <c r="F197" s="92">
        <f t="shared" si="27"/>
        <v>2609</v>
      </c>
      <c r="G197" s="94">
        <f ca="1">VLOOKUP(B197,'115+740'!$B$15:$AB$757,20,FALSE)</f>
        <v>860</v>
      </c>
      <c r="H197" s="94">
        <f ca="1">VLOOKUP(B197,'115+740'!$B$15:$AB$757,4,FALSE)</f>
        <v>709</v>
      </c>
      <c r="I197" s="91">
        <f t="shared" ca="1" si="28"/>
        <v>1900</v>
      </c>
      <c r="J197" s="91">
        <f ca="1">VLOOKUP(B197,'115+740'!$B$15:$AB$757,13,FALSE)</f>
        <v>-100</v>
      </c>
      <c r="K197" s="89">
        <f>'115+740'!Q198</f>
        <v>0</v>
      </c>
      <c r="L197" s="88">
        <f t="shared" ca="1" si="33"/>
        <v>140</v>
      </c>
      <c r="M197" s="93">
        <f ca="1">VLOOKUP(B197,'115+740'!$B$14:$AB$757,21,FALSE)</f>
        <v>897</v>
      </c>
      <c r="N197" s="92">
        <f ca="1">VLOOKUP(B197,'115+740'!$B$15:$AB$757,5,FALSE)</f>
        <v>722</v>
      </c>
      <c r="O197" s="91">
        <f t="shared" ca="1" si="29"/>
        <v>1887</v>
      </c>
      <c r="P197" s="91">
        <f ca="1">VLOOKUP(B197,'115+740'!$B$15:$AB$757,14,FALSE)</f>
        <v>-113</v>
      </c>
      <c r="Q197" s="89">
        <f>'115+740'!R198</f>
        <v>0</v>
      </c>
      <c r="R197" s="88">
        <f t="shared" ca="1" si="34"/>
        <v>103</v>
      </c>
      <c r="S197" s="93">
        <f ca="1">VLOOKUP(B197,'115+740'!$B$14:$AB$757,22,FALSE)</f>
        <v>874</v>
      </c>
      <c r="T197" s="92">
        <f ca="1">VLOOKUP(B197,'115+740'!$B$15:$AB$757,6,FALSE)</f>
        <v>775</v>
      </c>
      <c r="U197" s="91">
        <f t="shared" ca="1" si="30"/>
        <v>1834</v>
      </c>
      <c r="V197" s="90">
        <f ca="1">VLOOKUP(B197,'115+740'!$B$15:$AB$757,15,FALSE)</f>
        <v>-166</v>
      </c>
      <c r="W197" s="89">
        <f>'115+740'!S198</f>
        <v>0</v>
      </c>
      <c r="X197" s="88">
        <f t="shared" ca="1" si="35"/>
        <v>126</v>
      </c>
      <c r="Y197" s="87">
        <f t="shared" ca="1" si="36"/>
        <v>0</v>
      </c>
      <c r="Z197" s="86">
        <f t="shared" ca="1" si="37"/>
        <v>0</v>
      </c>
      <c r="AA197" s="85">
        <f t="shared" ca="1" si="38"/>
        <v>1.0069999999999999</v>
      </c>
      <c r="AB197" s="85">
        <f t="shared" ca="1" si="39"/>
        <v>0.80400000000000005</v>
      </c>
    </row>
    <row r="198" spans="2:28">
      <c r="B198" s="98">
        <f>'115+740'!B199</f>
        <v>45257</v>
      </c>
      <c r="C198" s="97">
        <f t="shared" si="31"/>
        <v>1</v>
      </c>
      <c r="D198" s="96">
        <f t="shared" si="32"/>
        <v>1069</v>
      </c>
      <c r="E198" s="95">
        <f>VLOOKUP(B198,'115+740'!B199:AB300,3,FALSE)</f>
        <v>1542</v>
      </c>
      <c r="F198" s="92">
        <f t="shared" si="27"/>
        <v>2611</v>
      </c>
      <c r="G198" s="94">
        <f ca="1">VLOOKUP(B198,'115+740'!$B$15:$AB$757,20,FALSE)</f>
        <v>860</v>
      </c>
      <c r="H198" s="94">
        <f ca="1">VLOOKUP(B198,'115+740'!$B$15:$AB$757,4,FALSE)</f>
        <v>711</v>
      </c>
      <c r="I198" s="91">
        <f t="shared" ca="1" si="28"/>
        <v>1900</v>
      </c>
      <c r="J198" s="91">
        <f ca="1">VLOOKUP(B198,'115+740'!$B$15:$AB$757,13,FALSE)</f>
        <v>-100</v>
      </c>
      <c r="K198" s="89">
        <f>'115+740'!Q199</f>
        <v>0</v>
      </c>
      <c r="L198" s="88">
        <f t="shared" ca="1" si="33"/>
        <v>140</v>
      </c>
      <c r="M198" s="93">
        <f ca="1">VLOOKUP(B198,'115+740'!$B$14:$AB$757,21,FALSE)</f>
        <v>897</v>
      </c>
      <c r="N198" s="92">
        <f ca="1">VLOOKUP(B198,'115+740'!$B$15:$AB$757,5,FALSE)</f>
        <v>724</v>
      </c>
      <c r="O198" s="91">
        <f t="shared" ca="1" si="29"/>
        <v>1887</v>
      </c>
      <c r="P198" s="91">
        <f ca="1">VLOOKUP(B198,'115+740'!$B$15:$AB$757,14,FALSE)</f>
        <v>-113</v>
      </c>
      <c r="Q198" s="89">
        <f>'115+740'!R199</f>
        <v>0</v>
      </c>
      <c r="R198" s="88">
        <f t="shared" ca="1" si="34"/>
        <v>103</v>
      </c>
      <c r="S198" s="93">
        <f ca="1">VLOOKUP(B198,'115+740'!$B$14:$AB$757,22,FALSE)</f>
        <v>874</v>
      </c>
      <c r="T198" s="92">
        <f ca="1">VLOOKUP(B198,'115+740'!$B$15:$AB$757,6,FALSE)</f>
        <v>777</v>
      </c>
      <c r="U198" s="91">
        <f t="shared" ca="1" si="30"/>
        <v>1834</v>
      </c>
      <c r="V198" s="90">
        <f ca="1">VLOOKUP(B198,'115+740'!$B$15:$AB$757,15,FALSE)</f>
        <v>-166</v>
      </c>
      <c r="W198" s="89">
        <f>'115+740'!S199</f>
        <v>0</v>
      </c>
      <c r="X198" s="88">
        <f t="shared" ca="1" si="35"/>
        <v>126</v>
      </c>
      <c r="Y198" s="87">
        <f t="shared" ca="1" si="36"/>
        <v>0</v>
      </c>
      <c r="Z198" s="86">
        <f t="shared" ca="1" si="37"/>
        <v>0</v>
      </c>
      <c r="AA198" s="85">
        <f t="shared" ca="1" si="38"/>
        <v>1.0069999999999999</v>
      </c>
      <c r="AB198" s="85">
        <f t="shared" ca="1" si="39"/>
        <v>0.80400000000000005</v>
      </c>
    </row>
    <row r="199" spans="2:28">
      <c r="B199" s="98">
        <f>'115+740'!B200</f>
        <v>45258</v>
      </c>
      <c r="C199" s="97">
        <f t="shared" si="31"/>
        <v>1</v>
      </c>
      <c r="D199" s="96">
        <f t="shared" si="32"/>
        <v>1069</v>
      </c>
      <c r="E199" s="95">
        <f>VLOOKUP(B199,'115+740'!B200:AB301,3,FALSE)</f>
        <v>1544</v>
      </c>
      <c r="F199" s="92">
        <f t="shared" si="27"/>
        <v>2613</v>
      </c>
      <c r="G199" s="94">
        <f ca="1">VLOOKUP(B199,'115+740'!$B$15:$AB$757,20,FALSE)</f>
        <v>860</v>
      </c>
      <c r="H199" s="94">
        <f ca="1">VLOOKUP(B199,'115+740'!$B$15:$AB$757,4,FALSE)</f>
        <v>713</v>
      </c>
      <c r="I199" s="91">
        <f t="shared" ca="1" si="28"/>
        <v>1900</v>
      </c>
      <c r="J199" s="91">
        <f ca="1">VLOOKUP(B199,'115+740'!$B$15:$AB$757,13,FALSE)</f>
        <v>-100</v>
      </c>
      <c r="K199" s="89">
        <f>'115+740'!Q200</f>
        <v>0</v>
      </c>
      <c r="L199" s="88">
        <f t="shared" ca="1" si="33"/>
        <v>140</v>
      </c>
      <c r="M199" s="93">
        <f ca="1">VLOOKUP(B199,'115+740'!$B$14:$AB$757,21,FALSE)</f>
        <v>897</v>
      </c>
      <c r="N199" s="92">
        <f ca="1">VLOOKUP(B199,'115+740'!$B$15:$AB$757,5,FALSE)</f>
        <v>726</v>
      </c>
      <c r="O199" s="91">
        <f t="shared" ca="1" si="29"/>
        <v>1887</v>
      </c>
      <c r="P199" s="91">
        <f ca="1">VLOOKUP(B199,'115+740'!$B$15:$AB$757,14,FALSE)</f>
        <v>-113</v>
      </c>
      <c r="Q199" s="89">
        <f>'115+740'!R200</f>
        <v>0</v>
      </c>
      <c r="R199" s="88">
        <f t="shared" ca="1" si="34"/>
        <v>103</v>
      </c>
      <c r="S199" s="93">
        <f ca="1">VLOOKUP(B199,'115+740'!$B$14:$AB$757,22,FALSE)</f>
        <v>874</v>
      </c>
      <c r="T199" s="92">
        <f ca="1">VLOOKUP(B199,'115+740'!$B$15:$AB$757,6,FALSE)</f>
        <v>779</v>
      </c>
      <c r="U199" s="91">
        <f t="shared" ca="1" si="30"/>
        <v>1834</v>
      </c>
      <c r="V199" s="90">
        <f ca="1">VLOOKUP(B199,'115+740'!$B$15:$AB$757,15,FALSE)</f>
        <v>-166</v>
      </c>
      <c r="W199" s="89">
        <f>'115+740'!S200</f>
        <v>0</v>
      </c>
      <c r="X199" s="88">
        <f t="shared" ca="1" si="35"/>
        <v>126</v>
      </c>
      <c r="Y199" s="87">
        <f t="shared" ca="1" si="36"/>
        <v>0</v>
      </c>
      <c r="Z199" s="86">
        <f t="shared" ca="1" si="37"/>
        <v>0</v>
      </c>
      <c r="AA199" s="85">
        <f t="shared" ca="1" si="38"/>
        <v>1.0069999999999999</v>
      </c>
      <c r="AB199" s="85">
        <f t="shared" ca="1" si="39"/>
        <v>0.80400000000000005</v>
      </c>
    </row>
    <row r="200" spans="2:28">
      <c r="B200" s="98">
        <f>'115+740'!B201</f>
        <v>45259</v>
      </c>
      <c r="C200" s="97">
        <f t="shared" si="31"/>
        <v>1</v>
      </c>
      <c r="D200" s="96">
        <f t="shared" si="32"/>
        <v>1069</v>
      </c>
      <c r="E200" s="95">
        <f>VLOOKUP(B200,'115+740'!B201:AB302,3,FALSE)</f>
        <v>1546</v>
      </c>
      <c r="F200" s="92">
        <f t="shared" si="27"/>
        <v>2615</v>
      </c>
      <c r="G200" s="94">
        <f ca="1">VLOOKUP(B200,'115+740'!$B$15:$AB$757,20,FALSE)</f>
        <v>860</v>
      </c>
      <c r="H200" s="94">
        <f ca="1">VLOOKUP(B200,'115+740'!$B$15:$AB$757,4,FALSE)</f>
        <v>715</v>
      </c>
      <c r="I200" s="91">
        <f t="shared" ca="1" si="28"/>
        <v>1900</v>
      </c>
      <c r="J200" s="91">
        <f ca="1">VLOOKUP(B200,'115+740'!$B$15:$AB$757,13,FALSE)</f>
        <v>-100</v>
      </c>
      <c r="K200" s="89">
        <f>'115+740'!Q201</f>
        <v>0</v>
      </c>
      <c r="L200" s="88">
        <f t="shared" ca="1" si="33"/>
        <v>140</v>
      </c>
      <c r="M200" s="93">
        <f ca="1">VLOOKUP(B200,'115+740'!$B$14:$AB$757,21,FALSE)</f>
        <v>897</v>
      </c>
      <c r="N200" s="92">
        <f ca="1">VLOOKUP(B200,'115+740'!$B$15:$AB$757,5,FALSE)</f>
        <v>728</v>
      </c>
      <c r="O200" s="91">
        <f t="shared" ca="1" si="29"/>
        <v>1887</v>
      </c>
      <c r="P200" s="91">
        <f ca="1">VLOOKUP(B200,'115+740'!$B$15:$AB$757,14,FALSE)</f>
        <v>-113</v>
      </c>
      <c r="Q200" s="89">
        <f>'115+740'!R201</f>
        <v>0</v>
      </c>
      <c r="R200" s="88">
        <f t="shared" ca="1" si="34"/>
        <v>103</v>
      </c>
      <c r="S200" s="93">
        <f ca="1">VLOOKUP(B200,'115+740'!$B$14:$AB$757,22,FALSE)</f>
        <v>874</v>
      </c>
      <c r="T200" s="92">
        <f ca="1">VLOOKUP(B200,'115+740'!$B$15:$AB$757,6,FALSE)</f>
        <v>781</v>
      </c>
      <c r="U200" s="91">
        <f t="shared" ca="1" si="30"/>
        <v>1834</v>
      </c>
      <c r="V200" s="90">
        <f ca="1">VLOOKUP(B200,'115+740'!$B$15:$AB$757,15,FALSE)</f>
        <v>-166</v>
      </c>
      <c r="W200" s="89">
        <f>'115+740'!S201</f>
        <v>0</v>
      </c>
      <c r="X200" s="88">
        <f t="shared" ca="1" si="35"/>
        <v>126</v>
      </c>
      <c r="Y200" s="87">
        <f t="shared" ca="1" si="36"/>
        <v>0</v>
      </c>
      <c r="Z200" s="86">
        <f t="shared" ca="1" si="37"/>
        <v>0</v>
      </c>
      <c r="AA200" s="85">
        <f t="shared" ca="1" si="38"/>
        <v>1.0069999999999999</v>
      </c>
      <c r="AB200" s="85">
        <f t="shared" ca="1" si="39"/>
        <v>0.80400000000000005</v>
      </c>
    </row>
    <row r="201" spans="2:28">
      <c r="B201" s="98">
        <f>'115+740'!B202</f>
        <v>45260</v>
      </c>
      <c r="C201" s="97">
        <f t="shared" si="31"/>
        <v>1</v>
      </c>
      <c r="D201" s="96">
        <f t="shared" si="32"/>
        <v>1069</v>
      </c>
      <c r="E201" s="95">
        <f>VLOOKUP(B201,'115+740'!B202:AB303,3,FALSE)</f>
        <v>1548</v>
      </c>
      <c r="F201" s="92">
        <f t="shared" si="27"/>
        <v>2617</v>
      </c>
      <c r="G201" s="94">
        <f ca="1">VLOOKUP(B201,'115+740'!$B$15:$AB$757,20,FALSE)</f>
        <v>860</v>
      </c>
      <c r="H201" s="94">
        <f ca="1">VLOOKUP(B201,'115+740'!$B$15:$AB$757,4,FALSE)</f>
        <v>717</v>
      </c>
      <c r="I201" s="91">
        <f t="shared" ca="1" si="28"/>
        <v>1900</v>
      </c>
      <c r="J201" s="91">
        <f ca="1">VLOOKUP(B201,'115+740'!$B$15:$AB$757,13,FALSE)</f>
        <v>-100</v>
      </c>
      <c r="K201" s="89">
        <f>'115+740'!Q202</f>
        <v>0</v>
      </c>
      <c r="L201" s="88">
        <f t="shared" ca="1" si="33"/>
        <v>140</v>
      </c>
      <c r="M201" s="93">
        <f ca="1">VLOOKUP(B201,'115+740'!$B$14:$AB$757,21,FALSE)</f>
        <v>897</v>
      </c>
      <c r="N201" s="92">
        <f ca="1">VLOOKUP(B201,'115+740'!$B$15:$AB$757,5,FALSE)</f>
        <v>730</v>
      </c>
      <c r="O201" s="91">
        <f t="shared" ca="1" si="29"/>
        <v>1887</v>
      </c>
      <c r="P201" s="91">
        <f ca="1">VLOOKUP(B201,'115+740'!$B$15:$AB$757,14,FALSE)</f>
        <v>-113</v>
      </c>
      <c r="Q201" s="89">
        <f>'115+740'!R202</f>
        <v>0</v>
      </c>
      <c r="R201" s="88">
        <f t="shared" ca="1" si="34"/>
        <v>103</v>
      </c>
      <c r="S201" s="93">
        <f ca="1">VLOOKUP(B201,'115+740'!$B$14:$AB$757,22,FALSE)</f>
        <v>874</v>
      </c>
      <c r="T201" s="92">
        <f ca="1">VLOOKUP(B201,'115+740'!$B$15:$AB$757,6,FALSE)</f>
        <v>783</v>
      </c>
      <c r="U201" s="91">
        <f t="shared" ca="1" si="30"/>
        <v>1834</v>
      </c>
      <c r="V201" s="90">
        <f ca="1">VLOOKUP(B201,'115+740'!$B$15:$AB$757,15,FALSE)</f>
        <v>-166</v>
      </c>
      <c r="W201" s="89">
        <f>'115+740'!S202</f>
        <v>0</v>
      </c>
      <c r="X201" s="88">
        <f t="shared" ca="1" si="35"/>
        <v>126</v>
      </c>
      <c r="Y201" s="87">
        <f t="shared" ca="1" si="36"/>
        <v>0</v>
      </c>
      <c r="Z201" s="86">
        <f t="shared" ca="1" si="37"/>
        <v>0</v>
      </c>
      <c r="AA201" s="85">
        <f t="shared" ca="1" si="38"/>
        <v>1.0069999999999999</v>
      </c>
      <c r="AB201" s="85">
        <f t="shared" ca="1" si="39"/>
        <v>0.80400000000000005</v>
      </c>
    </row>
    <row r="202" spans="2:28">
      <c r="B202" s="98">
        <f>'115+740'!B203</f>
        <v>45261</v>
      </c>
      <c r="C202" s="97">
        <f t="shared" si="31"/>
        <v>1</v>
      </c>
      <c r="D202" s="96">
        <f t="shared" si="32"/>
        <v>1069</v>
      </c>
      <c r="E202" s="95">
        <f>VLOOKUP(B202,'115+740'!B203:AB304,3,FALSE)</f>
        <v>1550</v>
      </c>
      <c r="F202" s="92">
        <f t="shared" si="27"/>
        <v>2619</v>
      </c>
      <c r="G202" s="94">
        <f ca="1">VLOOKUP(B202,'115+740'!$B$15:$AB$757,20,FALSE)</f>
        <v>860</v>
      </c>
      <c r="H202" s="94">
        <f ca="1">VLOOKUP(B202,'115+740'!$B$15:$AB$757,4,FALSE)</f>
        <v>719</v>
      </c>
      <c r="I202" s="91">
        <f t="shared" ca="1" si="28"/>
        <v>1900</v>
      </c>
      <c r="J202" s="91">
        <f ca="1">VLOOKUP(B202,'115+740'!$B$15:$AB$757,13,FALSE)</f>
        <v>-100</v>
      </c>
      <c r="K202" s="89">
        <f>'115+740'!Q203</f>
        <v>0</v>
      </c>
      <c r="L202" s="88">
        <f t="shared" ca="1" si="33"/>
        <v>140</v>
      </c>
      <c r="M202" s="93">
        <f ca="1">VLOOKUP(B202,'115+740'!$B$14:$AB$757,21,FALSE)</f>
        <v>897</v>
      </c>
      <c r="N202" s="92">
        <f ca="1">VLOOKUP(B202,'115+740'!$B$15:$AB$757,5,FALSE)</f>
        <v>732</v>
      </c>
      <c r="O202" s="91">
        <f t="shared" ca="1" si="29"/>
        <v>1887</v>
      </c>
      <c r="P202" s="91">
        <f ca="1">VLOOKUP(B202,'115+740'!$B$15:$AB$757,14,FALSE)</f>
        <v>-113</v>
      </c>
      <c r="Q202" s="89">
        <f>'115+740'!R203</f>
        <v>0</v>
      </c>
      <c r="R202" s="88">
        <f t="shared" ca="1" si="34"/>
        <v>103</v>
      </c>
      <c r="S202" s="93">
        <f ca="1">VLOOKUP(B202,'115+740'!$B$14:$AB$757,22,FALSE)</f>
        <v>874</v>
      </c>
      <c r="T202" s="92">
        <f ca="1">VLOOKUP(B202,'115+740'!$B$15:$AB$757,6,FALSE)</f>
        <v>785</v>
      </c>
      <c r="U202" s="91">
        <f t="shared" ca="1" si="30"/>
        <v>1834</v>
      </c>
      <c r="V202" s="90">
        <f ca="1">VLOOKUP(B202,'115+740'!$B$15:$AB$757,15,FALSE)</f>
        <v>-166</v>
      </c>
      <c r="W202" s="89">
        <f>'115+740'!S203</f>
        <v>0</v>
      </c>
      <c r="X202" s="88">
        <f t="shared" ca="1" si="35"/>
        <v>126</v>
      </c>
      <c r="Y202" s="87">
        <f t="shared" ca="1" si="36"/>
        <v>0</v>
      </c>
      <c r="Z202" s="86">
        <f t="shared" ca="1" si="37"/>
        <v>0</v>
      </c>
      <c r="AA202" s="85">
        <f t="shared" ca="1" si="38"/>
        <v>1.0069999999999999</v>
      </c>
      <c r="AB202" s="85">
        <f t="shared" ca="1" si="39"/>
        <v>0.80400000000000005</v>
      </c>
    </row>
    <row r="203" spans="2:28">
      <c r="B203" s="98">
        <f>'115+740'!B204</f>
        <v>45262</v>
      </c>
      <c r="C203" s="97">
        <f t="shared" si="31"/>
        <v>1</v>
      </c>
      <c r="D203" s="96">
        <f t="shared" si="32"/>
        <v>1069</v>
      </c>
      <c r="E203" s="95">
        <f>VLOOKUP(B203,'115+740'!B204:AB305,3,FALSE)</f>
        <v>1552</v>
      </c>
      <c r="F203" s="92">
        <f t="shared" si="27"/>
        <v>2621</v>
      </c>
      <c r="G203" s="94">
        <f ca="1">VLOOKUP(B203,'115+740'!$B$15:$AB$757,20,FALSE)</f>
        <v>860</v>
      </c>
      <c r="H203" s="94">
        <f ca="1">VLOOKUP(B203,'115+740'!$B$15:$AB$757,4,FALSE)</f>
        <v>721</v>
      </c>
      <c r="I203" s="91">
        <f t="shared" ca="1" si="28"/>
        <v>1900</v>
      </c>
      <c r="J203" s="91">
        <f ca="1">VLOOKUP(B203,'115+740'!$B$15:$AB$757,13,FALSE)</f>
        <v>-100</v>
      </c>
      <c r="K203" s="89">
        <f>'115+740'!Q204</f>
        <v>0</v>
      </c>
      <c r="L203" s="88">
        <f t="shared" ca="1" si="33"/>
        <v>140</v>
      </c>
      <c r="M203" s="93">
        <f ca="1">VLOOKUP(B203,'115+740'!$B$14:$AB$757,21,FALSE)</f>
        <v>897</v>
      </c>
      <c r="N203" s="92">
        <f ca="1">VLOOKUP(B203,'115+740'!$B$15:$AB$757,5,FALSE)</f>
        <v>734</v>
      </c>
      <c r="O203" s="91">
        <f t="shared" ca="1" si="29"/>
        <v>1887</v>
      </c>
      <c r="P203" s="91">
        <f ca="1">VLOOKUP(B203,'115+740'!$B$15:$AB$757,14,FALSE)</f>
        <v>-113</v>
      </c>
      <c r="Q203" s="89">
        <f>'115+740'!R204</f>
        <v>0</v>
      </c>
      <c r="R203" s="88">
        <f t="shared" ca="1" si="34"/>
        <v>103</v>
      </c>
      <c r="S203" s="93">
        <f ca="1">VLOOKUP(B203,'115+740'!$B$14:$AB$757,22,FALSE)</f>
        <v>874</v>
      </c>
      <c r="T203" s="92">
        <f ca="1">VLOOKUP(B203,'115+740'!$B$15:$AB$757,6,FALSE)</f>
        <v>787</v>
      </c>
      <c r="U203" s="91">
        <f t="shared" ca="1" si="30"/>
        <v>1834</v>
      </c>
      <c r="V203" s="90">
        <f ca="1">VLOOKUP(B203,'115+740'!$B$15:$AB$757,15,FALSE)</f>
        <v>-166</v>
      </c>
      <c r="W203" s="89">
        <f>'115+740'!S204</f>
        <v>0</v>
      </c>
      <c r="X203" s="88">
        <f t="shared" ca="1" si="35"/>
        <v>126</v>
      </c>
      <c r="Y203" s="87">
        <f t="shared" ca="1" si="36"/>
        <v>0</v>
      </c>
      <c r="Z203" s="86">
        <f t="shared" ca="1" si="37"/>
        <v>0</v>
      </c>
      <c r="AA203" s="85">
        <f t="shared" ca="1" si="38"/>
        <v>1.0069999999999999</v>
      </c>
      <c r="AB203" s="85">
        <f t="shared" ca="1" si="39"/>
        <v>0.80400000000000005</v>
      </c>
    </row>
    <row r="204" spans="2:28">
      <c r="B204" s="98">
        <f>'115+740'!B205</f>
        <v>45263</v>
      </c>
      <c r="C204" s="97">
        <f t="shared" si="31"/>
        <v>1</v>
      </c>
      <c r="D204" s="96">
        <f t="shared" si="32"/>
        <v>1069</v>
      </c>
      <c r="E204" s="95">
        <f>VLOOKUP(B204,'115+740'!B205:AB306,3,FALSE)</f>
        <v>1554</v>
      </c>
      <c r="F204" s="92">
        <f t="shared" si="27"/>
        <v>2623</v>
      </c>
      <c r="G204" s="94">
        <f ca="1">VLOOKUP(B204,'115+740'!$B$15:$AB$757,20,FALSE)</f>
        <v>860</v>
      </c>
      <c r="H204" s="94">
        <f ca="1">VLOOKUP(B204,'115+740'!$B$15:$AB$757,4,FALSE)</f>
        <v>723</v>
      </c>
      <c r="I204" s="91">
        <f t="shared" ca="1" si="28"/>
        <v>1900</v>
      </c>
      <c r="J204" s="91">
        <f ca="1">VLOOKUP(B204,'115+740'!$B$15:$AB$757,13,FALSE)</f>
        <v>-100</v>
      </c>
      <c r="K204" s="89">
        <f>'115+740'!Q205</f>
        <v>0</v>
      </c>
      <c r="L204" s="88">
        <f t="shared" ca="1" si="33"/>
        <v>140</v>
      </c>
      <c r="M204" s="93">
        <f ca="1">VLOOKUP(B204,'115+740'!$B$14:$AB$757,21,FALSE)</f>
        <v>897</v>
      </c>
      <c r="N204" s="92">
        <f ca="1">VLOOKUP(B204,'115+740'!$B$15:$AB$757,5,FALSE)</f>
        <v>736</v>
      </c>
      <c r="O204" s="91">
        <f t="shared" ca="1" si="29"/>
        <v>1887</v>
      </c>
      <c r="P204" s="91">
        <f ca="1">VLOOKUP(B204,'115+740'!$B$15:$AB$757,14,FALSE)</f>
        <v>-113</v>
      </c>
      <c r="Q204" s="89">
        <f>'115+740'!R205</f>
        <v>0</v>
      </c>
      <c r="R204" s="88">
        <f t="shared" ca="1" si="34"/>
        <v>103</v>
      </c>
      <c r="S204" s="93">
        <f ca="1">VLOOKUP(B204,'115+740'!$B$14:$AB$757,22,FALSE)</f>
        <v>874</v>
      </c>
      <c r="T204" s="92">
        <f ca="1">VLOOKUP(B204,'115+740'!$B$15:$AB$757,6,FALSE)</f>
        <v>789</v>
      </c>
      <c r="U204" s="91">
        <f t="shared" ca="1" si="30"/>
        <v>1834</v>
      </c>
      <c r="V204" s="90">
        <f ca="1">VLOOKUP(B204,'115+740'!$B$15:$AB$757,15,FALSE)</f>
        <v>-166</v>
      </c>
      <c r="W204" s="89">
        <f>'115+740'!S205</f>
        <v>0</v>
      </c>
      <c r="X204" s="88">
        <f t="shared" ca="1" si="35"/>
        <v>126</v>
      </c>
      <c r="Y204" s="87">
        <f t="shared" ca="1" si="36"/>
        <v>0</v>
      </c>
      <c r="Z204" s="86">
        <f t="shared" ca="1" si="37"/>
        <v>0</v>
      </c>
      <c r="AA204" s="85">
        <f t="shared" ca="1" si="38"/>
        <v>1.0069999999999999</v>
      </c>
      <c r="AB204" s="85">
        <f t="shared" ca="1" si="39"/>
        <v>0.80400000000000005</v>
      </c>
    </row>
    <row r="205" spans="2:28">
      <c r="B205" s="98">
        <f>'115+740'!B206</f>
        <v>45264</v>
      </c>
      <c r="C205" s="97">
        <f t="shared" si="31"/>
        <v>1</v>
      </c>
      <c r="D205" s="96">
        <f t="shared" si="32"/>
        <v>1069</v>
      </c>
      <c r="E205" s="95">
        <f>VLOOKUP(B205,'115+740'!B206:AB307,3,FALSE)</f>
        <v>1556</v>
      </c>
      <c r="F205" s="92">
        <f t="shared" ref="F205:F268" si="40">D205+E205</f>
        <v>2625</v>
      </c>
      <c r="G205" s="94">
        <f ca="1">VLOOKUP(B205,'115+740'!$B$15:$AB$757,20,FALSE)</f>
        <v>860</v>
      </c>
      <c r="H205" s="94">
        <f ca="1">VLOOKUP(B205,'115+740'!$B$15:$AB$757,4,FALSE)</f>
        <v>725</v>
      </c>
      <c r="I205" s="91">
        <f t="shared" ref="I205:I268" ca="1" si="41">F205-H205</f>
        <v>1900</v>
      </c>
      <c r="J205" s="91">
        <f ca="1">VLOOKUP(B205,'115+740'!$B$15:$AB$757,13,FALSE)</f>
        <v>-100</v>
      </c>
      <c r="K205" s="89">
        <f>'115+740'!Q206</f>
        <v>0</v>
      </c>
      <c r="L205" s="88">
        <f t="shared" ca="1" si="33"/>
        <v>140</v>
      </c>
      <c r="M205" s="93">
        <f ca="1">VLOOKUP(B205,'115+740'!$B$14:$AB$757,21,FALSE)</f>
        <v>897</v>
      </c>
      <c r="N205" s="92">
        <f ca="1">VLOOKUP(B205,'115+740'!$B$15:$AB$757,5,FALSE)</f>
        <v>738</v>
      </c>
      <c r="O205" s="91">
        <f t="shared" ref="O205:O268" ca="1" si="42">F205-N205</f>
        <v>1887</v>
      </c>
      <c r="P205" s="91">
        <f ca="1">VLOOKUP(B205,'115+740'!$B$15:$AB$757,14,FALSE)</f>
        <v>-113</v>
      </c>
      <c r="Q205" s="89">
        <f>'115+740'!R206</f>
        <v>0</v>
      </c>
      <c r="R205" s="88">
        <f t="shared" ca="1" si="34"/>
        <v>103</v>
      </c>
      <c r="S205" s="93">
        <f ca="1">VLOOKUP(B205,'115+740'!$B$14:$AB$757,22,FALSE)</f>
        <v>874</v>
      </c>
      <c r="T205" s="92">
        <f ca="1">VLOOKUP(B205,'115+740'!$B$15:$AB$757,6,FALSE)</f>
        <v>791</v>
      </c>
      <c r="U205" s="91">
        <f t="shared" ref="U205:U268" ca="1" si="43">F205-T205</f>
        <v>1834</v>
      </c>
      <c r="V205" s="90">
        <f ca="1">VLOOKUP(B205,'115+740'!$B$15:$AB$757,15,FALSE)</f>
        <v>-166</v>
      </c>
      <c r="W205" s="89">
        <f>'115+740'!S206</f>
        <v>0</v>
      </c>
      <c r="X205" s="88">
        <f t="shared" ca="1" si="35"/>
        <v>126</v>
      </c>
      <c r="Y205" s="87">
        <f t="shared" ca="1" si="36"/>
        <v>0</v>
      </c>
      <c r="Z205" s="86">
        <f t="shared" ca="1" si="37"/>
        <v>0</v>
      </c>
      <c r="AA205" s="85">
        <f t="shared" ca="1" si="38"/>
        <v>1.0069999999999999</v>
      </c>
      <c r="AB205" s="85">
        <f t="shared" ca="1" si="39"/>
        <v>0.80400000000000005</v>
      </c>
    </row>
    <row r="206" spans="2:28">
      <c r="B206" s="98">
        <f>'115+740'!B207</f>
        <v>45265</v>
      </c>
      <c r="C206" s="97">
        <f t="shared" ref="C206:C269" si="44">B206-B205</f>
        <v>1</v>
      </c>
      <c r="D206" s="96">
        <f t="shared" ref="D206:D269" si="45">D205</f>
        <v>1069</v>
      </c>
      <c r="E206" s="95">
        <f>VLOOKUP(B206,'115+740'!B207:AB308,3,FALSE)</f>
        <v>1558</v>
      </c>
      <c r="F206" s="92">
        <f t="shared" si="40"/>
        <v>2627</v>
      </c>
      <c r="G206" s="94">
        <f ca="1">VLOOKUP(B206,'115+740'!$B$15:$AB$757,20,FALSE)</f>
        <v>860</v>
      </c>
      <c r="H206" s="94">
        <f ca="1">VLOOKUP(B206,'115+740'!$B$15:$AB$757,4,FALSE)</f>
        <v>727</v>
      </c>
      <c r="I206" s="91">
        <f t="shared" ca="1" si="41"/>
        <v>1900</v>
      </c>
      <c r="J206" s="91">
        <f ca="1">VLOOKUP(B206,'115+740'!$B$15:$AB$757,13,FALSE)</f>
        <v>-100</v>
      </c>
      <c r="K206" s="89">
        <f>'115+740'!Q207</f>
        <v>0</v>
      </c>
      <c r="L206" s="88">
        <f t="shared" ref="L206:L269" ca="1" si="46">+K206+L205</f>
        <v>140</v>
      </c>
      <c r="M206" s="93">
        <f ca="1">VLOOKUP(B206,'115+740'!$B$14:$AB$757,21,FALSE)</f>
        <v>897</v>
      </c>
      <c r="N206" s="92">
        <f ca="1">VLOOKUP(B206,'115+740'!$B$15:$AB$757,5,FALSE)</f>
        <v>740</v>
      </c>
      <c r="O206" s="91">
        <f t="shared" ca="1" si="42"/>
        <v>1887</v>
      </c>
      <c r="P206" s="91">
        <f ca="1">VLOOKUP(B206,'115+740'!$B$15:$AB$757,14,FALSE)</f>
        <v>-113</v>
      </c>
      <c r="Q206" s="89">
        <f>'115+740'!R207</f>
        <v>0</v>
      </c>
      <c r="R206" s="88">
        <f t="shared" ref="R206:R269" ca="1" si="47">+Q206+R205</f>
        <v>103</v>
      </c>
      <c r="S206" s="93">
        <f ca="1">VLOOKUP(B206,'115+740'!$B$14:$AB$757,22,FALSE)</f>
        <v>874</v>
      </c>
      <c r="T206" s="92">
        <f ca="1">VLOOKUP(B206,'115+740'!$B$15:$AB$757,6,FALSE)</f>
        <v>793</v>
      </c>
      <c r="U206" s="91">
        <f t="shared" ca="1" si="43"/>
        <v>1834</v>
      </c>
      <c r="V206" s="90">
        <f ca="1">VLOOKUP(B206,'115+740'!$B$15:$AB$757,15,FALSE)</f>
        <v>-166</v>
      </c>
      <c r="W206" s="89">
        <f>'115+740'!S207</f>
        <v>0</v>
      </c>
      <c r="X206" s="88">
        <f t="shared" ref="X206:X269" ca="1" si="48">+W206+X205</f>
        <v>126</v>
      </c>
      <c r="Y206" s="87">
        <f t="shared" ref="Y206:Y269" ca="1" si="49">S206-S205</f>
        <v>0</v>
      </c>
      <c r="Z206" s="86">
        <f t="shared" ref="Z206:Z269" ca="1" si="50">IF(Y206&gt;0,Y206,0)/1000</f>
        <v>0</v>
      </c>
      <c r="AA206" s="85">
        <f t="shared" ref="AA206:AA269" ca="1" si="51">AA205+Z206</f>
        <v>1.0069999999999999</v>
      </c>
      <c r="AB206" s="85">
        <f t="shared" ref="AB206:AB269" ca="1" si="52">(M206-$M$13-R206)/1000</f>
        <v>0.80400000000000005</v>
      </c>
    </row>
    <row r="207" spans="2:28">
      <c r="B207" s="98">
        <f>'115+740'!B208</f>
        <v>45266</v>
      </c>
      <c r="C207" s="97">
        <f t="shared" si="44"/>
        <v>1</v>
      </c>
      <c r="D207" s="96">
        <f t="shared" si="45"/>
        <v>1069</v>
      </c>
      <c r="E207" s="95">
        <f>VLOOKUP(B207,'115+740'!B208:AB309,3,FALSE)</f>
        <v>1560</v>
      </c>
      <c r="F207" s="92">
        <f t="shared" si="40"/>
        <v>2629</v>
      </c>
      <c r="G207" s="94">
        <f ca="1">VLOOKUP(B207,'115+740'!$B$15:$AB$757,20,FALSE)</f>
        <v>860</v>
      </c>
      <c r="H207" s="94">
        <f ca="1">VLOOKUP(B207,'115+740'!$B$15:$AB$757,4,FALSE)</f>
        <v>729</v>
      </c>
      <c r="I207" s="91">
        <f t="shared" ca="1" si="41"/>
        <v>1900</v>
      </c>
      <c r="J207" s="91">
        <f ca="1">VLOOKUP(B207,'115+740'!$B$15:$AB$757,13,FALSE)</f>
        <v>-100</v>
      </c>
      <c r="K207" s="89">
        <f>'115+740'!Q208</f>
        <v>0</v>
      </c>
      <c r="L207" s="88">
        <f t="shared" ca="1" si="46"/>
        <v>140</v>
      </c>
      <c r="M207" s="93">
        <f ca="1">VLOOKUP(B207,'115+740'!$B$14:$AB$757,21,FALSE)</f>
        <v>897</v>
      </c>
      <c r="N207" s="92">
        <f ca="1">VLOOKUP(B207,'115+740'!$B$15:$AB$757,5,FALSE)</f>
        <v>742</v>
      </c>
      <c r="O207" s="91">
        <f t="shared" ca="1" si="42"/>
        <v>1887</v>
      </c>
      <c r="P207" s="91">
        <f ca="1">VLOOKUP(B207,'115+740'!$B$15:$AB$757,14,FALSE)</f>
        <v>-113</v>
      </c>
      <c r="Q207" s="89">
        <f>'115+740'!R208</f>
        <v>0</v>
      </c>
      <c r="R207" s="88">
        <f t="shared" ca="1" si="47"/>
        <v>103</v>
      </c>
      <c r="S207" s="93">
        <f ca="1">VLOOKUP(B207,'115+740'!$B$14:$AB$757,22,FALSE)</f>
        <v>874</v>
      </c>
      <c r="T207" s="92">
        <f ca="1">VLOOKUP(B207,'115+740'!$B$15:$AB$757,6,FALSE)</f>
        <v>795</v>
      </c>
      <c r="U207" s="91">
        <f t="shared" ca="1" si="43"/>
        <v>1834</v>
      </c>
      <c r="V207" s="90">
        <f ca="1">VLOOKUP(B207,'115+740'!$B$15:$AB$757,15,FALSE)</f>
        <v>-166</v>
      </c>
      <c r="W207" s="89">
        <f>'115+740'!S208</f>
        <v>0</v>
      </c>
      <c r="X207" s="88">
        <f t="shared" ca="1" si="48"/>
        <v>126</v>
      </c>
      <c r="Y207" s="87">
        <f t="shared" ca="1" si="49"/>
        <v>0</v>
      </c>
      <c r="Z207" s="86">
        <f t="shared" ca="1" si="50"/>
        <v>0</v>
      </c>
      <c r="AA207" s="85">
        <f t="shared" ca="1" si="51"/>
        <v>1.0069999999999999</v>
      </c>
      <c r="AB207" s="85">
        <f t="shared" ca="1" si="52"/>
        <v>0.80400000000000005</v>
      </c>
    </row>
    <row r="208" spans="2:28">
      <c r="B208" s="98">
        <f>'115+740'!B209</f>
        <v>45267</v>
      </c>
      <c r="C208" s="97">
        <f t="shared" si="44"/>
        <v>1</v>
      </c>
      <c r="D208" s="96">
        <f t="shared" si="45"/>
        <v>1069</v>
      </c>
      <c r="E208" s="95">
        <f>VLOOKUP(B208,'115+740'!B209:AB310,3,FALSE)</f>
        <v>1562</v>
      </c>
      <c r="F208" s="92">
        <f t="shared" si="40"/>
        <v>2631</v>
      </c>
      <c r="G208" s="94">
        <f ca="1">VLOOKUP(B208,'115+740'!$B$15:$AB$757,20,FALSE)</f>
        <v>860</v>
      </c>
      <c r="H208" s="94">
        <f ca="1">VLOOKUP(B208,'115+740'!$B$15:$AB$757,4,FALSE)</f>
        <v>731</v>
      </c>
      <c r="I208" s="91">
        <f t="shared" ca="1" si="41"/>
        <v>1900</v>
      </c>
      <c r="J208" s="91">
        <f ca="1">VLOOKUP(B208,'115+740'!$B$15:$AB$757,13,FALSE)</f>
        <v>-100</v>
      </c>
      <c r="K208" s="89">
        <f>'115+740'!Q209</f>
        <v>0</v>
      </c>
      <c r="L208" s="88">
        <f t="shared" ca="1" si="46"/>
        <v>140</v>
      </c>
      <c r="M208" s="93">
        <f ca="1">VLOOKUP(B208,'115+740'!$B$14:$AB$757,21,FALSE)</f>
        <v>897</v>
      </c>
      <c r="N208" s="92">
        <f ca="1">VLOOKUP(B208,'115+740'!$B$15:$AB$757,5,FALSE)</f>
        <v>744</v>
      </c>
      <c r="O208" s="91">
        <f t="shared" ca="1" si="42"/>
        <v>1887</v>
      </c>
      <c r="P208" s="91">
        <f ca="1">VLOOKUP(B208,'115+740'!$B$15:$AB$757,14,FALSE)</f>
        <v>-113</v>
      </c>
      <c r="Q208" s="89">
        <f>'115+740'!R209</f>
        <v>0</v>
      </c>
      <c r="R208" s="88">
        <f t="shared" ca="1" si="47"/>
        <v>103</v>
      </c>
      <c r="S208" s="93">
        <f ca="1">VLOOKUP(B208,'115+740'!$B$14:$AB$757,22,FALSE)</f>
        <v>874</v>
      </c>
      <c r="T208" s="92">
        <f ca="1">VLOOKUP(B208,'115+740'!$B$15:$AB$757,6,FALSE)</f>
        <v>797</v>
      </c>
      <c r="U208" s="91">
        <f t="shared" ca="1" si="43"/>
        <v>1834</v>
      </c>
      <c r="V208" s="90">
        <f ca="1">VLOOKUP(B208,'115+740'!$B$15:$AB$757,15,FALSE)</f>
        <v>-166</v>
      </c>
      <c r="W208" s="89">
        <f>'115+740'!S209</f>
        <v>0</v>
      </c>
      <c r="X208" s="88">
        <f t="shared" ca="1" si="48"/>
        <v>126</v>
      </c>
      <c r="Y208" s="87">
        <f t="shared" ca="1" si="49"/>
        <v>0</v>
      </c>
      <c r="Z208" s="86">
        <f t="shared" ca="1" si="50"/>
        <v>0</v>
      </c>
      <c r="AA208" s="85">
        <f t="shared" ca="1" si="51"/>
        <v>1.0069999999999999</v>
      </c>
      <c r="AB208" s="85">
        <f t="shared" ca="1" si="52"/>
        <v>0.80400000000000005</v>
      </c>
    </row>
    <row r="209" spans="2:28">
      <c r="B209" s="98">
        <f>'115+740'!B210</f>
        <v>45268</v>
      </c>
      <c r="C209" s="97">
        <f t="shared" si="44"/>
        <v>1</v>
      </c>
      <c r="D209" s="96">
        <f t="shared" si="45"/>
        <v>1069</v>
      </c>
      <c r="E209" s="95">
        <f>VLOOKUP(B209,'115+740'!B210:AB311,3,FALSE)</f>
        <v>1564</v>
      </c>
      <c r="F209" s="92">
        <f t="shared" si="40"/>
        <v>2633</v>
      </c>
      <c r="G209" s="94">
        <f ca="1">VLOOKUP(B209,'115+740'!$B$15:$AB$757,20,FALSE)</f>
        <v>860</v>
      </c>
      <c r="H209" s="94">
        <f ca="1">VLOOKUP(B209,'115+740'!$B$15:$AB$757,4,FALSE)</f>
        <v>733</v>
      </c>
      <c r="I209" s="91">
        <f t="shared" ca="1" si="41"/>
        <v>1900</v>
      </c>
      <c r="J209" s="91">
        <f ca="1">VLOOKUP(B209,'115+740'!$B$15:$AB$757,13,FALSE)</f>
        <v>-100</v>
      </c>
      <c r="K209" s="89">
        <f>'115+740'!Q210</f>
        <v>0</v>
      </c>
      <c r="L209" s="88">
        <f t="shared" ca="1" si="46"/>
        <v>140</v>
      </c>
      <c r="M209" s="93">
        <f ca="1">VLOOKUP(B209,'115+740'!$B$14:$AB$757,21,FALSE)</f>
        <v>897</v>
      </c>
      <c r="N209" s="92">
        <f ca="1">VLOOKUP(B209,'115+740'!$B$15:$AB$757,5,FALSE)</f>
        <v>746</v>
      </c>
      <c r="O209" s="91">
        <f t="shared" ca="1" si="42"/>
        <v>1887</v>
      </c>
      <c r="P209" s="91">
        <f ca="1">VLOOKUP(B209,'115+740'!$B$15:$AB$757,14,FALSE)</f>
        <v>-113</v>
      </c>
      <c r="Q209" s="89">
        <f>'115+740'!R210</f>
        <v>0</v>
      </c>
      <c r="R209" s="88">
        <f t="shared" ca="1" si="47"/>
        <v>103</v>
      </c>
      <c r="S209" s="93">
        <f ca="1">VLOOKUP(B209,'115+740'!$B$14:$AB$757,22,FALSE)</f>
        <v>874</v>
      </c>
      <c r="T209" s="92">
        <f ca="1">VLOOKUP(B209,'115+740'!$B$15:$AB$757,6,FALSE)</f>
        <v>799</v>
      </c>
      <c r="U209" s="91">
        <f t="shared" ca="1" si="43"/>
        <v>1834</v>
      </c>
      <c r="V209" s="90">
        <f ca="1">VLOOKUP(B209,'115+740'!$B$15:$AB$757,15,FALSE)</f>
        <v>-166</v>
      </c>
      <c r="W209" s="89">
        <f>'115+740'!S210</f>
        <v>0</v>
      </c>
      <c r="X209" s="88">
        <f t="shared" ca="1" si="48"/>
        <v>126</v>
      </c>
      <c r="Y209" s="87">
        <f t="shared" ca="1" si="49"/>
        <v>0</v>
      </c>
      <c r="Z209" s="86">
        <f t="shared" ca="1" si="50"/>
        <v>0</v>
      </c>
      <c r="AA209" s="85">
        <f t="shared" ca="1" si="51"/>
        <v>1.0069999999999999</v>
      </c>
      <c r="AB209" s="85">
        <f t="shared" ca="1" si="52"/>
        <v>0.80400000000000005</v>
      </c>
    </row>
    <row r="210" spans="2:28">
      <c r="B210" s="98">
        <f>'115+740'!B211</f>
        <v>45269</v>
      </c>
      <c r="C210" s="97">
        <f t="shared" si="44"/>
        <v>1</v>
      </c>
      <c r="D210" s="96">
        <f t="shared" si="45"/>
        <v>1069</v>
      </c>
      <c r="E210" s="95">
        <f>VLOOKUP(B210,'115+740'!B211:AB312,3,FALSE)</f>
        <v>1566</v>
      </c>
      <c r="F210" s="92">
        <f t="shared" si="40"/>
        <v>2635</v>
      </c>
      <c r="G210" s="94">
        <f ca="1">VLOOKUP(B210,'115+740'!$B$15:$AB$757,20,FALSE)</f>
        <v>860</v>
      </c>
      <c r="H210" s="94">
        <f ca="1">VLOOKUP(B210,'115+740'!$B$15:$AB$757,4,FALSE)</f>
        <v>735</v>
      </c>
      <c r="I210" s="91">
        <f t="shared" ca="1" si="41"/>
        <v>1900</v>
      </c>
      <c r="J210" s="91">
        <f ca="1">VLOOKUP(B210,'115+740'!$B$15:$AB$757,13,FALSE)</f>
        <v>-100</v>
      </c>
      <c r="K210" s="89">
        <f>'115+740'!Q211</f>
        <v>0</v>
      </c>
      <c r="L210" s="88">
        <f t="shared" ca="1" si="46"/>
        <v>140</v>
      </c>
      <c r="M210" s="93">
        <f ca="1">VLOOKUP(B210,'115+740'!$B$14:$AB$757,21,FALSE)</f>
        <v>897</v>
      </c>
      <c r="N210" s="92">
        <f ca="1">VLOOKUP(B210,'115+740'!$B$15:$AB$757,5,FALSE)</f>
        <v>748</v>
      </c>
      <c r="O210" s="91">
        <f t="shared" ca="1" si="42"/>
        <v>1887</v>
      </c>
      <c r="P210" s="91">
        <f ca="1">VLOOKUP(B210,'115+740'!$B$15:$AB$757,14,FALSE)</f>
        <v>-113</v>
      </c>
      <c r="Q210" s="89">
        <f>'115+740'!R211</f>
        <v>0</v>
      </c>
      <c r="R210" s="88">
        <f t="shared" ca="1" si="47"/>
        <v>103</v>
      </c>
      <c r="S210" s="93">
        <f ca="1">VLOOKUP(B210,'115+740'!$B$14:$AB$757,22,FALSE)</f>
        <v>874</v>
      </c>
      <c r="T210" s="92">
        <f ca="1">VLOOKUP(B210,'115+740'!$B$15:$AB$757,6,FALSE)</f>
        <v>801</v>
      </c>
      <c r="U210" s="91">
        <f t="shared" ca="1" si="43"/>
        <v>1834</v>
      </c>
      <c r="V210" s="90">
        <f ca="1">VLOOKUP(B210,'115+740'!$B$15:$AB$757,15,FALSE)</f>
        <v>-166</v>
      </c>
      <c r="W210" s="89">
        <f>'115+740'!S211</f>
        <v>0</v>
      </c>
      <c r="X210" s="88">
        <f t="shared" ca="1" si="48"/>
        <v>126</v>
      </c>
      <c r="Y210" s="87">
        <f t="shared" ca="1" si="49"/>
        <v>0</v>
      </c>
      <c r="Z210" s="86">
        <f t="shared" ca="1" si="50"/>
        <v>0</v>
      </c>
      <c r="AA210" s="85">
        <f t="shared" ca="1" si="51"/>
        <v>1.0069999999999999</v>
      </c>
      <c r="AB210" s="85">
        <f t="shared" ca="1" si="52"/>
        <v>0.80400000000000005</v>
      </c>
    </row>
    <row r="211" spans="2:28">
      <c r="B211" s="98">
        <f>'115+740'!B212</f>
        <v>45270</v>
      </c>
      <c r="C211" s="97">
        <f t="shared" si="44"/>
        <v>1</v>
      </c>
      <c r="D211" s="96">
        <f t="shared" si="45"/>
        <v>1069</v>
      </c>
      <c r="E211" s="95">
        <f>VLOOKUP(B211,'115+740'!B212:AB313,3,FALSE)</f>
        <v>1568</v>
      </c>
      <c r="F211" s="92">
        <f t="shared" si="40"/>
        <v>2637</v>
      </c>
      <c r="G211" s="94">
        <f ca="1">VLOOKUP(B211,'115+740'!$B$15:$AB$757,20,FALSE)</f>
        <v>860</v>
      </c>
      <c r="H211" s="94">
        <f ca="1">VLOOKUP(B211,'115+740'!$B$15:$AB$757,4,FALSE)</f>
        <v>737</v>
      </c>
      <c r="I211" s="91">
        <f t="shared" ca="1" si="41"/>
        <v>1900</v>
      </c>
      <c r="J211" s="91">
        <f ca="1">VLOOKUP(B211,'115+740'!$B$15:$AB$757,13,FALSE)</f>
        <v>-100</v>
      </c>
      <c r="K211" s="89">
        <f>'115+740'!Q212</f>
        <v>0</v>
      </c>
      <c r="L211" s="88">
        <f t="shared" ca="1" si="46"/>
        <v>140</v>
      </c>
      <c r="M211" s="93">
        <f ca="1">VLOOKUP(B211,'115+740'!$B$14:$AB$757,21,FALSE)</f>
        <v>897</v>
      </c>
      <c r="N211" s="92">
        <f ca="1">VLOOKUP(B211,'115+740'!$B$15:$AB$757,5,FALSE)</f>
        <v>750</v>
      </c>
      <c r="O211" s="91">
        <f t="shared" ca="1" si="42"/>
        <v>1887</v>
      </c>
      <c r="P211" s="91">
        <f ca="1">VLOOKUP(B211,'115+740'!$B$15:$AB$757,14,FALSE)</f>
        <v>-113</v>
      </c>
      <c r="Q211" s="89">
        <f>'115+740'!R212</f>
        <v>0</v>
      </c>
      <c r="R211" s="88">
        <f t="shared" ca="1" si="47"/>
        <v>103</v>
      </c>
      <c r="S211" s="93">
        <f ca="1">VLOOKUP(B211,'115+740'!$B$14:$AB$757,22,FALSE)</f>
        <v>874</v>
      </c>
      <c r="T211" s="92">
        <f ca="1">VLOOKUP(B211,'115+740'!$B$15:$AB$757,6,FALSE)</f>
        <v>803</v>
      </c>
      <c r="U211" s="91">
        <f t="shared" ca="1" si="43"/>
        <v>1834</v>
      </c>
      <c r="V211" s="90">
        <f ca="1">VLOOKUP(B211,'115+740'!$B$15:$AB$757,15,FALSE)</f>
        <v>-166</v>
      </c>
      <c r="W211" s="89">
        <f>'115+740'!S212</f>
        <v>0</v>
      </c>
      <c r="X211" s="88">
        <f t="shared" ca="1" si="48"/>
        <v>126</v>
      </c>
      <c r="Y211" s="87">
        <f t="shared" ca="1" si="49"/>
        <v>0</v>
      </c>
      <c r="Z211" s="86">
        <f t="shared" ca="1" si="50"/>
        <v>0</v>
      </c>
      <c r="AA211" s="85">
        <f t="shared" ca="1" si="51"/>
        <v>1.0069999999999999</v>
      </c>
      <c r="AB211" s="85">
        <f t="shared" ca="1" si="52"/>
        <v>0.80400000000000005</v>
      </c>
    </row>
    <row r="212" spans="2:28">
      <c r="B212" s="98">
        <f>'115+740'!B213</f>
        <v>45271</v>
      </c>
      <c r="C212" s="97">
        <f t="shared" si="44"/>
        <v>1</v>
      </c>
      <c r="D212" s="96">
        <f t="shared" si="45"/>
        <v>1069</v>
      </c>
      <c r="E212" s="95">
        <f>VLOOKUP(B212,'115+740'!B213:AB314,3,FALSE)</f>
        <v>1570</v>
      </c>
      <c r="F212" s="92">
        <f t="shared" si="40"/>
        <v>2639</v>
      </c>
      <c r="G212" s="94">
        <f ca="1">VLOOKUP(B212,'115+740'!$B$15:$AB$757,20,FALSE)</f>
        <v>860</v>
      </c>
      <c r="H212" s="94">
        <f ca="1">VLOOKUP(B212,'115+740'!$B$15:$AB$757,4,FALSE)</f>
        <v>739</v>
      </c>
      <c r="I212" s="91">
        <f t="shared" ca="1" si="41"/>
        <v>1900</v>
      </c>
      <c r="J212" s="91">
        <f ca="1">VLOOKUP(B212,'115+740'!$B$15:$AB$757,13,FALSE)</f>
        <v>-100</v>
      </c>
      <c r="K212" s="89">
        <f>'115+740'!Q213</f>
        <v>0</v>
      </c>
      <c r="L212" s="88">
        <f t="shared" ca="1" si="46"/>
        <v>140</v>
      </c>
      <c r="M212" s="93">
        <f ca="1">VLOOKUP(B212,'115+740'!$B$14:$AB$757,21,FALSE)</f>
        <v>897</v>
      </c>
      <c r="N212" s="92">
        <f ca="1">VLOOKUP(B212,'115+740'!$B$15:$AB$757,5,FALSE)</f>
        <v>752</v>
      </c>
      <c r="O212" s="91">
        <f t="shared" ca="1" si="42"/>
        <v>1887</v>
      </c>
      <c r="P212" s="91">
        <f ca="1">VLOOKUP(B212,'115+740'!$B$15:$AB$757,14,FALSE)</f>
        <v>-113</v>
      </c>
      <c r="Q212" s="89">
        <f>'115+740'!R213</f>
        <v>0</v>
      </c>
      <c r="R212" s="88">
        <f t="shared" ca="1" si="47"/>
        <v>103</v>
      </c>
      <c r="S212" s="93">
        <f ca="1">VLOOKUP(B212,'115+740'!$B$14:$AB$757,22,FALSE)</f>
        <v>874</v>
      </c>
      <c r="T212" s="92">
        <f ca="1">VLOOKUP(B212,'115+740'!$B$15:$AB$757,6,FALSE)</f>
        <v>805</v>
      </c>
      <c r="U212" s="91">
        <f t="shared" ca="1" si="43"/>
        <v>1834</v>
      </c>
      <c r="V212" s="90">
        <f ca="1">VLOOKUP(B212,'115+740'!$B$15:$AB$757,15,FALSE)</f>
        <v>-166</v>
      </c>
      <c r="W212" s="89">
        <f>'115+740'!S213</f>
        <v>0</v>
      </c>
      <c r="X212" s="88">
        <f t="shared" ca="1" si="48"/>
        <v>126</v>
      </c>
      <c r="Y212" s="87">
        <f t="shared" ca="1" si="49"/>
        <v>0</v>
      </c>
      <c r="Z212" s="86">
        <f t="shared" ca="1" si="50"/>
        <v>0</v>
      </c>
      <c r="AA212" s="85">
        <f t="shared" ca="1" si="51"/>
        <v>1.0069999999999999</v>
      </c>
      <c r="AB212" s="85">
        <f t="shared" ca="1" si="52"/>
        <v>0.80400000000000005</v>
      </c>
    </row>
    <row r="213" spans="2:28">
      <c r="B213" s="98">
        <f>'115+740'!B214</f>
        <v>45272</v>
      </c>
      <c r="C213" s="97">
        <f t="shared" si="44"/>
        <v>1</v>
      </c>
      <c r="D213" s="96">
        <f t="shared" si="45"/>
        <v>1069</v>
      </c>
      <c r="E213" s="95">
        <f>VLOOKUP(B213,'115+740'!B214:AB315,3,FALSE)</f>
        <v>1572</v>
      </c>
      <c r="F213" s="92">
        <f t="shared" si="40"/>
        <v>2641</v>
      </c>
      <c r="G213" s="94">
        <f ca="1">VLOOKUP(B213,'115+740'!$B$15:$AB$757,20,FALSE)</f>
        <v>860</v>
      </c>
      <c r="H213" s="94">
        <f ca="1">VLOOKUP(B213,'115+740'!$B$15:$AB$757,4,FALSE)</f>
        <v>741</v>
      </c>
      <c r="I213" s="91">
        <f t="shared" ca="1" si="41"/>
        <v>1900</v>
      </c>
      <c r="J213" s="91">
        <f ca="1">VLOOKUP(B213,'115+740'!$B$15:$AB$757,13,FALSE)</f>
        <v>-100</v>
      </c>
      <c r="K213" s="89">
        <f>'115+740'!Q214</f>
        <v>0</v>
      </c>
      <c r="L213" s="88">
        <f t="shared" ca="1" si="46"/>
        <v>140</v>
      </c>
      <c r="M213" s="93">
        <f ca="1">VLOOKUP(B213,'115+740'!$B$14:$AB$757,21,FALSE)</f>
        <v>897</v>
      </c>
      <c r="N213" s="92">
        <f ca="1">VLOOKUP(B213,'115+740'!$B$15:$AB$757,5,FALSE)</f>
        <v>754</v>
      </c>
      <c r="O213" s="91">
        <f t="shared" ca="1" si="42"/>
        <v>1887</v>
      </c>
      <c r="P213" s="91">
        <f ca="1">VLOOKUP(B213,'115+740'!$B$15:$AB$757,14,FALSE)</f>
        <v>-113</v>
      </c>
      <c r="Q213" s="89">
        <f>'115+740'!R214</f>
        <v>0</v>
      </c>
      <c r="R213" s="88">
        <f t="shared" ca="1" si="47"/>
        <v>103</v>
      </c>
      <c r="S213" s="93">
        <f ca="1">VLOOKUP(B213,'115+740'!$B$14:$AB$757,22,FALSE)</f>
        <v>874</v>
      </c>
      <c r="T213" s="92">
        <f ca="1">VLOOKUP(B213,'115+740'!$B$15:$AB$757,6,FALSE)</f>
        <v>807</v>
      </c>
      <c r="U213" s="91">
        <f t="shared" ca="1" si="43"/>
        <v>1834</v>
      </c>
      <c r="V213" s="90">
        <f ca="1">VLOOKUP(B213,'115+740'!$B$15:$AB$757,15,FALSE)</f>
        <v>-166</v>
      </c>
      <c r="W213" s="89">
        <f>'115+740'!S214</f>
        <v>0</v>
      </c>
      <c r="X213" s="88">
        <f t="shared" ca="1" si="48"/>
        <v>126</v>
      </c>
      <c r="Y213" s="87">
        <f t="shared" ca="1" si="49"/>
        <v>0</v>
      </c>
      <c r="Z213" s="86">
        <f t="shared" ca="1" si="50"/>
        <v>0</v>
      </c>
      <c r="AA213" s="85">
        <f t="shared" ca="1" si="51"/>
        <v>1.0069999999999999</v>
      </c>
      <c r="AB213" s="85">
        <f t="shared" ca="1" si="52"/>
        <v>0.80400000000000005</v>
      </c>
    </row>
    <row r="214" spans="2:28">
      <c r="B214" s="98">
        <f>'115+740'!B215</f>
        <v>45273</v>
      </c>
      <c r="C214" s="97">
        <f t="shared" si="44"/>
        <v>1</v>
      </c>
      <c r="D214" s="96">
        <f t="shared" si="45"/>
        <v>1069</v>
      </c>
      <c r="E214" s="95">
        <f>VLOOKUP(B214,'115+740'!B215:AB316,3,FALSE)</f>
        <v>1574</v>
      </c>
      <c r="F214" s="92">
        <f t="shared" si="40"/>
        <v>2643</v>
      </c>
      <c r="G214" s="94">
        <f ca="1">VLOOKUP(B214,'115+740'!$B$15:$AB$757,20,FALSE)</f>
        <v>860</v>
      </c>
      <c r="H214" s="94">
        <f ca="1">VLOOKUP(B214,'115+740'!$B$15:$AB$757,4,FALSE)</f>
        <v>743</v>
      </c>
      <c r="I214" s="91">
        <f t="shared" ca="1" si="41"/>
        <v>1900</v>
      </c>
      <c r="J214" s="91">
        <f ca="1">VLOOKUP(B214,'115+740'!$B$15:$AB$757,13,FALSE)</f>
        <v>-100</v>
      </c>
      <c r="K214" s="89">
        <f>'115+740'!Q215</f>
        <v>0</v>
      </c>
      <c r="L214" s="88">
        <f t="shared" ca="1" si="46"/>
        <v>140</v>
      </c>
      <c r="M214" s="93">
        <f ca="1">VLOOKUP(B214,'115+740'!$B$14:$AB$757,21,FALSE)</f>
        <v>897</v>
      </c>
      <c r="N214" s="92">
        <f ca="1">VLOOKUP(B214,'115+740'!$B$15:$AB$757,5,FALSE)</f>
        <v>756</v>
      </c>
      <c r="O214" s="91">
        <f t="shared" ca="1" si="42"/>
        <v>1887</v>
      </c>
      <c r="P214" s="91">
        <f ca="1">VLOOKUP(B214,'115+740'!$B$15:$AB$757,14,FALSE)</f>
        <v>-113</v>
      </c>
      <c r="Q214" s="89">
        <f>'115+740'!R215</f>
        <v>0</v>
      </c>
      <c r="R214" s="88">
        <f t="shared" ca="1" si="47"/>
        <v>103</v>
      </c>
      <c r="S214" s="93">
        <f ca="1">VLOOKUP(B214,'115+740'!$B$14:$AB$757,22,FALSE)</f>
        <v>874</v>
      </c>
      <c r="T214" s="92">
        <f ca="1">VLOOKUP(B214,'115+740'!$B$15:$AB$757,6,FALSE)</f>
        <v>809</v>
      </c>
      <c r="U214" s="91">
        <f t="shared" ca="1" si="43"/>
        <v>1834</v>
      </c>
      <c r="V214" s="90">
        <f ca="1">VLOOKUP(B214,'115+740'!$B$15:$AB$757,15,FALSE)</f>
        <v>-166</v>
      </c>
      <c r="W214" s="89">
        <f>'115+740'!S215</f>
        <v>0</v>
      </c>
      <c r="X214" s="88">
        <f t="shared" ca="1" si="48"/>
        <v>126</v>
      </c>
      <c r="Y214" s="87">
        <f t="shared" ca="1" si="49"/>
        <v>0</v>
      </c>
      <c r="Z214" s="86">
        <f t="shared" ca="1" si="50"/>
        <v>0</v>
      </c>
      <c r="AA214" s="85">
        <f t="shared" ca="1" si="51"/>
        <v>1.0069999999999999</v>
      </c>
      <c r="AB214" s="85">
        <f t="shared" ca="1" si="52"/>
        <v>0.80400000000000005</v>
      </c>
    </row>
    <row r="215" spans="2:28">
      <c r="B215" s="98">
        <f>'115+740'!B216</f>
        <v>45274</v>
      </c>
      <c r="C215" s="97">
        <f t="shared" si="44"/>
        <v>1</v>
      </c>
      <c r="D215" s="96">
        <f t="shared" si="45"/>
        <v>1069</v>
      </c>
      <c r="E215" s="95">
        <f>VLOOKUP(B215,'115+740'!B216:AB317,3,FALSE)</f>
        <v>1576</v>
      </c>
      <c r="F215" s="92">
        <f t="shared" si="40"/>
        <v>2645</v>
      </c>
      <c r="G215" s="94">
        <f ca="1">VLOOKUP(B215,'115+740'!$B$15:$AB$757,20,FALSE)</f>
        <v>860</v>
      </c>
      <c r="H215" s="94">
        <f ca="1">VLOOKUP(B215,'115+740'!$B$15:$AB$757,4,FALSE)</f>
        <v>745</v>
      </c>
      <c r="I215" s="91">
        <f t="shared" ca="1" si="41"/>
        <v>1900</v>
      </c>
      <c r="J215" s="91">
        <f ca="1">VLOOKUP(B215,'115+740'!$B$15:$AB$757,13,FALSE)</f>
        <v>-100</v>
      </c>
      <c r="K215" s="89">
        <f>'115+740'!Q216</f>
        <v>0</v>
      </c>
      <c r="L215" s="88">
        <f t="shared" ca="1" si="46"/>
        <v>140</v>
      </c>
      <c r="M215" s="93">
        <f ca="1">VLOOKUP(B215,'115+740'!$B$14:$AB$757,21,FALSE)</f>
        <v>897</v>
      </c>
      <c r="N215" s="92">
        <f ca="1">VLOOKUP(B215,'115+740'!$B$15:$AB$757,5,FALSE)</f>
        <v>758</v>
      </c>
      <c r="O215" s="91">
        <f t="shared" ca="1" si="42"/>
        <v>1887</v>
      </c>
      <c r="P215" s="91">
        <f ca="1">VLOOKUP(B215,'115+740'!$B$15:$AB$757,14,FALSE)</f>
        <v>-113</v>
      </c>
      <c r="Q215" s="89">
        <f>'115+740'!R216</f>
        <v>0</v>
      </c>
      <c r="R215" s="88">
        <f t="shared" ca="1" si="47"/>
        <v>103</v>
      </c>
      <c r="S215" s="93">
        <f ca="1">VLOOKUP(B215,'115+740'!$B$14:$AB$757,22,FALSE)</f>
        <v>874</v>
      </c>
      <c r="T215" s="92">
        <f ca="1">VLOOKUP(B215,'115+740'!$B$15:$AB$757,6,FALSE)</f>
        <v>811</v>
      </c>
      <c r="U215" s="91">
        <f t="shared" ca="1" si="43"/>
        <v>1834</v>
      </c>
      <c r="V215" s="90">
        <f ca="1">VLOOKUP(B215,'115+740'!$B$15:$AB$757,15,FALSE)</f>
        <v>-166</v>
      </c>
      <c r="W215" s="89">
        <f>'115+740'!S216</f>
        <v>0</v>
      </c>
      <c r="X215" s="88">
        <f t="shared" ca="1" si="48"/>
        <v>126</v>
      </c>
      <c r="Y215" s="87">
        <f t="shared" ca="1" si="49"/>
        <v>0</v>
      </c>
      <c r="Z215" s="86">
        <f t="shared" ca="1" si="50"/>
        <v>0</v>
      </c>
      <c r="AA215" s="85">
        <f t="shared" ca="1" si="51"/>
        <v>1.0069999999999999</v>
      </c>
      <c r="AB215" s="85">
        <f t="shared" ca="1" si="52"/>
        <v>0.80400000000000005</v>
      </c>
    </row>
    <row r="216" spans="2:28">
      <c r="B216" s="98">
        <f>'115+740'!B217</f>
        <v>45275</v>
      </c>
      <c r="C216" s="97">
        <f t="shared" si="44"/>
        <v>1</v>
      </c>
      <c r="D216" s="96">
        <f t="shared" si="45"/>
        <v>1069</v>
      </c>
      <c r="E216" s="95">
        <f>VLOOKUP(B216,'115+740'!B217:AB318,3,FALSE)</f>
        <v>1578</v>
      </c>
      <c r="F216" s="92">
        <f t="shared" si="40"/>
        <v>2647</v>
      </c>
      <c r="G216" s="94">
        <f ca="1">VLOOKUP(B216,'115+740'!$B$15:$AB$757,20,FALSE)</f>
        <v>860</v>
      </c>
      <c r="H216" s="94">
        <f ca="1">VLOOKUP(B216,'115+740'!$B$15:$AB$757,4,FALSE)</f>
        <v>747</v>
      </c>
      <c r="I216" s="91">
        <f t="shared" ca="1" si="41"/>
        <v>1900</v>
      </c>
      <c r="J216" s="91">
        <f ca="1">VLOOKUP(B216,'115+740'!$B$15:$AB$757,13,FALSE)</f>
        <v>-100</v>
      </c>
      <c r="K216" s="89">
        <f>'115+740'!Q217</f>
        <v>0</v>
      </c>
      <c r="L216" s="88">
        <f t="shared" ca="1" si="46"/>
        <v>140</v>
      </c>
      <c r="M216" s="93">
        <f ca="1">VLOOKUP(B216,'115+740'!$B$14:$AB$757,21,FALSE)</f>
        <v>897</v>
      </c>
      <c r="N216" s="92">
        <f ca="1">VLOOKUP(B216,'115+740'!$B$15:$AB$757,5,FALSE)</f>
        <v>760</v>
      </c>
      <c r="O216" s="91">
        <f t="shared" ca="1" si="42"/>
        <v>1887</v>
      </c>
      <c r="P216" s="91">
        <f ca="1">VLOOKUP(B216,'115+740'!$B$15:$AB$757,14,FALSE)</f>
        <v>-113</v>
      </c>
      <c r="Q216" s="89">
        <f>'115+740'!R217</f>
        <v>0</v>
      </c>
      <c r="R216" s="88">
        <f t="shared" ca="1" si="47"/>
        <v>103</v>
      </c>
      <c r="S216" s="93">
        <f ca="1">VLOOKUP(B216,'115+740'!$B$14:$AB$757,22,FALSE)</f>
        <v>874</v>
      </c>
      <c r="T216" s="92">
        <f ca="1">VLOOKUP(B216,'115+740'!$B$15:$AB$757,6,FALSE)</f>
        <v>813</v>
      </c>
      <c r="U216" s="91">
        <f t="shared" ca="1" si="43"/>
        <v>1834</v>
      </c>
      <c r="V216" s="90">
        <f ca="1">VLOOKUP(B216,'115+740'!$B$15:$AB$757,15,FALSE)</f>
        <v>-166</v>
      </c>
      <c r="W216" s="89">
        <f>'115+740'!S217</f>
        <v>0</v>
      </c>
      <c r="X216" s="88">
        <f t="shared" ca="1" si="48"/>
        <v>126</v>
      </c>
      <c r="Y216" s="87">
        <f t="shared" ca="1" si="49"/>
        <v>0</v>
      </c>
      <c r="Z216" s="86">
        <f t="shared" ca="1" si="50"/>
        <v>0</v>
      </c>
      <c r="AA216" s="85">
        <f t="shared" ca="1" si="51"/>
        <v>1.0069999999999999</v>
      </c>
      <c r="AB216" s="85">
        <f t="shared" ca="1" si="52"/>
        <v>0.80400000000000005</v>
      </c>
    </row>
    <row r="217" spans="2:28">
      <c r="B217" s="98">
        <f>'115+740'!B218</f>
        <v>45276</v>
      </c>
      <c r="C217" s="97">
        <f t="shared" si="44"/>
        <v>1</v>
      </c>
      <c r="D217" s="96">
        <f t="shared" si="45"/>
        <v>1069</v>
      </c>
      <c r="E217" s="95">
        <f>VLOOKUP(B217,'115+740'!B218:AB319,3,FALSE)</f>
        <v>1580</v>
      </c>
      <c r="F217" s="92">
        <f t="shared" si="40"/>
        <v>2649</v>
      </c>
      <c r="G217" s="94">
        <f ca="1">VLOOKUP(B217,'115+740'!$B$15:$AB$757,20,FALSE)</f>
        <v>860</v>
      </c>
      <c r="H217" s="94">
        <f ca="1">VLOOKUP(B217,'115+740'!$B$15:$AB$757,4,FALSE)</f>
        <v>749</v>
      </c>
      <c r="I217" s="91">
        <f t="shared" ca="1" si="41"/>
        <v>1900</v>
      </c>
      <c r="J217" s="91">
        <f ca="1">VLOOKUP(B217,'115+740'!$B$15:$AB$757,13,FALSE)</f>
        <v>-100</v>
      </c>
      <c r="K217" s="89">
        <f>'115+740'!Q218</f>
        <v>0</v>
      </c>
      <c r="L217" s="88">
        <f t="shared" ca="1" si="46"/>
        <v>140</v>
      </c>
      <c r="M217" s="93">
        <f ca="1">VLOOKUP(B217,'115+740'!$B$14:$AB$757,21,FALSE)</f>
        <v>897</v>
      </c>
      <c r="N217" s="92">
        <f ca="1">VLOOKUP(B217,'115+740'!$B$15:$AB$757,5,FALSE)</f>
        <v>762</v>
      </c>
      <c r="O217" s="91">
        <f t="shared" ca="1" si="42"/>
        <v>1887</v>
      </c>
      <c r="P217" s="91">
        <f ca="1">VLOOKUP(B217,'115+740'!$B$15:$AB$757,14,FALSE)</f>
        <v>-113</v>
      </c>
      <c r="Q217" s="89">
        <f>'115+740'!R218</f>
        <v>0</v>
      </c>
      <c r="R217" s="88">
        <f t="shared" ca="1" si="47"/>
        <v>103</v>
      </c>
      <c r="S217" s="93">
        <f ca="1">VLOOKUP(B217,'115+740'!$B$14:$AB$757,22,FALSE)</f>
        <v>874</v>
      </c>
      <c r="T217" s="92">
        <f ca="1">VLOOKUP(B217,'115+740'!$B$15:$AB$757,6,FALSE)</f>
        <v>815</v>
      </c>
      <c r="U217" s="91">
        <f t="shared" ca="1" si="43"/>
        <v>1834</v>
      </c>
      <c r="V217" s="90">
        <f ca="1">VLOOKUP(B217,'115+740'!$B$15:$AB$757,15,FALSE)</f>
        <v>-166</v>
      </c>
      <c r="W217" s="89">
        <f>'115+740'!S218</f>
        <v>0</v>
      </c>
      <c r="X217" s="88">
        <f t="shared" ca="1" si="48"/>
        <v>126</v>
      </c>
      <c r="Y217" s="87">
        <f t="shared" ca="1" si="49"/>
        <v>0</v>
      </c>
      <c r="Z217" s="86">
        <f t="shared" ca="1" si="50"/>
        <v>0</v>
      </c>
      <c r="AA217" s="85">
        <f t="shared" ca="1" si="51"/>
        <v>1.0069999999999999</v>
      </c>
      <c r="AB217" s="85">
        <f t="shared" ca="1" si="52"/>
        <v>0.80400000000000005</v>
      </c>
    </row>
    <row r="218" spans="2:28">
      <c r="B218" s="98">
        <f>'115+740'!B219</f>
        <v>45277</v>
      </c>
      <c r="C218" s="97">
        <f t="shared" si="44"/>
        <v>1</v>
      </c>
      <c r="D218" s="96">
        <f t="shared" si="45"/>
        <v>1069</v>
      </c>
      <c r="E218" s="95">
        <f>VLOOKUP(B218,'115+740'!B219:AB320,3,FALSE)</f>
        <v>1582</v>
      </c>
      <c r="F218" s="92">
        <f t="shared" si="40"/>
        <v>2651</v>
      </c>
      <c r="G218" s="94">
        <f ca="1">VLOOKUP(B218,'115+740'!$B$15:$AB$757,20,FALSE)</f>
        <v>860</v>
      </c>
      <c r="H218" s="94">
        <f ca="1">VLOOKUP(B218,'115+740'!$B$15:$AB$757,4,FALSE)</f>
        <v>751</v>
      </c>
      <c r="I218" s="91">
        <f t="shared" ca="1" si="41"/>
        <v>1900</v>
      </c>
      <c r="J218" s="91">
        <f ca="1">VLOOKUP(B218,'115+740'!$B$15:$AB$757,13,FALSE)</f>
        <v>-100</v>
      </c>
      <c r="K218" s="89">
        <f>'115+740'!Q219</f>
        <v>0</v>
      </c>
      <c r="L218" s="88">
        <f t="shared" ca="1" si="46"/>
        <v>140</v>
      </c>
      <c r="M218" s="93">
        <f ca="1">VLOOKUP(B218,'115+740'!$B$14:$AB$757,21,FALSE)</f>
        <v>897</v>
      </c>
      <c r="N218" s="92">
        <f ca="1">VLOOKUP(B218,'115+740'!$B$15:$AB$757,5,FALSE)</f>
        <v>764</v>
      </c>
      <c r="O218" s="91">
        <f t="shared" ca="1" si="42"/>
        <v>1887</v>
      </c>
      <c r="P218" s="91">
        <f ca="1">VLOOKUP(B218,'115+740'!$B$15:$AB$757,14,FALSE)</f>
        <v>-113</v>
      </c>
      <c r="Q218" s="89">
        <f>'115+740'!R219</f>
        <v>0</v>
      </c>
      <c r="R218" s="88">
        <f t="shared" ca="1" si="47"/>
        <v>103</v>
      </c>
      <c r="S218" s="93">
        <f ca="1">VLOOKUP(B218,'115+740'!$B$14:$AB$757,22,FALSE)</f>
        <v>874</v>
      </c>
      <c r="T218" s="92">
        <f ca="1">VLOOKUP(B218,'115+740'!$B$15:$AB$757,6,FALSE)</f>
        <v>817</v>
      </c>
      <c r="U218" s="91">
        <f t="shared" ca="1" si="43"/>
        <v>1834</v>
      </c>
      <c r="V218" s="90">
        <f ca="1">VLOOKUP(B218,'115+740'!$B$15:$AB$757,15,FALSE)</f>
        <v>-166</v>
      </c>
      <c r="W218" s="89">
        <f>'115+740'!S219</f>
        <v>0</v>
      </c>
      <c r="X218" s="88">
        <f t="shared" ca="1" si="48"/>
        <v>126</v>
      </c>
      <c r="Y218" s="87">
        <f t="shared" ca="1" si="49"/>
        <v>0</v>
      </c>
      <c r="Z218" s="86">
        <f t="shared" ca="1" si="50"/>
        <v>0</v>
      </c>
      <c r="AA218" s="85">
        <f t="shared" ca="1" si="51"/>
        <v>1.0069999999999999</v>
      </c>
      <c r="AB218" s="85">
        <f t="shared" ca="1" si="52"/>
        <v>0.80400000000000005</v>
      </c>
    </row>
    <row r="219" spans="2:28">
      <c r="B219" s="98">
        <f>'115+740'!B220</f>
        <v>45278</v>
      </c>
      <c r="C219" s="97">
        <f t="shared" si="44"/>
        <v>1</v>
      </c>
      <c r="D219" s="96">
        <f t="shared" si="45"/>
        <v>1069</v>
      </c>
      <c r="E219" s="95">
        <f>VLOOKUP(B219,'115+740'!B220:AB321,3,FALSE)</f>
        <v>1584</v>
      </c>
      <c r="F219" s="92">
        <f t="shared" si="40"/>
        <v>2653</v>
      </c>
      <c r="G219" s="94">
        <f ca="1">VLOOKUP(B219,'115+740'!$B$15:$AB$757,20,FALSE)</f>
        <v>860</v>
      </c>
      <c r="H219" s="94">
        <f ca="1">VLOOKUP(B219,'115+740'!$B$15:$AB$757,4,FALSE)</f>
        <v>753</v>
      </c>
      <c r="I219" s="91">
        <f t="shared" ca="1" si="41"/>
        <v>1900</v>
      </c>
      <c r="J219" s="91">
        <f ca="1">VLOOKUP(B219,'115+740'!$B$15:$AB$757,13,FALSE)</f>
        <v>-100</v>
      </c>
      <c r="K219" s="89">
        <f>'115+740'!Q220</f>
        <v>0</v>
      </c>
      <c r="L219" s="88">
        <f t="shared" ca="1" si="46"/>
        <v>140</v>
      </c>
      <c r="M219" s="93">
        <f ca="1">VLOOKUP(B219,'115+740'!$B$14:$AB$757,21,FALSE)</f>
        <v>897</v>
      </c>
      <c r="N219" s="92">
        <f ca="1">VLOOKUP(B219,'115+740'!$B$15:$AB$757,5,FALSE)</f>
        <v>766</v>
      </c>
      <c r="O219" s="91">
        <f t="shared" ca="1" si="42"/>
        <v>1887</v>
      </c>
      <c r="P219" s="91">
        <f ca="1">VLOOKUP(B219,'115+740'!$B$15:$AB$757,14,FALSE)</f>
        <v>-113</v>
      </c>
      <c r="Q219" s="89">
        <f>'115+740'!R220</f>
        <v>0</v>
      </c>
      <c r="R219" s="88">
        <f t="shared" ca="1" si="47"/>
        <v>103</v>
      </c>
      <c r="S219" s="93">
        <f ca="1">VLOOKUP(B219,'115+740'!$B$14:$AB$757,22,FALSE)</f>
        <v>874</v>
      </c>
      <c r="T219" s="92">
        <f ca="1">VLOOKUP(B219,'115+740'!$B$15:$AB$757,6,FALSE)</f>
        <v>819</v>
      </c>
      <c r="U219" s="91">
        <f t="shared" ca="1" si="43"/>
        <v>1834</v>
      </c>
      <c r="V219" s="90">
        <f ca="1">VLOOKUP(B219,'115+740'!$B$15:$AB$757,15,FALSE)</f>
        <v>-166</v>
      </c>
      <c r="W219" s="89">
        <f>'115+740'!S220</f>
        <v>0</v>
      </c>
      <c r="X219" s="88">
        <f t="shared" ca="1" si="48"/>
        <v>126</v>
      </c>
      <c r="Y219" s="87">
        <f t="shared" ca="1" si="49"/>
        <v>0</v>
      </c>
      <c r="Z219" s="86">
        <f t="shared" ca="1" si="50"/>
        <v>0</v>
      </c>
      <c r="AA219" s="85">
        <f t="shared" ca="1" si="51"/>
        <v>1.0069999999999999</v>
      </c>
      <c r="AB219" s="85">
        <f t="shared" ca="1" si="52"/>
        <v>0.80400000000000005</v>
      </c>
    </row>
    <row r="220" spans="2:28">
      <c r="B220" s="98">
        <f>'115+740'!B221</f>
        <v>45279</v>
      </c>
      <c r="C220" s="97">
        <f t="shared" si="44"/>
        <v>1</v>
      </c>
      <c r="D220" s="96">
        <f t="shared" si="45"/>
        <v>1069</v>
      </c>
      <c r="E220" s="95">
        <f>VLOOKUP(B220,'115+740'!B221:AB322,3,FALSE)</f>
        <v>1586</v>
      </c>
      <c r="F220" s="92">
        <f t="shared" si="40"/>
        <v>2655</v>
      </c>
      <c r="G220" s="94">
        <f ca="1">VLOOKUP(B220,'115+740'!$B$15:$AB$757,20,FALSE)</f>
        <v>860</v>
      </c>
      <c r="H220" s="94">
        <f ca="1">VLOOKUP(B220,'115+740'!$B$15:$AB$757,4,FALSE)</f>
        <v>755</v>
      </c>
      <c r="I220" s="91">
        <f t="shared" ca="1" si="41"/>
        <v>1900</v>
      </c>
      <c r="J220" s="91">
        <f ca="1">VLOOKUP(B220,'115+740'!$B$15:$AB$757,13,FALSE)</f>
        <v>-100</v>
      </c>
      <c r="K220" s="89">
        <f>'115+740'!Q221</f>
        <v>0</v>
      </c>
      <c r="L220" s="88">
        <f t="shared" ca="1" si="46"/>
        <v>140</v>
      </c>
      <c r="M220" s="93">
        <f ca="1">VLOOKUP(B220,'115+740'!$B$14:$AB$757,21,FALSE)</f>
        <v>897</v>
      </c>
      <c r="N220" s="92">
        <f ca="1">VLOOKUP(B220,'115+740'!$B$15:$AB$757,5,FALSE)</f>
        <v>768</v>
      </c>
      <c r="O220" s="91">
        <f t="shared" ca="1" si="42"/>
        <v>1887</v>
      </c>
      <c r="P220" s="91">
        <f ca="1">VLOOKUP(B220,'115+740'!$B$15:$AB$757,14,FALSE)</f>
        <v>-113</v>
      </c>
      <c r="Q220" s="89">
        <f>'115+740'!R221</f>
        <v>0</v>
      </c>
      <c r="R220" s="88">
        <f t="shared" ca="1" si="47"/>
        <v>103</v>
      </c>
      <c r="S220" s="93">
        <f ca="1">VLOOKUP(B220,'115+740'!$B$14:$AB$757,22,FALSE)</f>
        <v>874</v>
      </c>
      <c r="T220" s="92">
        <f ca="1">VLOOKUP(B220,'115+740'!$B$15:$AB$757,6,FALSE)</f>
        <v>821</v>
      </c>
      <c r="U220" s="91">
        <f t="shared" ca="1" si="43"/>
        <v>1834</v>
      </c>
      <c r="V220" s="90">
        <f ca="1">VLOOKUP(B220,'115+740'!$B$15:$AB$757,15,FALSE)</f>
        <v>-166</v>
      </c>
      <c r="W220" s="89">
        <f>'115+740'!S221</f>
        <v>0</v>
      </c>
      <c r="X220" s="88">
        <f t="shared" ca="1" si="48"/>
        <v>126</v>
      </c>
      <c r="Y220" s="87">
        <f t="shared" ca="1" si="49"/>
        <v>0</v>
      </c>
      <c r="Z220" s="86">
        <f t="shared" ca="1" si="50"/>
        <v>0</v>
      </c>
      <c r="AA220" s="85">
        <f t="shared" ca="1" si="51"/>
        <v>1.0069999999999999</v>
      </c>
      <c r="AB220" s="85">
        <f t="shared" ca="1" si="52"/>
        <v>0.80400000000000005</v>
      </c>
    </row>
    <row r="221" spans="2:28">
      <c r="B221" s="98">
        <f>'115+740'!B222</f>
        <v>45280</v>
      </c>
      <c r="C221" s="97">
        <f t="shared" si="44"/>
        <v>1</v>
      </c>
      <c r="D221" s="96">
        <f t="shared" si="45"/>
        <v>1069</v>
      </c>
      <c r="E221" s="95">
        <f>VLOOKUP(B221,'115+740'!B222:AB323,3,FALSE)</f>
        <v>1588</v>
      </c>
      <c r="F221" s="92">
        <f t="shared" si="40"/>
        <v>2657</v>
      </c>
      <c r="G221" s="94">
        <f ca="1">VLOOKUP(B221,'115+740'!$B$15:$AB$757,20,FALSE)</f>
        <v>860</v>
      </c>
      <c r="H221" s="94">
        <f ca="1">VLOOKUP(B221,'115+740'!$B$15:$AB$757,4,FALSE)</f>
        <v>757</v>
      </c>
      <c r="I221" s="91">
        <f t="shared" ca="1" si="41"/>
        <v>1900</v>
      </c>
      <c r="J221" s="91">
        <f ca="1">VLOOKUP(B221,'115+740'!$B$15:$AB$757,13,FALSE)</f>
        <v>-100</v>
      </c>
      <c r="K221" s="89">
        <f>'115+740'!Q222</f>
        <v>0</v>
      </c>
      <c r="L221" s="88">
        <f t="shared" ca="1" si="46"/>
        <v>140</v>
      </c>
      <c r="M221" s="93">
        <f ca="1">VLOOKUP(B221,'115+740'!$B$14:$AB$757,21,FALSE)</f>
        <v>897</v>
      </c>
      <c r="N221" s="92">
        <f ca="1">VLOOKUP(B221,'115+740'!$B$15:$AB$757,5,FALSE)</f>
        <v>770</v>
      </c>
      <c r="O221" s="91">
        <f t="shared" ca="1" si="42"/>
        <v>1887</v>
      </c>
      <c r="P221" s="91">
        <f ca="1">VLOOKUP(B221,'115+740'!$B$15:$AB$757,14,FALSE)</f>
        <v>-113</v>
      </c>
      <c r="Q221" s="89">
        <f>'115+740'!R222</f>
        <v>0</v>
      </c>
      <c r="R221" s="88">
        <f t="shared" ca="1" si="47"/>
        <v>103</v>
      </c>
      <c r="S221" s="93">
        <f ca="1">VLOOKUP(B221,'115+740'!$B$14:$AB$757,22,FALSE)</f>
        <v>874</v>
      </c>
      <c r="T221" s="92">
        <f ca="1">VLOOKUP(B221,'115+740'!$B$15:$AB$757,6,FALSE)</f>
        <v>823</v>
      </c>
      <c r="U221" s="91">
        <f t="shared" ca="1" si="43"/>
        <v>1834</v>
      </c>
      <c r="V221" s="90">
        <f ca="1">VLOOKUP(B221,'115+740'!$B$15:$AB$757,15,FALSE)</f>
        <v>-166</v>
      </c>
      <c r="W221" s="89">
        <f>'115+740'!S222</f>
        <v>0</v>
      </c>
      <c r="X221" s="88">
        <f t="shared" ca="1" si="48"/>
        <v>126</v>
      </c>
      <c r="Y221" s="87">
        <f t="shared" ca="1" si="49"/>
        <v>0</v>
      </c>
      <c r="Z221" s="86">
        <f t="shared" ca="1" si="50"/>
        <v>0</v>
      </c>
      <c r="AA221" s="85">
        <f t="shared" ca="1" si="51"/>
        <v>1.0069999999999999</v>
      </c>
      <c r="AB221" s="85">
        <f t="shared" ca="1" si="52"/>
        <v>0.80400000000000005</v>
      </c>
    </row>
    <row r="222" spans="2:28">
      <c r="B222" s="98">
        <f>'115+740'!B223</f>
        <v>45281</v>
      </c>
      <c r="C222" s="97">
        <f t="shared" si="44"/>
        <v>1</v>
      </c>
      <c r="D222" s="96">
        <f t="shared" si="45"/>
        <v>1069</v>
      </c>
      <c r="E222" s="95">
        <f>VLOOKUP(B222,'115+740'!B223:AB324,3,FALSE)</f>
        <v>1590</v>
      </c>
      <c r="F222" s="92">
        <f t="shared" si="40"/>
        <v>2659</v>
      </c>
      <c r="G222" s="94">
        <f ca="1">VLOOKUP(B222,'115+740'!$B$15:$AB$757,20,FALSE)</f>
        <v>860</v>
      </c>
      <c r="H222" s="94">
        <f ca="1">VLOOKUP(B222,'115+740'!$B$15:$AB$757,4,FALSE)</f>
        <v>759</v>
      </c>
      <c r="I222" s="91">
        <f t="shared" ca="1" si="41"/>
        <v>1900</v>
      </c>
      <c r="J222" s="91">
        <f ca="1">VLOOKUP(B222,'115+740'!$B$15:$AB$757,13,FALSE)</f>
        <v>-100</v>
      </c>
      <c r="K222" s="89">
        <f>'115+740'!Q223</f>
        <v>0</v>
      </c>
      <c r="L222" s="88">
        <f t="shared" ca="1" si="46"/>
        <v>140</v>
      </c>
      <c r="M222" s="93">
        <f ca="1">VLOOKUP(B222,'115+740'!$B$14:$AB$757,21,FALSE)</f>
        <v>897</v>
      </c>
      <c r="N222" s="92">
        <f ca="1">VLOOKUP(B222,'115+740'!$B$15:$AB$757,5,FALSE)</f>
        <v>772</v>
      </c>
      <c r="O222" s="91">
        <f t="shared" ca="1" si="42"/>
        <v>1887</v>
      </c>
      <c r="P222" s="91">
        <f ca="1">VLOOKUP(B222,'115+740'!$B$15:$AB$757,14,FALSE)</f>
        <v>-113</v>
      </c>
      <c r="Q222" s="89">
        <f>'115+740'!R223</f>
        <v>0</v>
      </c>
      <c r="R222" s="88">
        <f t="shared" ca="1" si="47"/>
        <v>103</v>
      </c>
      <c r="S222" s="93">
        <f ca="1">VLOOKUP(B222,'115+740'!$B$14:$AB$757,22,FALSE)</f>
        <v>874</v>
      </c>
      <c r="T222" s="92">
        <f ca="1">VLOOKUP(B222,'115+740'!$B$15:$AB$757,6,FALSE)</f>
        <v>825</v>
      </c>
      <c r="U222" s="91">
        <f t="shared" ca="1" si="43"/>
        <v>1834</v>
      </c>
      <c r="V222" s="90">
        <f ca="1">VLOOKUP(B222,'115+740'!$B$15:$AB$757,15,FALSE)</f>
        <v>-166</v>
      </c>
      <c r="W222" s="89">
        <f>'115+740'!S223</f>
        <v>0</v>
      </c>
      <c r="X222" s="88">
        <f t="shared" ca="1" si="48"/>
        <v>126</v>
      </c>
      <c r="Y222" s="87">
        <f t="shared" ca="1" si="49"/>
        <v>0</v>
      </c>
      <c r="Z222" s="86">
        <f t="shared" ca="1" si="50"/>
        <v>0</v>
      </c>
      <c r="AA222" s="85">
        <f t="shared" ca="1" si="51"/>
        <v>1.0069999999999999</v>
      </c>
      <c r="AB222" s="85">
        <f t="shared" ca="1" si="52"/>
        <v>0.80400000000000005</v>
      </c>
    </row>
    <row r="223" spans="2:28">
      <c r="B223" s="98">
        <f>'115+740'!B224</f>
        <v>45282</v>
      </c>
      <c r="C223" s="97">
        <f t="shared" si="44"/>
        <v>1</v>
      </c>
      <c r="D223" s="96">
        <f t="shared" si="45"/>
        <v>1069</v>
      </c>
      <c r="E223" s="95">
        <f>VLOOKUP(B223,'115+740'!B224:AB325,3,FALSE)</f>
        <v>1592</v>
      </c>
      <c r="F223" s="92">
        <f t="shared" si="40"/>
        <v>2661</v>
      </c>
      <c r="G223" s="94">
        <f ca="1">VLOOKUP(B223,'115+740'!$B$15:$AB$757,20,FALSE)</f>
        <v>860</v>
      </c>
      <c r="H223" s="94">
        <f ca="1">VLOOKUP(B223,'115+740'!$B$15:$AB$757,4,FALSE)</f>
        <v>761</v>
      </c>
      <c r="I223" s="91">
        <f t="shared" ca="1" si="41"/>
        <v>1900</v>
      </c>
      <c r="J223" s="91">
        <f ca="1">VLOOKUP(B223,'115+740'!$B$15:$AB$757,13,FALSE)</f>
        <v>-100</v>
      </c>
      <c r="K223" s="89">
        <f>'115+740'!Q224</f>
        <v>0</v>
      </c>
      <c r="L223" s="88">
        <f t="shared" ca="1" si="46"/>
        <v>140</v>
      </c>
      <c r="M223" s="93">
        <f ca="1">VLOOKUP(B223,'115+740'!$B$14:$AB$757,21,FALSE)</f>
        <v>897</v>
      </c>
      <c r="N223" s="92">
        <f ca="1">VLOOKUP(B223,'115+740'!$B$15:$AB$757,5,FALSE)</f>
        <v>774</v>
      </c>
      <c r="O223" s="91">
        <f t="shared" ca="1" si="42"/>
        <v>1887</v>
      </c>
      <c r="P223" s="91">
        <f ca="1">VLOOKUP(B223,'115+740'!$B$15:$AB$757,14,FALSE)</f>
        <v>-113</v>
      </c>
      <c r="Q223" s="89">
        <f>'115+740'!R224</f>
        <v>0</v>
      </c>
      <c r="R223" s="88">
        <f t="shared" ca="1" si="47"/>
        <v>103</v>
      </c>
      <c r="S223" s="93">
        <f ca="1">VLOOKUP(B223,'115+740'!$B$14:$AB$757,22,FALSE)</f>
        <v>874</v>
      </c>
      <c r="T223" s="92">
        <f ca="1">VLOOKUP(B223,'115+740'!$B$15:$AB$757,6,FALSE)</f>
        <v>827</v>
      </c>
      <c r="U223" s="91">
        <f t="shared" ca="1" si="43"/>
        <v>1834</v>
      </c>
      <c r="V223" s="90">
        <f ca="1">VLOOKUP(B223,'115+740'!$B$15:$AB$757,15,FALSE)</f>
        <v>-166</v>
      </c>
      <c r="W223" s="89">
        <f>'115+740'!S224</f>
        <v>0</v>
      </c>
      <c r="X223" s="88">
        <f t="shared" ca="1" si="48"/>
        <v>126</v>
      </c>
      <c r="Y223" s="87">
        <f t="shared" ca="1" si="49"/>
        <v>0</v>
      </c>
      <c r="Z223" s="86">
        <f t="shared" ca="1" si="50"/>
        <v>0</v>
      </c>
      <c r="AA223" s="85">
        <f t="shared" ca="1" si="51"/>
        <v>1.0069999999999999</v>
      </c>
      <c r="AB223" s="85">
        <f t="shared" ca="1" si="52"/>
        <v>0.80400000000000005</v>
      </c>
    </row>
    <row r="224" spans="2:28">
      <c r="B224" s="98">
        <f>'115+740'!B225</f>
        <v>45283</v>
      </c>
      <c r="C224" s="97">
        <f t="shared" si="44"/>
        <v>1</v>
      </c>
      <c r="D224" s="96">
        <f t="shared" si="45"/>
        <v>1069</v>
      </c>
      <c r="E224" s="95">
        <f>VLOOKUP(B224,'115+740'!B225:AB326,3,FALSE)</f>
        <v>1594</v>
      </c>
      <c r="F224" s="92">
        <f t="shared" si="40"/>
        <v>2663</v>
      </c>
      <c r="G224" s="94">
        <f ca="1">VLOOKUP(B224,'115+740'!$B$15:$AB$757,20,FALSE)</f>
        <v>860</v>
      </c>
      <c r="H224" s="94">
        <f ca="1">VLOOKUP(B224,'115+740'!$B$15:$AB$757,4,FALSE)</f>
        <v>763</v>
      </c>
      <c r="I224" s="91">
        <f t="shared" ca="1" si="41"/>
        <v>1900</v>
      </c>
      <c r="J224" s="91">
        <f ca="1">VLOOKUP(B224,'115+740'!$B$15:$AB$757,13,FALSE)</f>
        <v>-100</v>
      </c>
      <c r="K224" s="89">
        <f>'115+740'!Q225</f>
        <v>0</v>
      </c>
      <c r="L224" s="88">
        <f t="shared" ca="1" si="46"/>
        <v>140</v>
      </c>
      <c r="M224" s="93">
        <f ca="1">VLOOKUP(B224,'115+740'!$B$14:$AB$757,21,FALSE)</f>
        <v>897</v>
      </c>
      <c r="N224" s="92">
        <f ca="1">VLOOKUP(B224,'115+740'!$B$15:$AB$757,5,FALSE)</f>
        <v>776</v>
      </c>
      <c r="O224" s="91">
        <f t="shared" ca="1" si="42"/>
        <v>1887</v>
      </c>
      <c r="P224" s="91">
        <f ca="1">VLOOKUP(B224,'115+740'!$B$15:$AB$757,14,FALSE)</f>
        <v>-113</v>
      </c>
      <c r="Q224" s="89">
        <f>'115+740'!R225</f>
        <v>0</v>
      </c>
      <c r="R224" s="88">
        <f t="shared" ca="1" si="47"/>
        <v>103</v>
      </c>
      <c r="S224" s="93">
        <f ca="1">VLOOKUP(B224,'115+740'!$B$14:$AB$757,22,FALSE)</f>
        <v>874</v>
      </c>
      <c r="T224" s="92">
        <f ca="1">VLOOKUP(B224,'115+740'!$B$15:$AB$757,6,FALSE)</f>
        <v>829</v>
      </c>
      <c r="U224" s="91">
        <f t="shared" ca="1" si="43"/>
        <v>1834</v>
      </c>
      <c r="V224" s="90">
        <f ca="1">VLOOKUP(B224,'115+740'!$B$15:$AB$757,15,FALSE)</f>
        <v>-166</v>
      </c>
      <c r="W224" s="89">
        <f>'115+740'!S225</f>
        <v>0</v>
      </c>
      <c r="X224" s="88">
        <f t="shared" ca="1" si="48"/>
        <v>126</v>
      </c>
      <c r="Y224" s="87">
        <f t="shared" ca="1" si="49"/>
        <v>0</v>
      </c>
      <c r="Z224" s="86">
        <f t="shared" ca="1" si="50"/>
        <v>0</v>
      </c>
      <c r="AA224" s="85">
        <f t="shared" ca="1" si="51"/>
        <v>1.0069999999999999</v>
      </c>
      <c r="AB224" s="85">
        <f t="shared" ca="1" si="52"/>
        <v>0.80400000000000005</v>
      </c>
    </row>
    <row r="225" spans="2:28">
      <c r="B225" s="98">
        <f>'115+740'!B226</f>
        <v>45284</v>
      </c>
      <c r="C225" s="97">
        <f t="shared" si="44"/>
        <v>1</v>
      </c>
      <c r="D225" s="96">
        <f t="shared" si="45"/>
        <v>1069</v>
      </c>
      <c r="E225" s="95">
        <f>VLOOKUP(B225,'115+740'!B226:AB327,3,FALSE)</f>
        <v>1596</v>
      </c>
      <c r="F225" s="92">
        <f t="shared" si="40"/>
        <v>2665</v>
      </c>
      <c r="G225" s="94">
        <f ca="1">VLOOKUP(B225,'115+740'!$B$15:$AB$757,20,FALSE)</f>
        <v>860</v>
      </c>
      <c r="H225" s="94">
        <f ca="1">VLOOKUP(B225,'115+740'!$B$15:$AB$757,4,FALSE)</f>
        <v>765</v>
      </c>
      <c r="I225" s="91">
        <f t="shared" ca="1" si="41"/>
        <v>1900</v>
      </c>
      <c r="J225" s="91">
        <f ca="1">VLOOKUP(B225,'115+740'!$B$15:$AB$757,13,FALSE)</f>
        <v>-100</v>
      </c>
      <c r="K225" s="89">
        <f>'115+740'!Q226</f>
        <v>0</v>
      </c>
      <c r="L225" s="88">
        <f t="shared" ca="1" si="46"/>
        <v>140</v>
      </c>
      <c r="M225" s="93">
        <f ca="1">VLOOKUP(B225,'115+740'!$B$14:$AB$757,21,FALSE)</f>
        <v>897</v>
      </c>
      <c r="N225" s="92">
        <f ca="1">VLOOKUP(B225,'115+740'!$B$15:$AB$757,5,FALSE)</f>
        <v>778</v>
      </c>
      <c r="O225" s="91">
        <f t="shared" ca="1" si="42"/>
        <v>1887</v>
      </c>
      <c r="P225" s="91">
        <f ca="1">VLOOKUP(B225,'115+740'!$B$15:$AB$757,14,FALSE)</f>
        <v>-113</v>
      </c>
      <c r="Q225" s="89">
        <f>'115+740'!R226</f>
        <v>0</v>
      </c>
      <c r="R225" s="88">
        <f t="shared" ca="1" si="47"/>
        <v>103</v>
      </c>
      <c r="S225" s="93">
        <f ca="1">VLOOKUP(B225,'115+740'!$B$14:$AB$757,22,FALSE)</f>
        <v>874</v>
      </c>
      <c r="T225" s="92">
        <f ca="1">VLOOKUP(B225,'115+740'!$B$15:$AB$757,6,FALSE)</f>
        <v>831</v>
      </c>
      <c r="U225" s="91">
        <f t="shared" ca="1" si="43"/>
        <v>1834</v>
      </c>
      <c r="V225" s="90">
        <f ca="1">VLOOKUP(B225,'115+740'!$B$15:$AB$757,15,FALSE)</f>
        <v>-166</v>
      </c>
      <c r="W225" s="89">
        <f>'115+740'!S226</f>
        <v>0</v>
      </c>
      <c r="X225" s="88">
        <f t="shared" ca="1" si="48"/>
        <v>126</v>
      </c>
      <c r="Y225" s="87">
        <f t="shared" ca="1" si="49"/>
        <v>0</v>
      </c>
      <c r="Z225" s="86">
        <f t="shared" ca="1" si="50"/>
        <v>0</v>
      </c>
      <c r="AA225" s="85">
        <f t="shared" ca="1" si="51"/>
        <v>1.0069999999999999</v>
      </c>
      <c r="AB225" s="85">
        <f t="shared" ca="1" si="52"/>
        <v>0.80400000000000005</v>
      </c>
    </row>
    <row r="226" spans="2:28">
      <c r="B226" s="98">
        <f>'115+740'!B227</f>
        <v>45285</v>
      </c>
      <c r="C226" s="97">
        <f t="shared" si="44"/>
        <v>1</v>
      </c>
      <c r="D226" s="96">
        <f t="shared" si="45"/>
        <v>1069</v>
      </c>
      <c r="E226" s="95">
        <f>VLOOKUP(B226,'115+740'!B227:AB328,3,FALSE)</f>
        <v>1598</v>
      </c>
      <c r="F226" s="92">
        <f t="shared" si="40"/>
        <v>2667</v>
      </c>
      <c r="G226" s="94">
        <f ca="1">VLOOKUP(B226,'115+740'!$B$15:$AB$757,20,FALSE)</f>
        <v>860</v>
      </c>
      <c r="H226" s="94">
        <f ca="1">VLOOKUP(B226,'115+740'!$B$15:$AB$757,4,FALSE)</f>
        <v>767</v>
      </c>
      <c r="I226" s="91">
        <f t="shared" ca="1" si="41"/>
        <v>1900</v>
      </c>
      <c r="J226" s="91">
        <f ca="1">VLOOKUP(B226,'115+740'!$B$15:$AB$757,13,FALSE)</f>
        <v>-100</v>
      </c>
      <c r="K226" s="89">
        <f>'115+740'!Q227</f>
        <v>0</v>
      </c>
      <c r="L226" s="88">
        <f t="shared" ca="1" si="46"/>
        <v>140</v>
      </c>
      <c r="M226" s="93">
        <f ca="1">VLOOKUP(B226,'115+740'!$B$14:$AB$757,21,FALSE)</f>
        <v>897</v>
      </c>
      <c r="N226" s="92">
        <f ca="1">VLOOKUP(B226,'115+740'!$B$15:$AB$757,5,FALSE)</f>
        <v>780</v>
      </c>
      <c r="O226" s="91">
        <f t="shared" ca="1" si="42"/>
        <v>1887</v>
      </c>
      <c r="P226" s="91">
        <f ca="1">VLOOKUP(B226,'115+740'!$B$15:$AB$757,14,FALSE)</f>
        <v>-113</v>
      </c>
      <c r="Q226" s="89">
        <f>'115+740'!R227</f>
        <v>0</v>
      </c>
      <c r="R226" s="88">
        <f t="shared" ca="1" si="47"/>
        <v>103</v>
      </c>
      <c r="S226" s="93">
        <f ca="1">VLOOKUP(B226,'115+740'!$B$14:$AB$757,22,FALSE)</f>
        <v>874</v>
      </c>
      <c r="T226" s="92">
        <f ca="1">VLOOKUP(B226,'115+740'!$B$15:$AB$757,6,FALSE)</f>
        <v>833</v>
      </c>
      <c r="U226" s="91">
        <f t="shared" ca="1" si="43"/>
        <v>1834</v>
      </c>
      <c r="V226" s="90">
        <f ca="1">VLOOKUP(B226,'115+740'!$B$15:$AB$757,15,FALSE)</f>
        <v>-166</v>
      </c>
      <c r="W226" s="89">
        <f>'115+740'!S227</f>
        <v>0</v>
      </c>
      <c r="X226" s="88">
        <f t="shared" ca="1" si="48"/>
        <v>126</v>
      </c>
      <c r="Y226" s="87">
        <f t="shared" ca="1" si="49"/>
        <v>0</v>
      </c>
      <c r="Z226" s="86">
        <f t="shared" ca="1" si="50"/>
        <v>0</v>
      </c>
      <c r="AA226" s="85">
        <f t="shared" ca="1" si="51"/>
        <v>1.0069999999999999</v>
      </c>
      <c r="AB226" s="85">
        <f t="shared" ca="1" si="52"/>
        <v>0.80400000000000005</v>
      </c>
    </row>
    <row r="227" spans="2:28">
      <c r="B227" s="98">
        <f>'115+740'!B228</f>
        <v>45286</v>
      </c>
      <c r="C227" s="97">
        <f t="shared" si="44"/>
        <v>1</v>
      </c>
      <c r="D227" s="96">
        <f t="shared" si="45"/>
        <v>1069</v>
      </c>
      <c r="E227" s="95">
        <f>VLOOKUP(B227,'115+740'!B228:AB329,3,FALSE)</f>
        <v>1600</v>
      </c>
      <c r="F227" s="92">
        <f t="shared" si="40"/>
        <v>2669</v>
      </c>
      <c r="G227" s="94">
        <f ca="1">VLOOKUP(B227,'115+740'!$B$15:$AB$757,20,FALSE)</f>
        <v>860</v>
      </c>
      <c r="H227" s="94">
        <f ca="1">VLOOKUP(B227,'115+740'!$B$15:$AB$757,4,FALSE)</f>
        <v>769</v>
      </c>
      <c r="I227" s="91">
        <f t="shared" ca="1" si="41"/>
        <v>1900</v>
      </c>
      <c r="J227" s="91">
        <f ca="1">VLOOKUP(B227,'115+740'!$B$15:$AB$757,13,FALSE)</f>
        <v>-100</v>
      </c>
      <c r="K227" s="89">
        <f>'115+740'!Q228</f>
        <v>0</v>
      </c>
      <c r="L227" s="88">
        <f t="shared" ca="1" si="46"/>
        <v>140</v>
      </c>
      <c r="M227" s="93">
        <f ca="1">VLOOKUP(B227,'115+740'!$B$14:$AB$757,21,FALSE)</f>
        <v>897</v>
      </c>
      <c r="N227" s="92">
        <f ca="1">VLOOKUP(B227,'115+740'!$B$15:$AB$757,5,FALSE)</f>
        <v>782</v>
      </c>
      <c r="O227" s="91">
        <f t="shared" ca="1" si="42"/>
        <v>1887</v>
      </c>
      <c r="P227" s="91">
        <f ca="1">VLOOKUP(B227,'115+740'!$B$15:$AB$757,14,FALSE)</f>
        <v>-113</v>
      </c>
      <c r="Q227" s="89">
        <f>'115+740'!R228</f>
        <v>0</v>
      </c>
      <c r="R227" s="88">
        <f t="shared" ca="1" si="47"/>
        <v>103</v>
      </c>
      <c r="S227" s="93">
        <f ca="1">VLOOKUP(B227,'115+740'!$B$14:$AB$757,22,FALSE)</f>
        <v>874</v>
      </c>
      <c r="T227" s="92">
        <f ca="1">VLOOKUP(B227,'115+740'!$B$15:$AB$757,6,FALSE)</f>
        <v>835</v>
      </c>
      <c r="U227" s="91">
        <f t="shared" ca="1" si="43"/>
        <v>1834</v>
      </c>
      <c r="V227" s="90">
        <f ca="1">VLOOKUP(B227,'115+740'!$B$15:$AB$757,15,FALSE)</f>
        <v>-166</v>
      </c>
      <c r="W227" s="89">
        <f>'115+740'!S228</f>
        <v>0</v>
      </c>
      <c r="X227" s="88">
        <f t="shared" ca="1" si="48"/>
        <v>126</v>
      </c>
      <c r="Y227" s="87">
        <f t="shared" ca="1" si="49"/>
        <v>0</v>
      </c>
      <c r="Z227" s="86">
        <f t="shared" ca="1" si="50"/>
        <v>0</v>
      </c>
      <c r="AA227" s="85">
        <f t="shared" ca="1" si="51"/>
        <v>1.0069999999999999</v>
      </c>
      <c r="AB227" s="85">
        <f t="shared" ca="1" si="52"/>
        <v>0.80400000000000005</v>
      </c>
    </row>
    <row r="228" spans="2:28">
      <c r="B228" s="98">
        <f>'115+740'!B229</f>
        <v>45287</v>
      </c>
      <c r="C228" s="97">
        <f t="shared" si="44"/>
        <v>1</v>
      </c>
      <c r="D228" s="96">
        <f t="shared" si="45"/>
        <v>1069</v>
      </c>
      <c r="E228" s="95">
        <f>VLOOKUP(B228,'115+740'!B229:AB330,3,FALSE)</f>
        <v>1602</v>
      </c>
      <c r="F228" s="92">
        <f t="shared" si="40"/>
        <v>2671</v>
      </c>
      <c r="G228" s="94">
        <f ca="1">VLOOKUP(B228,'115+740'!$B$15:$AB$757,20,FALSE)</f>
        <v>860</v>
      </c>
      <c r="H228" s="94">
        <f ca="1">VLOOKUP(B228,'115+740'!$B$15:$AB$757,4,FALSE)</f>
        <v>771</v>
      </c>
      <c r="I228" s="91">
        <f t="shared" ca="1" si="41"/>
        <v>1900</v>
      </c>
      <c r="J228" s="91">
        <f ca="1">VLOOKUP(B228,'115+740'!$B$15:$AB$757,13,FALSE)</f>
        <v>-100</v>
      </c>
      <c r="K228" s="89">
        <f>'115+740'!Q229</f>
        <v>0</v>
      </c>
      <c r="L228" s="88">
        <f t="shared" ca="1" si="46"/>
        <v>140</v>
      </c>
      <c r="M228" s="93">
        <f ca="1">VLOOKUP(B228,'115+740'!$B$14:$AB$757,21,FALSE)</f>
        <v>897</v>
      </c>
      <c r="N228" s="92">
        <f ca="1">VLOOKUP(B228,'115+740'!$B$15:$AB$757,5,FALSE)</f>
        <v>784</v>
      </c>
      <c r="O228" s="91">
        <f t="shared" ca="1" si="42"/>
        <v>1887</v>
      </c>
      <c r="P228" s="91">
        <f ca="1">VLOOKUP(B228,'115+740'!$B$15:$AB$757,14,FALSE)</f>
        <v>-113</v>
      </c>
      <c r="Q228" s="89">
        <f>'115+740'!R229</f>
        <v>0</v>
      </c>
      <c r="R228" s="88">
        <f t="shared" ca="1" si="47"/>
        <v>103</v>
      </c>
      <c r="S228" s="93">
        <f ca="1">VLOOKUP(B228,'115+740'!$B$14:$AB$757,22,FALSE)</f>
        <v>874</v>
      </c>
      <c r="T228" s="92">
        <f ca="1">VLOOKUP(B228,'115+740'!$B$15:$AB$757,6,FALSE)</f>
        <v>837</v>
      </c>
      <c r="U228" s="91">
        <f t="shared" ca="1" si="43"/>
        <v>1834</v>
      </c>
      <c r="V228" s="90">
        <f ca="1">VLOOKUP(B228,'115+740'!$B$15:$AB$757,15,FALSE)</f>
        <v>-166</v>
      </c>
      <c r="W228" s="89">
        <f>'115+740'!S229</f>
        <v>0</v>
      </c>
      <c r="X228" s="88">
        <f t="shared" ca="1" si="48"/>
        <v>126</v>
      </c>
      <c r="Y228" s="87">
        <f t="shared" ca="1" si="49"/>
        <v>0</v>
      </c>
      <c r="Z228" s="86">
        <f t="shared" ca="1" si="50"/>
        <v>0</v>
      </c>
      <c r="AA228" s="85">
        <f t="shared" ca="1" si="51"/>
        <v>1.0069999999999999</v>
      </c>
      <c r="AB228" s="85">
        <f t="shared" ca="1" si="52"/>
        <v>0.80400000000000005</v>
      </c>
    </row>
    <row r="229" spans="2:28">
      <c r="B229" s="98">
        <f>'115+740'!B230</f>
        <v>45288</v>
      </c>
      <c r="C229" s="97">
        <f t="shared" si="44"/>
        <v>1</v>
      </c>
      <c r="D229" s="96">
        <f t="shared" si="45"/>
        <v>1069</v>
      </c>
      <c r="E229" s="95">
        <f>VLOOKUP(B229,'115+740'!B230:AB331,3,FALSE)</f>
        <v>1604</v>
      </c>
      <c r="F229" s="92">
        <f t="shared" si="40"/>
        <v>2673</v>
      </c>
      <c r="G229" s="94">
        <f ca="1">VLOOKUP(B229,'115+740'!$B$15:$AB$757,20,FALSE)</f>
        <v>860</v>
      </c>
      <c r="H229" s="94">
        <f ca="1">VLOOKUP(B229,'115+740'!$B$15:$AB$757,4,FALSE)</f>
        <v>773</v>
      </c>
      <c r="I229" s="91">
        <f t="shared" ca="1" si="41"/>
        <v>1900</v>
      </c>
      <c r="J229" s="91">
        <f ca="1">VLOOKUP(B229,'115+740'!$B$15:$AB$757,13,FALSE)</f>
        <v>-100</v>
      </c>
      <c r="K229" s="89">
        <f>'115+740'!Q230</f>
        <v>0</v>
      </c>
      <c r="L229" s="88">
        <f t="shared" ca="1" si="46"/>
        <v>140</v>
      </c>
      <c r="M229" s="93">
        <f ca="1">VLOOKUP(B229,'115+740'!$B$14:$AB$757,21,FALSE)</f>
        <v>897</v>
      </c>
      <c r="N229" s="92">
        <f ca="1">VLOOKUP(B229,'115+740'!$B$15:$AB$757,5,FALSE)</f>
        <v>786</v>
      </c>
      <c r="O229" s="91">
        <f t="shared" ca="1" si="42"/>
        <v>1887</v>
      </c>
      <c r="P229" s="91">
        <f ca="1">VLOOKUP(B229,'115+740'!$B$15:$AB$757,14,FALSE)</f>
        <v>-113</v>
      </c>
      <c r="Q229" s="89">
        <f>'115+740'!R230</f>
        <v>0</v>
      </c>
      <c r="R229" s="88">
        <f t="shared" ca="1" si="47"/>
        <v>103</v>
      </c>
      <c r="S229" s="93">
        <f ca="1">VLOOKUP(B229,'115+740'!$B$14:$AB$757,22,FALSE)</f>
        <v>874</v>
      </c>
      <c r="T229" s="92">
        <f ca="1">VLOOKUP(B229,'115+740'!$B$15:$AB$757,6,FALSE)</f>
        <v>839</v>
      </c>
      <c r="U229" s="91">
        <f t="shared" ca="1" si="43"/>
        <v>1834</v>
      </c>
      <c r="V229" s="90">
        <f ca="1">VLOOKUP(B229,'115+740'!$B$15:$AB$757,15,FALSE)</f>
        <v>-166</v>
      </c>
      <c r="W229" s="89">
        <f>'115+740'!S230</f>
        <v>0</v>
      </c>
      <c r="X229" s="88">
        <f t="shared" ca="1" si="48"/>
        <v>126</v>
      </c>
      <c r="Y229" s="87">
        <f t="shared" ca="1" si="49"/>
        <v>0</v>
      </c>
      <c r="Z229" s="86">
        <f t="shared" ca="1" si="50"/>
        <v>0</v>
      </c>
      <c r="AA229" s="85">
        <f t="shared" ca="1" si="51"/>
        <v>1.0069999999999999</v>
      </c>
      <c r="AB229" s="85">
        <f t="shared" ca="1" si="52"/>
        <v>0.80400000000000005</v>
      </c>
    </row>
    <row r="230" spans="2:28">
      <c r="B230" s="98">
        <f>'115+740'!B231</f>
        <v>45289</v>
      </c>
      <c r="C230" s="97">
        <f t="shared" si="44"/>
        <v>1</v>
      </c>
      <c r="D230" s="96">
        <f t="shared" si="45"/>
        <v>1069</v>
      </c>
      <c r="E230" s="95">
        <f>VLOOKUP(B230,'115+740'!B231:AB332,3,FALSE)</f>
        <v>1606</v>
      </c>
      <c r="F230" s="92">
        <f t="shared" si="40"/>
        <v>2675</v>
      </c>
      <c r="G230" s="94">
        <f ca="1">VLOOKUP(B230,'115+740'!$B$15:$AB$757,20,FALSE)</f>
        <v>860</v>
      </c>
      <c r="H230" s="94">
        <f ca="1">VLOOKUP(B230,'115+740'!$B$15:$AB$757,4,FALSE)</f>
        <v>775</v>
      </c>
      <c r="I230" s="91">
        <f t="shared" ca="1" si="41"/>
        <v>1900</v>
      </c>
      <c r="J230" s="91">
        <f ca="1">VLOOKUP(B230,'115+740'!$B$15:$AB$757,13,FALSE)</f>
        <v>-100</v>
      </c>
      <c r="K230" s="89">
        <f>'115+740'!Q231</f>
        <v>0</v>
      </c>
      <c r="L230" s="88">
        <f t="shared" ca="1" si="46"/>
        <v>140</v>
      </c>
      <c r="M230" s="93">
        <f ca="1">VLOOKUP(B230,'115+740'!$B$14:$AB$757,21,FALSE)</f>
        <v>897</v>
      </c>
      <c r="N230" s="92">
        <f ca="1">VLOOKUP(B230,'115+740'!$B$15:$AB$757,5,FALSE)</f>
        <v>788</v>
      </c>
      <c r="O230" s="91">
        <f t="shared" ca="1" si="42"/>
        <v>1887</v>
      </c>
      <c r="P230" s="91">
        <f ca="1">VLOOKUP(B230,'115+740'!$B$15:$AB$757,14,FALSE)</f>
        <v>-113</v>
      </c>
      <c r="Q230" s="89">
        <f>'115+740'!R231</f>
        <v>0</v>
      </c>
      <c r="R230" s="88">
        <f t="shared" ca="1" si="47"/>
        <v>103</v>
      </c>
      <c r="S230" s="93">
        <f ca="1">VLOOKUP(B230,'115+740'!$B$14:$AB$757,22,FALSE)</f>
        <v>874</v>
      </c>
      <c r="T230" s="92">
        <f ca="1">VLOOKUP(B230,'115+740'!$B$15:$AB$757,6,FALSE)</f>
        <v>841</v>
      </c>
      <c r="U230" s="91">
        <f t="shared" ca="1" si="43"/>
        <v>1834</v>
      </c>
      <c r="V230" s="90">
        <f ca="1">VLOOKUP(B230,'115+740'!$B$15:$AB$757,15,FALSE)</f>
        <v>-166</v>
      </c>
      <c r="W230" s="89">
        <f>'115+740'!S231</f>
        <v>0</v>
      </c>
      <c r="X230" s="88">
        <f t="shared" ca="1" si="48"/>
        <v>126</v>
      </c>
      <c r="Y230" s="87">
        <f t="shared" ca="1" si="49"/>
        <v>0</v>
      </c>
      <c r="Z230" s="86">
        <f t="shared" ca="1" si="50"/>
        <v>0</v>
      </c>
      <c r="AA230" s="85">
        <f t="shared" ca="1" si="51"/>
        <v>1.0069999999999999</v>
      </c>
      <c r="AB230" s="85">
        <f t="shared" ca="1" si="52"/>
        <v>0.80400000000000005</v>
      </c>
    </row>
    <row r="231" spans="2:28">
      <c r="B231" s="98">
        <f>'115+740'!B232</f>
        <v>45290</v>
      </c>
      <c r="C231" s="97">
        <f t="shared" si="44"/>
        <v>1</v>
      </c>
      <c r="D231" s="96">
        <f t="shared" si="45"/>
        <v>1069</v>
      </c>
      <c r="E231" s="95">
        <f>VLOOKUP(B231,'115+740'!B232:AB333,3,FALSE)</f>
        <v>1608</v>
      </c>
      <c r="F231" s="92">
        <f t="shared" si="40"/>
        <v>2677</v>
      </c>
      <c r="G231" s="94">
        <f ca="1">VLOOKUP(B231,'115+740'!$B$15:$AB$757,20,FALSE)</f>
        <v>860</v>
      </c>
      <c r="H231" s="94">
        <f ca="1">VLOOKUP(B231,'115+740'!$B$15:$AB$757,4,FALSE)</f>
        <v>777</v>
      </c>
      <c r="I231" s="91">
        <f t="shared" ca="1" si="41"/>
        <v>1900</v>
      </c>
      <c r="J231" s="91">
        <f ca="1">VLOOKUP(B231,'115+740'!$B$15:$AB$757,13,FALSE)</f>
        <v>-100</v>
      </c>
      <c r="K231" s="89">
        <f>'115+740'!Q232</f>
        <v>0</v>
      </c>
      <c r="L231" s="88">
        <f t="shared" ca="1" si="46"/>
        <v>140</v>
      </c>
      <c r="M231" s="93">
        <f ca="1">VLOOKUP(B231,'115+740'!$B$14:$AB$757,21,FALSE)</f>
        <v>897</v>
      </c>
      <c r="N231" s="92">
        <f ca="1">VLOOKUP(B231,'115+740'!$B$15:$AB$757,5,FALSE)</f>
        <v>790</v>
      </c>
      <c r="O231" s="91">
        <f t="shared" ca="1" si="42"/>
        <v>1887</v>
      </c>
      <c r="P231" s="91">
        <f ca="1">VLOOKUP(B231,'115+740'!$B$15:$AB$757,14,FALSE)</f>
        <v>-113</v>
      </c>
      <c r="Q231" s="89">
        <f>'115+740'!R232</f>
        <v>0</v>
      </c>
      <c r="R231" s="88">
        <f t="shared" ca="1" si="47"/>
        <v>103</v>
      </c>
      <c r="S231" s="93">
        <f ca="1">VLOOKUP(B231,'115+740'!$B$14:$AB$757,22,FALSE)</f>
        <v>874</v>
      </c>
      <c r="T231" s="92">
        <f ca="1">VLOOKUP(B231,'115+740'!$B$15:$AB$757,6,FALSE)</f>
        <v>843</v>
      </c>
      <c r="U231" s="91">
        <f t="shared" ca="1" si="43"/>
        <v>1834</v>
      </c>
      <c r="V231" s="90">
        <f ca="1">VLOOKUP(B231,'115+740'!$B$15:$AB$757,15,FALSE)</f>
        <v>-166</v>
      </c>
      <c r="W231" s="89">
        <f>'115+740'!S232</f>
        <v>0</v>
      </c>
      <c r="X231" s="88">
        <f t="shared" ca="1" si="48"/>
        <v>126</v>
      </c>
      <c r="Y231" s="87">
        <f t="shared" ca="1" si="49"/>
        <v>0</v>
      </c>
      <c r="Z231" s="86">
        <f t="shared" ca="1" si="50"/>
        <v>0</v>
      </c>
      <c r="AA231" s="85">
        <f t="shared" ca="1" si="51"/>
        <v>1.0069999999999999</v>
      </c>
      <c r="AB231" s="85">
        <f t="shared" ca="1" si="52"/>
        <v>0.80400000000000005</v>
      </c>
    </row>
    <row r="232" spans="2:28">
      <c r="B232" s="98">
        <f>'115+740'!B233</f>
        <v>45291</v>
      </c>
      <c r="C232" s="97">
        <f t="shared" si="44"/>
        <v>1</v>
      </c>
      <c r="D232" s="96">
        <f t="shared" si="45"/>
        <v>1069</v>
      </c>
      <c r="E232" s="95">
        <f>VLOOKUP(B232,'115+740'!B233:AB334,3,FALSE)</f>
        <v>1610</v>
      </c>
      <c r="F232" s="92">
        <f t="shared" si="40"/>
        <v>2679</v>
      </c>
      <c r="G232" s="94">
        <f ca="1">VLOOKUP(B232,'115+740'!$B$15:$AB$757,20,FALSE)</f>
        <v>860</v>
      </c>
      <c r="H232" s="94">
        <f ca="1">VLOOKUP(B232,'115+740'!$B$15:$AB$757,4,FALSE)</f>
        <v>779</v>
      </c>
      <c r="I232" s="91">
        <f t="shared" ca="1" si="41"/>
        <v>1900</v>
      </c>
      <c r="J232" s="91">
        <f ca="1">VLOOKUP(B232,'115+740'!$B$15:$AB$757,13,FALSE)</f>
        <v>-100</v>
      </c>
      <c r="K232" s="89">
        <f>'115+740'!Q233</f>
        <v>0</v>
      </c>
      <c r="L232" s="88">
        <f t="shared" ca="1" si="46"/>
        <v>140</v>
      </c>
      <c r="M232" s="93">
        <f ca="1">VLOOKUP(B232,'115+740'!$B$14:$AB$757,21,FALSE)</f>
        <v>897</v>
      </c>
      <c r="N232" s="92">
        <f ca="1">VLOOKUP(B232,'115+740'!$B$15:$AB$757,5,FALSE)</f>
        <v>792</v>
      </c>
      <c r="O232" s="91">
        <f t="shared" ca="1" si="42"/>
        <v>1887</v>
      </c>
      <c r="P232" s="91">
        <f ca="1">VLOOKUP(B232,'115+740'!$B$15:$AB$757,14,FALSE)</f>
        <v>-113</v>
      </c>
      <c r="Q232" s="89">
        <f>'115+740'!R233</f>
        <v>0</v>
      </c>
      <c r="R232" s="88">
        <f t="shared" ca="1" si="47"/>
        <v>103</v>
      </c>
      <c r="S232" s="93">
        <f ca="1">VLOOKUP(B232,'115+740'!$B$14:$AB$757,22,FALSE)</f>
        <v>874</v>
      </c>
      <c r="T232" s="92">
        <f ca="1">VLOOKUP(B232,'115+740'!$B$15:$AB$757,6,FALSE)</f>
        <v>845</v>
      </c>
      <c r="U232" s="91">
        <f t="shared" ca="1" si="43"/>
        <v>1834</v>
      </c>
      <c r="V232" s="90">
        <f ca="1">VLOOKUP(B232,'115+740'!$B$15:$AB$757,15,FALSE)</f>
        <v>-166</v>
      </c>
      <c r="W232" s="89">
        <f>'115+740'!S233</f>
        <v>0</v>
      </c>
      <c r="X232" s="88">
        <f t="shared" ca="1" si="48"/>
        <v>126</v>
      </c>
      <c r="Y232" s="87">
        <f t="shared" ca="1" si="49"/>
        <v>0</v>
      </c>
      <c r="Z232" s="86">
        <f t="shared" ca="1" si="50"/>
        <v>0</v>
      </c>
      <c r="AA232" s="85">
        <f t="shared" ca="1" si="51"/>
        <v>1.0069999999999999</v>
      </c>
      <c r="AB232" s="85">
        <f t="shared" ca="1" si="52"/>
        <v>0.80400000000000005</v>
      </c>
    </row>
    <row r="233" spans="2:28">
      <c r="B233" s="98">
        <f>'115+740'!B234</f>
        <v>45292</v>
      </c>
      <c r="C233" s="97">
        <f t="shared" si="44"/>
        <v>1</v>
      </c>
      <c r="D233" s="96">
        <f t="shared" si="45"/>
        <v>1069</v>
      </c>
      <c r="E233" s="95">
        <f>VLOOKUP(B233,'115+740'!B234:AB335,3,FALSE)</f>
        <v>1612</v>
      </c>
      <c r="F233" s="92">
        <f t="shared" si="40"/>
        <v>2681</v>
      </c>
      <c r="G233" s="94">
        <f ca="1">VLOOKUP(B233,'115+740'!$B$15:$AB$757,20,FALSE)</f>
        <v>860</v>
      </c>
      <c r="H233" s="94">
        <f ca="1">VLOOKUP(B233,'115+740'!$B$15:$AB$757,4,FALSE)</f>
        <v>781</v>
      </c>
      <c r="I233" s="91">
        <f t="shared" ca="1" si="41"/>
        <v>1900</v>
      </c>
      <c r="J233" s="91">
        <f ca="1">VLOOKUP(B233,'115+740'!$B$15:$AB$757,13,FALSE)</f>
        <v>-100</v>
      </c>
      <c r="K233" s="89">
        <f>'115+740'!Q234</f>
        <v>0</v>
      </c>
      <c r="L233" s="88">
        <f t="shared" ca="1" si="46"/>
        <v>140</v>
      </c>
      <c r="M233" s="93">
        <f ca="1">VLOOKUP(B233,'115+740'!$B$14:$AB$757,21,FALSE)</f>
        <v>897</v>
      </c>
      <c r="N233" s="92">
        <f ca="1">VLOOKUP(B233,'115+740'!$B$15:$AB$757,5,FALSE)</f>
        <v>794</v>
      </c>
      <c r="O233" s="91">
        <f t="shared" ca="1" si="42"/>
        <v>1887</v>
      </c>
      <c r="P233" s="91">
        <f ca="1">VLOOKUP(B233,'115+740'!$B$15:$AB$757,14,FALSE)</f>
        <v>-113</v>
      </c>
      <c r="Q233" s="89">
        <f>'115+740'!R234</f>
        <v>0</v>
      </c>
      <c r="R233" s="88">
        <f t="shared" ca="1" si="47"/>
        <v>103</v>
      </c>
      <c r="S233" s="93">
        <f ca="1">VLOOKUP(B233,'115+740'!$B$14:$AB$757,22,FALSE)</f>
        <v>874</v>
      </c>
      <c r="T233" s="92">
        <f ca="1">VLOOKUP(B233,'115+740'!$B$15:$AB$757,6,FALSE)</f>
        <v>847</v>
      </c>
      <c r="U233" s="91">
        <f t="shared" ca="1" si="43"/>
        <v>1834</v>
      </c>
      <c r="V233" s="90">
        <f ca="1">VLOOKUP(B233,'115+740'!$B$15:$AB$757,15,FALSE)</f>
        <v>-166</v>
      </c>
      <c r="W233" s="89">
        <f>'115+740'!S234</f>
        <v>0</v>
      </c>
      <c r="X233" s="88">
        <f t="shared" ca="1" si="48"/>
        <v>126</v>
      </c>
      <c r="Y233" s="87">
        <f t="shared" ca="1" si="49"/>
        <v>0</v>
      </c>
      <c r="Z233" s="86">
        <f t="shared" ca="1" si="50"/>
        <v>0</v>
      </c>
      <c r="AA233" s="85">
        <f t="shared" ca="1" si="51"/>
        <v>1.0069999999999999</v>
      </c>
      <c r="AB233" s="85">
        <f t="shared" ca="1" si="52"/>
        <v>0.80400000000000005</v>
      </c>
    </row>
    <row r="234" spans="2:28">
      <c r="B234" s="98">
        <f>'115+740'!B235</f>
        <v>45293</v>
      </c>
      <c r="C234" s="97">
        <f t="shared" si="44"/>
        <v>1</v>
      </c>
      <c r="D234" s="96">
        <f t="shared" si="45"/>
        <v>1069</v>
      </c>
      <c r="E234" s="95">
        <f>VLOOKUP(B234,'115+740'!B235:AB336,3,FALSE)</f>
        <v>1614</v>
      </c>
      <c r="F234" s="92">
        <f t="shared" si="40"/>
        <v>2683</v>
      </c>
      <c r="G234" s="94">
        <f ca="1">VLOOKUP(B234,'115+740'!$B$15:$AB$757,20,FALSE)</f>
        <v>860</v>
      </c>
      <c r="H234" s="94">
        <f ca="1">VLOOKUP(B234,'115+740'!$B$15:$AB$757,4,FALSE)</f>
        <v>783</v>
      </c>
      <c r="I234" s="91">
        <f t="shared" ca="1" si="41"/>
        <v>1900</v>
      </c>
      <c r="J234" s="91">
        <f ca="1">VLOOKUP(B234,'115+740'!$B$15:$AB$757,13,FALSE)</f>
        <v>-100</v>
      </c>
      <c r="K234" s="89">
        <f>'115+740'!Q235</f>
        <v>0</v>
      </c>
      <c r="L234" s="88">
        <f t="shared" ca="1" si="46"/>
        <v>140</v>
      </c>
      <c r="M234" s="93">
        <f ca="1">VLOOKUP(B234,'115+740'!$B$14:$AB$757,21,FALSE)</f>
        <v>897</v>
      </c>
      <c r="N234" s="92">
        <f ca="1">VLOOKUP(B234,'115+740'!$B$15:$AB$757,5,FALSE)</f>
        <v>796</v>
      </c>
      <c r="O234" s="91">
        <f t="shared" ca="1" si="42"/>
        <v>1887</v>
      </c>
      <c r="P234" s="91">
        <f ca="1">VLOOKUP(B234,'115+740'!$B$15:$AB$757,14,FALSE)</f>
        <v>-113</v>
      </c>
      <c r="Q234" s="89">
        <f>'115+740'!R235</f>
        <v>0</v>
      </c>
      <c r="R234" s="88">
        <f t="shared" ca="1" si="47"/>
        <v>103</v>
      </c>
      <c r="S234" s="93">
        <f ca="1">VLOOKUP(B234,'115+740'!$B$14:$AB$757,22,FALSE)</f>
        <v>874</v>
      </c>
      <c r="T234" s="92">
        <f ca="1">VLOOKUP(B234,'115+740'!$B$15:$AB$757,6,FALSE)</f>
        <v>849</v>
      </c>
      <c r="U234" s="91">
        <f t="shared" ca="1" si="43"/>
        <v>1834</v>
      </c>
      <c r="V234" s="90">
        <f ca="1">VLOOKUP(B234,'115+740'!$B$15:$AB$757,15,FALSE)</f>
        <v>-166</v>
      </c>
      <c r="W234" s="89">
        <f>'115+740'!S235</f>
        <v>0</v>
      </c>
      <c r="X234" s="88">
        <f t="shared" ca="1" si="48"/>
        <v>126</v>
      </c>
      <c r="Y234" s="87">
        <f t="shared" ca="1" si="49"/>
        <v>0</v>
      </c>
      <c r="Z234" s="86">
        <f t="shared" ca="1" si="50"/>
        <v>0</v>
      </c>
      <c r="AA234" s="85">
        <f t="shared" ca="1" si="51"/>
        <v>1.0069999999999999</v>
      </c>
      <c r="AB234" s="85">
        <f t="shared" ca="1" si="52"/>
        <v>0.80400000000000005</v>
      </c>
    </row>
    <row r="235" spans="2:28">
      <c r="B235" s="98">
        <f>'115+740'!B236</f>
        <v>45294</v>
      </c>
      <c r="C235" s="97">
        <f t="shared" si="44"/>
        <v>1</v>
      </c>
      <c r="D235" s="96">
        <f t="shared" si="45"/>
        <v>1069</v>
      </c>
      <c r="E235" s="95">
        <f>VLOOKUP(B235,'115+740'!B236:AB337,3,FALSE)</f>
        <v>1616</v>
      </c>
      <c r="F235" s="92">
        <f t="shared" si="40"/>
        <v>2685</v>
      </c>
      <c r="G235" s="94">
        <f ca="1">VLOOKUP(B235,'115+740'!$B$15:$AB$757,20,FALSE)</f>
        <v>860</v>
      </c>
      <c r="H235" s="94">
        <f ca="1">VLOOKUP(B235,'115+740'!$B$15:$AB$757,4,FALSE)</f>
        <v>785</v>
      </c>
      <c r="I235" s="91">
        <f t="shared" ca="1" si="41"/>
        <v>1900</v>
      </c>
      <c r="J235" s="91">
        <f ca="1">VLOOKUP(B235,'115+740'!$B$15:$AB$757,13,FALSE)</f>
        <v>-100</v>
      </c>
      <c r="K235" s="89">
        <f>'115+740'!Q236</f>
        <v>0</v>
      </c>
      <c r="L235" s="88">
        <f t="shared" ca="1" si="46"/>
        <v>140</v>
      </c>
      <c r="M235" s="93">
        <f ca="1">VLOOKUP(B235,'115+740'!$B$14:$AB$757,21,FALSE)</f>
        <v>897</v>
      </c>
      <c r="N235" s="92">
        <f ca="1">VLOOKUP(B235,'115+740'!$B$15:$AB$757,5,FALSE)</f>
        <v>798</v>
      </c>
      <c r="O235" s="91">
        <f t="shared" ca="1" si="42"/>
        <v>1887</v>
      </c>
      <c r="P235" s="91">
        <f ca="1">VLOOKUP(B235,'115+740'!$B$15:$AB$757,14,FALSE)</f>
        <v>-113</v>
      </c>
      <c r="Q235" s="89">
        <f>'115+740'!R236</f>
        <v>0</v>
      </c>
      <c r="R235" s="88">
        <f t="shared" ca="1" si="47"/>
        <v>103</v>
      </c>
      <c r="S235" s="93">
        <f ca="1">VLOOKUP(B235,'115+740'!$B$14:$AB$757,22,FALSE)</f>
        <v>874</v>
      </c>
      <c r="T235" s="92">
        <f ca="1">VLOOKUP(B235,'115+740'!$B$15:$AB$757,6,FALSE)</f>
        <v>851</v>
      </c>
      <c r="U235" s="91">
        <f t="shared" ca="1" si="43"/>
        <v>1834</v>
      </c>
      <c r="V235" s="90">
        <f ca="1">VLOOKUP(B235,'115+740'!$B$15:$AB$757,15,FALSE)</f>
        <v>-166</v>
      </c>
      <c r="W235" s="89">
        <f>'115+740'!S236</f>
        <v>0</v>
      </c>
      <c r="X235" s="88">
        <f t="shared" ca="1" si="48"/>
        <v>126</v>
      </c>
      <c r="Y235" s="87">
        <f t="shared" ca="1" si="49"/>
        <v>0</v>
      </c>
      <c r="Z235" s="86">
        <f t="shared" ca="1" si="50"/>
        <v>0</v>
      </c>
      <c r="AA235" s="85">
        <f t="shared" ca="1" si="51"/>
        <v>1.0069999999999999</v>
      </c>
      <c r="AB235" s="85">
        <f t="shared" ca="1" si="52"/>
        <v>0.80400000000000005</v>
      </c>
    </row>
    <row r="236" spans="2:28">
      <c r="B236" s="98">
        <f>'115+740'!B237</f>
        <v>45295</v>
      </c>
      <c r="C236" s="97">
        <f t="shared" si="44"/>
        <v>1</v>
      </c>
      <c r="D236" s="96">
        <f t="shared" si="45"/>
        <v>1069</v>
      </c>
      <c r="E236" s="95">
        <f>VLOOKUP(B236,'115+740'!B237:AB338,3,FALSE)</f>
        <v>1618</v>
      </c>
      <c r="F236" s="92">
        <f t="shared" si="40"/>
        <v>2687</v>
      </c>
      <c r="G236" s="94">
        <f ca="1">VLOOKUP(B236,'115+740'!$B$15:$AB$757,20,FALSE)</f>
        <v>860</v>
      </c>
      <c r="H236" s="94">
        <f ca="1">VLOOKUP(B236,'115+740'!$B$15:$AB$757,4,FALSE)</f>
        <v>787</v>
      </c>
      <c r="I236" s="91">
        <f t="shared" ca="1" si="41"/>
        <v>1900</v>
      </c>
      <c r="J236" s="91">
        <f ca="1">VLOOKUP(B236,'115+740'!$B$15:$AB$757,13,FALSE)</f>
        <v>-100</v>
      </c>
      <c r="K236" s="89">
        <f>'115+740'!Q237</f>
        <v>0</v>
      </c>
      <c r="L236" s="88">
        <f t="shared" ca="1" si="46"/>
        <v>140</v>
      </c>
      <c r="M236" s="93">
        <f ca="1">VLOOKUP(B236,'115+740'!$B$14:$AB$757,21,FALSE)</f>
        <v>897</v>
      </c>
      <c r="N236" s="92">
        <f ca="1">VLOOKUP(B236,'115+740'!$B$15:$AB$757,5,FALSE)</f>
        <v>800</v>
      </c>
      <c r="O236" s="91">
        <f t="shared" ca="1" si="42"/>
        <v>1887</v>
      </c>
      <c r="P236" s="91">
        <f ca="1">VLOOKUP(B236,'115+740'!$B$15:$AB$757,14,FALSE)</f>
        <v>-113</v>
      </c>
      <c r="Q236" s="89">
        <f>'115+740'!R237</f>
        <v>0</v>
      </c>
      <c r="R236" s="88">
        <f t="shared" ca="1" si="47"/>
        <v>103</v>
      </c>
      <c r="S236" s="93">
        <f ca="1">VLOOKUP(B236,'115+740'!$B$14:$AB$757,22,FALSE)</f>
        <v>874</v>
      </c>
      <c r="T236" s="92">
        <f ca="1">VLOOKUP(B236,'115+740'!$B$15:$AB$757,6,FALSE)</f>
        <v>853</v>
      </c>
      <c r="U236" s="91">
        <f t="shared" ca="1" si="43"/>
        <v>1834</v>
      </c>
      <c r="V236" s="90">
        <f ca="1">VLOOKUP(B236,'115+740'!$B$15:$AB$757,15,FALSE)</f>
        <v>-166</v>
      </c>
      <c r="W236" s="89">
        <f>'115+740'!S237</f>
        <v>0</v>
      </c>
      <c r="X236" s="88">
        <f t="shared" ca="1" si="48"/>
        <v>126</v>
      </c>
      <c r="Y236" s="87">
        <f t="shared" ca="1" si="49"/>
        <v>0</v>
      </c>
      <c r="Z236" s="86">
        <f t="shared" ca="1" si="50"/>
        <v>0</v>
      </c>
      <c r="AA236" s="85">
        <f t="shared" ca="1" si="51"/>
        <v>1.0069999999999999</v>
      </c>
      <c r="AB236" s="85">
        <f t="shared" ca="1" si="52"/>
        <v>0.80400000000000005</v>
      </c>
    </row>
    <row r="237" spans="2:28">
      <c r="B237" s="98">
        <f>'115+740'!B238</f>
        <v>45296</v>
      </c>
      <c r="C237" s="97">
        <f t="shared" si="44"/>
        <v>1</v>
      </c>
      <c r="D237" s="96">
        <f t="shared" si="45"/>
        <v>1069</v>
      </c>
      <c r="E237" s="95">
        <f>VLOOKUP(B237,'115+740'!B238:AB339,3,FALSE)</f>
        <v>1620</v>
      </c>
      <c r="F237" s="92">
        <f t="shared" si="40"/>
        <v>2689</v>
      </c>
      <c r="G237" s="94">
        <f ca="1">VLOOKUP(B237,'115+740'!$B$15:$AB$757,20,FALSE)</f>
        <v>860</v>
      </c>
      <c r="H237" s="94">
        <f ca="1">VLOOKUP(B237,'115+740'!$B$15:$AB$757,4,FALSE)</f>
        <v>789</v>
      </c>
      <c r="I237" s="91">
        <f t="shared" ca="1" si="41"/>
        <v>1900</v>
      </c>
      <c r="J237" s="91">
        <f ca="1">VLOOKUP(B237,'115+740'!$B$15:$AB$757,13,FALSE)</f>
        <v>-100</v>
      </c>
      <c r="K237" s="89">
        <f>'115+740'!Q238</f>
        <v>0</v>
      </c>
      <c r="L237" s="88">
        <f t="shared" ca="1" si="46"/>
        <v>140</v>
      </c>
      <c r="M237" s="93">
        <f ca="1">VLOOKUP(B237,'115+740'!$B$14:$AB$757,21,FALSE)</f>
        <v>897</v>
      </c>
      <c r="N237" s="92">
        <f ca="1">VLOOKUP(B237,'115+740'!$B$15:$AB$757,5,FALSE)</f>
        <v>802</v>
      </c>
      <c r="O237" s="91">
        <f t="shared" ca="1" si="42"/>
        <v>1887</v>
      </c>
      <c r="P237" s="91">
        <f ca="1">VLOOKUP(B237,'115+740'!$B$15:$AB$757,14,FALSE)</f>
        <v>-113</v>
      </c>
      <c r="Q237" s="89">
        <f>'115+740'!R238</f>
        <v>0</v>
      </c>
      <c r="R237" s="88">
        <f t="shared" ca="1" si="47"/>
        <v>103</v>
      </c>
      <c r="S237" s="93">
        <f ca="1">VLOOKUP(B237,'115+740'!$B$14:$AB$757,22,FALSE)</f>
        <v>874</v>
      </c>
      <c r="T237" s="92">
        <f ca="1">VLOOKUP(B237,'115+740'!$B$15:$AB$757,6,FALSE)</f>
        <v>855</v>
      </c>
      <c r="U237" s="91">
        <f t="shared" ca="1" si="43"/>
        <v>1834</v>
      </c>
      <c r="V237" s="90">
        <f ca="1">VLOOKUP(B237,'115+740'!$B$15:$AB$757,15,FALSE)</f>
        <v>-166</v>
      </c>
      <c r="W237" s="89">
        <f>'115+740'!S238</f>
        <v>0</v>
      </c>
      <c r="X237" s="88">
        <f t="shared" ca="1" si="48"/>
        <v>126</v>
      </c>
      <c r="Y237" s="87">
        <f t="shared" ca="1" si="49"/>
        <v>0</v>
      </c>
      <c r="Z237" s="86">
        <f t="shared" ca="1" si="50"/>
        <v>0</v>
      </c>
      <c r="AA237" s="85">
        <f t="shared" ca="1" si="51"/>
        <v>1.0069999999999999</v>
      </c>
      <c r="AB237" s="85">
        <f t="shared" ca="1" si="52"/>
        <v>0.80400000000000005</v>
      </c>
    </row>
    <row r="238" spans="2:28">
      <c r="B238" s="98">
        <f>'115+740'!B239</f>
        <v>45297</v>
      </c>
      <c r="C238" s="97">
        <f t="shared" si="44"/>
        <v>1</v>
      </c>
      <c r="D238" s="96">
        <f t="shared" si="45"/>
        <v>1069</v>
      </c>
      <c r="E238" s="95">
        <f>VLOOKUP(B238,'115+740'!B239:AB340,3,FALSE)</f>
        <v>1622</v>
      </c>
      <c r="F238" s="92">
        <f t="shared" si="40"/>
        <v>2691</v>
      </c>
      <c r="G238" s="94">
        <f ca="1">VLOOKUP(B238,'115+740'!$B$15:$AB$757,20,FALSE)</f>
        <v>860</v>
      </c>
      <c r="H238" s="94">
        <f ca="1">VLOOKUP(B238,'115+740'!$B$15:$AB$757,4,FALSE)</f>
        <v>791</v>
      </c>
      <c r="I238" s="91">
        <f t="shared" ca="1" si="41"/>
        <v>1900</v>
      </c>
      <c r="J238" s="91">
        <f ca="1">VLOOKUP(B238,'115+740'!$B$15:$AB$757,13,FALSE)</f>
        <v>-100</v>
      </c>
      <c r="K238" s="89">
        <f>'115+740'!Q239</f>
        <v>0</v>
      </c>
      <c r="L238" s="88">
        <f t="shared" ca="1" si="46"/>
        <v>140</v>
      </c>
      <c r="M238" s="93">
        <f ca="1">VLOOKUP(B238,'115+740'!$B$14:$AB$757,21,FALSE)</f>
        <v>897</v>
      </c>
      <c r="N238" s="92">
        <f ca="1">VLOOKUP(B238,'115+740'!$B$15:$AB$757,5,FALSE)</f>
        <v>804</v>
      </c>
      <c r="O238" s="91">
        <f t="shared" ca="1" si="42"/>
        <v>1887</v>
      </c>
      <c r="P238" s="91">
        <f ca="1">VLOOKUP(B238,'115+740'!$B$15:$AB$757,14,FALSE)</f>
        <v>-113</v>
      </c>
      <c r="Q238" s="89">
        <f>'115+740'!R239</f>
        <v>0</v>
      </c>
      <c r="R238" s="88">
        <f t="shared" ca="1" si="47"/>
        <v>103</v>
      </c>
      <c r="S238" s="93">
        <f ca="1">VLOOKUP(B238,'115+740'!$B$14:$AB$757,22,FALSE)</f>
        <v>874</v>
      </c>
      <c r="T238" s="92">
        <f ca="1">VLOOKUP(B238,'115+740'!$B$15:$AB$757,6,FALSE)</f>
        <v>857</v>
      </c>
      <c r="U238" s="91">
        <f t="shared" ca="1" si="43"/>
        <v>1834</v>
      </c>
      <c r="V238" s="90">
        <f ca="1">VLOOKUP(B238,'115+740'!$B$15:$AB$757,15,FALSE)</f>
        <v>-166</v>
      </c>
      <c r="W238" s="89">
        <f>'115+740'!S239</f>
        <v>0</v>
      </c>
      <c r="X238" s="88">
        <f t="shared" ca="1" si="48"/>
        <v>126</v>
      </c>
      <c r="Y238" s="87">
        <f t="shared" ca="1" si="49"/>
        <v>0</v>
      </c>
      <c r="Z238" s="86">
        <f t="shared" ca="1" si="50"/>
        <v>0</v>
      </c>
      <c r="AA238" s="85">
        <f t="shared" ca="1" si="51"/>
        <v>1.0069999999999999</v>
      </c>
      <c r="AB238" s="85">
        <f t="shared" ca="1" si="52"/>
        <v>0.80400000000000005</v>
      </c>
    </row>
    <row r="239" spans="2:28">
      <c r="B239" s="98">
        <f>'115+740'!B240</f>
        <v>45298</v>
      </c>
      <c r="C239" s="97">
        <f t="shared" si="44"/>
        <v>1</v>
      </c>
      <c r="D239" s="96">
        <f t="shared" si="45"/>
        <v>1069</v>
      </c>
      <c r="E239" s="95">
        <f>VLOOKUP(B239,'115+740'!B240:AB341,3,FALSE)</f>
        <v>1624</v>
      </c>
      <c r="F239" s="92">
        <f t="shared" si="40"/>
        <v>2693</v>
      </c>
      <c r="G239" s="94">
        <f ca="1">VLOOKUP(B239,'115+740'!$B$15:$AB$757,20,FALSE)</f>
        <v>860</v>
      </c>
      <c r="H239" s="94">
        <f ca="1">VLOOKUP(B239,'115+740'!$B$15:$AB$757,4,FALSE)</f>
        <v>793</v>
      </c>
      <c r="I239" s="91">
        <f t="shared" ca="1" si="41"/>
        <v>1900</v>
      </c>
      <c r="J239" s="91">
        <f ca="1">VLOOKUP(B239,'115+740'!$B$15:$AB$757,13,FALSE)</f>
        <v>-100</v>
      </c>
      <c r="K239" s="89">
        <f>'115+740'!Q240</f>
        <v>0</v>
      </c>
      <c r="L239" s="88">
        <f t="shared" ca="1" si="46"/>
        <v>140</v>
      </c>
      <c r="M239" s="93">
        <f ca="1">VLOOKUP(B239,'115+740'!$B$14:$AB$757,21,FALSE)</f>
        <v>897</v>
      </c>
      <c r="N239" s="92">
        <f ca="1">VLOOKUP(B239,'115+740'!$B$15:$AB$757,5,FALSE)</f>
        <v>806</v>
      </c>
      <c r="O239" s="91">
        <f t="shared" ca="1" si="42"/>
        <v>1887</v>
      </c>
      <c r="P239" s="91">
        <f ca="1">VLOOKUP(B239,'115+740'!$B$15:$AB$757,14,FALSE)</f>
        <v>-113</v>
      </c>
      <c r="Q239" s="89">
        <f>'115+740'!R240</f>
        <v>0</v>
      </c>
      <c r="R239" s="88">
        <f t="shared" ca="1" si="47"/>
        <v>103</v>
      </c>
      <c r="S239" s="93">
        <f ca="1">VLOOKUP(B239,'115+740'!$B$14:$AB$757,22,FALSE)</f>
        <v>874</v>
      </c>
      <c r="T239" s="92">
        <f ca="1">VLOOKUP(B239,'115+740'!$B$15:$AB$757,6,FALSE)</f>
        <v>859</v>
      </c>
      <c r="U239" s="91">
        <f t="shared" ca="1" si="43"/>
        <v>1834</v>
      </c>
      <c r="V239" s="90">
        <f ca="1">VLOOKUP(B239,'115+740'!$B$15:$AB$757,15,FALSE)</f>
        <v>-166</v>
      </c>
      <c r="W239" s="89">
        <f>'115+740'!S240</f>
        <v>0</v>
      </c>
      <c r="X239" s="88">
        <f t="shared" ca="1" si="48"/>
        <v>126</v>
      </c>
      <c r="Y239" s="87">
        <f t="shared" ca="1" si="49"/>
        <v>0</v>
      </c>
      <c r="Z239" s="86">
        <f t="shared" ca="1" si="50"/>
        <v>0</v>
      </c>
      <c r="AA239" s="85">
        <f t="shared" ca="1" si="51"/>
        <v>1.0069999999999999</v>
      </c>
      <c r="AB239" s="85">
        <f t="shared" ca="1" si="52"/>
        <v>0.80400000000000005</v>
      </c>
    </row>
    <row r="240" spans="2:28">
      <c r="B240" s="98">
        <f>'115+740'!B241</f>
        <v>45299</v>
      </c>
      <c r="C240" s="97">
        <f t="shared" si="44"/>
        <v>1</v>
      </c>
      <c r="D240" s="96">
        <f t="shared" si="45"/>
        <v>1069</v>
      </c>
      <c r="E240" s="95">
        <f>VLOOKUP(B240,'115+740'!B241:AB342,3,FALSE)</f>
        <v>1626</v>
      </c>
      <c r="F240" s="92">
        <f t="shared" si="40"/>
        <v>2695</v>
      </c>
      <c r="G240" s="94">
        <f ca="1">VLOOKUP(B240,'115+740'!$B$15:$AB$757,20,FALSE)</f>
        <v>860</v>
      </c>
      <c r="H240" s="94">
        <f ca="1">VLOOKUP(B240,'115+740'!$B$15:$AB$757,4,FALSE)</f>
        <v>795</v>
      </c>
      <c r="I240" s="91">
        <f t="shared" ca="1" si="41"/>
        <v>1900</v>
      </c>
      <c r="J240" s="91">
        <f ca="1">VLOOKUP(B240,'115+740'!$B$15:$AB$757,13,FALSE)</f>
        <v>-100</v>
      </c>
      <c r="K240" s="89">
        <f>'115+740'!Q241</f>
        <v>0</v>
      </c>
      <c r="L240" s="88">
        <f t="shared" ca="1" si="46"/>
        <v>140</v>
      </c>
      <c r="M240" s="93">
        <f ca="1">VLOOKUP(B240,'115+740'!$B$14:$AB$757,21,FALSE)</f>
        <v>897</v>
      </c>
      <c r="N240" s="92">
        <f ca="1">VLOOKUP(B240,'115+740'!$B$15:$AB$757,5,FALSE)</f>
        <v>808</v>
      </c>
      <c r="O240" s="91">
        <f t="shared" ca="1" si="42"/>
        <v>1887</v>
      </c>
      <c r="P240" s="91">
        <f ca="1">VLOOKUP(B240,'115+740'!$B$15:$AB$757,14,FALSE)</f>
        <v>-113</v>
      </c>
      <c r="Q240" s="89">
        <f>'115+740'!R241</f>
        <v>0</v>
      </c>
      <c r="R240" s="88">
        <f t="shared" ca="1" si="47"/>
        <v>103</v>
      </c>
      <c r="S240" s="93">
        <f ca="1">VLOOKUP(B240,'115+740'!$B$14:$AB$757,22,FALSE)</f>
        <v>874</v>
      </c>
      <c r="T240" s="92">
        <f ca="1">VLOOKUP(B240,'115+740'!$B$15:$AB$757,6,FALSE)</f>
        <v>861</v>
      </c>
      <c r="U240" s="91">
        <f t="shared" ca="1" si="43"/>
        <v>1834</v>
      </c>
      <c r="V240" s="90">
        <f ca="1">VLOOKUP(B240,'115+740'!$B$15:$AB$757,15,FALSE)</f>
        <v>-166</v>
      </c>
      <c r="W240" s="89">
        <f>'115+740'!S241</f>
        <v>0</v>
      </c>
      <c r="X240" s="88">
        <f t="shared" ca="1" si="48"/>
        <v>126</v>
      </c>
      <c r="Y240" s="87">
        <f t="shared" ca="1" si="49"/>
        <v>0</v>
      </c>
      <c r="Z240" s="86">
        <f t="shared" ca="1" si="50"/>
        <v>0</v>
      </c>
      <c r="AA240" s="85">
        <f t="shared" ca="1" si="51"/>
        <v>1.0069999999999999</v>
      </c>
      <c r="AB240" s="85">
        <f t="shared" ca="1" si="52"/>
        <v>0.80400000000000005</v>
      </c>
    </row>
    <row r="241" spans="2:28">
      <c r="B241" s="98">
        <f>'115+740'!B242</f>
        <v>45300</v>
      </c>
      <c r="C241" s="97">
        <f t="shared" si="44"/>
        <v>1</v>
      </c>
      <c r="D241" s="96">
        <f t="shared" si="45"/>
        <v>1069</v>
      </c>
      <c r="E241" s="95">
        <f>VLOOKUP(B241,'115+740'!B242:AB343,3,FALSE)</f>
        <v>1628</v>
      </c>
      <c r="F241" s="92">
        <f t="shared" si="40"/>
        <v>2697</v>
      </c>
      <c r="G241" s="94">
        <f ca="1">VLOOKUP(B241,'115+740'!$B$15:$AB$757,20,FALSE)</f>
        <v>860</v>
      </c>
      <c r="H241" s="94">
        <f ca="1">VLOOKUP(B241,'115+740'!$B$15:$AB$757,4,FALSE)</f>
        <v>797</v>
      </c>
      <c r="I241" s="91">
        <f t="shared" ca="1" si="41"/>
        <v>1900</v>
      </c>
      <c r="J241" s="91">
        <f ca="1">VLOOKUP(B241,'115+740'!$B$15:$AB$757,13,FALSE)</f>
        <v>-100</v>
      </c>
      <c r="K241" s="89">
        <f>'115+740'!Q242</f>
        <v>0</v>
      </c>
      <c r="L241" s="88">
        <f t="shared" ca="1" si="46"/>
        <v>140</v>
      </c>
      <c r="M241" s="93">
        <f ca="1">VLOOKUP(B241,'115+740'!$B$14:$AB$757,21,FALSE)</f>
        <v>897</v>
      </c>
      <c r="N241" s="92">
        <f ca="1">VLOOKUP(B241,'115+740'!$B$15:$AB$757,5,FALSE)</f>
        <v>810</v>
      </c>
      <c r="O241" s="91">
        <f t="shared" ca="1" si="42"/>
        <v>1887</v>
      </c>
      <c r="P241" s="91">
        <f ca="1">VLOOKUP(B241,'115+740'!$B$15:$AB$757,14,FALSE)</f>
        <v>-113</v>
      </c>
      <c r="Q241" s="89">
        <f>'115+740'!R242</f>
        <v>0</v>
      </c>
      <c r="R241" s="88">
        <f t="shared" ca="1" si="47"/>
        <v>103</v>
      </c>
      <c r="S241" s="93">
        <f ca="1">VLOOKUP(B241,'115+740'!$B$14:$AB$757,22,FALSE)</f>
        <v>874</v>
      </c>
      <c r="T241" s="92">
        <f ca="1">VLOOKUP(B241,'115+740'!$B$15:$AB$757,6,FALSE)</f>
        <v>863</v>
      </c>
      <c r="U241" s="91">
        <f t="shared" ca="1" si="43"/>
        <v>1834</v>
      </c>
      <c r="V241" s="90">
        <f ca="1">VLOOKUP(B241,'115+740'!$B$15:$AB$757,15,FALSE)</f>
        <v>-166</v>
      </c>
      <c r="W241" s="89">
        <f>'115+740'!S242</f>
        <v>0</v>
      </c>
      <c r="X241" s="88">
        <f t="shared" ca="1" si="48"/>
        <v>126</v>
      </c>
      <c r="Y241" s="87">
        <f t="shared" ca="1" si="49"/>
        <v>0</v>
      </c>
      <c r="Z241" s="86">
        <f t="shared" ca="1" si="50"/>
        <v>0</v>
      </c>
      <c r="AA241" s="85">
        <f t="shared" ca="1" si="51"/>
        <v>1.0069999999999999</v>
      </c>
      <c r="AB241" s="85">
        <f t="shared" ca="1" si="52"/>
        <v>0.80400000000000005</v>
      </c>
    </row>
    <row r="242" spans="2:28">
      <c r="B242" s="98">
        <f>'115+740'!B243</f>
        <v>45301</v>
      </c>
      <c r="C242" s="97">
        <f t="shared" si="44"/>
        <v>1</v>
      </c>
      <c r="D242" s="96">
        <f t="shared" si="45"/>
        <v>1069</v>
      </c>
      <c r="E242" s="95">
        <f>VLOOKUP(B242,'115+740'!B243:AB344,3,FALSE)</f>
        <v>1630</v>
      </c>
      <c r="F242" s="92">
        <f t="shared" si="40"/>
        <v>2699</v>
      </c>
      <c r="G242" s="94">
        <f ca="1">VLOOKUP(B242,'115+740'!$B$15:$AB$757,20,FALSE)</f>
        <v>860</v>
      </c>
      <c r="H242" s="94">
        <f ca="1">VLOOKUP(B242,'115+740'!$B$15:$AB$757,4,FALSE)</f>
        <v>799</v>
      </c>
      <c r="I242" s="91">
        <f t="shared" ca="1" si="41"/>
        <v>1900</v>
      </c>
      <c r="J242" s="91">
        <f ca="1">VLOOKUP(B242,'115+740'!$B$15:$AB$757,13,FALSE)</f>
        <v>-100</v>
      </c>
      <c r="K242" s="89">
        <f>'115+740'!Q243</f>
        <v>0</v>
      </c>
      <c r="L242" s="88">
        <f t="shared" ca="1" si="46"/>
        <v>140</v>
      </c>
      <c r="M242" s="93">
        <f ca="1">VLOOKUP(B242,'115+740'!$B$14:$AB$757,21,FALSE)</f>
        <v>897</v>
      </c>
      <c r="N242" s="92">
        <f ca="1">VLOOKUP(B242,'115+740'!$B$15:$AB$757,5,FALSE)</f>
        <v>812</v>
      </c>
      <c r="O242" s="91">
        <f t="shared" ca="1" si="42"/>
        <v>1887</v>
      </c>
      <c r="P242" s="91">
        <f ca="1">VLOOKUP(B242,'115+740'!$B$15:$AB$757,14,FALSE)</f>
        <v>-113</v>
      </c>
      <c r="Q242" s="89">
        <f>'115+740'!R243</f>
        <v>0</v>
      </c>
      <c r="R242" s="88">
        <f t="shared" ca="1" si="47"/>
        <v>103</v>
      </c>
      <c r="S242" s="93">
        <f ca="1">VLOOKUP(B242,'115+740'!$B$14:$AB$757,22,FALSE)</f>
        <v>874</v>
      </c>
      <c r="T242" s="92">
        <f ca="1">VLOOKUP(B242,'115+740'!$B$15:$AB$757,6,FALSE)</f>
        <v>865</v>
      </c>
      <c r="U242" s="91">
        <f t="shared" ca="1" si="43"/>
        <v>1834</v>
      </c>
      <c r="V242" s="90">
        <f ca="1">VLOOKUP(B242,'115+740'!$B$15:$AB$757,15,FALSE)</f>
        <v>-166</v>
      </c>
      <c r="W242" s="89">
        <f>'115+740'!S243</f>
        <v>0</v>
      </c>
      <c r="X242" s="88">
        <f t="shared" ca="1" si="48"/>
        <v>126</v>
      </c>
      <c r="Y242" s="87">
        <f t="shared" ca="1" si="49"/>
        <v>0</v>
      </c>
      <c r="Z242" s="86">
        <f t="shared" ca="1" si="50"/>
        <v>0</v>
      </c>
      <c r="AA242" s="85">
        <f t="shared" ca="1" si="51"/>
        <v>1.0069999999999999</v>
      </c>
      <c r="AB242" s="85">
        <f t="shared" ca="1" si="52"/>
        <v>0.80400000000000005</v>
      </c>
    </row>
    <row r="243" spans="2:28">
      <c r="B243" s="98">
        <f>'115+740'!B244</f>
        <v>45302</v>
      </c>
      <c r="C243" s="97">
        <f t="shared" si="44"/>
        <v>1</v>
      </c>
      <c r="D243" s="96">
        <f t="shared" si="45"/>
        <v>1069</v>
      </c>
      <c r="E243" s="95">
        <f>VLOOKUP(B243,'115+740'!B244:AB345,3,FALSE)</f>
        <v>1632</v>
      </c>
      <c r="F243" s="92">
        <f t="shared" si="40"/>
        <v>2701</v>
      </c>
      <c r="G243" s="94">
        <f ca="1">VLOOKUP(B243,'115+740'!$B$15:$AB$757,20,FALSE)</f>
        <v>860</v>
      </c>
      <c r="H243" s="94">
        <f ca="1">VLOOKUP(B243,'115+740'!$B$15:$AB$757,4,FALSE)</f>
        <v>801</v>
      </c>
      <c r="I243" s="91">
        <f t="shared" ca="1" si="41"/>
        <v>1900</v>
      </c>
      <c r="J243" s="91">
        <f ca="1">VLOOKUP(B243,'115+740'!$B$15:$AB$757,13,FALSE)</f>
        <v>-100</v>
      </c>
      <c r="K243" s="89">
        <f>'115+740'!Q244</f>
        <v>0</v>
      </c>
      <c r="L243" s="88">
        <f t="shared" ca="1" si="46"/>
        <v>140</v>
      </c>
      <c r="M243" s="93">
        <f ca="1">VLOOKUP(B243,'115+740'!$B$14:$AB$757,21,FALSE)</f>
        <v>897</v>
      </c>
      <c r="N243" s="92">
        <f ca="1">VLOOKUP(B243,'115+740'!$B$15:$AB$757,5,FALSE)</f>
        <v>814</v>
      </c>
      <c r="O243" s="91">
        <f t="shared" ca="1" si="42"/>
        <v>1887</v>
      </c>
      <c r="P243" s="91">
        <f ca="1">VLOOKUP(B243,'115+740'!$B$15:$AB$757,14,FALSE)</f>
        <v>-113</v>
      </c>
      <c r="Q243" s="89">
        <f>'115+740'!R244</f>
        <v>0</v>
      </c>
      <c r="R243" s="88">
        <f t="shared" ca="1" si="47"/>
        <v>103</v>
      </c>
      <c r="S243" s="93">
        <f ca="1">VLOOKUP(B243,'115+740'!$B$14:$AB$757,22,FALSE)</f>
        <v>874</v>
      </c>
      <c r="T243" s="92">
        <f ca="1">VLOOKUP(B243,'115+740'!$B$15:$AB$757,6,FALSE)</f>
        <v>867</v>
      </c>
      <c r="U243" s="91">
        <f t="shared" ca="1" si="43"/>
        <v>1834</v>
      </c>
      <c r="V243" s="90">
        <f ca="1">VLOOKUP(B243,'115+740'!$B$15:$AB$757,15,FALSE)</f>
        <v>-166</v>
      </c>
      <c r="W243" s="89">
        <f>'115+740'!S244</f>
        <v>0</v>
      </c>
      <c r="X243" s="88">
        <f t="shared" ca="1" si="48"/>
        <v>126</v>
      </c>
      <c r="Y243" s="87">
        <f t="shared" ca="1" si="49"/>
        <v>0</v>
      </c>
      <c r="Z243" s="86">
        <f t="shared" ca="1" si="50"/>
        <v>0</v>
      </c>
      <c r="AA243" s="85">
        <f t="shared" ca="1" si="51"/>
        <v>1.0069999999999999</v>
      </c>
      <c r="AB243" s="85">
        <f t="shared" ca="1" si="52"/>
        <v>0.80400000000000005</v>
      </c>
    </row>
    <row r="244" spans="2:28">
      <c r="B244" s="98">
        <f>'115+740'!B245</f>
        <v>45303</v>
      </c>
      <c r="C244" s="97">
        <f t="shared" si="44"/>
        <v>1</v>
      </c>
      <c r="D244" s="96">
        <f t="shared" si="45"/>
        <v>1069</v>
      </c>
      <c r="E244" s="95">
        <f>VLOOKUP(B244,'115+740'!B245:AB346,3,FALSE)</f>
        <v>1634</v>
      </c>
      <c r="F244" s="92">
        <f t="shared" si="40"/>
        <v>2703</v>
      </c>
      <c r="G244" s="94">
        <f ca="1">VLOOKUP(B244,'115+740'!$B$15:$AB$757,20,FALSE)</f>
        <v>860</v>
      </c>
      <c r="H244" s="94">
        <f ca="1">VLOOKUP(B244,'115+740'!$B$15:$AB$757,4,FALSE)</f>
        <v>803</v>
      </c>
      <c r="I244" s="91">
        <f t="shared" ca="1" si="41"/>
        <v>1900</v>
      </c>
      <c r="J244" s="91">
        <f ca="1">VLOOKUP(B244,'115+740'!$B$15:$AB$757,13,FALSE)</f>
        <v>-100</v>
      </c>
      <c r="K244" s="89">
        <f>'115+740'!Q245</f>
        <v>0</v>
      </c>
      <c r="L244" s="88">
        <f t="shared" ca="1" si="46"/>
        <v>140</v>
      </c>
      <c r="M244" s="93">
        <f ca="1">VLOOKUP(B244,'115+740'!$B$14:$AB$757,21,FALSE)</f>
        <v>897</v>
      </c>
      <c r="N244" s="92">
        <f ca="1">VLOOKUP(B244,'115+740'!$B$15:$AB$757,5,FALSE)</f>
        <v>816</v>
      </c>
      <c r="O244" s="91">
        <f t="shared" ca="1" si="42"/>
        <v>1887</v>
      </c>
      <c r="P244" s="91">
        <f ca="1">VLOOKUP(B244,'115+740'!$B$15:$AB$757,14,FALSE)</f>
        <v>-113</v>
      </c>
      <c r="Q244" s="89">
        <f>'115+740'!R245</f>
        <v>0</v>
      </c>
      <c r="R244" s="88">
        <f t="shared" ca="1" si="47"/>
        <v>103</v>
      </c>
      <c r="S244" s="93">
        <f ca="1">VLOOKUP(B244,'115+740'!$B$14:$AB$757,22,FALSE)</f>
        <v>874</v>
      </c>
      <c r="T244" s="92">
        <f ca="1">VLOOKUP(B244,'115+740'!$B$15:$AB$757,6,FALSE)</f>
        <v>869</v>
      </c>
      <c r="U244" s="91">
        <f t="shared" ca="1" si="43"/>
        <v>1834</v>
      </c>
      <c r="V244" s="90">
        <f ca="1">VLOOKUP(B244,'115+740'!$B$15:$AB$757,15,FALSE)</f>
        <v>-166</v>
      </c>
      <c r="W244" s="89">
        <f>'115+740'!S245</f>
        <v>0</v>
      </c>
      <c r="X244" s="88">
        <f t="shared" ca="1" si="48"/>
        <v>126</v>
      </c>
      <c r="Y244" s="87">
        <f t="shared" ca="1" si="49"/>
        <v>0</v>
      </c>
      <c r="Z244" s="86">
        <f t="shared" ca="1" si="50"/>
        <v>0</v>
      </c>
      <c r="AA244" s="85">
        <f t="shared" ca="1" si="51"/>
        <v>1.0069999999999999</v>
      </c>
      <c r="AB244" s="85">
        <f t="shared" ca="1" si="52"/>
        <v>0.80400000000000005</v>
      </c>
    </row>
    <row r="245" spans="2:28">
      <c r="B245" s="98">
        <f>'115+740'!B246</f>
        <v>45304</v>
      </c>
      <c r="C245" s="97">
        <f t="shared" si="44"/>
        <v>1</v>
      </c>
      <c r="D245" s="96">
        <f t="shared" si="45"/>
        <v>1069</v>
      </c>
      <c r="E245" s="95">
        <f>VLOOKUP(B245,'115+740'!B246:AB347,3,FALSE)</f>
        <v>1636</v>
      </c>
      <c r="F245" s="92">
        <f t="shared" si="40"/>
        <v>2705</v>
      </c>
      <c r="G245" s="94">
        <f ca="1">VLOOKUP(B245,'115+740'!$B$15:$AB$757,20,FALSE)</f>
        <v>860</v>
      </c>
      <c r="H245" s="94">
        <f ca="1">VLOOKUP(B245,'115+740'!$B$15:$AB$757,4,FALSE)</f>
        <v>805</v>
      </c>
      <c r="I245" s="91">
        <f t="shared" ca="1" si="41"/>
        <v>1900</v>
      </c>
      <c r="J245" s="91">
        <f ca="1">VLOOKUP(B245,'115+740'!$B$15:$AB$757,13,FALSE)</f>
        <v>-100</v>
      </c>
      <c r="K245" s="89">
        <f>'115+740'!Q246</f>
        <v>0</v>
      </c>
      <c r="L245" s="88">
        <f t="shared" ca="1" si="46"/>
        <v>140</v>
      </c>
      <c r="M245" s="93">
        <f ca="1">VLOOKUP(B245,'115+740'!$B$14:$AB$757,21,FALSE)</f>
        <v>897</v>
      </c>
      <c r="N245" s="92">
        <f ca="1">VLOOKUP(B245,'115+740'!$B$15:$AB$757,5,FALSE)</f>
        <v>818</v>
      </c>
      <c r="O245" s="91">
        <f t="shared" ca="1" si="42"/>
        <v>1887</v>
      </c>
      <c r="P245" s="91">
        <f ca="1">VLOOKUP(B245,'115+740'!$B$15:$AB$757,14,FALSE)</f>
        <v>-113</v>
      </c>
      <c r="Q245" s="89">
        <f>'115+740'!R246</f>
        <v>0</v>
      </c>
      <c r="R245" s="88">
        <f t="shared" ca="1" si="47"/>
        <v>103</v>
      </c>
      <c r="S245" s="93">
        <f ca="1">VLOOKUP(B245,'115+740'!$B$14:$AB$757,22,FALSE)</f>
        <v>874</v>
      </c>
      <c r="T245" s="92">
        <f ca="1">VLOOKUP(B245,'115+740'!$B$15:$AB$757,6,FALSE)</f>
        <v>871</v>
      </c>
      <c r="U245" s="91">
        <f t="shared" ca="1" si="43"/>
        <v>1834</v>
      </c>
      <c r="V245" s="90">
        <f ca="1">VLOOKUP(B245,'115+740'!$B$15:$AB$757,15,FALSE)</f>
        <v>-166</v>
      </c>
      <c r="W245" s="89">
        <f>'115+740'!S246</f>
        <v>0</v>
      </c>
      <c r="X245" s="88">
        <f t="shared" ca="1" si="48"/>
        <v>126</v>
      </c>
      <c r="Y245" s="87">
        <f t="shared" ca="1" si="49"/>
        <v>0</v>
      </c>
      <c r="Z245" s="86">
        <f t="shared" ca="1" si="50"/>
        <v>0</v>
      </c>
      <c r="AA245" s="85">
        <f t="shared" ca="1" si="51"/>
        <v>1.0069999999999999</v>
      </c>
      <c r="AB245" s="85">
        <f t="shared" ca="1" si="52"/>
        <v>0.80400000000000005</v>
      </c>
    </row>
    <row r="246" spans="2:28">
      <c r="B246" s="98">
        <f>'115+740'!B247</f>
        <v>45305</v>
      </c>
      <c r="C246" s="97">
        <f t="shared" si="44"/>
        <v>1</v>
      </c>
      <c r="D246" s="96">
        <f t="shared" si="45"/>
        <v>1069</v>
      </c>
      <c r="E246" s="95">
        <f>VLOOKUP(B246,'115+740'!B247:AB348,3,FALSE)</f>
        <v>1638</v>
      </c>
      <c r="F246" s="92">
        <f t="shared" si="40"/>
        <v>2707</v>
      </c>
      <c r="G246" s="94">
        <f ca="1">VLOOKUP(B246,'115+740'!$B$15:$AB$757,20,FALSE)</f>
        <v>860</v>
      </c>
      <c r="H246" s="94">
        <f ca="1">VLOOKUP(B246,'115+740'!$B$15:$AB$757,4,FALSE)</f>
        <v>807</v>
      </c>
      <c r="I246" s="91">
        <f t="shared" ca="1" si="41"/>
        <v>1900</v>
      </c>
      <c r="J246" s="91">
        <f ca="1">VLOOKUP(B246,'115+740'!$B$15:$AB$757,13,FALSE)</f>
        <v>-100</v>
      </c>
      <c r="K246" s="89">
        <f>'115+740'!Q247</f>
        <v>0</v>
      </c>
      <c r="L246" s="88">
        <f t="shared" ca="1" si="46"/>
        <v>140</v>
      </c>
      <c r="M246" s="93">
        <f ca="1">VLOOKUP(B246,'115+740'!$B$14:$AB$757,21,FALSE)</f>
        <v>897</v>
      </c>
      <c r="N246" s="92">
        <f ca="1">VLOOKUP(B246,'115+740'!$B$15:$AB$757,5,FALSE)</f>
        <v>820</v>
      </c>
      <c r="O246" s="91">
        <f t="shared" ca="1" si="42"/>
        <v>1887</v>
      </c>
      <c r="P246" s="91">
        <f ca="1">VLOOKUP(B246,'115+740'!$B$15:$AB$757,14,FALSE)</f>
        <v>-113</v>
      </c>
      <c r="Q246" s="89">
        <f>'115+740'!R247</f>
        <v>0</v>
      </c>
      <c r="R246" s="88">
        <f t="shared" ca="1" si="47"/>
        <v>103</v>
      </c>
      <c r="S246" s="93">
        <f ca="1">VLOOKUP(B246,'115+740'!$B$14:$AB$757,22,FALSE)</f>
        <v>874</v>
      </c>
      <c r="T246" s="92">
        <f ca="1">VLOOKUP(B246,'115+740'!$B$15:$AB$757,6,FALSE)</f>
        <v>873</v>
      </c>
      <c r="U246" s="91">
        <f t="shared" ca="1" si="43"/>
        <v>1834</v>
      </c>
      <c r="V246" s="90">
        <f ca="1">VLOOKUP(B246,'115+740'!$B$15:$AB$757,15,FALSE)</f>
        <v>-166</v>
      </c>
      <c r="W246" s="89">
        <f>'115+740'!S247</f>
        <v>0</v>
      </c>
      <c r="X246" s="88">
        <f t="shared" ca="1" si="48"/>
        <v>126</v>
      </c>
      <c r="Y246" s="87">
        <f t="shared" ca="1" si="49"/>
        <v>0</v>
      </c>
      <c r="Z246" s="86">
        <f t="shared" ca="1" si="50"/>
        <v>0</v>
      </c>
      <c r="AA246" s="85">
        <f t="shared" ca="1" si="51"/>
        <v>1.0069999999999999</v>
      </c>
      <c r="AB246" s="85">
        <f t="shared" ca="1" si="52"/>
        <v>0.80400000000000005</v>
      </c>
    </row>
    <row r="247" spans="2:28">
      <c r="B247" s="98">
        <f>'115+740'!B248</f>
        <v>45306</v>
      </c>
      <c r="C247" s="97">
        <f t="shared" si="44"/>
        <v>1</v>
      </c>
      <c r="D247" s="96">
        <f t="shared" si="45"/>
        <v>1069</v>
      </c>
      <c r="E247" s="95">
        <f>VLOOKUP(B247,'115+740'!B248:AB349,3,FALSE)</f>
        <v>1640</v>
      </c>
      <c r="F247" s="92">
        <f t="shared" si="40"/>
        <v>2709</v>
      </c>
      <c r="G247" s="94">
        <f ca="1">VLOOKUP(B247,'115+740'!$B$15:$AB$757,20,FALSE)</f>
        <v>860</v>
      </c>
      <c r="H247" s="94">
        <f ca="1">VLOOKUP(B247,'115+740'!$B$15:$AB$757,4,FALSE)</f>
        <v>809</v>
      </c>
      <c r="I247" s="91">
        <f t="shared" ca="1" si="41"/>
        <v>1900</v>
      </c>
      <c r="J247" s="91">
        <f ca="1">VLOOKUP(B247,'115+740'!$B$15:$AB$757,13,FALSE)</f>
        <v>-100</v>
      </c>
      <c r="K247" s="89">
        <f>'115+740'!Q248</f>
        <v>0</v>
      </c>
      <c r="L247" s="88">
        <f t="shared" ca="1" si="46"/>
        <v>140</v>
      </c>
      <c r="M247" s="93">
        <f ca="1">VLOOKUP(B247,'115+740'!$B$14:$AB$757,21,FALSE)</f>
        <v>897</v>
      </c>
      <c r="N247" s="92">
        <f ca="1">VLOOKUP(B247,'115+740'!$B$15:$AB$757,5,FALSE)</f>
        <v>822</v>
      </c>
      <c r="O247" s="91">
        <f t="shared" ca="1" si="42"/>
        <v>1887</v>
      </c>
      <c r="P247" s="91">
        <f ca="1">VLOOKUP(B247,'115+740'!$B$15:$AB$757,14,FALSE)</f>
        <v>-113</v>
      </c>
      <c r="Q247" s="89">
        <f>'115+740'!R248</f>
        <v>0</v>
      </c>
      <c r="R247" s="88">
        <f t="shared" ca="1" si="47"/>
        <v>103</v>
      </c>
      <c r="S247" s="93">
        <f ca="1">VLOOKUP(B247,'115+740'!$B$14:$AB$757,22,FALSE)</f>
        <v>874</v>
      </c>
      <c r="T247" s="92">
        <f ca="1">VLOOKUP(B247,'115+740'!$B$15:$AB$757,6,FALSE)</f>
        <v>875</v>
      </c>
      <c r="U247" s="91">
        <f t="shared" ca="1" si="43"/>
        <v>1834</v>
      </c>
      <c r="V247" s="90">
        <f ca="1">VLOOKUP(B247,'115+740'!$B$15:$AB$757,15,FALSE)</f>
        <v>-166</v>
      </c>
      <c r="W247" s="89">
        <f>'115+740'!S248</f>
        <v>0</v>
      </c>
      <c r="X247" s="88">
        <f t="shared" ca="1" si="48"/>
        <v>126</v>
      </c>
      <c r="Y247" s="87">
        <f t="shared" ca="1" si="49"/>
        <v>0</v>
      </c>
      <c r="Z247" s="86">
        <f t="shared" ca="1" si="50"/>
        <v>0</v>
      </c>
      <c r="AA247" s="85">
        <f t="shared" ca="1" si="51"/>
        <v>1.0069999999999999</v>
      </c>
      <c r="AB247" s="85">
        <f t="shared" ca="1" si="52"/>
        <v>0.80400000000000005</v>
      </c>
    </row>
    <row r="248" spans="2:28">
      <c r="B248" s="98">
        <f>'115+740'!B249</f>
        <v>45307</v>
      </c>
      <c r="C248" s="97">
        <f t="shared" si="44"/>
        <v>1</v>
      </c>
      <c r="D248" s="96">
        <f t="shared" si="45"/>
        <v>1069</v>
      </c>
      <c r="E248" s="95">
        <f>VLOOKUP(B248,'115+740'!B249:AB350,3,FALSE)</f>
        <v>1642</v>
      </c>
      <c r="F248" s="92">
        <f t="shared" si="40"/>
        <v>2711</v>
      </c>
      <c r="G248" s="94">
        <f ca="1">VLOOKUP(B248,'115+740'!$B$15:$AB$757,20,FALSE)</f>
        <v>860</v>
      </c>
      <c r="H248" s="94">
        <f ca="1">VLOOKUP(B248,'115+740'!$B$15:$AB$757,4,FALSE)</f>
        <v>811</v>
      </c>
      <c r="I248" s="91">
        <f t="shared" ca="1" si="41"/>
        <v>1900</v>
      </c>
      <c r="J248" s="91">
        <f ca="1">VLOOKUP(B248,'115+740'!$B$15:$AB$757,13,FALSE)</f>
        <v>-100</v>
      </c>
      <c r="K248" s="89">
        <f>'115+740'!Q249</f>
        <v>0</v>
      </c>
      <c r="L248" s="88">
        <f t="shared" ca="1" si="46"/>
        <v>140</v>
      </c>
      <c r="M248" s="93">
        <f ca="1">VLOOKUP(B248,'115+740'!$B$14:$AB$757,21,FALSE)</f>
        <v>897</v>
      </c>
      <c r="N248" s="92">
        <f ca="1">VLOOKUP(B248,'115+740'!$B$15:$AB$757,5,FALSE)</f>
        <v>824</v>
      </c>
      <c r="O248" s="91">
        <f t="shared" ca="1" si="42"/>
        <v>1887</v>
      </c>
      <c r="P248" s="91">
        <f ca="1">VLOOKUP(B248,'115+740'!$B$15:$AB$757,14,FALSE)</f>
        <v>-113</v>
      </c>
      <c r="Q248" s="89">
        <f>'115+740'!R249</f>
        <v>0</v>
      </c>
      <c r="R248" s="88">
        <f t="shared" ca="1" si="47"/>
        <v>103</v>
      </c>
      <c r="S248" s="93">
        <f ca="1">VLOOKUP(B248,'115+740'!$B$14:$AB$757,22,FALSE)</f>
        <v>874</v>
      </c>
      <c r="T248" s="92">
        <f ca="1">VLOOKUP(B248,'115+740'!$B$15:$AB$757,6,FALSE)</f>
        <v>877</v>
      </c>
      <c r="U248" s="91">
        <f t="shared" ca="1" si="43"/>
        <v>1834</v>
      </c>
      <c r="V248" s="90">
        <f ca="1">VLOOKUP(B248,'115+740'!$B$15:$AB$757,15,FALSE)</f>
        <v>-166</v>
      </c>
      <c r="W248" s="89">
        <f>'115+740'!S249</f>
        <v>0</v>
      </c>
      <c r="X248" s="88">
        <f t="shared" ca="1" si="48"/>
        <v>126</v>
      </c>
      <c r="Y248" s="87">
        <f t="shared" ca="1" si="49"/>
        <v>0</v>
      </c>
      <c r="Z248" s="86">
        <f t="shared" ca="1" si="50"/>
        <v>0</v>
      </c>
      <c r="AA248" s="85">
        <f t="shared" ca="1" si="51"/>
        <v>1.0069999999999999</v>
      </c>
      <c r="AB248" s="85">
        <f t="shared" ca="1" si="52"/>
        <v>0.80400000000000005</v>
      </c>
    </row>
    <row r="249" spans="2:28">
      <c r="B249" s="98">
        <f>'115+740'!B250</f>
        <v>45308</v>
      </c>
      <c r="C249" s="97">
        <f t="shared" si="44"/>
        <v>1</v>
      </c>
      <c r="D249" s="96">
        <f t="shared" si="45"/>
        <v>1069</v>
      </c>
      <c r="E249" s="95">
        <f>VLOOKUP(B249,'115+740'!B250:AB351,3,FALSE)</f>
        <v>1644</v>
      </c>
      <c r="F249" s="92">
        <f t="shared" si="40"/>
        <v>2713</v>
      </c>
      <c r="G249" s="94">
        <f ca="1">VLOOKUP(B249,'115+740'!$B$15:$AB$757,20,FALSE)</f>
        <v>860</v>
      </c>
      <c r="H249" s="94">
        <f ca="1">VLOOKUP(B249,'115+740'!$B$15:$AB$757,4,FALSE)</f>
        <v>813</v>
      </c>
      <c r="I249" s="91">
        <f t="shared" ca="1" si="41"/>
        <v>1900</v>
      </c>
      <c r="J249" s="91">
        <f ca="1">VLOOKUP(B249,'115+740'!$B$15:$AB$757,13,FALSE)</f>
        <v>-100</v>
      </c>
      <c r="K249" s="89">
        <f>'115+740'!Q250</f>
        <v>0</v>
      </c>
      <c r="L249" s="88">
        <f t="shared" ca="1" si="46"/>
        <v>140</v>
      </c>
      <c r="M249" s="93">
        <f ca="1">VLOOKUP(B249,'115+740'!$B$14:$AB$757,21,FALSE)</f>
        <v>897</v>
      </c>
      <c r="N249" s="92">
        <f ca="1">VLOOKUP(B249,'115+740'!$B$15:$AB$757,5,FALSE)</f>
        <v>826</v>
      </c>
      <c r="O249" s="91">
        <f t="shared" ca="1" si="42"/>
        <v>1887</v>
      </c>
      <c r="P249" s="91">
        <f ca="1">VLOOKUP(B249,'115+740'!$B$15:$AB$757,14,FALSE)</f>
        <v>-113</v>
      </c>
      <c r="Q249" s="89">
        <f>'115+740'!R250</f>
        <v>0</v>
      </c>
      <c r="R249" s="88">
        <f t="shared" ca="1" si="47"/>
        <v>103</v>
      </c>
      <c r="S249" s="93">
        <f ca="1">VLOOKUP(B249,'115+740'!$B$14:$AB$757,22,FALSE)</f>
        <v>874</v>
      </c>
      <c r="T249" s="92">
        <f ca="1">VLOOKUP(B249,'115+740'!$B$15:$AB$757,6,FALSE)</f>
        <v>879</v>
      </c>
      <c r="U249" s="91">
        <f t="shared" ca="1" si="43"/>
        <v>1834</v>
      </c>
      <c r="V249" s="90">
        <f ca="1">VLOOKUP(B249,'115+740'!$B$15:$AB$757,15,FALSE)</f>
        <v>-166</v>
      </c>
      <c r="W249" s="89">
        <f>'115+740'!S250</f>
        <v>0</v>
      </c>
      <c r="X249" s="88">
        <f t="shared" ca="1" si="48"/>
        <v>126</v>
      </c>
      <c r="Y249" s="87">
        <f t="shared" ca="1" si="49"/>
        <v>0</v>
      </c>
      <c r="Z249" s="86">
        <f t="shared" ca="1" si="50"/>
        <v>0</v>
      </c>
      <c r="AA249" s="85">
        <f t="shared" ca="1" si="51"/>
        <v>1.0069999999999999</v>
      </c>
      <c r="AB249" s="85">
        <f t="shared" ca="1" si="52"/>
        <v>0.80400000000000005</v>
      </c>
    </row>
    <row r="250" spans="2:28">
      <c r="B250" s="98">
        <f>'115+740'!B251</f>
        <v>45309</v>
      </c>
      <c r="C250" s="97">
        <f t="shared" si="44"/>
        <v>1</v>
      </c>
      <c r="D250" s="96">
        <f t="shared" si="45"/>
        <v>1069</v>
      </c>
      <c r="E250" s="95">
        <f>VLOOKUP(B250,'115+740'!B251:AB352,3,FALSE)</f>
        <v>1646</v>
      </c>
      <c r="F250" s="92">
        <f t="shared" si="40"/>
        <v>2715</v>
      </c>
      <c r="G250" s="94">
        <f ca="1">VLOOKUP(B250,'115+740'!$B$15:$AB$757,20,FALSE)</f>
        <v>860</v>
      </c>
      <c r="H250" s="94">
        <f ca="1">VLOOKUP(B250,'115+740'!$B$15:$AB$757,4,FALSE)</f>
        <v>815</v>
      </c>
      <c r="I250" s="91">
        <f t="shared" ca="1" si="41"/>
        <v>1900</v>
      </c>
      <c r="J250" s="91">
        <f ca="1">VLOOKUP(B250,'115+740'!$B$15:$AB$757,13,FALSE)</f>
        <v>-100</v>
      </c>
      <c r="K250" s="89">
        <f>'115+740'!Q251</f>
        <v>0</v>
      </c>
      <c r="L250" s="88">
        <f t="shared" ca="1" si="46"/>
        <v>140</v>
      </c>
      <c r="M250" s="93">
        <f ca="1">VLOOKUP(B250,'115+740'!$B$14:$AB$757,21,FALSE)</f>
        <v>897</v>
      </c>
      <c r="N250" s="92">
        <f ca="1">VLOOKUP(B250,'115+740'!$B$15:$AB$757,5,FALSE)</f>
        <v>828</v>
      </c>
      <c r="O250" s="91">
        <f t="shared" ca="1" si="42"/>
        <v>1887</v>
      </c>
      <c r="P250" s="91">
        <f ca="1">VLOOKUP(B250,'115+740'!$B$15:$AB$757,14,FALSE)</f>
        <v>-113</v>
      </c>
      <c r="Q250" s="89">
        <f>'115+740'!R251</f>
        <v>0</v>
      </c>
      <c r="R250" s="88">
        <f t="shared" ca="1" si="47"/>
        <v>103</v>
      </c>
      <c r="S250" s="93">
        <f ca="1">VLOOKUP(B250,'115+740'!$B$14:$AB$757,22,FALSE)</f>
        <v>874</v>
      </c>
      <c r="T250" s="92">
        <f ca="1">VLOOKUP(B250,'115+740'!$B$15:$AB$757,6,FALSE)</f>
        <v>881</v>
      </c>
      <c r="U250" s="91">
        <f t="shared" ca="1" si="43"/>
        <v>1834</v>
      </c>
      <c r="V250" s="90">
        <f ca="1">VLOOKUP(B250,'115+740'!$B$15:$AB$757,15,FALSE)</f>
        <v>-166</v>
      </c>
      <c r="W250" s="89">
        <f>'115+740'!S251</f>
        <v>0</v>
      </c>
      <c r="X250" s="88">
        <f t="shared" ca="1" si="48"/>
        <v>126</v>
      </c>
      <c r="Y250" s="87">
        <f t="shared" ca="1" si="49"/>
        <v>0</v>
      </c>
      <c r="Z250" s="86">
        <f t="shared" ca="1" si="50"/>
        <v>0</v>
      </c>
      <c r="AA250" s="85">
        <f t="shared" ca="1" si="51"/>
        <v>1.0069999999999999</v>
      </c>
      <c r="AB250" s="85">
        <f t="shared" ca="1" si="52"/>
        <v>0.80400000000000005</v>
      </c>
    </row>
    <row r="251" spans="2:28">
      <c r="B251" s="98">
        <f>'115+740'!B252</f>
        <v>45310</v>
      </c>
      <c r="C251" s="97">
        <f t="shared" si="44"/>
        <v>1</v>
      </c>
      <c r="D251" s="96">
        <f t="shared" si="45"/>
        <v>1069</v>
      </c>
      <c r="E251" s="95">
        <f>VLOOKUP(B251,'115+740'!B252:AB353,3,FALSE)</f>
        <v>1648</v>
      </c>
      <c r="F251" s="92">
        <f t="shared" si="40"/>
        <v>2717</v>
      </c>
      <c r="G251" s="94">
        <f ca="1">VLOOKUP(B251,'115+740'!$B$15:$AB$757,20,FALSE)</f>
        <v>860</v>
      </c>
      <c r="H251" s="94">
        <f ca="1">VLOOKUP(B251,'115+740'!$B$15:$AB$757,4,FALSE)</f>
        <v>817</v>
      </c>
      <c r="I251" s="91">
        <f t="shared" ca="1" si="41"/>
        <v>1900</v>
      </c>
      <c r="J251" s="91">
        <f ca="1">VLOOKUP(B251,'115+740'!$B$15:$AB$757,13,FALSE)</f>
        <v>-100</v>
      </c>
      <c r="K251" s="89">
        <f>'115+740'!Q252</f>
        <v>0</v>
      </c>
      <c r="L251" s="88">
        <f t="shared" ca="1" si="46"/>
        <v>140</v>
      </c>
      <c r="M251" s="93">
        <f ca="1">VLOOKUP(B251,'115+740'!$B$14:$AB$757,21,FALSE)</f>
        <v>897</v>
      </c>
      <c r="N251" s="92">
        <f ca="1">VLOOKUP(B251,'115+740'!$B$15:$AB$757,5,FALSE)</f>
        <v>830</v>
      </c>
      <c r="O251" s="91">
        <f t="shared" ca="1" si="42"/>
        <v>1887</v>
      </c>
      <c r="P251" s="91">
        <f ca="1">VLOOKUP(B251,'115+740'!$B$15:$AB$757,14,FALSE)</f>
        <v>-113</v>
      </c>
      <c r="Q251" s="89">
        <f>'115+740'!R252</f>
        <v>0</v>
      </c>
      <c r="R251" s="88">
        <f t="shared" ca="1" si="47"/>
        <v>103</v>
      </c>
      <c r="S251" s="93">
        <f ca="1">VLOOKUP(B251,'115+740'!$B$14:$AB$757,22,FALSE)</f>
        <v>874</v>
      </c>
      <c r="T251" s="92">
        <f ca="1">VLOOKUP(B251,'115+740'!$B$15:$AB$757,6,FALSE)</f>
        <v>883</v>
      </c>
      <c r="U251" s="91">
        <f t="shared" ca="1" si="43"/>
        <v>1834</v>
      </c>
      <c r="V251" s="90">
        <f ca="1">VLOOKUP(B251,'115+740'!$B$15:$AB$757,15,FALSE)</f>
        <v>-166</v>
      </c>
      <c r="W251" s="89">
        <f>'115+740'!S252</f>
        <v>0</v>
      </c>
      <c r="X251" s="88">
        <f t="shared" ca="1" si="48"/>
        <v>126</v>
      </c>
      <c r="Y251" s="87">
        <f t="shared" ca="1" si="49"/>
        <v>0</v>
      </c>
      <c r="Z251" s="86">
        <f t="shared" ca="1" si="50"/>
        <v>0</v>
      </c>
      <c r="AA251" s="85">
        <f t="shared" ca="1" si="51"/>
        <v>1.0069999999999999</v>
      </c>
      <c r="AB251" s="85">
        <f t="shared" ca="1" si="52"/>
        <v>0.80400000000000005</v>
      </c>
    </row>
    <row r="252" spans="2:28">
      <c r="B252" s="98">
        <f>'115+740'!B253</f>
        <v>45311</v>
      </c>
      <c r="C252" s="97">
        <f t="shared" si="44"/>
        <v>1</v>
      </c>
      <c r="D252" s="96">
        <f t="shared" si="45"/>
        <v>1069</v>
      </c>
      <c r="E252" s="95">
        <f>VLOOKUP(B252,'115+740'!B253:AB354,3,FALSE)</f>
        <v>1650</v>
      </c>
      <c r="F252" s="92">
        <f t="shared" si="40"/>
        <v>2719</v>
      </c>
      <c r="G252" s="94">
        <f ca="1">VLOOKUP(B252,'115+740'!$B$15:$AB$757,20,FALSE)</f>
        <v>860</v>
      </c>
      <c r="H252" s="94">
        <f ca="1">VLOOKUP(B252,'115+740'!$B$15:$AB$757,4,FALSE)</f>
        <v>819</v>
      </c>
      <c r="I252" s="91">
        <f t="shared" ca="1" si="41"/>
        <v>1900</v>
      </c>
      <c r="J252" s="91">
        <f ca="1">VLOOKUP(B252,'115+740'!$B$15:$AB$757,13,FALSE)</f>
        <v>-100</v>
      </c>
      <c r="K252" s="89">
        <f>'115+740'!Q253</f>
        <v>0</v>
      </c>
      <c r="L252" s="88">
        <f t="shared" ca="1" si="46"/>
        <v>140</v>
      </c>
      <c r="M252" s="93">
        <f ca="1">VLOOKUP(B252,'115+740'!$B$14:$AB$757,21,FALSE)</f>
        <v>897</v>
      </c>
      <c r="N252" s="92">
        <f ca="1">VLOOKUP(B252,'115+740'!$B$15:$AB$757,5,FALSE)</f>
        <v>832</v>
      </c>
      <c r="O252" s="91">
        <f t="shared" ca="1" si="42"/>
        <v>1887</v>
      </c>
      <c r="P252" s="91">
        <f ca="1">VLOOKUP(B252,'115+740'!$B$15:$AB$757,14,FALSE)</f>
        <v>-113</v>
      </c>
      <c r="Q252" s="89">
        <f>'115+740'!R253</f>
        <v>0</v>
      </c>
      <c r="R252" s="88">
        <f t="shared" ca="1" si="47"/>
        <v>103</v>
      </c>
      <c r="S252" s="93">
        <f ca="1">VLOOKUP(B252,'115+740'!$B$14:$AB$757,22,FALSE)</f>
        <v>874</v>
      </c>
      <c r="T252" s="92">
        <f ca="1">VLOOKUP(B252,'115+740'!$B$15:$AB$757,6,FALSE)</f>
        <v>885</v>
      </c>
      <c r="U252" s="91">
        <f t="shared" ca="1" si="43"/>
        <v>1834</v>
      </c>
      <c r="V252" s="90">
        <f ca="1">VLOOKUP(B252,'115+740'!$B$15:$AB$757,15,FALSE)</f>
        <v>-166</v>
      </c>
      <c r="W252" s="89">
        <f>'115+740'!S253</f>
        <v>0</v>
      </c>
      <c r="X252" s="88">
        <f t="shared" ca="1" si="48"/>
        <v>126</v>
      </c>
      <c r="Y252" s="87">
        <f t="shared" ca="1" si="49"/>
        <v>0</v>
      </c>
      <c r="Z252" s="86">
        <f t="shared" ca="1" si="50"/>
        <v>0</v>
      </c>
      <c r="AA252" s="85">
        <f t="shared" ca="1" si="51"/>
        <v>1.0069999999999999</v>
      </c>
      <c r="AB252" s="85">
        <f t="shared" ca="1" si="52"/>
        <v>0.80400000000000005</v>
      </c>
    </row>
    <row r="253" spans="2:28">
      <c r="B253" s="98">
        <f>'115+740'!B254</f>
        <v>45312</v>
      </c>
      <c r="C253" s="97">
        <f t="shared" si="44"/>
        <v>1</v>
      </c>
      <c r="D253" s="96">
        <f t="shared" si="45"/>
        <v>1069</v>
      </c>
      <c r="E253" s="95">
        <f>VLOOKUP(B253,'115+740'!B254:AB355,3,FALSE)</f>
        <v>1652</v>
      </c>
      <c r="F253" s="92">
        <f t="shared" si="40"/>
        <v>2721</v>
      </c>
      <c r="G253" s="94">
        <f ca="1">VLOOKUP(B253,'115+740'!$B$15:$AB$757,20,FALSE)</f>
        <v>860</v>
      </c>
      <c r="H253" s="94">
        <f ca="1">VLOOKUP(B253,'115+740'!$B$15:$AB$757,4,FALSE)</f>
        <v>821</v>
      </c>
      <c r="I253" s="91">
        <f t="shared" ca="1" si="41"/>
        <v>1900</v>
      </c>
      <c r="J253" s="91">
        <f ca="1">VLOOKUP(B253,'115+740'!$B$15:$AB$757,13,FALSE)</f>
        <v>-100</v>
      </c>
      <c r="K253" s="89">
        <f>'115+740'!Q254</f>
        <v>0</v>
      </c>
      <c r="L253" s="88">
        <f t="shared" ca="1" si="46"/>
        <v>140</v>
      </c>
      <c r="M253" s="93">
        <f ca="1">VLOOKUP(B253,'115+740'!$B$14:$AB$757,21,FALSE)</f>
        <v>897</v>
      </c>
      <c r="N253" s="92">
        <f ca="1">VLOOKUP(B253,'115+740'!$B$15:$AB$757,5,FALSE)</f>
        <v>834</v>
      </c>
      <c r="O253" s="91">
        <f t="shared" ca="1" si="42"/>
        <v>1887</v>
      </c>
      <c r="P253" s="91">
        <f ca="1">VLOOKUP(B253,'115+740'!$B$15:$AB$757,14,FALSE)</f>
        <v>-113</v>
      </c>
      <c r="Q253" s="89">
        <f>'115+740'!R254</f>
        <v>0</v>
      </c>
      <c r="R253" s="88">
        <f t="shared" ca="1" si="47"/>
        <v>103</v>
      </c>
      <c r="S253" s="93">
        <f ca="1">VLOOKUP(B253,'115+740'!$B$14:$AB$757,22,FALSE)</f>
        <v>874</v>
      </c>
      <c r="T253" s="92">
        <f ca="1">VLOOKUP(B253,'115+740'!$B$15:$AB$757,6,FALSE)</f>
        <v>887</v>
      </c>
      <c r="U253" s="91">
        <f t="shared" ca="1" si="43"/>
        <v>1834</v>
      </c>
      <c r="V253" s="90">
        <f ca="1">VLOOKUP(B253,'115+740'!$B$15:$AB$757,15,FALSE)</f>
        <v>-166</v>
      </c>
      <c r="W253" s="89">
        <f>'115+740'!S254</f>
        <v>0</v>
      </c>
      <c r="X253" s="88">
        <f t="shared" ca="1" si="48"/>
        <v>126</v>
      </c>
      <c r="Y253" s="87">
        <f t="shared" ca="1" si="49"/>
        <v>0</v>
      </c>
      <c r="Z253" s="86">
        <f t="shared" ca="1" si="50"/>
        <v>0</v>
      </c>
      <c r="AA253" s="85">
        <f t="shared" ca="1" si="51"/>
        <v>1.0069999999999999</v>
      </c>
      <c r="AB253" s="85">
        <f t="shared" ca="1" si="52"/>
        <v>0.80400000000000005</v>
      </c>
    </row>
    <row r="254" spans="2:28">
      <c r="B254" s="98">
        <f>'115+740'!B255</f>
        <v>45313</v>
      </c>
      <c r="C254" s="97">
        <f t="shared" si="44"/>
        <v>1</v>
      </c>
      <c r="D254" s="96">
        <f t="shared" si="45"/>
        <v>1069</v>
      </c>
      <c r="E254" s="95">
        <f>VLOOKUP(B254,'115+740'!B255:AB356,3,FALSE)</f>
        <v>1654</v>
      </c>
      <c r="F254" s="92">
        <f t="shared" si="40"/>
        <v>2723</v>
      </c>
      <c r="G254" s="94">
        <f ca="1">VLOOKUP(B254,'115+740'!$B$15:$AB$757,20,FALSE)</f>
        <v>860</v>
      </c>
      <c r="H254" s="94">
        <f ca="1">VLOOKUP(B254,'115+740'!$B$15:$AB$757,4,FALSE)</f>
        <v>823</v>
      </c>
      <c r="I254" s="91">
        <f t="shared" ca="1" si="41"/>
        <v>1900</v>
      </c>
      <c r="J254" s="91">
        <f ca="1">VLOOKUP(B254,'115+740'!$B$15:$AB$757,13,FALSE)</f>
        <v>-100</v>
      </c>
      <c r="K254" s="89">
        <f>'115+740'!Q255</f>
        <v>0</v>
      </c>
      <c r="L254" s="88">
        <f t="shared" ca="1" si="46"/>
        <v>140</v>
      </c>
      <c r="M254" s="93">
        <f ca="1">VLOOKUP(B254,'115+740'!$B$14:$AB$757,21,FALSE)</f>
        <v>897</v>
      </c>
      <c r="N254" s="92">
        <f ca="1">VLOOKUP(B254,'115+740'!$B$15:$AB$757,5,FALSE)</f>
        <v>836</v>
      </c>
      <c r="O254" s="91">
        <f t="shared" ca="1" si="42"/>
        <v>1887</v>
      </c>
      <c r="P254" s="91">
        <f ca="1">VLOOKUP(B254,'115+740'!$B$15:$AB$757,14,FALSE)</f>
        <v>-113</v>
      </c>
      <c r="Q254" s="89">
        <f>'115+740'!R255</f>
        <v>0</v>
      </c>
      <c r="R254" s="88">
        <f t="shared" ca="1" si="47"/>
        <v>103</v>
      </c>
      <c r="S254" s="93">
        <f ca="1">VLOOKUP(B254,'115+740'!$B$14:$AB$757,22,FALSE)</f>
        <v>874</v>
      </c>
      <c r="T254" s="92">
        <f ca="1">VLOOKUP(B254,'115+740'!$B$15:$AB$757,6,FALSE)</f>
        <v>889</v>
      </c>
      <c r="U254" s="91">
        <f t="shared" ca="1" si="43"/>
        <v>1834</v>
      </c>
      <c r="V254" s="90">
        <f ca="1">VLOOKUP(B254,'115+740'!$B$15:$AB$757,15,FALSE)</f>
        <v>-166</v>
      </c>
      <c r="W254" s="89">
        <f>'115+740'!S255</f>
        <v>0</v>
      </c>
      <c r="X254" s="88">
        <f t="shared" ca="1" si="48"/>
        <v>126</v>
      </c>
      <c r="Y254" s="87">
        <f t="shared" ca="1" si="49"/>
        <v>0</v>
      </c>
      <c r="Z254" s="86">
        <f t="shared" ca="1" si="50"/>
        <v>0</v>
      </c>
      <c r="AA254" s="85">
        <f t="shared" ca="1" si="51"/>
        <v>1.0069999999999999</v>
      </c>
      <c r="AB254" s="85">
        <f t="shared" ca="1" si="52"/>
        <v>0.80400000000000005</v>
      </c>
    </row>
    <row r="255" spans="2:28">
      <c r="B255" s="98">
        <f>'115+740'!B256</f>
        <v>45314</v>
      </c>
      <c r="C255" s="97">
        <f t="shared" si="44"/>
        <v>1</v>
      </c>
      <c r="D255" s="96">
        <f t="shared" si="45"/>
        <v>1069</v>
      </c>
      <c r="E255" s="95">
        <f>VLOOKUP(B255,'115+740'!B256:AB357,3,FALSE)</f>
        <v>1656</v>
      </c>
      <c r="F255" s="92">
        <f t="shared" si="40"/>
        <v>2725</v>
      </c>
      <c r="G255" s="94">
        <f ca="1">VLOOKUP(B255,'115+740'!$B$15:$AB$757,20,FALSE)</f>
        <v>860</v>
      </c>
      <c r="H255" s="94">
        <f ca="1">VLOOKUP(B255,'115+740'!$B$15:$AB$757,4,FALSE)</f>
        <v>825</v>
      </c>
      <c r="I255" s="91">
        <f t="shared" ca="1" si="41"/>
        <v>1900</v>
      </c>
      <c r="J255" s="91">
        <f ca="1">VLOOKUP(B255,'115+740'!$B$15:$AB$757,13,FALSE)</f>
        <v>-100</v>
      </c>
      <c r="K255" s="89">
        <f>'115+740'!Q256</f>
        <v>0</v>
      </c>
      <c r="L255" s="88">
        <f t="shared" ca="1" si="46"/>
        <v>140</v>
      </c>
      <c r="M255" s="93">
        <f ca="1">VLOOKUP(B255,'115+740'!$B$14:$AB$757,21,FALSE)</f>
        <v>897</v>
      </c>
      <c r="N255" s="92">
        <f ca="1">VLOOKUP(B255,'115+740'!$B$15:$AB$757,5,FALSE)</f>
        <v>838</v>
      </c>
      <c r="O255" s="91">
        <f t="shared" ca="1" si="42"/>
        <v>1887</v>
      </c>
      <c r="P255" s="91">
        <f ca="1">VLOOKUP(B255,'115+740'!$B$15:$AB$757,14,FALSE)</f>
        <v>-113</v>
      </c>
      <c r="Q255" s="89">
        <f>'115+740'!R256</f>
        <v>0</v>
      </c>
      <c r="R255" s="88">
        <f t="shared" ca="1" si="47"/>
        <v>103</v>
      </c>
      <c r="S255" s="93">
        <f ca="1">VLOOKUP(B255,'115+740'!$B$14:$AB$757,22,FALSE)</f>
        <v>874</v>
      </c>
      <c r="T255" s="92">
        <f ca="1">VLOOKUP(B255,'115+740'!$B$15:$AB$757,6,FALSE)</f>
        <v>891</v>
      </c>
      <c r="U255" s="91">
        <f t="shared" ca="1" si="43"/>
        <v>1834</v>
      </c>
      <c r="V255" s="90">
        <f ca="1">VLOOKUP(B255,'115+740'!$B$15:$AB$757,15,FALSE)</f>
        <v>-166</v>
      </c>
      <c r="W255" s="89">
        <f>'115+740'!S256</f>
        <v>0</v>
      </c>
      <c r="X255" s="88">
        <f t="shared" ca="1" si="48"/>
        <v>126</v>
      </c>
      <c r="Y255" s="87">
        <f t="shared" ca="1" si="49"/>
        <v>0</v>
      </c>
      <c r="Z255" s="86">
        <f t="shared" ca="1" si="50"/>
        <v>0</v>
      </c>
      <c r="AA255" s="85">
        <f t="shared" ca="1" si="51"/>
        <v>1.0069999999999999</v>
      </c>
      <c r="AB255" s="85">
        <f t="shared" ca="1" si="52"/>
        <v>0.80400000000000005</v>
      </c>
    </row>
    <row r="256" spans="2:28">
      <c r="B256" s="98">
        <f>'115+740'!B257</f>
        <v>45315</v>
      </c>
      <c r="C256" s="97">
        <f t="shared" si="44"/>
        <v>1</v>
      </c>
      <c r="D256" s="96">
        <f t="shared" si="45"/>
        <v>1069</v>
      </c>
      <c r="E256" s="95">
        <f>VLOOKUP(B256,'115+740'!B257:AB358,3,FALSE)</f>
        <v>1658</v>
      </c>
      <c r="F256" s="92">
        <f t="shared" si="40"/>
        <v>2727</v>
      </c>
      <c r="G256" s="94">
        <f ca="1">VLOOKUP(B256,'115+740'!$B$15:$AB$757,20,FALSE)</f>
        <v>860</v>
      </c>
      <c r="H256" s="94">
        <f ca="1">VLOOKUP(B256,'115+740'!$B$15:$AB$757,4,FALSE)</f>
        <v>827</v>
      </c>
      <c r="I256" s="91">
        <f t="shared" ca="1" si="41"/>
        <v>1900</v>
      </c>
      <c r="J256" s="91">
        <f ca="1">VLOOKUP(B256,'115+740'!$B$15:$AB$757,13,FALSE)</f>
        <v>-100</v>
      </c>
      <c r="K256" s="89">
        <f>'115+740'!Q257</f>
        <v>0</v>
      </c>
      <c r="L256" s="88">
        <f t="shared" ca="1" si="46"/>
        <v>140</v>
      </c>
      <c r="M256" s="93">
        <f ca="1">VLOOKUP(B256,'115+740'!$B$14:$AB$757,21,FALSE)</f>
        <v>897</v>
      </c>
      <c r="N256" s="92">
        <f ca="1">VLOOKUP(B256,'115+740'!$B$15:$AB$757,5,FALSE)</f>
        <v>840</v>
      </c>
      <c r="O256" s="91">
        <f t="shared" ca="1" si="42"/>
        <v>1887</v>
      </c>
      <c r="P256" s="91">
        <f ca="1">VLOOKUP(B256,'115+740'!$B$15:$AB$757,14,FALSE)</f>
        <v>-113</v>
      </c>
      <c r="Q256" s="89">
        <f>'115+740'!R257</f>
        <v>0</v>
      </c>
      <c r="R256" s="88">
        <f t="shared" ca="1" si="47"/>
        <v>103</v>
      </c>
      <c r="S256" s="93">
        <f ca="1">VLOOKUP(B256,'115+740'!$B$14:$AB$757,22,FALSE)</f>
        <v>874</v>
      </c>
      <c r="T256" s="92">
        <f ca="1">VLOOKUP(B256,'115+740'!$B$15:$AB$757,6,FALSE)</f>
        <v>893</v>
      </c>
      <c r="U256" s="91">
        <f t="shared" ca="1" si="43"/>
        <v>1834</v>
      </c>
      <c r="V256" s="90">
        <f ca="1">VLOOKUP(B256,'115+740'!$B$15:$AB$757,15,FALSE)</f>
        <v>-166</v>
      </c>
      <c r="W256" s="89">
        <f>'115+740'!S257</f>
        <v>0</v>
      </c>
      <c r="X256" s="88">
        <f t="shared" ca="1" si="48"/>
        <v>126</v>
      </c>
      <c r="Y256" s="87">
        <f t="shared" ca="1" si="49"/>
        <v>0</v>
      </c>
      <c r="Z256" s="86">
        <f t="shared" ca="1" si="50"/>
        <v>0</v>
      </c>
      <c r="AA256" s="85">
        <f t="shared" ca="1" si="51"/>
        <v>1.0069999999999999</v>
      </c>
      <c r="AB256" s="85">
        <f t="shared" ca="1" si="52"/>
        <v>0.80400000000000005</v>
      </c>
    </row>
    <row r="257" spans="2:28">
      <c r="B257" s="98">
        <f>'115+740'!B258</f>
        <v>45316</v>
      </c>
      <c r="C257" s="97">
        <f t="shared" si="44"/>
        <v>1</v>
      </c>
      <c r="D257" s="96">
        <f t="shared" si="45"/>
        <v>1069</v>
      </c>
      <c r="E257" s="95">
        <f>VLOOKUP(B257,'115+740'!B258:AB359,3,FALSE)</f>
        <v>1660</v>
      </c>
      <c r="F257" s="92">
        <f t="shared" si="40"/>
        <v>2729</v>
      </c>
      <c r="G257" s="94">
        <f ca="1">VLOOKUP(B257,'115+740'!$B$15:$AB$757,20,FALSE)</f>
        <v>860</v>
      </c>
      <c r="H257" s="94">
        <f ca="1">VLOOKUP(B257,'115+740'!$B$15:$AB$757,4,FALSE)</f>
        <v>829</v>
      </c>
      <c r="I257" s="91">
        <f t="shared" ca="1" si="41"/>
        <v>1900</v>
      </c>
      <c r="J257" s="91">
        <f ca="1">VLOOKUP(B257,'115+740'!$B$15:$AB$757,13,FALSE)</f>
        <v>-100</v>
      </c>
      <c r="K257" s="89">
        <f>'115+740'!Q258</f>
        <v>0</v>
      </c>
      <c r="L257" s="88">
        <f t="shared" ca="1" si="46"/>
        <v>140</v>
      </c>
      <c r="M257" s="93">
        <f ca="1">VLOOKUP(B257,'115+740'!$B$14:$AB$757,21,FALSE)</f>
        <v>897</v>
      </c>
      <c r="N257" s="92">
        <f ca="1">VLOOKUP(B257,'115+740'!$B$15:$AB$757,5,FALSE)</f>
        <v>842</v>
      </c>
      <c r="O257" s="91">
        <f t="shared" ca="1" si="42"/>
        <v>1887</v>
      </c>
      <c r="P257" s="91">
        <f ca="1">VLOOKUP(B257,'115+740'!$B$15:$AB$757,14,FALSE)</f>
        <v>-113</v>
      </c>
      <c r="Q257" s="89">
        <f>'115+740'!R258</f>
        <v>0</v>
      </c>
      <c r="R257" s="88">
        <f t="shared" ca="1" si="47"/>
        <v>103</v>
      </c>
      <c r="S257" s="93">
        <f ca="1">VLOOKUP(B257,'115+740'!$B$14:$AB$757,22,FALSE)</f>
        <v>874</v>
      </c>
      <c r="T257" s="92">
        <f ca="1">VLOOKUP(B257,'115+740'!$B$15:$AB$757,6,FALSE)</f>
        <v>895</v>
      </c>
      <c r="U257" s="91">
        <f t="shared" ca="1" si="43"/>
        <v>1834</v>
      </c>
      <c r="V257" s="90">
        <f ca="1">VLOOKUP(B257,'115+740'!$B$15:$AB$757,15,FALSE)</f>
        <v>-166</v>
      </c>
      <c r="W257" s="89">
        <f>'115+740'!S258</f>
        <v>0</v>
      </c>
      <c r="X257" s="88">
        <f t="shared" ca="1" si="48"/>
        <v>126</v>
      </c>
      <c r="Y257" s="87">
        <f t="shared" ca="1" si="49"/>
        <v>0</v>
      </c>
      <c r="Z257" s="86">
        <f t="shared" ca="1" si="50"/>
        <v>0</v>
      </c>
      <c r="AA257" s="85">
        <f t="shared" ca="1" si="51"/>
        <v>1.0069999999999999</v>
      </c>
      <c r="AB257" s="85">
        <f t="shared" ca="1" si="52"/>
        <v>0.80400000000000005</v>
      </c>
    </row>
    <row r="258" spans="2:28">
      <c r="B258" s="98">
        <f>'115+740'!B259</f>
        <v>45317</v>
      </c>
      <c r="C258" s="97">
        <f t="shared" si="44"/>
        <v>1</v>
      </c>
      <c r="D258" s="96">
        <f t="shared" si="45"/>
        <v>1069</v>
      </c>
      <c r="E258" s="95">
        <f>VLOOKUP(B258,'115+740'!B259:AB360,3,FALSE)</f>
        <v>1662</v>
      </c>
      <c r="F258" s="92">
        <f t="shared" si="40"/>
        <v>2731</v>
      </c>
      <c r="G258" s="94">
        <f ca="1">VLOOKUP(B258,'115+740'!$B$15:$AB$757,20,FALSE)</f>
        <v>860</v>
      </c>
      <c r="H258" s="94">
        <f ca="1">VLOOKUP(B258,'115+740'!$B$15:$AB$757,4,FALSE)</f>
        <v>831</v>
      </c>
      <c r="I258" s="91">
        <f t="shared" ca="1" si="41"/>
        <v>1900</v>
      </c>
      <c r="J258" s="91">
        <f ca="1">VLOOKUP(B258,'115+740'!$B$15:$AB$757,13,FALSE)</f>
        <v>-100</v>
      </c>
      <c r="K258" s="89">
        <f>'115+740'!Q259</f>
        <v>0</v>
      </c>
      <c r="L258" s="88">
        <f t="shared" ca="1" si="46"/>
        <v>140</v>
      </c>
      <c r="M258" s="93">
        <f ca="1">VLOOKUP(B258,'115+740'!$B$14:$AB$757,21,FALSE)</f>
        <v>897</v>
      </c>
      <c r="N258" s="92">
        <f ca="1">VLOOKUP(B258,'115+740'!$B$15:$AB$757,5,FALSE)</f>
        <v>844</v>
      </c>
      <c r="O258" s="91">
        <f t="shared" ca="1" si="42"/>
        <v>1887</v>
      </c>
      <c r="P258" s="91">
        <f ca="1">VLOOKUP(B258,'115+740'!$B$15:$AB$757,14,FALSE)</f>
        <v>-113</v>
      </c>
      <c r="Q258" s="89">
        <f>'115+740'!R259</f>
        <v>0</v>
      </c>
      <c r="R258" s="88">
        <f t="shared" ca="1" si="47"/>
        <v>103</v>
      </c>
      <c r="S258" s="93">
        <f ca="1">VLOOKUP(B258,'115+740'!$B$14:$AB$757,22,FALSE)</f>
        <v>874</v>
      </c>
      <c r="T258" s="92">
        <f ca="1">VLOOKUP(B258,'115+740'!$B$15:$AB$757,6,FALSE)</f>
        <v>897</v>
      </c>
      <c r="U258" s="91">
        <f t="shared" ca="1" si="43"/>
        <v>1834</v>
      </c>
      <c r="V258" s="90">
        <f ca="1">VLOOKUP(B258,'115+740'!$B$15:$AB$757,15,FALSE)</f>
        <v>-166</v>
      </c>
      <c r="W258" s="89">
        <f>'115+740'!S259</f>
        <v>0</v>
      </c>
      <c r="X258" s="88">
        <f t="shared" ca="1" si="48"/>
        <v>126</v>
      </c>
      <c r="Y258" s="87">
        <f t="shared" ca="1" si="49"/>
        <v>0</v>
      </c>
      <c r="Z258" s="86">
        <f t="shared" ca="1" si="50"/>
        <v>0</v>
      </c>
      <c r="AA258" s="85">
        <f t="shared" ca="1" si="51"/>
        <v>1.0069999999999999</v>
      </c>
      <c r="AB258" s="85">
        <f t="shared" ca="1" si="52"/>
        <v>0.80400000000000005</v>
      </c>
    </row>
    <row r="259" spans="2:28">
      <c r="B259" s="98">
        <f>'115+740'!B260</f>
        <v>45318</v>
      </c>
      <c r="C259" s="97">
        <f t="shared" si="44"/>
        <v>1</v>
      </c>
      <c r="D259" s="96">
        <f t="shared" si="45"/>
        <v>1069</v>
      </c>
      <c r="E259" s="95">
        <f>VLOOKUP(B259,'115+740'!B260:AB361,3,FALSE)</f>
        <v>1664</v>
      </c>
      <c r="F259" s="92">
        <f t="shared" si="40"/>
        <v>2733</v>
      </c>
      <c r="G259" s="94">
        <f ca="1">VLOOKUP(B259,'115+740'!$B$15:$AB$757,20,FALSE)</f>
        <v>860</v>
      </c>
      <c r="H259" s="94">
        <f ca="1">VLOOKUP(B259,'115+740'!$B$15:$AB$757,4,FALSE)</f>
        <v>833</v>
      </c>
      <c r="I259" s="91">
        <f t="shared" ca="1" si="41"/>
        <v>1900</v>
      </c>
      <c r="J259" s="91">
        <f ca="1">VLOOKUP(B259,'115+740'!$B$15:$AB$757,13,FALSE)</f>
        <v>-100</v>
      </c>
      <c r="K259" s="89">
        <f>'115+740'!Q260</f>
        <v>0</v>
      </c>
      <c r="L259" s="88">
        <f t="shared" ca="1" si="46"/>
        <v>140</v>
      </c>
      <c r="M259" s="93">
        <f ca="1">VLOOKUP(B259,'115+740'!$B$14:$AB$757,21,FALSE)</f>
        <v>897</v>
      </c>
      <c r="N259" s="92">
        <f ca="1">VLOOKUP(B259,'115+740'!$B$15:$AB$757,5,FALSE)</f>
        <v>846</v>
      </c>
      <c r="O259" s="91">
        <f t="shared" ca="1" si="42"/>
        <v>1887</v>
      </c>
      <c r="P259" s="91">
        <f ca="1">VLOOKUP(B259,'115+740'!$B$15:$AB$757,14,FALSE)</f>
        <v>-113</v>
      </c>
      <c r="Q259" s="89">
        <f>'115+740'!R260</f>
        <v>0</v>
      </c>
      <c r="R259" s="88">
        <f t="shared" ca="1" si="47"/>
        <v>103</v>
      </c>
      <c r="S259" s="93">
        <f ca="1">VLOOKUP(B259,'115+740'!$B$14:$AB$757,22,FALSE)</f>
        <v>874</v>
      </c>
      <c r="T259" s="92">
        <f ca="1">VLOOKUP(B259,'115+740'!$B$15:$AB$757,6,FALSE)</f>
        <v>899</v>
      </c>
      <c r="U259" s="91">
        <f t="shared" ca="1" si="43"/>
        <v>1834</v>
      </c>
      <c r="V259" s="90">
        <f ca="1">VLOOKUP(B259,'115+740'!$B$15:$AB$757,15,FALSE)</f>
        <v>-166</v>
      </c>
      <c r="W259" s="89">
        <f>'115+740'!S260</f>
        <v>0</v>
      </c>
      <c r="X259" s="88">
        <f t="shared" ca="1" si="48"/>
        <v>126</v>
      </c>
      <c r="Y259" s="87">
        <f t="shared" ca="1" si="49"/>
        <v>0</v>
      </c>
      <c r="Z259" s="86">
        <f t="shared" ca="1" si="50"/>
        <v>0</v>
      </c>
      <c r="AA259" s="85">
        <f t="shared" ca="1" si="51"/>
        <v>1.0069999999999999</v>
      </c>
      <c r="AB259" s="85">
        <f t="shared" ca="1" si="52"/>
        <v>0.80400000000000005</v>
      </c>
    </row>
    <row r="260" spans="2:28">
      <c r="B260" s="98">
        <f>'115+740'!B261</f>
        <v>45319</v>
      </c>
      <c r="C260" s="97">
        <f t="shared" si="44"/>
        <v>1</v>
      </c>
      <c r="D260" s="96">
        <f t="shared" si="45"/>
        <v>1069</v>
      </c>
      <c r="E260" s="95">
        <f>VLOOKUP(B260,'115+740'!B261:AB362,3,FALSE)</f>
        <v>1666</v>
      </c>
      <c r="F260" s="92">
        <f t="shared" si="40"/>
        <v>2735</v>
      </c>
      <c r="G260" s="94">
        <f ca="1">VLOOKUP(B260,'115+740'!$B$15:$AB$757,20,FALSE)</f>
        <v>860</v>
      </c>
      <c r="H260" s="94">
        <f ca="1">VLOOKUP(B260,'115+740'!$B$15:$AB$757,4,FALSE)</f>
        <v>835</v>
      </c>
      <c r="I260" s="91">
        <f t="shared" ca="1" si="41"/>
        <v>1900</v>
      </c>
      <c r="J260" s="91">
        <f ca="1">VLOOKUP(B260,'115+740'!$B$15:$AB$757,13,FALSE)</f>
        <v>-100</v>
      </c>
      <c r="K260" s="89">
        <f>'115+740'!Q261</f>
        <v>0</v>
      </c>
      <c r="L260" s="88">
        <f t="shared" ca="1" si="46"/>
        <v>140</v>
      </c>
      <c r="M260" s="93">
        <f ca="1">VLOOKUP(B260,'115+740'!$B$14:$AB$757,21,FALSE)</f>
        <v>897</v>
      </c>
      <c r="N260" s="92">
        <f ca="1">VLOOKUP(B260,'115+740'!$B$15:$AB$757,5,FALSE)</f>
        <v>848</v>
      </c>
      <c r="O260" s="91">
        <f t="shared" ca="1" si="42"/>
        <v>1887</v>
      </c>
      <c r="P260" s="91">
        <f ca="1">VLOOKUP(B260,'115+740'!$B$15:$AB$757,14,FALSE)</f>
        <v>-113</v>
      </c>
      <c r="Q260" s="89">
        <f>'115+740'!R261</f>
        <v>0</v>
      </c>
      <c r="R260" s="88">
        <f t="shared" ca="1" si="47"/>
        <v>103</v>
      </c>
      <c r="S260" s="93">
        <f ca="1">VLOOKUP(B260,'115+740'!$B$14:$AB$757,22,FALSE)</f>
        <v>874</v>
      </c>
      <c r="T260" s="92">
        <f ca="1">VLOOKUP(B260,'115+740'!$B$15:$AB$757,6,FALSE)</f>
        <v>901</v>
      </c>
      <c r="U260" s="91">
        <f t="shared" ca="1" si="43"/>
        <v>1834</v>
      </c>
      <c r="V260" s="90">
        <f ca="1">VLOOKUP(B260,'115+740'!$B$15:$AB$757,15,FALSE)</f>
        <v>-166</v>
      </c>
      <c r="W260" s="89">
        <f>'115+740'!S261</f>
        <v>0</v>
      </c>
      <c r="X260" s="88">
        <f t="shared" ca="1" si="48"/>
        <v>126</v>
      </c>
      <c r="Y260" s="87">
        <f t="shared" ca="1" si="49"/>
        <v>0</v>
      </c>
      <c r="Z260" s="86">
        <f t="shared" ca="1" si="50"/>
        <v>0</v>
      </c>
      <c r="AA260" s="85">
        <f t="shared" ca="1" si="51"/>
        <v>1.0069999999999999</v>
      </c>
      <c r="AB260" s="85">
        <f t="shared" ca="1" si="52"/>
        <v>0.80400000000000005</v>
      </c>
    </row>
    <row r="261" spans="2:28">
      <c r="B261" s="98">
        <f>'115+740'!B262</f>
        <v>45320</v>
      </c>
      <c r="C261" s="97">
        <f t="shared" si="44"/>
        <v>1</v>
      </c>
      <c r="D261" s="96">
        <f t="shared" si="45"/>
        <v>1069</v>
      </c>
      <c r="E261" s="95">
        <f>VLOOKUP(B261,'115+740'!B262:AB363,3,FALSE)</f>
        <v>1668</v>
      </c>
      <c r="F261" s="92">
        <f t="shared" si="40"/>
        <v>2737</v>
      </c>
      <c r="G261" s="94">
        <f ca="1">VLOOKUP(B261,'115+740'!$B$15:$AB$757,20,FALSE)</f>
        <v>860</v>
      </c>
      <c r="H261" s="94">
        <f ca="1">VLOOKUP(B261,'115+740'!$B$15:$AB$757,4,FALSE)</f>
        <v>837</v>
      </c>
      <c r="I261" s="91">
        <f t="shared" ca="1" si="41"/>
        <v>1900</v>
      </c>
      <c r="J261" s="91">
        <f ca="1">VLOOKUP(B261,'115+740'!$B$15:$AB$757,13,FALSE)</f>
        <v>-100</v>
      </c>
      <c r="K261" s="89">
        <f>'115+740'!Q262</f>
        <v>0</v>
      </c>
      <c r="L261" s="88">
        <f t="shared" ca="1" si="46"/>
        <v>140</v>
      </c>
      <c r="M261" s="93">
        <f ca="1">VLOOKUP(B261,'115+740'!$B$14:$AB$757,21,FALSE)</f>
        <v>897</v>
      </c>
      <c r="N261" s="92">
        <f ca="1">VLOOKUP(B261,'115+740'!$B$15:$AB$757,5,FALSE)</f>
        <v>850</v>
      </c>
      <c r="O261" s="91">
        <f t="shared" ca="1" si="42"/>
        <v>1887</v>
      </c>
      <c r="P261" s="91">
        <f ca="1">VLOOKUP(B261,'115+740'!$B$15:$AB$757,14,FALSE)</f>
        <v>-113</v>
      </c>
      <c r="Q261" s="89">
        <f>'115+740'!R262</f>
        <v>0</v>
      </c>
      <c r="R261" s="88">
        <f t="shared" ca="1" si="47"/>
        <v>103</v>
      </c>
      <c r="S261" s="93">
        <f ca="1">VLOOKUP(B261,'115+740'!$B$14:$AB$757,22,FALSE)</f>
        <v>874</v>
      </c>
      <c r="T261" s="92">
        <f ca="1">VLOOKUP(B261,'115+740'!$B$15:$AB$757,6,FALSE)</f>
        <v>903</v>
      </c>
      <c r="U261" s="91">
        <f t="shared" ca="1" si="43"/>
        <v>1834</v>
      </c>
      <c r="V261" s="90">
        <f ca="1">VLOOKUP(B261,'115+740'!$B$15:$AB$757,15,FALSE)</f>
        <v>-166</v>
      </c>
      <c r="W261" s="89">
        <f>'115+740'!S262</f>
        <v>0</v>
      </c>
      <c r="X261" s="88">
        <f t="shared" ca="1" si="48"/>
        <v>126</v>
      </c>
      <c r="Y261" s="87">
        <f t="shared" ca="1" si="49"/>
        <v>0</v>
      </c>
      <c r="Z261" s="86">
        <f t="shared" ca="1" si="50"/>
        <v>0</v>
      </c>
      <c r="AA261" s="85">
        <f t="shared" ca="1" si="51"/>
        <v>1.0069999999999999</v>
      </c>
      <c r="AB261" s="85">
        <f t="shared" ca="1" si="52"/>
        <v>0.80400000000000005</v>
      </c>
    </row>
    <row r="262" spans="2:28">
      <c r="B262" s="98">
        <f>'115+740'!B263</f>
        <v>45321</v>
      </c>
      <c r="C262" s="97">
        <f t="shared" si="44"/>
        <v>1</v>
      </c>
      <c r="D262" s="96">
        <f t="shared" si="45"/>
        <v>1069</v>
      </c>
      <c r="E262" s="95">
        <f>VLOOKUP(B262,'115+740'!B263:AB364,3,FALSE)</f>
        <v>1670</v>
      </c>
      <c r="F262" s="92">
        <f t="shared" si="40"/>
        <v>2739</v>
      </c>
      <c r="G262" s="94">
        <f ca="1">VLOOKUP(B262,'115+740'!$B$15:$AB$757,20,FALSE)</f>
        <v>860</v>
      </c>
      <c r="H262" s="94">
        <f ca="1">VLOOKUP(B262,'115+740'!$B$15:$AB$757,4,FALSE)</f>
        <v>839</v>
      </c>
      <c r="I262" s="91">
        <f t="shared" ca="1" si="41"/>
        <v>1900</v>
      </c>
      <c r="J262" s="91">
        <f ca="1">VLOOKUP(B262,'115+740'!$B$15:$AB$757,13,FALSE)</f>
        <v>-100</v>
      </c>
      <c r="K262" s="89">
        <f>'115+740'!Q263</f>
        <v>0</v>
      </c>
      <c r="L262" s="88">
        <f t="shared" ca="1" si="46"/>
        <v>140</v>
      </c>
      <c r="M262" s="93">
        <f ca="1">VLOOKUP(B262,'115+740'!$B$14:$AB$757,21,FALSE)</f>
        <v>897</v>
      </c>
      <c r="N262" s="92">
        <f ca="1">VLOOKUP(B262,'115+740'!$B$15:$AB$757,5,FALSE)</f>
        <v>852</v>
      </c>
      <c r="O262" s="91">
        <f t="shared" ca="1" si="42"/>
        <v>1887</v>
      </c>
      <c r="P262" s="91">
        <f ca="1">VLOOKUP(B262,'115+740'!$B$15:$AB$757,14,FALSE)</f>
        <v>-113</v>
      </c>
      <c r="Q262" s="89">
        <f>'115+740'!R263</f>
        <v>0</v>
      </c>
      <c r="R262" s="88">
        <f t="shared" ca="1" si="47"/>
        <v>103</v>
      </c>
      <c r="S262" s="93">
        <f ca="1">VLOOKUP(B262,'115+740'!$B$14:$AB$757,22,FALSE)</f>
        <v>874</v>
      </c>
      <c r="T262" s="92">
        <f ca="1">VLOOKUP(B262,'115+740'!$B$15:$AB$757,6,FALSE)</f>
        <v>905</v>
      </c>
      <c r="U262" s="91">
        <f t="shared" ca="1" si="43"/>
        <v>1834</v>
      </c>
      <c r="V262" s="90">
        <f ca="1">VLOOKUP(B262,'115+740'!$B$15:$AB$757,15,FALSE)</f>
        <v>-166</v>
      </c>
      <c r="W262" s="89">
        <f>'115+740'!S263</f>
        <v>0</v>
      </c>
      <c r="X262" s="88">
        <f t="shared" ca="1" si="48"/>
        <v>126</v>
      </c>
      <c r="Y262" s="87">
        <f t="shared" ca="1" si="49"/>
        <v>0</v>
      </c>
      <c r="Z262" s="86">
        <f t="shared" ca="1" si="50"/>
        <v>0</v>
      </c>
      <c r="AA262" s="85">
        <f t="shared" ca="1" si="51"/>
        <v>1.0069999999999999</v>
      </c>
      <c r="AB262" s="85">
        <f t="shared" ca="1" si="52"/>
        <v>0.80400000000000005</v>
      </c>
    </row>
    <row r="263" spans="2:28">
      <c r="B263" s="98">
        <f>'115+740'!B264</f>
        <v>45322</v>
      </c>
      <c r="C263" s="97">
        <f t="shared" si="44"/>
        <v>1</v>
      </c>
      <c r="D263" s="96">
        <f t="shared" si="45"/>
        <v>1069</v>
      </c>
      <c r="E263" s="95">
        <f>VLOOKUP(B263,'115+740'!B264:AB365,3,FALSE)</f>
        <v>1672</v>
      </c>
      <c r="F263" s="92">
        <f t="shared" si="40"/>
        <v>2741</v>
      </c>
      <c r="G263" s="94">
        <f ca="1">VLOOKUP(B263,'115+740'!$B$15:$AB$757,20,FALSE)</f>
        <v>860</v>
      </c>
      <c r="H263" s="94">
        <f ca="1">VLOOKUP(B263,'115+740'!$B$15:$AB$757,4,FALSE)</f>
        <v>841</v>
      </c>
      <c r="I263" s="91">
        <f t="shared" ca="1" si="41"/>
        <v>1900</v>
      </c>
      <c r="J263" s="91">
        <f ca="1">VLOOKUP(B263,'115+740'!$B$15:$AB$757,13,FALSE)</f>
        <v>-100</v>
      </c>
      <c r="K263" s="89">
        <f>'115+740'!Q264</f>
        <v>0</v>
      </c>
      <c r="L263" s="88">
        <f t="shared" ca="1" si="46"/>
        <v>140</v>
      </c>
      <c r="M263" s="93">
        <f ca="1">VLOOKUP(B263,'115+740'!$B$14:$AB$757,21,FALSE)</f>
        <v>897</v>
      </c>
      <c r="N263" s="92">
        <f ca="1">VLOOKUP(B263,'115+740'!$B$15:$AB$757,5,FALSE)</f>
        <v>854</v>
      </c>
      <c r="O263" s="91">
        <f t="shared" ca="1" si="42"/>
        <v>1887</v>
      </c>
      <c r="P263" s="91">
        <f ca="1">VLOOKUP(B263,'115+740'!$B$15:$AB$757,14,FALSE)</f>
        <v>-113</v>
      </c>
      <c r="Q263" s="89">
        <f>'115+740'!R264</f>
        <v>0</v>
      </c>
      <c r="R263" s="88">
        <f t="shared" ca="1" si="47"/>
        <v>103</v>
      </c>
      <c r="S263" s="93">
        <f ca="1">VLOOKUP(B263,'115+740'!$B$14:$AB$757,22,FALSE)</f>
        <v>874</v>
      </c>
      <c r="T263" s="92">
        <f ca="1">VLOOKUP(B263,'115+740'!$B$15:$AB$757,6,FALSE)</f>
        <v>907</v>
      </c>
      <c r="U263" s="91">
        <f t="shared" ca="1" si="43"/>
        <v>1834</v>
      </c>
      <c r="V263" s="90">
        <f ca="1">VLOOKUP(B263,'115+740'!$B$15:$AB$757,15,FALSE)</f>
        <v>-166</v>
      </c>
      <c r="W263" s="89">
        <f>'115+740'!S264</f>
        <v>0</v>
      </c>
      <c r="X263" s="88">
        <f t="shared" ca="1" si="48"/>
        <v>126</v>
      </c>
      <c r="Y263" s="87">
        <f t="shared" ca="1" si="49"/>
        <v>0</v>
      </c>
      <c r="Z263" s="86">
        <f t="shared" ca="1" si="50"/>
        <v>0</v>
      </c>
      <c r="AA263" s="85">
        <f t="shared" ca="1" si="51"/>
        <v>1.0069999999999999</v>
      </c>
      <c r="AB263" s="85">
        <f t="shared" ca="1" si="52"/>
        <v>0.80400000000000005</v>
      </c>
    </row>
    <row r="264" spans="2:28">
      <c r="B264" s="98">
        <f>'115+740'!B265</f>
        <v>45323</v>
      </c>
      <c r="C264" s="97">
        <f t="shared" si="44"/>
        <v>1</v>
      </c>
      <c r="D264" s="96">
        <f t="shared" si="45"/>
        <v>1069</v>
      </c>
      <c r="E264" s="95">
        <f>VLOOKUP(B264,'115+740'!B265:AB366,3,FALSE)</f>
        <v>1674</v>
      </c>
      <c r="F264" s="92">
        <f t="shared" si="40"/>
        <v>2743</v>
      </c>
      <c r="G264" s="94">
        <f ca="1">VLOOKUP(B264,'115+740'!$B$15:$AB$757,20,FALSE)</f>
        <v>860</v>
      </c>
      <c r="H264" s="94">
        <f ca="1">VLOOKUP(B264,'115+740'!$B$15:$AB$757,4,FALSE)</f>
        <v>843</v>
      </c>
      <c r="I264" s="91">
        <f t="shared" ca="1" si="41"/>
        <v>1900</v>
      </c>
      <c r="J264" s="91">
        <f ca="1">VLOOKUP(B264,'115+740'!$B$15:$AB$757,13,FALSE)</f>
        <v>-100</v>
      </c>
      <c r="K264" s="89">
        <f>'115+740'!Q265</f>
        <v>0</v>
      </c>
      <c r="L264" s="88">
        <f t="shared" ca="1" si="46"/>
        <v>140</v>
      </c>
      <c r="M264" s="93">
        <f ca="1">VLOOKUP(B264,'115+740'!$B$14:$AB$757,21,FALSE)</f>
        <v>897</v>
      </c>
      <c r="N264" s="92">
        <f ca="1">VLOOKUP(B264,'115+740'!$B$15:$AB$757,5,FALSE)</f>
        <v>856</v>
      </c>
      <c r="O264" s="91">
        <f t="shared" ca="1" si="42"/>
        <v>1887</v>
      </c>
      <c r="P264" s="91">
        <f ca="1">VLOOKUP(B264,'115+740'!$B$15:$AB$757,14,FALSE)</f>
        <v>-113</v>
      </c>
      <c r="Q264" s="89">
        <f>'115+740'!R265</f>
        <v>0</v>
      </c>
      <c r="R264" s="88">
        <f t="shared" ca="1" si="47"/>
        <v>103</v>
      </c>
      <c r="S264" s="93">
        <f ca="1">VLOOKUP(B264,'115+740'!$B$14:$AB$757,22,FALSE)</f>
        <v>874</v>
      </c>
      <c r="T264" s="92">
        <f ca="1">VLOOKUP(B264,'115+740'!$B$15:$AB$757,6,FALSE)</f>
        <v>909</v>
      </c>
      <c r="U264" s="91">
        <f t="shared" ca="1" si="43"/>
        <v>1834</v>
      </c>
      <c r="V264" s="90">
        <f ca="1">VLOOKUP(B264,'115+740'!$B$15:$AB$757,15,FALSE)</f>
        <v>-166</v>
      </c>
      <c r="W264" s="89">
        <f>'115+740'!S265</f>
        <v>0</v>
      </c>
      <c r="X264" s="88">
        <f t="shared" ca="1" si="48"/>
        <v>126</v>
      </c>
      <c r="Y264" s="87">
        <f t="shared" ca="1" si="49"/>
        <v>0</v>
      </c>
      <c r="Z264" s="86">
        <f t="shared" ca="1" si="50"/>
        <v>0</v>
      </c>
      <c r="AA264" s="85">
        <f t="shared" ca="1" si="51"/>
        <v>1.0069999999999999</v>
      </c>
      <c r="AB264" s="85">
        <f t="shared" ca="1" si="52"/>
        <v>0.80400000000000005</v>
      </c>
    </row>
    <row r="265" spans="2:28">
      <c r="B265" s="98">
        <f>'115+740'!B266</f>
        <v>45324</v>
      </c>
      <c r="C265" s="97">
        <f t="shared" si="44"/>
        <v>1</v>
      </c>
      <c r="D265" s="96">
        <f t="shared" si="45"/>
        <v>1069</v>
      </c>
      <c r="E265" s="95">
        <f>VLOOKUP(B265,'115+740'!B266:AB367,3,FALSE)</f>
        <v>1676</v>
      </c>
      <c r="F265" s="92">
        <f t="shared" si="40"/>
        <v>2745</v>
      </c>
      <c r="G265" s="94">
        <f ca="1">VLOOKUP(B265,'115+740'!$B$15:$AB$757,20,FALSE)</f>
        <v>860</v>
      </c>
      <c r="H265" s="94">
        <f ca="1">VLOOKUP(B265,'115+740'!$B$15:$AB$757,4,FALSE)</f>
        <v>845</v>
      </c>
      <c r="I265" s="91">
        <f t="shared" ca="1" si="41"/>
        <v>1900</v>
      </c>
      <c r="J265" s="91">
        <f ca="1">VLOOKUP(B265,'115+740'!$B$15:$AB$757,13,FALSE)</f>
        <v>-100</v>
      </c>
      <c r="K265" s="89">
        <f>'115+740'!Q266</f>
        <v>0</v>
      </c>
      <c r="L265" s="88">
        <f t="shared" ca="1" si="46"/>
        <v>140</v>
      </c>
      <c r="M265" s="93">
        <f ca="1">VLOOKUP(B265,'115+740'!$B$14:$AB$757,21,FALSE)</f>
        <v>897</v>
      </c>
      <c r="N265" s="92">
        <f ca="1">VLOOKUP(B265,'115+740'!$B$15:$AB$757,5,FALSE)</f>
        <v>858</v>
      </c>
      <c r="O265" s="91">
        <f t="shared" ca="1" si="42"/>
        <v>1887</v>
      </c>
      <c r="P265" s="91">
        <f ca="1">VLOOKUP(B265,'115+740'!$B$15:$AB$757,14,FALSE)</f>
        <v>-113</v>
      </c>
      <c r="Q265" s="89">
        <f>'115+740'!R266</f>
        <v>0</v>
      </c>
      <c r="R265" s="88">
        <f t="shared" ca="1" si="47"/>
        <v>103</v>
      </c>
      <c r="S265" s="93">
        <f ca="1">VLOOKUP(B265,'115+740'!$B$14:$AB$757,22,FALSE)</f>
        <v>874</v>
      </c>
      <c r="T265" s="92">
        <f ca="1">VLOOKUP(B265,'115+740'!$B$15:$AB$757,6,FALSE)</f>
        <v>911</v>
      </c>
      <c r="U265" s="91">
        <f t="shared" ca="1" si="43"/>
        <v>1834</v>
      </c>
      <c r="V265" s="90">
        <f ca="1">VLOOKUP(B265,'115+740'!$B$15:$AB$757,15,FALSE)</f>
        <v>-166</v>
      </c>
      <c r="W265" s="89">
        <f>'115+740'!S266</f>
        <v>0</v>
      </c>
      <c r="X265" s="88">
        <f t="shared" ca="1" si="48"/>
        <v>126</v>
      </c>
      <c r="Y265" s="87">
        <f t="shared" ca="1" si="49"/>
        <v>0</v>
      </c>
      <c r="Z265" s="86">
        <f t="shared" ca="1" si="50"/>
        <v>0</v>
      </c>
      <c r="AA265" s="85">
        <f t="shared" ca="1" si="51"/>
        <v>1.0069999999999999</v>
      </c>
      <c r="AB265" s="85">
        <f t="shared" ca="1" si="52"/>
        <v>0.80400000000000005</v>
      </c>
    </row>
    <row r="266" spans="2:28">
      <c r="B266" s="98">
        <f>'115+740'!B267</f>
        <v>45325</v>
      </c>
      <c r="C266" s="97">
        <f t="shared" si="44"/>
        <v>1</v>
      </c>
      <c r="D266" s="96">
        <f t="shared" si="45"/>
        <v>1069</v>
      </c>
      <c r="E266" s="95">
        <f>VLOOKUP(B266,'115+740'!B267:AB368,3,FALSE)</f>
        <v>1678</v>
      </c>
      <c r="F266" s="92">
        <f t="shared" si="40"/>
        <v>2747</v>
      </c>
      <c r="G266" s="94">
        <f ca="1">VLOOKUP(B266,'115+740'!$B$15:$AB$757,20,FALSE)</f>
        <v>860</v>
      </c>
      <c r="H266" s="94">
        <f ca="1">VLOOKUP(B266,'115+740'!$B$15:$AB$757,4,FALSE)</f>
        <v>847</v>
      </c>
      <c r="I266" s="91">
        <f t="shared" ca="1" si="41"/>
        <v>1900</v>
      </c>
      <c r="J266" s="91">
        <f ca="1">VLOOKUP(B266,'115+740'!$B$15:$AB$757,13,FALSE)</f>
        <v>-100</v>
      </c>
      <c r="K266" s="89">
        <f>'115+740'!Q267</f>
        <v>0</v>
      </c>
      <c r="L266" s="88">
        <f t="shared" ca="1" si="46"/>
        <v>140</v>
      </c>
      <c r="M266" s="93">
        <f ca="1">VLOOKUP(B266,'115+740'!$B$14:$AB$757,21,FALSE)</f>
        <v>897</v>
      </c>
      <c r="N266" s="92">
        <f ca="1">VLOOKUP(B266,'115+740'!$B$15:$AB$757,5,FALSE)</f>
        <v>860</v>
      </c>
      <c r="O266" s="91">
        <f t="shared" ca="1" si="42"/>
        <v>1887</v>
      </c>
      <c r="P266" s="91">
        <f ca="1">VLOOKUP(B266,'115+740'!$B$15:$AB$757,14,FALSE)</f>
        <v>-113</v>
      </c>
      <c r="Q266" s="89">
        <f>'115+740'!R267</f>
        <v>0</v>
      </c>
      <c r="R266" s="88">
        <f t="shared" ca="1" si="47"/>
        <v>103</v>
      </c>
      <c r="S266" s="93">
        <f ca="1">VLOOKUP(B266,'115+740'!$B$14:$AB$757,22,FALSE)</f>
        <v>874</v>
      </c>
      <c r="T266" s="92">
        <f ca="1">VLOOKUP(B266,'115+740'!$B$15:$AB$757,6,FALSE)</f>
        <v>913</v>
      </c>
      <c r="U266" s="91">
        <f t="shared" ca="1" si="43"/>
        <v>1834</v>
      </c>
      <c r="V266" s="90">
        <f ca="1">VLOOKUP(B266,'115+740'!$B$15:$AB$757,15,FALSE)</f>
        <v>-166</v>
      </c>
      <c r="W266" s="89">
        <f>'115+740'!S267</f>
        <v>0</v>
      </c>
      <c r="X266" s="88">
        <f t="shared" ca="1" si="48"/>
        <v>126</v>
      </c>
      <c r="Y266" s="87">
        <f t="shared" ca="1" si="49"/>
        <v>0</v>
      </c>
      <c r="Z266" s="86">
        <f t="shared" ca="1" si="50"/>
        <v>0</v>
      </c>
      <c r="AA266" s="85">
        <f t="shared" ca="1" si="51"/>
        <v>1.0069999999999999</v>
      </c>
      <c r="AB266" s="85">
        <f t="shared" ca="1" si="52"/>
        <v>0.80400000000000005</v>
      </c>
    </row>
    <row r="267" spans="2:28">
      <c r="B267" s="98">
        <f>'115+740'!B268</f>
        <v>45326</v>
      </c>
      <c r="C267" s="97">
        <f t="shared" si="44"/>
        <v>1</v>
      </c>
      <c r="D267" s="96">
        <f t="shared" si="45"/>
        <v>1069</v>
      </c>
      <c r="E267" s="95">
        <f>VLOOKUP(B267,'115+740'!B268:AB369,3,FALSE)</f>
        <v>1680</v>
      </c>
      <c r="F267" s="92">
        <f t="shared" si="40"/>
        <v>2749</v>
      </c>
      <c r="G267" s="94">
        <f ca="1">VLOOKUP(B267,'115+740'!$B$15:$AB$757,20,FALSE)</f>
        <v>860</v>
      </c>
      <c r="H267" s="94">
        <f ca="1">VLOOKUP(B267,'115+740'!$B$15:$AB$757,4,FALSE)</f>
        <v>849</v>
      </c>
      <c r="I267" s="91">
        <f t="shared" ca="1" si="41"/>
        <v>1900</v>
      </c>
      <c r="J267" s="91">
        <f ca="1">VLOOKUP(B267,'115+740'!$B$15:$AB$757,13,FALSE)</f>
        <v>-100</v>
      </c>
      <c r="K267" s="89">
        <f>'115+740'!Q268</f>
        <v>0</v>
      </c>
      <c r="L267" s="88">
        <f t="shared" ca="1" si="46"/>
        <v>140</v>
      </c>
      <c r="M267" s="93">
        <f ca="1">VLOOKUP(B267,'115+740'!$B$14:$AB$757,21,FALSE)</f>
        <v>897</v>
      </c>
      <c r="N267" s="92">
        <f ca="1">VLOOKUP(B267,'115+740'!$B$15:$AB$757,5,FALSE)</f>
        <v>862</v>
      </c>
      <c r="O267" s="91">
        <f t="shared" ca="1" si="42"/>
        <v>1887</v>
      </c>
      <c r="P267" s="91">
        <f ca="1">VLOOKUP(B267,'115+740'!$B$15:$AB$757,14,FALSE)</f>
        <v>-113</v>
      </c>
      <c r="Q267" s="89">
        <f>'115+740'!R268</f>
        <v>0</v>
      </c>
      <c r="R267" s="88">
        <f t="shared" ca="1" si="47"/>
        <v>103</v>
      </c>
      <c r="S267" s="93">
        <f ca="1">VLOOKUP(B267,'115+740'!$B$14:$AB$757,22,FALSE)</f>
        <v>874</v>
      </c>
      <c r="T267" s="92">
        <f ca="1">VLOOKUP(B267,'115+740'!$B$15:$AB$757,6,FALSE)</f>
        <v>915</v>
      </c>
      <c r="U267" s="91">
        <f t="shared" ca="1" si="43"/>
        <v>1834</v>
      </c>
      <c r="V267" s="90">
        <f ca="1">VLOOKUP(B267,'115+740'!$B$15:$AB$757,15,FALSE)</f>
        <v>-166</v>
      </c>
      <c r="W267" s="89">
        <f>'115+740'!S268</f>
        <v>0</v>
      </c>
      <c r="X267" s="88">
        <f t="shared" ca="1" si="48"/>
        <v>126</v>
      </c>
      <c r="Y267" s="87">
        <f t="shared" ca="1" si="49"/>
        <v>0</v>
      </c>
      <c r="Z267" s="86">
        <f t="shared" ca="1" si="50"/>
        <v>0</v>
      </c>
      <c r="AA267" s="85">
        <f t="shared" ca="1" si="51"/>
        <v>1.0069999999999999</v>
      </c>
      <c r="AB267" s="85">
        <f t="shared" ca="1" si="52"/>
        <v>0.80400000000000005</v>
      </c>
    </row>
    <row r="268" spans="2:28">
      <c r="B268" s="98">
        <f>'115+740'!B269</f>
        <v>45327</v>
      </c>
      <c r="C268" s="97">
        <f t="shared" si="44"/>
        <v>1</v>
      </c>
      <c r="D268" s="96">
        <f t="shared" si="45"/>
        <v>1069</v>
      </c>
      <c r="E268" s="95">
        <f>VLOOKUP(B268,'115+740'!B269:AB370,3,FALSE)</f>
        <v>1682</v>
      </c>
      <c r="F268" s="92">
        <f t="shared" si="40"/>
        <v>2751</v>
      </c>
      <c r="G268" s="94">
        <f ca="1">VLOOKUP(B268,'115+740'!$B$15:$AB$757,20,FALSE)</f>
        <v>860</v>
      </c>
      <c r="H268" s="94">
        <f ca="1">VLOOKUP(B268,'115+740'!$B$15:$AB$757,4,FALSE)</f>
        <v>851</v>
      </c>
      <c r="I268" s="91">
        <f t="shared" ca="1" si="41"/>
        <v>1900</v>
      </c>
      <c r="J268" s="91">
        <f ca="1">VLOOKUP(B268,'115+740'!$B$15:$AB$757,13,FALSE)</f>
        <v>-100</v>
      </c>
      <c r="K268" s="89">
        <f>'115+740'!Q269</f>
        <v>0</v>
      </c>
      <c r="L268" s="88">
        <f t="shared" ca="1" si="46"/>
        <v>140</v>
      </c>
      <c r="M268" s="93">
        <f ca="1">VLOOKUP(B268,'115+740'!$B$14:$AB$757,21,FALSE)</f>
        <v>897</v>
      </c>
      <c r="N268" s="92">
        <f ca="1">VLOOKUP(B268,'115+740'!$B$15:$AB$757,5,FALSE)</f>
        <v>864</v>
      </c>
      <c r="O268" s="91">
        <f t="shared" ca="1" si="42"/>
        <v>1887</v>
      </c>
      <c r="P268" s="91">
        <f ca="1">VLOOKUP(B268,'115+740'!$B$15:$AB$757,14,FALSE)</f>
        <v>-113</v>
      </c>
      <c r="Q268" s="89">
        <f>'115+740'!R269</f>
        <v>0</v>
      </c>
      <c r="R268" s="88">
        <f t="shared" ca="1" si="47"/>
        <v>103</v>
      </c>
      <c r="S268" s="93">
        <f ca="1">VLOOKUP(B268,'115+740'!$B$14:$AB$757,22,FALSE)</f>
        <v>874</v>
      </c>
      <c r="T268" s="92">
        <f ca="1">VLOOKUP(B268,'115+740'!$B$15:$AB$757,6,FALSE)</f>
        <v>917</v>
      </c>
      <c r="U268" s="91">
        <f t="shared" ca="1" si="43"/>
        <v>1834</v>
      </c>
      <c r="V268" s="90">
        <f ca="1">VLOOKUP(B268,'115+740'!$B$15:$AB$757,15,FALSE)</f>
        <v>-166</v>
      </c>
      <c r="W268" s="89">
        <f>'115+740'!S269</f>
        <v>0</v>
      </c>
      <c r="X268" s="88">
        <f t="shared" ca="1" si="48"/>
        <v>126</v>
      </c>
      <c r="Y268" s="87">
        <f t="shared" ca="1" si="49"/>
        <v>0</v>
      </c>
      <c r="Z268" s="86">
        <f t="shared" ca="1" si="50"/>
        <v>0</v>
      </c>
      <c r="AA268" s="85">
        <f t="shared" ca="1" si="51"/>
        <v>1.0069999999999999</v>
      </c>
      <c r="AB268" s="85">
        <f t="shared" ca="1" si="52"/>
        <v>0.80400000000000005</v>
      </c>
    </row>
    <row r="269" spans="2:28">
      <c r="B269" s="98">
        <f>'115+740'!B270</f>
        <v>45328</v>
      </c>
      <c r="C269" s="97">
        <f t="shared" si="44"/>
        <v>1</v>
      </c>
      <c r="D269" s="96">
        <f t="shared" si="45"/>
        <v>1069</v>
      </c>
      <c r="E269" s="95">
        <f>VLOOKUP(B269,'115+740'!B270:AB371,3,FALSE)</f>
        <v>1684</v>
      </c>
      <c r="F269" s="92">
        <f t="shared" ref="F269:F332" si="53">D269+E269</f>
        <v>2753</v>
      </c>
      <c r="G269" s="94">
        <f ca="1">VLOOKUP(B269,'115+740'!$B$15:$AB$757,20,FALSE)</f>
        <v>860</v>
      </c>
      <c r="H269" s="94">
        <f ca="1">VLOOKUP(B269,'115+740'!$B$15:$AB$757,4,FALSE)</f>
        <v>853</v>
      </c>
      <c r="I269" s="91">
        <f t="shared" ref="I269:I332" ca="1" si="54">F269-H269</f>
        <v>1900</v>
      </c>
      <c r="J269" s="91">
        <f ca="1">VLOOKUP(B269,'115+740'!$B$15:$AB$757,13,FALSE)</f>
        <v>-100</v>
      </c>
      <c r="K269" s="89">
        <f>'115+740'!Q270</f>
        <v>0</v>
      </c>
      <c r="L269" s="88">
        <f t="shared" ca="1" si="46"/>
        <v>140</v>
      </c>
      <c r="M269" s="93">
        <f ca="1">VLOOKUP(B269,'115+740'!$B$14:$AB$757,21,FALSE)</f>
        <v>897</v>
      </c>
      <c r="N269" s="92">
        <f ca="1">VLOOKUP(B269,'115+740'!$B$15:$AB$757,5,FALSE)</f>
        <v>866</v>
      </c>
      <c r="O269" s="91">
        <f t="shared" ref="O269:O332" ca="1" si="55">F269-N269</f>
        <v>1887</v>
      </c>
      <c r="P269" s="91">
        <f ca="1">VLOOKUP(B269,'115+740'!$B$15:$AB$757,14,FALSE)</f>
        <v>-113</v>
      </c>
      <c r="Q269" s="89">
        <f>'115+740'!R270</f>
        <v>0</v>
      </c>
      <c r="R269" s="88">
        <f t="shared" ca="1" si="47"/>
        <v>103</v>
      </c>
      <c r="S269" s="93">
        <f ca="1">VLOOKUP(B269,'115+740'!$B$14:$AB$757,22,FALSE)</f>
        <v>874</v>
      </c>
      <c r="T269" s="92">
        <f ca="1">VLOOKUP(B269,'115+740'!$B$15:$AB$757,6,FALSE)</f>
        <v>919</v>
      </c>
      <c r="U269" s="91">
        <f t="shared" ref="U269:U332" ca="1" si="56">F269-T269</f>
        <v>1834</v>
      </c>
      <c r="V269" s="90">
        <f ca="1">VLOOKUP(B269,'115+740'!$B$15:$AB$757,15,FALSE)</f>
        <v>-166</v>
      </c>
      <c r="W269" s="89">
        <f>'115+740'!S270</f>
        <v>0</v>
      </c>
      <c r="X269" s="88">
        <f t="shared" ca="1" si="48"/>
        <v>126</v>
      </c>
      <c r="Y269" s="87">
        <f t="shared" ca="1" si="49"/>
        <v>0</v>
      </c>
      <c r="Z269" s="86">
        <f t="shared" ca="1" si="50"/>
        <v>0</v>
      </c>
      <c r="AA269" s="85">
        <f t="shared" ca="1" si="51"/>
        <v>1.0069999999999999</v>
      </c>
      <c r="AB269" s="85">
        <f t="shared" ca="1" si="52"/>
        <v>0.80400000000000005</v>
      </c>
    </row>
    <row r="270" spans="2:28">
      <c r="B270" s="98">
        <f>'115+740'!B271</f>
        <v>45329</v>
      </c>
      <c r="C270" s="97">
        <f t="shared" ref="C270:C333" si="57">B270-B269</f>
        <v>1</v>
      </c>
      <c r="D270" s="96">
        <f t="shared" ref="D270:D333" si="58">D269</f>
        <v>1069</v>
      </c>
      <c r="E270" s="95">
        <f>VLOOKUP(B270,'115+740'!B271:AB372,3,FALSE)</f>
        <v>1686</v>
      </c>
      <c r="F270" s="92">
        <f t="shared" si="53"/>
        <v>2755</v>
      </c>
      <c r="G270" s="94">
        <f ca="1">VLOOKUP(B270,'115+740'!$B$15:$AB$757,20,FALSE)</f>
        <v>860</v>
      </c>
      <c r="H270" s="94">
        <f ca="1">VLOOKUP(B270,'115+740'!$B$15:$AB$757,4,FALSE)</f>
        <v>855</v>
      </c>
      <c r="I270" s="91">
        <f t="shared" ca="1" si="54"/>
        <v>1900</v>
      </c>
      <c r="J270" s="91">
        <f ca="1">VLOOKUP(B270,'115+740'!$B$15:$AB$757,13,FALSE)</f>
        <v>-100</v>
      </c>
      <c r="K270" s="89">
        <f>'115+740'!Q271</f>
        <v>0</v>
      </c>
      <c r="L270" s="88">
        <f t="shared" ref="L270:L333" ca="1" si="59">+K270+L269</f>
        <v>140</v>
      </c>
      <c r="M270" s="93">
        <f ca="1">VLOOKUP(B270,'115+740'!$B$14:$AB$757,21,FALSE)</f>
        <v>897</v>
      </c>
      <c r="N270" s="92">
        <f ca="1">VLOOKUP(B270,'115+740'!$B$15:$AB$757,5,FALSE)</f>
        <v>868</v>
      </c>
      <c r="O270" s="91">
        <f t="shared" ca="1" si="55"/>
        <v>1887</v>
      </c>
      <c r="P270" s="91">
        <f ca="1">VLOOKUP(B270,'115+740'!$B$15:$AB$757,14,FALSE)</f>
        <v>-113</v>
      </c>
      <c r="Q270" s="89">
        <f>'115+740'!R271</f>
        <v>0</v>
      </c>
      <c r="R270" s="88">
        <f t="shared" ref="R270:R333" ca="1" si="60">+Q270+R269</f>
        <v>103</v>
      </c>
      <c r="S270" s="93">
        <f ca="1">VLOOKUP(B270,'115+740'!$B$14:$AB$757,22,FALSE)</f>
        <v>874</v>
      </c>
      <c r="T270" s="92">
        <f ca="1">VLOOKUP(B270,'115+740'!$B$15:$AB$757,6,FALSE)</f>
        <v>921</v>
      </c>
      <c r="U270" s="91">
        <f t="shared" ca="1" si="56"/>
        <v>1834</v>
      </c>
      <c r="V270" s="90">
        <f ca="1">VLOOKUP(B270,'115+740'!$B$15:$AB$757,15,FALSE)</f>
        <v>-166</v>
      </c>
      <c r="W270" s="89">
        <f>'115+740'!S271</f>
        <v>0</v>
      </c>
      <c r="X270" s="88">
        <f t="shared" ref="X270:X333" ca="1" si="61">+W270+X269</f>
        <v>126</v>
      </c>
      <c r="Y270" s="87">
        <f t="shared" ref="Y270:Y333" ca="1" si="62">S270-S269</f>
        <v>0</v>
      </c>
      <c r="Z270" s="86">
        <f t="shared" ref="Z270:Z333" ca="1" si="63">IF(Y270&gt;0,Y270,0)/1000</f>
        <v>0</v>
      </c>
      <c r="AA270" s="85">
        <f t="shared" ref="AA270:AA333" ca="1" si="64">AA269+Z270</f>
        <v>1.0069999999999999</v>
      </c>
      <c r="AB270" s="85">
        <f t="shared" ref="AB270:AB333" ca="1" si="65">(M270-$M$13-R270)/1000</f>
        <v>0.80400000000000005</v>
      </c>
    </row>
    <row r="271" spans="2:28">
      <c r="B271" s="98">
        <f>'115+740'!B272</f>
        <v>45330</v>
      </c>
      <c r="C271" s="97">
        <f t="shared" si="57"/>
        <v>1</v>
      </c>
      <c r="D271" s="96">
        <f t="shared" si="58"/>
        <v>1069</v>
      </c>
      <c r="E271" s="95">
        <f>VLOOKUP(B271,'115+740'!B272:AB373,3,FALSE)</f>
        <v>1688</v>
      </c>
      <c r="F271" s="92">
        <f t="shared" si="53"/>
        <v>2757</v>
      </c>
      <c r="G271" s="94">
        <f ca="1">VLOOKUP(B271,'115+740'!$B$15:$AB$757,20,FALSE)</f>
        <v>860</v>
      </c>
      <c r="H271" s="94">
        <f ca="1">VLOOKUP(B271,'115+740'!$B$15:$AB$757,4,FALSE)</f>
        <v>857</v>
      </c>
      <c r="I271" s="91">
        <f t="shared" ca="1" si="54"/>
        <v>1900</v>
      </c>
      <c r="J271" s="91">
        <f ca="1">VLOOKUP(B271,'115+740'!$B$15:$AB$757,13,FALSE)</f>
        <v>-100</v>
      </c>
      <c r="K271" s="89">
        <f>'115+740'!Q272</f>
        <v>0</v>
      </c>
      <c r="L271" s="88">
        <f t="shared" ca="1" si="59"/>
        <v>140</v>
      </c>
      <c r="M271" s="93">
        <f ca="1">VLOOKUP(B271,'115+740'!$B$14:$AB$757,21,FALSE)</f>
        <v>897</v>
      </c>
      <c r="N271" s="92">
        <f ca="1">VLOOKUP(B271,'115+740'!$B$15:$AB$757,5,FALSE)</f>
        <v>870</v>
      </c>
      <c r="O271" s="91">
        <f t="shared" ca="1" si="55"/>
        <v>1887</v>
      </c>
      <c r="P271" s="91">
        <f ca="1">VLOOKUP(B271,'115+740'!$B$15:$AB$757,14,FALSE)</f>
        <v>-113</v>
      </c>
      <c r="Q271" s="89">
        <f>'115+740'!R272</f>
        <v>0</v>
      </c>
      <c r="R271" s="88">
        <f t="shared" ca="1" si="60"/>
        <v>103</v>
      </c>
      <c r="S271" s="93">
        <f ca="1">VLOOKUP(B271,'115+740'!$B$14:$AB$757,22,FALSE)</f>
        <v>874</v>
      </c>
      <c r="T271" s="92">
        <f ca="1">VLOOKUP(B271,'115+740'!$B$15:$AB$757,6,FALSE)</f>
        <v>923</v>
      </c>
      <c r="U271" s="91">
        <f t="shared" ca="1" si="56"/>
        <v>1834</v>
      </c>
      <c r="V271" s="90">
        <f ca="1">VLOOKUP(B271,'115+740'!$B$15:$AB$757,15,FALSE)</f>
        <v>-166</v>
      </c>
      <c r="W271" s="89">
        <f>'115+740'!S272</f>
        <v>0</v>
      </c>
      <c r="X271" s="88">
        <f t="shared" ca="1" si="61"/>
        <v>126</v>
      </c>
      <c r="Y271" s="87">
        <f t="shared" ca="1" si="62"/>
        <v>0</v>
      </c>
      <c r="Z271" s="86">
        <f t="shared" ca="1" si="63"/>
        <v>0</v>
      </c>
      <c r="AA271" s="85">
        <f t="shared" ca="1" si="64"/>
        <v>1.0069999999999999</v>
      </c>
      <c r="AB271" s="85">
        <f t="shared" ca="1" si="65"/>
        <v>0.80400000000000005</v>
      </c>
    </row>
    <row r="272" spans="2:28">
      <c r="B272" s="98">
        <f>'115+740'!B273</f>
        <v>45331</v>
      </c>
      <c r="C272" s="97">
        <f t="shared" si="57"/>
        <v>1</v>
      </c>
      <c r="D272" s="96">
        <f t="shared" si="58"/>
        <v>1069</v>
      </c>
      <c r="E272" s="95">
        <f>VLOOKUP(B272,'115+740'!B273:AB374,3,FALSE)</f>
        <v>1690</v>
      </c>
      <c r="F272" s="92">
        <f t="shared" si="53"/>
        <v>2759</v>
      </c>
      <c r="G272" s="94">
        <f ca="1">VLOOKUP(B272,'115+740'!$B$15:$AB$757,20,FALSE)</f>
        <v>860</v>
      </c>
      <c r="H272" s="94">
        <f ca="1">VLOOKUP(B272,'115+740'!$B$15:$AB$757,4,FALSE)</f>
        <v>859</v>
      </c>
      <c r="I272" s="91">
        <f t="shared" ca="1" si="54"/>
        <v>1900</v>
      </c>
      <c r="J272" s="91">
        <f ca="1">VLOOKUP(B272,'115+740'!$B$15:$AB$757,13,FALSE)</f>
        <v>-100</v>
      </c>
      <c r="K272" s="89">
        <f>'115+740'!Q273</f>
        <v>0</v>
      </c>
      <c r="L272" s="88">
        <f t="shared" ca="1" si="59"/>
        <v>140</v>
      </c>
      <c r="M272" s="93">
        <f ca="1">VLOOKUP(B272,'115+740'!$B$14:$AB$757,21,FALSE)</f>
        <v>897</v>
      </c>
      <c r="N272" s="92">
        <f ca="1">VLOOKUP(B272,'115+740'!$B$15:$AB$757,5,FALSE)</f>
        <v>872</v>
      </c>
      <c r="O272" s="91">
        <f t="shared" ca="1" si="55"/>
        <v>1887</v>
      </c>
      <c r="P272" s="91">
        <f ca="1">VLOOKUP(B272,'115+740'!$B$15:$AB$757,14,FALSE)</f>
        <v>-113</v>
      </c>
      <c r="Q272" s="89">
        <f>'115+740'!R273</f>
        <v>0</v>
      </c>
      <c r="R272" s="88">
        <f t="shared" ca="1" si="60"/>
        <v>103</v>
      </c>
      <c r="S272" s="93">
        <f ca="1">VLOOKUP(B272,'115+740'!$B$14:$AB$757,22,FALSE)</f>
        <v>874</v>
      </c>
      <c r="T272" s="92">
        <f ca="1">VLOOKUP(B272,'115+740'!$B$15:$AB$757,6,FALSE)</f>
        <v>925</v>
      </c>
      <c r="U272" s="91">
        <f t="shared" ca="1" si="56"/>
        <v>1834</v>
      </c>
      <c r="V272" s="90">
        <f ca="1">VLOOKUP(B272,'115+740'!$B$15:$AB$757,15,FALSE)</f>
        <v>-166</v>
      </c>
      <c r="W272" s="89">
        <f>'115+740'!S273</f>
        <v>0</v>
      </c>
      <c r="X272" s="88">
        <f t="shared" ca="1" si="61"/>
        <v>126</v>
      </c>
      <c r="Y272" s="87">
        <f t="shared" ca="1" si="62"/>
        <v>0</v>
      </c>
      <c r="Z272" s="86">
        <f t="shared" ca="1" si="63"/>
        <v>0</v>
      </c>
      <c r="AA272" s="85">
        <f t="shared" ca="1" si="64"/>
        <v>1.0069999999999999</v>
      </c>
      <c r="AB272" s="85">
        <f t="shared" ca="1" si="65"/>
        <v>0.80400000000000005</v>
      </c>
    </row>
    <row r="273" spans="2:28">
      <c r="B273" s="98">
        <f>'115+740'!B274</f>
        <v>45332</v>
      </c>
      <c r="C273" s="97">
        <f t="shared" si="57"/>
        <v>1</v>
      </c>
      <c r="D273" s="96">
        <f t="shared" si="58"/>
        <v>1069</v>
      </c>
      <c r="E273" s="95">
        <f>VLOOKUP(B273,'115+740'!B274:AB375,3,FALSE)</f>
        <v>1692</v>
      </c>
      <c r="F273" s="92">
        <f t="shared" si="53"/>
        <v>2761</v>
      </c>
      <c r="G273" s="94">
        <f ca="1">VLOOKUP(B273,'115+740'!$B$15:$AB$757,20,FALSE)</f>
        <v>860</v>
      </c>
      <c r="H273" s="94">
        <f ca="1">VLOOKUP(B273,'115+740'!$B$15:$AB$757,4,FALSE)</f>
        <v>861</v>
      </c>
      <c r="I273" s="91">
        <f t="shared" ca="1" si="54"/>
        <v>1900</v>
      </c>
      <c r="J273" s="91">
        <f ca="1">VLOOKUP(B273,'115+740'!$B$15:$AB$757,13,FALSE)</f>
        <v>-100</v>
      </c>
      <c r="K273" s="89">
        <f>'115+740'!Q274</f>
        <v>0</v>
      </c>
      <c r="L273" s="88">
        <f t="shared" ca="1" si="59"/>
        <v>140</v>
      </c>
      <c r="M273" s="93">
        <f ca="1">VLOOKUP(B273,'115+740'!$B$14:$AB$757,21,FALSE)</f>
        <v>897</v>
      </c>
      <c r="N273" s="92">
        <f ca="1">VLOOKUP(B273,'115+740'!$B$15:$AB$757,5,FALSE)</f>
        <v>874</v>
      </c>
      <c r="O273" s="91">
        <f t="shared" ca="1" si="55"/>
        <v>1887</v>
      </c>
      <c r="P273" s="91">
        <f ca="1">VLOOKUP(B273,'115+740'!$B$15:$AB$757,14,FALSE)</f>
        <v>-113</v>
      </c>
      <c r="Q273" s="89">
        <f>'115+740'!R274</f>
        <v>0</v>
      </c>
      <c r="R273" s="88">
        <f t="shared" ca="1" si="60"/>
        <v>103</v>
      </c>
      <c r="S273" s="93">
        <f ca="1">VLOOKUP(B273,'115+740'!$B$14:$AB$757,22,FALSE)</f>
        <v>874</v>
      </c>
      <c r="T273" s="92">
        <f ca="1">VLOOKUP(B273,'115+740'!$B$15:$AB$757,6,FALSE)</f>
        <v>927</v>
      </c>
      <c r="U273" s="91">
        <f t="shared" ca="1" si="56"/>
        <v>1834</v>
      </c>
      <c r="V273" s="90">
        <f ca="1">VLOOKUP(B273,'115+740'!$B$15:$AB$757,15,FALSE)</f>
        <v>-166</v>
      </c>
      <c r="W273" s="89">
        <f>'115+740'!S274</f>
        <v>0</v>
      </c>
      <c r="X273" s="88">
        <f t="shared" ca="1" si="61"/>
        <v>126</v>
      </c>
      <c r="Y273" s="87">
        <f t="shared" ca="1" si="62"/>
        <v>0</v>
      </c>
      <c r="Z273" s="86">
        <f t="shared" ca="1" si="63"/>
        <v>0</v>
      </c>
      <c r="AA273" s="85">
        <f t="shared" ca="1" si="64"/>
        <v>1.0069999999999999</v>
      </c>
      <c r="AB273" s="85">
        <f t="shared" ca="1" si="65"/>
        <v>0.80400000000000005</v>
      </c>
    </row>
    <row r="274" spans="2:28">
      <c r="B274" s="98">
        <f>'115+740'!B275</f>
        <v>45333</v>
      </c>
      <c r="C274" s="97">
        <f t="shared" si="57"/>
        <v>1</v>
      </c>
      <c r="D274" s="96">
        <f t="shared" si="58"/>
        <v>1069</v>
      </c>
      <c r="E274" s="95">
        <f>VLOOKUP(B274,'115+740'!B275:AB376,3,FALSE)</f>
        <v>1694</v>
      </c>
      <c r="F274" s="92">
        <f t="shared" si="53"/>
        <v>2763</v>
      </c>
      <c r="G274" s="94">
        <f ca="1">VLOOKUP(B274,'115+740'!$B$15:$AB$757,20,FALSE)</f>
        <v>860</v>
      </c>
      <c r="H274" s="94">
        <f ca="1">VLOOKUP(B274,'115+740'!$B$15:$AB$757,4,FALSE)</f>
        <v>863</v>
      </c>
      <c r="I274" s="91">
        <f t="shared" ca="1" si="54"/>
        <v>1900</v>
      </c>
      <c r="J274" s="91">
        <f ca="1">VLOOKUP(B274,'115+740'!$B$15:$AB$757,13,FALSE)</f>
        <v>-100</v>
      </c>
      <c r="K274" s="89">
        <f>'115+740'!Q275</f>
        <v>0</v>
      </c>
      <c r="L274" s="88">
        <f t="shared" ca="1" si="59"/>
        <v>140</v>
      </c>
      <c r="M274" s="93">
        <f ca="1">VLOOKUP(B274,'115+740'!$B$14:$AB$757,21,FALSE)</f>
        <v>897</v>
      </c>
      <c r="N274" s="92">
        <f ca="1">VLOOKUP(B274,'115+740'!$B$15:$AB$757,5,FALSE)</f>
        <v>876</v>
      </c>
      <c r="O274" s="91">
        <f t="shared" ca="1" si="55"/>
        <v>1887</v>
      </c>
      <c r="P274" s="91">
        <f ca="1">VLOOKUP(B274,'115+740'!$B$15:$AB$757,14,FALSE)</f>
        <v>-113</v>
      </c>
      <c r="Q274" s="89">
        <f>'115+740'!R275</f>
        <v>0</v>
      </c>
      <c r="R274" s="88">
        <f t="shared" ca="1" si="60"/>
        <v>103</v>
      </c>
      <c r="S274" s="93">
        <f ca="1">VLOOKUP(B274,'115+740'!$B$14:$AB$757,22,FALSE)</f>
        <v>874</v>
      </c>
      <c r="T274" s="92">
        <f ca="1">VLOOKUP(B274,'115+740'!$B$15:$AB$757,6,FALSE)</f>
        <v>929</v>
      </c>
      <c r="U274" s="91">
        <f t="shared" ca="1" si="56"/>
        <v>1834</v>
      </c>
      <c r="V274" s="90">
        <f ca="1">VLOOKUP(B274,'115+740'!$B$15:$AB$757,15,FALSE)</f>
        <v>-166</v>
      </c>
      <c r="W274" s="89">
        <f>'115+740'!S275</f>
        <v>0</v>
      </c>
      <c r="X274" s="88">
        <f t="shared" ca="1" si="61"/>
        <v>126</v>
      </c>
      <c r="Y274" s="87">
        <f t="shared" ca="1" si="62"/>
        <v>0</v>
      </c>
      <c r="Z274" s="86">
        <f t="shared" ca="1" si="63"/>
        <v>0</v>
      </c>
      <c r="AA274" s="85">
        <f t="shared" ca="1" si="64"/>
        <v>1.0069999999999999</v>
      </c>
      <c r="AB274" s="85">
        <f t="shared" ca="1" si="65"/>
        <v>0.80400000000000005</v>
      </c>
    </row>
    <row r="275" spans="2:28">
      <c r="B275" s="98">
        <f>'115+740'!B276</f>
        <v>45334</v>
      </c>
      <c r="C275" s="97">
        <f t="shared" si="57"/>
        <v>1</v>
      </c>
      <c r="D275" s="96">
        <f t="shared" si="58"/>
        <v>1069</v>
      </c>
      <c r="E275" s="95">
        <f>VLOOKUP(B275,'115+740'!B276:AB377,3,FALSE)</f>
        <v>1696</v>
      </c>
      <c r="F275" s="92">
        <f t="shared" si="53"/>
        <v>2765</v>
      </c>
      <c r="G275" s="94">
        <f ca="1">VLOOKUP(B275,'115+740'!$B$15:$AB$757,20,FALSE)</f>
        <v>860</v>
      </c>
      <c r="H275" s="94">
        <f ca="1">VLOOKUP(B275,'115+740'!$B$15:$AB$757,4,FALSE)</f>
        <v>865</v>
      </c>
      <c r="I275" s="91">
        <f t="shared" ca="1" si="54"/>
        <v>1900</v>
      </c>
      <c r="J275" s="91">
        <f ca="1">VLOOKUP(B275,'115+740'!$B$15:$AB$757,13,FALSE)</f>
        <v>-100</v>
      </c>
      <c r="K275" s="89">
        <f>'115+740'!Q276</f>
        <v>0</v>
      </c>
      <c r="L275" s="88">
        <f t="shared" ca="1" si="59"/>
        <v>140</v>
      </c>
      <c r="M275" s="93">
        <f ca="1">VLOOKUP(B275,'115+740'!$B$14:$AB$757,21,FALSE)</f>
        <v>897</v>
      </c>
      <c r="N275" s="92">
        <f ca="1">VLOOKUP(B275,'115+740'!$B$15:$AB$757,5,FALSE)</f>
        <v>878</v>
      </c>
      <c r="O275" s="91">
        <f t="shared" ca="1" si="55"/>
        <v>1887</v>
      </c>
      <c r="P275" s="91">
        <f ca="1">VLOOKUP(B275,'115+740'!$B$15:$AB$757,14,FALSE)</f>
        <v>-113</v>
      </c>
      <c r="Q275" s="89">
        <f>'115+740'!R276</f>
        <v>0</v>
      </c>
      <c r="R275" s="88">
        <f t="shared" ca="1" si="60"/>
        <v>103</v>
      </c>
      <c r="S275" s="93">
        <f ca="1">VLOOKUP(B275,'115+740'!$B$14:$AB$757,22,FALSE)</f>
        <v>874</v>
      </c>
      <c r="T275" s="92">
        <f ca="1">VLOOKUP(B275,'115+740'!$B$15:$AB$757,6,FALSE)</f>
        <v>931</v>
      </c>
      <c r="U275" s="91">
        <f t="shared" ca="1" si="56"/>
        <v>1834</v>
      </c>
      <c r="V275" s="90">
        <f ca="1">VLOOKUP(B275,'115+740'!$B$15:$AB$757,15,FALSE)</f>
        <v>-166</v>
      </c>
      <c r="W275" s="89">
        <f>'115+740'!S276</f>
        <v>0</v>
      </c>
      <c r="X275" s="88">
        <f t="shared" ca="1" si="61"/>
        <v>126</v>
      </c>
      <c r="Y275" s="87">
        <f t="shared" ca="1" si="62"/>
        <v>0</v>
      </c>
      <c r="Z275" s="86">
        <f t="shared" ca="1" si="63"/>
        <v>0</v>
      </c>
      <c r="AA275" s="85">
        <f t="shared" ca="1" si="64"/>
        <v>1.0069999999999999</v>
      </c>
      <c r="AB275" s="85">
        <f t="shared" ca="1" si="65"/>
        <v>0.80400000000000005</v>
      </c>
    </row>
    <row r="276" spans="2:28">
      <c r="B276" s="98">
        <f>'115+740'!B277</f>
        <v>45335</v>
      </c>
      <c r="C276" s="97">
        <f t="shared" si="57"/>
        <v>1</v>
      </c>
      <c r="D276" s="96">
        <f t="shared" si="58"/>
        <v>1069</v>
      </c>
      <c r="E276" s="95">
        <f>VLOOKUP(B276,'115+740'!B277:AB378,3,FALSE)</f>
        <v>1698</v>
      </c>
      <c r="F276" s="92">
        <f t="shared" si="53"/>
        <v>2767</v>
      </c>
      <c r="G276" s="94">
        <f ca="1">VLOOKUP(B276,'115+740'!$B$15:$AB$757,20,FALSE)</f>
        <v>860</v>
      </c>
      <c r="H276" s="94">
        <f ca="1">VLOOKUP(B276,'115+740'!$B$15:$AB$757,4,FALSE)</f>
        <v>867</v>
      </c>
      <c r="I276" s="91">
        <f t="shared" ca="1" si="54"/>
        <v>1900</v>
      </c>
      <c r="J276" s="91">
        <f ca="1">VLOOKUP(B276,'115+740'!$B$15:$AB$757,13,FALSE)</f>
        <v>-100</v>
      </c>
      <c r="K276" s="89">
        <f>'115+740'!Q277</f>
        <v>0</v>
      </c>
      <c r="L276" s="88">
        <f t="shared" ca="1" si="59"/>
        <v>140</v>
      </c>
      <c r="M276" s="93">
        <f ca="1">VLOOKUP(B276,'115+740'!$B$14:$AB$757,21,FALSE)</f>
        <v>897</v>
      </c>
      <c r="N276" s="92">
        <f ca="1">VLOOKUP(B276,'115+740'!$B$15:$AB$757,5,FALSE)</f>
        <v>880</v>
      </c>
      <c r="O276" s="91">
        <f t="shared" ca="1" si="55"/>
        <v>1887</v>
      </c>
      <c r="P276" s="91">
        <f ca="1">VLOOKUP(B276,'115+740'!$B$15:$AB$757,14,FALSE)</f>
        <v>-113</v>
      </c>
      <c r="Q276" s="89">
        <f>'115+740'!R277</f>
        <v>0</v>
      </c>
      <c r="R276" s="88">
        <f t="shared" ca="1" si="60"/>
        <v>103</v>
      </c>
      <c r="S276" s="93">
        <f ca="1">VLOOKUP(B276,'115+740'!$B$14:$AB$757,22,FALSE)</f>
        <v>874</v>
      </c>
      <c r="T276" s="92">
        <f ca="1">VLOOKUP(B276,'115+740'!$B$15:$AB$757,6,FALSE)</f>
        <v>933</v>
      </c>
      <c r="U276" s="91">
        <f t="shared" ca="1" si="56"/>
        <v>1834</v>
      </c>
      <c r="V276" s="90">
        <f ca="1">VLOOKUP(B276,'115+740'!$B$15:$AB$757,15,FALSE)</f>
        <v>-166</v>
      </c>
      <c r="W276" s="89">
        <f>'115+740'!S277</f>
        <v>0</v>
      </c>
      <c r="X276" s="88">
        <f t="shared" ca="1" si="61"/>
        <v>126</v>
      </c>
      <c r="Y276" s="87">
        <f t="shared" ca="1" si="62"/>
        <v>0</v>
      </c>
      <c r="Z276" s="86">
        <f t="shared" ca="1" si="63"/>
        <v>0</v>
      </c>
      <c r="AA276" s="85">
        <f t="shared" ca="1" si="64"/>
        <v>1.0069999999999999</v>
      </c>
      <c r="AB276" s="85">
        <f t="shared" ca="1" si="65"/>
        <v>0.80400000000000005</v>
      </c>
    </row>
    <row r="277" spans="2:28">
      <c r="B277" s="98">
        <f>'115+740'!B278</f>
        <v>45336</v>
      </c>
      <c r="C277" s="97">
        <f t="shared" si="57"/>
        <v>1</v>
      </c>
      <c r="D277" s="96">
        <f t="shared" si="58"/>
        <v>1069</v>
      </c>
      <c r="E277" s="95">
        <f>VLOOKUP(B277,'115+740'!B278:AB379,3,FALSE)</f>
        <v>1700</v>
      </c>
      <c r="F277" s="92">
        <f t="shared" si="53"/>
        <v>2769</v>
      </c>
      <c r="G277" s="94">
        <f ca="1">VLOOKUP(B277,'115+740'!$B$15:$AB$757,20,FALSE)</f>
        <v>860</v>
      </c>
      <c r="H277" s="94">
        <f ca="1">VLOOKUP(B277,'115+740'!$B$15:$AB$757,4,FALSE)</f>
        <v>869</v>
      </c>
      <c r="I277" s="91">
        <f t="shared" ca="1" si="54"/>
        <v>1900</v>
      </c>
      <c r="J277" s="91">
        <f ca="1">VLOOKUP(B277,'115+740'!$B$15:$AB$757,13,FALSE)</f>
        <v>-100</v>
      </c>
      <c r="K277" s="89">
        <f>'115+740'!Q278</f>
        <v>0</v>
      </c>
      <c r="L277" s="88">
        <f t="shared" ca="1" si="59"/>
        <v>140</v>
      </c>
      <c r="M277" s="93">
        <f ca="1">VLOOKUP(B277,'115+740'!$B$14:$AB$757,21,FALSE)</f>
        <v>897</v>
      </c>
      <c r="N277" s="92">
        <f ca="1">VLOOKUP(B277,'115+740'!$B$15:$AB$757,5,FALSE)</f>
        <v>882</v>
      </c>
      <c r="O277" s="91">
        <f t="shared" ca="1" si="55"/>
        <v>1887</v>
      </c>
      <c r="P277" s="91">
        <f ca="1">VLOOKUP(B277,'115+740'!$B$15:$AB$757,14,FALSE)</f>
        <v>-113</v>
      </c>
      <c r="Q277" s="89">
        <f>'115+740'!R278</f>
        <v>0</v>
      </c>
      <c r="R277" s="88">
        <f t="shared" ca="1" si="60"/>
        <v>103</v>
      </c>
      <c r="S277" s="93">
        <f ca="1">VLOOKUP(B277,'115+740'!$B$14:$AB$757,22,FALSE)</f>
        <v>874</v>
      </c>
      <c r="T277" s="92">
        <f ca="1">VLOOKUP(B277,'115+740'!$B$15:$AB$757,6,FALSE)</f>
        <v>935</v>
      </c>
      <c r="U277" s="91">
        <f t="shared" ca="1" si="56"/>
        <v>1834</v>
      </c>
      <c r="V277" s="90">
        <f ca="1">VLOOKUP(B277,'115+740'!$B$15:$AB$757,15,FALSE)</f>
        <v>-166</v>
      </c>
      <c r="W277" s="89">
        <f>'115+740'!S278</f>
        <v>0</v>
      </c>
      <c r="X277" s="88">
        <f t="shared" ca="1" si="61"/>
        <v>126</v>
      </c>
      <c r="Y277" s="87">
        <f t="shared" ca="1" si="62"/>
        <v>0</v>
      </c>
      <c r="Z277" s="86">
        <f t="shared" ca="1" si="63"/>
        <v>0</v>
      </c>
      <c r="AA277" s="85">
        <f t="shared" ca="1" si="64"/>
        <v>1.0069999999999999</v>
      </c>
      <c r="AB277" s="85">
        <f t="shared" ca="1" si="65"/>
        <v>0.80400000000000005</v>
      </c>
    </row>
    <row r="278" spans="2:28">
      <c r="B278" s="98">
        <f>'115+740'!B279</f>
        <v>45337</v>
      </c>
      <c r="C278" s="97">
        <f t="shared" si="57"/>
        <v>1</v>
      </c>
      <c r="D278" s="96">
        <f t="shared" si="58"/>
        <v>1069</v>
      </c>
      <c r="E278" s="95">
        <f>VLOOKUP(B278,'115+740'!B279:AB380,3,FALSE)</f>
        <v>1702</v>
      </c>
      <c r="F278" s="92">
        <f t="shared" si="53"/>
        <v>2771</v>
      </c>
      <c r="G278" s="94">
        <f ca="1">VLOOKUP(B278,'115+740'!$B$15:$AB$757,20,FALSE)</f>
        <v>860</v>
      </c>
      <c r="H278" s="94">
        <f ca="1">VLOOKUP(B278,'115+740'!$B$15:$AB$757,4,FALSE)</f>
        <v>871</v>
      </c>
      <c r="I278" s="91">
        <f t="shared" ca="1" si="54"/>
        <v>1900</v>
      </c>
      <c r="J278" s="91">
        <f ca="1">VLOOKUP(B278,'115+740'!$B$15:$AB$757,13,FALSE)</f>
        <v>-100</v>
      </c>
      <c r="K278" s="89">
        <f>'115+740'!Q279</f>
        <v>0</v>
      </c>
      <c r="L278" s="88">
        <f t="shared" ca="1" si="59"/>
        <v>140</v>
      </c>
      <c r="M278" s="93">
        <f ca="1">VLOOKUP(B278,'115+740'!$B$14:$AB$757,21,FALSE)</f>
        <v>897</v>
      </c>
      <c r="N278" s="92">
        <f ca="1">VLOOKUP(B278,'115+740'!$B$15:$AB$757,5,FALSE)</f>
        <v>884</v>
      </c>
      <c r="O278" s="91">
        <f t="shared" ca="1" si="55"/>
        <v>1887</v>
      </c>
      <c r="P278" s="91">
        <f ca="1">VLOOKUP(B278,'115+740'!$B$15:$AB$757,14,FALSE)</f>
        <v>-113</v>
      </c>
      <c r="Q278" s="89">
        <f>'115+740'!R279</f>
        <v>0</v>
      </c>
      <c r="R278" s="88">
        <f t="shared" ca="1" si="60"/>
        <v>103</v>
      </c>
      <c r="S278" s="93">
        <f ca="1">VLOOKUP(B278,'115+740'!$B$14:$AB$757,22,FALSE)</f>
        <v>874</v>
      </c>
      <c r="T278" s="92">
        <f ca="1">VLOOKUP(B278,'115+740'!$B$15:$AB$757,6,FALSE)</f>
        <v>937</v>
      </c>
      <c r="U278" s="91">
        <f t="shared" ca="1" si="56"/>
        <v>1834</v>
      </c>
      <c r="V278" s="90">
        <f ca="1">VLOOKUP(B278,'115+740'!$B$15:$AB$757,15,FALSE)</f>
        <v>-166</v>
      </c>
      <c r="W278" s="89">
        <f>'115+740'!S279</f>
        <v>0</v>
      </c>
      <c r="X278" s="88">
        <f t="shared" ca="1" si="61"/>
        <v>126</v>
      </c>
      <c r="Y278" s="87">
        <f t="shared" ca="1" si="62"/>
        <v>0</v>
      </c>
      <c r="Z278" s="86">
        <f t="shared" ca="1" si="63"/>
        <v>0</v>
      </c>
      <c r="AA278" s="85">
        <f t="shared" ca="1" si="64"/>
        <v>1.0069999999999999</v>
      </c>
      <c r="AB278" s="85">
        <f t="shared" ca="1" si="65"/>
        <v>0.80400000000000005</v>
      </c>
    </row>
    <row r="279" spans="2:28">
      <c r="B279" s="98">
        <f>'115+740'!B280</f>
        <v>45338</v>
      </c>
      <c r="C279" s="97">
        <f t="shared" si="57"/>
        <v>1</v>
      </c>
      <c r="D279" s="96">
        <f t="shared" si="58"/>
        <v>1069</v>
      </c>
      <c r="E279" s="95">
        <f>VLOOKUP(B279,'115+740'!B280:AB381,3,FALSE)</f>
        <v>1704</v>
      </c>
      <c r="F279" s="92">
        <f t="shared" si="53"/>
        <v>2773</v>
      </c>
      <c r="G279" s="94">
        <f ca="1">VLOOKUP(B279,'115+740'!$B$15:$AB$757,20,FALSE)</f>
        <v>860</v>
      </c>
      <c r="H279" s="94">
        <f ca="1">VLOOKUP(B279,'115+740'!$B$15:$AB$757,4,FALSE)</f>
        <v>873</v>
      </c>
      <c r="I279" s="91">
        <f t="shared" ca="1" si="54"/>
        <v>1900</v>
      </c>
      <c r="J279" s="91">
        <f ca="1">VLOOKUP(B279,'115+740'!$B$15:$AB$757,13,FALSE)</f>
        <v>-100</v>
      </c>
      <c r="K279" s="89">
        <f>'115+740'!Q280</f>
        <v>0</v>
      </c>
      <c r="L279" s="88">
        <f t="shared" ca="1" si="59"/>
        <v>140</v>
      </c>
      <c r="M279" s="93">
        <f ca="1">VLOOKUP(B279,'115+740'!$B$14:$AB$757,21,FALSE)</f>
        <v>897</v>
      </c>
      <c r="N279" s="92">
        <f ca="1">VLOOKUP(B279,'115+740'!$B$15:$AB$757,5,FALSE)</f>
        <v>886</v>
      </c>
      <c r="O279" s="91">
        <f t="shared" ca="1" si="55"/>
        <v>1887</v>
      </c>
      <c r="P279" s="91">
        <f ca="1">VLOOKUP(B279,'115+740'!$B$15:$AB$757,14,FALSE)</f>
        <v>-113</v>
      </c>
      <c r="Q279" s="89">
        <f>'115+740'!R280</f>
        <v>0</v>
      </c>
      <c r="R279" s="88">
        <f t="shared" ca="1" si="60"/>
        <v>103</v>
      </c>
      <c r="S279" s="93">
        <f ca="1">VLOOKUP(B279,'115+740'!$B$14:$AB$757,22,FALSE)</f>
        <v>874</v>
      </c>
      <c r="T279" s="92">
        <f ca="1">VLOOKUP(B279,'115+740'!$B$15:$AB$757,6,FALSE)</f>
        <v>939</v>
      </c>
      <c r="U279" s="91">
        <f t="shared" ca="1" si="56"/>
        <v>1834</v>
      </c>
      <c r="V279" s="90">
        <f ca="1">VLOOKUP(B279,'115+740'!$B$15:$AB$757,15,FALSE)</f>
        <v>-166</v>
      </c>
      <c r="W279" s="89">
        <f>'115+740'!S280</f>
        <v>0</v>
      </c>
      <c r="X279" s="88">
        <f t="shared" ca="1" si="61"/>
        <v>126</v>
      </c>
      <c r="Y279" s="87">
        <f t="shared" ca="1" si="62"/>
        <v>0</v>
      </c>
      <c r="Z279" s="86">
        <f t="shared" ca="1" si="63"/>
        <v>0</v>
      </c>
      <c r="AA279" s="85">
        <f t="shared" ca="1" si="64"/>
        <v>1.0069999999999999</v>
      </c>
      <c r="AB279" s="85">
        <f t="shared" ca="1" si="65"/>
        <v>0.80400000000000005</v>
      </c>
    </row>
    <row r="280" spans="2:28">
      <c r="B280" s="98">
        <f>'115+740'!B281</f>
        <v>45339</v>
      </c>
      <c r="C280" s="97">
        <f t="shared" si="57"/>
        <v>1</v>
      </c>
      <c r="D280" s="96">
        <f t="shared" si="58"/>
        <v>1069</v>
      </c>
      <c r="E280" s="95">
        <f>VLOOKUP(B280,'115+740'!B281:AB382,3,FALSE)</f>
        <v>1706</v>
      </c>
      <c r="F280" s="92">
        <f t="shared" si="53"/>
        <v>2775</v>
      </c>
      <c r="G280" s="94">
        <f ca="1">VLOOKUP(B280,'115+740'!$B$15:$AB$757,20,FALSE)</f>
        <v>860</v>
      </c>
      <c r="H280" s="94">
        <f ca="1">VLOOKUP(B280,'115+740'!$B$15:$AB$757,4,FALSE)</f>
        <v>875</v>
      </c>
      <c r="I280" s="91">
        <f t="shared" ca="1" si="54"/>
        <v>1900</v>
      </c>
      <c r="J280" s="91">
        <f ca="1">VLOOKUP(B280,'115+740'!$B$15:$AB$757,13,FALSE)</f>
        <v>-100</v>
      </c>
      <c r="K280" s="89">
        <f>'115+740'!Q281</f>
        <v>0</v>
      </c>
      <c r="L280" s="88">
        <f t="shared" ca="1" si="59"/>
        <v>140</v>
      </c>
      <c r="M280" s="93">
        <f ca="1">VLOOKUP(B280,'115+740'!$B$14:$AB$757,21,FALSE)</f>
        <v>897</v>
      </c>
      <c r="N280" s="92">
        <f ca="1">VLOOKUP(B280,'115+740'!$B$15:$AB$757,5,FALSE)</f>
        <v>888</v>
      </c>
      <c r="O280" s="91">
        <f t="shared" ca="1" si="55"/>
        <v>1887</v>
      </c>
      <c r="P280" s="91">
        <f ca="1">VLOOKUP(B280,'115+740'!$B$15:$AB$757,14,FALSE)</f>
        <v>-113</v>
      </c>
      <c r="Q280" s="89">
        <f>'115+740'!R281</f>
        <v>0</v>
      </c>
      <c r="R280" s="88">
        <f t="shared" ca="1" si="60"/>
        <v>103</v>
      </c>
      <c r="S280" s="93">
        <f ca="1">VLOOKUP(B280,'115+740'!$B$14:$AB$757,22,FALSE)</f>
        <v>874</v>
      </c>
      <c r="T280" s="92">
        <f ca="1">VLOOKUP(B280,'115+740'!$B$15:$AB$757,6,FALSE)</f>
        <v>941</v>
      </c>
      <c r="U280" s="91">
        <f t="shared" ca="1" si="56"/>
        <v>1834</v>
      </c>
      <c r="V280" s="90">
        <f ca="1">VLOOKUP(B280,'115+740'!$B$15:$AB$757,15,FALSE)</f>
        <v>-166</v>
      </c>
      <c r="W280" s="89">
        <f>'115+740'!S281</f>
        <v>0</v>
      </c>
      <c r="X280" s="88">
        <f t="shared" ca="1" si="61"/>
        <v>126</v>
      </c>
      <c r="Y280" s="87">
        <f t="shared" ca="1" si="62"/>
        <v>0</v>
      </c>
      <c r="Z280" s="86">
        <f t="shared" ca="1" si="63"/>
        <v>0</v>
      </c>
      <c r="AA280" s="85">
        <f t="shared" ca="1" si="64"/>
        <v>1.0069999999999999</v>
      </c>
      <c r="AB280" s="85">
        <f t="shared" ca="1" si="65"/>
        <v>0.80400000000000005</v>
      </c>
    </row>
    <row r="281" spans="2:28">
      <c r="B281" s="98">
        <f>'115+740'!B282</f>
        <v>45340</v>
      </c>
      <c r="C281" s="97">
        <f t="shared" si="57"/>
        <v>1</v>
      </c>
      <c r="D281" s="96">
        <f t="shared" si="58"/>
        <v>1069</v>
      </c>
      <c r="E281" s="95">
        <f>VLOOKUP(B281,'115+740'!B282:AB383,3,FALSE)</f>
        <v>1708</v>
      </c>
      <c r="F281" s="92">
        <f t="shared" si="53"/>
        <v>2777</v>
      </c>
      <c r="G281" s="94">
        <f ca="1">VLOOKUP(B281,'115+740'!$B$15:$AB$757,20,FALSE)</f>
        <v>860</v>
      </c>
      <c r="H281" s="94">
        <f ca="1">VLOOKUP(B281,'115+740'!$B$15:$AB$757,4,FALSE)</f>
        <v>877</v>
      </c>
      <c r="I281" s="91">
        <f t="shared" ca="1" si="54"/>
        <v>1900</v>
      </c>
      <c r="J281" s="91">
        <f ca="1">VLOOKUP(B281,'115+740'!$B$15:$AB$757,13,FALSE)</f>
        <v>-100</v>
      </c>
      <c r="K281" s="89">
        <f>'115+740'!Q282</f>
        <v>0</v>
      </c>
      <c r="L281" s="88">
        <f t="shared" ca="1" si="59"/>
        <v>140</v>
      </c>
      <c r="M281" s="93">
        <f ca="1">VLOOKUP(B281,'115+740'!$B$14:$AB$757,21,FALSE)</f>
        <v>897</v>
      </c>
      <c r="N281" s="92">
        <f ca="1">VLOOKUP(B281,'115+740'!$B$15:$AB$757,5,FALSE)</f>
        <v>890</v>
      </c>
      <c r="O281" s="91">
        <f t="shared" ca="1" si="55"/>
        <v>1887</v>
      </c>
      <c r="P281" s="91">
        <f ca="1">VLOOKUP(B281,'115+740'!$B$15:$AB$757,14,FALSE)</f>
        <v>-113</v>
      </c>
      <c r="Q281" s="89">
        <f>'115+740'!R282</f>
        <v>0</v>
      </c>
      <c r="R281" s="88">
        <f t="shared" ca="1" si="60"/>
        <v>103</v>
      </c>
      <c r="S281" s="93">
        <f ca="1">VLOOKUP(B281,'115+740'!$B$14:$AB$757,22,FALSE)</f>
        <v>874</v>
      </c>
      <c r="T281" s="92">
        <f ca="1">VLOOKUP(B281,'115+740'!$B$15:$AB$757,6,FALSE)</f>
        <v>943</v>
      </c>
      <c r="U281" s="91">
        <f t="shared" ca="1" si="56"/>
        <v>1834</v>
      </c>
      <c r="V281" s="90">
        <f ca="1">VLOOKUP(B281,'115+740'!$B$15:$AB$757,15,FALSE)</f>
        <v>-166</v>
      </c>
      <c r="W281" s="89">
        <f>'115+740'!S282</f>
        <v>0</v>
      </c>
      <c r="X281" s="88">
        <f t="shared" ca="1" si="61"/>
        <v>126</v>
      </c>
      <c r="Y281" s="87">
        <f t="shared" ca="1" si="62"/>
        <v>0</v>
      </c>
      <c r="Z281" s="86">
        <f t="shared" ca="1" si="63"/>
        <v>0</v>
      </c>
      <c r="AA281" s="85">
        <f t="shared" ca="1" si="64"/>
        <v>1.0069999999999999</v>
      </c>
      <c r="AB281" s="85">
        <f t="shared" ca="1" si="65"/>
        <v>0.80400000000000005</v>
      </c>
    </row>
    <row r="282" spans="2:28">
      <c r="B282" s="98">
        <f>'115+740'!B283</f>
        <v>45341</v>
      </c>
      <c r="C282" s="97">
        <f t="shared" si="57"/>
        <v>1</v>
      </c>
      <c r="D282" s="96">
        <f t="shared" si="58"/>
        <v>1069</v>
      </c>
      <c r="E282" s="95">
        <f>VLOOKUP(B282,'115+740'!B283:AB384,3,FALSE)</f>
        <v>1710</v>
      </c>
      <c r="F282" s="92">
        <f t="shared" si="53"/>
        <v>2779</v>
      </c>
      <c r="G282" s="94">
        <f ca="1">VLOOKUP(B282,'115+740'!$B$15:$AB$757,20,FALSE)</f>
        <v>860</v>
      </c>
      <c r="H282" s="94">
        <f ca="1">VLOOKUP(B282,'115+740'!$B$15:$AB$757,4,FALSE)</f>
        <v>879</v>
      </c>
      <c r="I282" s="91">
        <f t="shared" ca="1" si="54"/>
        <v>1900</v>
      </c>
      <c r="J282" s="91">
        <f ca="1">VLOOKUP(B282,'115+740'!$B$15:$AB$757,13,FALSE)</f>
        <v>-100</v>
      </c>
      <c r="K282" s="89">
        <f>'115+740'!Q283</f>
        <v>0</v>
      </c>
      <c r="L282" s="88">
        <f t="shared" ca="1" si="59"/>
        <v>140</v>
      </c>
      <c r="M282" s="93">
        <f ca="1">VLOOKUP(B282,'115+740'!$B$14:$AB$757,21,FALSE)</f>
        <v>897</v>
      </c>
      <c r="N282" s="92">
        <f ca="1">VLOOKUP(B282,'115+740'!$B$15:$AB$757,5,FALSE)</f>
        <v>892</v>
      </c>
      <c r="O282" s="91">
        <f t="shared" ca="1" si="55"/>
        <v>1887</v>
      </c>
      <c r="P282" s="91">
        <f ca="1">VLOOKUP(B282,'115+740'!$B$15:$AB$757,14,FALSE)</f>
        <v>-113</v>
      </c>
      <c r="Q282" s="89">
        <f>'115+740'!R283</f>
        <v>0</v>
      </c>
      <c r="R282" s="88">
        <f t="shared" ca="1" si="60"/>
        <v>103</v>
      </c>
      <c r="S282" s="93">
        <f ca="1">VLOOKUP(B282,'115+740'!$B$14:$AB$757,22,FALSE)</f>
        <v>874</v>
      </c>
      <c r="T282" s="92">
        <f ca="1">VLOOKUP(B282,'115+740'!$B$15:$AB$757,6,FALSE)</f>
        <v>945</v>
      </c>
      <c r="U282" s="91">
        <f t="shared" ca="1" si="56"/>
        <v>1834</v>
      </c>
      <c r="V282" s="90">
        <f ca="1">VLOOKUP(B282,'115+740'!$B$15:$AB$757,15,FALSE)</f>
        <v>-166</v>
      </c>
      <c r="W282" s="89">
        <f>'115+740'!S283</f>
        <v>0</v>
      </c>
      <c r="X282" s="88">
        <f t="shared" ca="1" si="61"/>
        <v>126</v>
      </c>
      <c r="Y282" s="87">
        <f t="shared" ca="1" si="62"/>
        <v>0</v>
      </c>
      <c r="Z282" s="86">
        <f t="shared" ca="1" si="63"/>
        <v>0</v>
      </c>
      <c r="AA282" s="85">
        <f t="shared" ca="1" si="64"/>
        <v>1.0069999999999999</v>
      </c>
      <c r="AB282" s="85">
        <f t="shared" ca="1" si="65"/>
        <v>0.80400000000000005</v>
      </c>
    </row>
    <row r="283" spans="2:28">
      <c r="B283" s="98">
        <f>'115+740'!B284</f>
        <v>45342</v>
      </c>
      <c r="C283" s="97">
        <f t="shared" si="57"/>
        <v>1</v>
      </c>
      <c r="D283" s="96">
        <f t="shared" si="58"/>
        <v>1069</v>
      </c>
      <c r="E283" s="95">
        <f>VLOOKUP(B283,'115+740'!B284:AB385,3,FALSE)</f>
        <v>1712</v>
      </c>
      <c r="F283" s="92">
        <f t="shared" si="53"/>
        <v>2781</v>
      </c>
      <c r="G283" s="94">
        <f ca="1">VLOOKUP(B283,'115+740'!$B$15:$AB$757,20,FALSE)</f>
        <v>860</v>
      </c>
      <c r="H283" s="94">
        <f ca="1">VLOOKUP(B283,'115+740'!$B$15:$AB$757,4,FALSE)</f>
        <v>881</v>
      </c>
      <c r="I283" s="91">
        <f t="shared" ca="1" si="54"/>
        <v>1900</v>
      </c>
      <c r="J283" s="91">
        <f ca="1">VLOOKUP(B283,'115+740'!$B$15:$AB$757,13,FALSE)</f>
        <v>-100</v>
      </c>
      <c r="K283" s="89">
        <f>'115+740'!Q284</f>
        <v>0</v>
      </c>
      <c r="L283" s="88">
        <f t="shared" ca="1" si="59"/>
        <v>140</v>
      </c>
      <c r="M283" s="93">
        <f ca="1">VLOOKUP(B283,'115+740'!$B$14:$AB$757,21,FALSE)</f>
        <v>897</v>
      </c>
      <c r="N283" s="92">
        <f ca="1">VLOOKUP(B283,'115+740'!$B$15:$AB$757,5,FALSE)</f>
        <v>894</v>
      </c>
      <c r="O283" s="91">
        <f t="shared" ca="1" si="55"/>
        <v>1887</v>
      </c>
      <c r="P283" s="91">
        <f ca="1">VLOOKUP(B283,'115+740'!$B$15:$AB$757,14,FALSE)</f>
        <v>-113</v>
      </c>
      <c r="Q283" s="89">
        <f>'115+740'!R284</f>
        <v>0</v>
      </c>
      <c r="R283" s="88">
        <f t="shared" ca="1" si="60"/>
        <v>103</v>
      </c>
      <c r="S283" s="93">
        <f ca="1">VLOOKUP(B283,'115+740'!$B$14:$AB$757,22,FALSE)</f>
        <v>874</v>
      </c>
      <c r="T283" s="92">
        <f ca="1">VLOOKUP(B283,'115+740'!$B$15:$AB$757,6,FALSE)</f>
        <v>947</v>
      </c>
      <c r="U283" s="91">
        <f t="shared" ca="1" si="56"/>
        <v>1834</v>
      </c>
      <c r="V283" s="90">
        <f ca="1">VLOOKUP(B283,'115+740'!$B$15:$AB$757,15,FALSE)</f>
        <v>-166</v>
      </c>
      <c r="W283" s="89">
        <f>'115+740'!S284</f>
        <v>0</v>
      </c>
      <c r="X283" s="88">
        <f t="shared" ca="1" si="61"/>
        <v>126</v>
      </c>
      <c r="Y283" s="87">
        <f t="shared" ca="1" si="62"/>
        <v>0</v>
      </c>
      <c r="Z283" s="86">
        <f t="shared" ca="1" si="63"/>
        <v>0</v>
      </c>
      <c r="AA283" s="85">
        <f t="shared" ca="1" si="64"/>
        <v>1.0069999999999999</v>
      </c>
      <c r="AB283" s="85">
        <f t="shared" ca="1" si="65"/>
        <v>0.80400000000000005</v>
      </c>
    </row>
    <row r="284" spans="2:28">
      <c r="B284" s="98">
        <f>'115+740'!B285</f>
        <v>45343</v>
      </c>
      <c r="C284" s="97">
        <f t="shared" si="57"/>
        <v>1</v>
      </c>
      <c r="D284" s="96">
        <f t="shared" si="58"/>
        <v>1069</v>
      </c>
      <c r="E284" s="95">
        <f>VLOOKUP(B284,'115+740'!B285:AB386,3,FALSE)</f>
        <v>1714</v>
      </c>
      <c r="F284" s="92">
        <f t="shared" si="53"/>
        <v>2783</v>
      </c>
      <c r="G284" s="94">
        <f ca="1">VLOOKUP(B284,'115+740'!$B$15:$AB$757,20,FALSE)</f>
        <v>860</v>
      </c>
      <c r="H284" s="94">
        <f ca="1">VLOOKUP(B284,'115+740'!$B$15:$AB$757,4,FALSE)</f>
        <v>883</v>
      </c>
      <c r="I284" s="91">
        <f t="shared" ca="1" si="54"/>
        <v>1900</v>
      </c>
      <c r="J284" s="91">
        <f ca="1">VLOOKUP(B284,'115+740'!$B$15:$AB$757,13,FALSE)</f>
        <v>-100</v>
      </c>
      <c r="K284" s="89">
        <f>'115+740'!Q285</f>
        <v>0</v>
      </c>
      <c r="L284" s="88">
        <f t="shared" ca="1" si="59"/>
        <v>140</v>
      </c>
      <c r="M284" s="93">
        <f ca="1">VLOOKUP(B284,'115+740'!$B$14:$AB$757,21,FALSE)</f>
        <v>897</v>
      </c>
      <c r="N284" s="92">
        <f ca="1">VLOOKUP(B284,'115+740'!$B$15:$AB$757,5,FALSE)</f>
        <v>896</v>
      </c>
      <c r="O284" s="91">
        <f t="shared" ca="1" si="55"/>
        <v>1887</v>
      </c>
      <c r="P284" s="91">
        <f ca="1">VLOOKUP(B284,'115+740'!$B$15:$AB$757,14,FALSE)</f>
        <v>-113</v>
      </c>
      <c r="Q284" s="89">
        <f>'115+740'!R285</f>
        <v>0</v>
      </c>
      <c r="R284" s="88">
        <f t="shared" ca="1" si="60"/>
        <v>103</v>
      </c>
      <c r="S284" s="93">
        <f ca="1">VLOOKUP(B284,'115+740'!$B$14:$AB$757,22,FALSE)</f>
        <v>874</v>
      </c>
      <c r="T284" s="92">
        <f ca="1">VLOOKUP(B284,'115+740'!$B$15:$AB$757,6,FALSE)</f>
        <v>949</v>
      </c>
      <c r="U284" s="91">
        <f t="shared" ca="1" si="56"/>
        <v>1834</v>
      </c>
      <c r="V284" s="90">
        <f ca="1">VLOOKUP(B284,'115+740'!$B$15:$AB$757,15,FALSE)</f>
        <v>-166</v>
      </c>
      <c r="W284" s="89">
        <f>'115+740'!S285</f>
        <v>0</v>
      </c>
      <c r="X284" s="88">
        <f t="shared" ca="1" si="61"/>
        <v>126</v>
      </c>
      <c r="Y284" s="87">
        <f t="shared" ca="1" si="62"/>
        <v>0</v>
      </c>
      <c r="Z284" s="86">
        <f t="shared" ca="1" si="63"/>
        <v>0</v>
      </c>
      <c r="AA284" s="85">
        <f t="shared" ca="1" si="64"/>
        <v>1.0069999999999999</v>
      </c>
      <c r="AB284" s="85">
        <f t="shared" ca="1" si="65"/>
        <v>0.80400000000000005</v>
      </c>
    </row>
    <row r="285" spans="2:28">
      <c r="B285" s="98">
        <f>'115+740'!B286</f>
        <v>45344</v>
      </c>
      <c r="C285" s="97">
        <f t="shared" si="57"/>
        <v>1</v>
      </c>
      <c r="D285" s="96">
        <f t="shared" si="58"/>
        <v>1069</v>
      </c>
      <c r="E285" s="95">
        <f>VLOOKUP(B285,'115+740'!B286:AB387,3,FALSE)</f>
        <v>1716</v>
      </c>
      <c r="F285" s="92">
        <f t="shared" si="53"/>
        <v>2785</v>
      </c>
      <c r="G285" s="94">
        <f ca="1">VLOOKUP(B285,'115+740'!$B$15:$AB$757,20,FALSE)</f>
        <v>860</v>
      </c>
      <c r="H285" s="94">
        <f ca="1">VLOOKUP(B285,'115+740'!$B$15:$AB$757,4,FALSE)</f>
        <v>885</v>
      </c>
      <c r="I285" s="91">
        <f t="shared" ca="1" si="54"/>
        <v>1900</v>
      </c>
      <c r="J285" s="91">
        <f ca="1">VLOOKUP(B285,'115+740'!$B$15:$AB$757,13,FALSE)</f>
        <v>-100</v>
      </c>
      <c r="K285" s="89">
        <f>'115+740'!Q286</f>
        <v>0</v>
      </c>
      <c r="L285" s="88">
        <f t="shared" ca="1" si="59"/>
        <v>140</v>
      </c>
      <c r="M285" s="93">
        <f ca="1">VLOOKUP(B285,'115+740'!$B$14:$AB$757,21,FALSE)</f>
        <v>897</v>
      </c>
      <c r="N285" s="92">
        <f ca="1">VLOOKUP(B285,'115+740'!$B$15:$AB$757,5,FALSE)</f>
        <v>898</v>
      </c>
      <c r="O285" s="91">
        <f t="shared" ca="1" si="55"/>
        <v>1887</v>
      </c>
      <c r="P285" s="91">
        <f ca="1">VLOOKUP(B285,'115+740'!$B$15:$AB$757,14,FALSE)</f>
        <v>-113</v>
      </c>
      <c r="Q285" s="89">
        <f>'115+740'!R286</f>
        <v>0</v>
      </c>
      <c r="R285" s="88">
        <f t="shared" ca="1" si="60"/>
        <v>103</v>
      </c>
      <c r="S285" s="93">
        <f ca="1">VLOOKUP(B285,'115+740'!$B$14:$AB$757,22,FALSE)</f>
        <v>874</v>
      </c>
      <c r="T285" s="92">
        <f ca="1">VLOOKUP(B285,'115+740'!$B$15:$AB$757,6,FALSE)</f>
        <v>951</v>
      </c>
      <c r="U285" s="91">
        <f t="shared" ca="1" si="56"/>
        <v>1834</v>
      </c>
      <c r="V285" s="90">
        <f ca="1">VLOOKUP(B285,'115+740'!$B$15:$AB$757,15,FALSE)</f>
        <v>-166</v>
      </c>
      <c r="W285" s="89">
        <f>'115+740'!S286</f>
        <v>0</v>
      </c>
      <c r="X285" s="88">
        <f t="shared" ca="1" si="61"/>
        <v>126</v>
      </c>
      <c r="Y285" s="87">
        <f t="shared" ca="1" si="62"/>
        <v>0</v>
      </c>
      <c r="Z285" s="86">
        <f t="shared" ca="1" si="63"/>
        <v>0</v>
      </c>
      <c r="AA285" s="85">
        <f t="shared" ca="1" si="64"/>
        <v>1.0069999999999999</v>
      </c>
      <c r="AB285" s="85">
        <f t="shared" ca="1" si="65"/>
        <v>0.80400000000000005</v>
      </c>
    </row>
    <row r="286" spans="2:28">
      <c r="B286" s="98">
        <f>'115+740'!B287</f>
        <v>45345</v>
      </c>
      <c r="C286" s="97">
        <f t="shared" si="57"/>
        <v>1</v>
      </c>
      <c r="D286" s="96">
        <f t="shared" si="58"/>
        <v>1069</v>
      </c>
      <c r="E286" s="95">
        <f>VLOOKUP(B286,'115+740'!B287:AB388,3,FALSE)</f>
        <v>1718</v>
      </c>
      <c r="F286" s="92">
        <f t="shared" si="53"/>
        <v>2787</v>
      </c>
      <c r="G286" s="94">
        <f ca="1">VLOOKUP(B286,'115+740'!$B$15:$AB$757,20,FALSE)</f>
        <v>860</v>
      </c>
      <c r="H286" s="94">
        <f ca="1">VLOOKUP(B286,'115+740'!$B$15:$AB$757,4,FALSE)</f>
        <v>887</v>
      </c>
      <c r="I286" s="91">
        <f t="shared" ca="1" si="54"/>
        <v>1900</v>
      </c>
      <c r="J286" s="91">
        <f ca="1">VLOOKUP(B286,'115+740'!$B$15:$AB$757,13,FALSE)</f>
        <v>-100</v>
      </c>
      <c r="K286" s="89">
        <f>'115+740'!Q287</f>
        <v>0</v>
      </c>
      <c r="L286" s="88">
        <f t="shared" ca="1" si="59"/>
        <v>140</v>
      </c>
      <c r="M286" s="93">
        <f ca="1">VLOOKUP(B286,'115+740'!$B$14:$AB$757,21,FALSE)</f>
        <v>897</v>
      </c>
      <c r="N286" s="92">
        <f ca="1">VLOOKUP(B286,'115+740'!$B$15:$AB$757,5,FALSE)</f>
        <v>900</v>
      </c>
      <c r="O286" s="91">
        <f t="shared" ca="1" si="55"/>
        <v>1887</v>
      </c>
      <c r="P286" s="91">
        <f ca="1">VLOOKUP(B286,'115+740'!$B$15:$AB$757,14,FALSE)</f>
        <v>-113</v>
      </c>
      <c r="Q286" s="89">
        <f>'115+740'!R287</f>
        <v>0</v>
      </c>
      <c r="R286" s="88">
        <f t="shared" ca="1" si="60"/>
        <v>103</v>
      </c>
      <c r="S286" s="93">
        <f ca="1">VLOOKUP(B286,'115+740'!$B$14:$AB$757,22,FALSE)</f>
        <v>874</v>
      </c>
      <c r="T286" s="92">
        <f ca="1">VLOOKUP(B286,'115+740'!$B$15:$AB$757,6,FALSE)</f>
        <v>953</v>
      </c>
      <c r="U286" s="91">
        <f t="shared" ca="1" si="56"/>
        <v>1834</v>
      </c>
      <c r="V286" s="90">
        <f ca="1">VLOOKUP(B286,'115+740'!$B$15:$AB$757,15,FALSE)</f>
        <v>-166</v>
      </c>
      <c r="W286" s="89">
        <f>'115+740'!S287</f>
        <v>0</v>
      </c>
      <c r="X286" s="88">
        <f t="shared" ca="1" si="61"/>
        <v>126</v>
      </c>
      <c r="Y286" s="87">
        <f t="shared" ca="1" si="62"/>
        <v>0</v>
      </c>
      <c r="Z286" s="86">
        <f t="shared" ca="1" si="63"/>
        <v>0</v>
      </c>
      <c r="AA286" s="85">
        <f t="shared" ca="1" si="64"/>
        <v>1.0069999999999999</v>
      </c>
      <c r="AB286" s="85">
        <f t="shared" ca="1" si="65"/>
        <v>0.80400000000000005</v>
      </c>
    </row>
    <row r="287" spans="2:28">
      <c r="B287" s="98">
        <f>'115+740'!B288</f>
        <v>45346</v>
      </c>
      <c r="C287" s="97">
        <f t="shared" si="57"/>
        <v>1</v>
      </c>
      <c r="D287" s="96">
        <f t="shared" si="58"/>
        <v>1069</v>
      </c>
      <c r="E287" s="95">
        <f>VLOOKUP(B287,'115+740'!B288:AB389,3,FALSE)</f>
        <v>1720</v>
      </c>
      <c r="F287" s="92">
        <f t="shared" si="53"/>
        <v>2789</v>
      </c>
      <c r="G287" s="94">
        <f ca="1">VLOOKUP(B287,'115+740'!$B$15:$AB$757,20,FALSE)</f>
        <v>860</v>
      </c>
      <c r="H287" s="94">
        <f ca="1">VLOOKUP(B287,'115+740'!$B$15:$AB$757,4,FALSE)</f>
        <v>889</v>
      </c>
      <c r="I287" s="91">
        <f t="shared" ca="1" si="54"/>
        <v>1900</v>
      </c>
      <c r="J287" s="91">
        <f ca="1">VLOOKUP(B287,'115+740'!$B$15:$AB$757,13,FALSE)</f>
        <v>-100</v>
      </c>
      <c r="K287" s="89">
        <f>'115+740'!Q288</f>
        <v>0</v>
      </c>
      <c r="L287" s="88">
        <f t="shared" ca="1" si="59"/>
        <v>140</v>
      </c>
      <c r="M287" s="93">
        <f ca="1">VLOOKUP(B287,'115+740'!$B$14:$AB$757,21,FALSE)</f>
        <v>897</v>
      </c>
      <c r="N287" s="92">
        <f ca="1">VLOOKUP(B287,'115+740'!$B$15:$AB$757,5,FALSE)</f>
        <v>902</v>
      </c>
      <c r="O287" s="91">
        <f t="shared" ca="1" si="55"/>
        <v>1887</v>
      </c>
      <c r="P287" s="91">
        <f ca="1">VLOOKUP(B287,'115+740'!$B$15:$AB$757,14,FALSE)</f>
        <v>-113</v>
      </c>
      <c r="Q287" s="89">
        <f>'115+740'!R288</f>
        <v>0</v>
      </c>
      <c r="R287" s="88">
        <f t="shared" ca="1" si="60"/>
        <v>103</v>
      </c>
      <c r="S287" s="93">
        <f ca="1">VLOOKUP(B287,'115+740'!$B$14:$AB$757,22,FALSE)</f>
        <v>874</v>
      </c>
      <c r="T287" s="92">
        <f ca="1">VLOOKUP(B287,'115+740'!$B$15:$AB$757,6,FALSE)</f>
        <v>955</v>
      </c>
      <c r="U287" s="91">
        <f t="shared" ca="1" si="56"/>
        <v>1834</v>
      </c>
      <c r="V287" s="90">
        <f ca="1">VLOOKUP(B287,'115+740'!$B$15:$AB$757,15,FALSE)</f>
        <v>-166</v>
      </c>
      <c r="W287" s="89">
        <f>'115+740'!S288</f>
        <v>0</v>
      </c>
      <c r="X287" s="88">
        <f t="shared" ca="1" si="61"/>
        <v>126</v>
      </c>
      <c r="Y287" s="87">
        <f t="shared" ca="1" si="62"/>
        <v>0</v>
      </c>
      <c r="Z287" s="86">
        <f t="shared" ca="1" si="63"/>
        <v>0</v>
      </c>
      <c r="AA287" s="85">
        <f t="shared" ca="1" si="64"/>
        <v>1.0069999999999999</v>
      </c>
      <c r="AB287" s="85">
        <f t="shared" ca="1" si="65"/>
        <v>0.80400000000000005</v>
      </c>
    </row>
    <row r="288" spans="2:28">
      <c r="B288" s="98">
        <f>'115+740'!B289</f>
        <v>45347</v>
      </c>
      <c r="C288" s="97">
        <f t="shared" si="57"/>
        <v>1</v>
      </c>
      <c r="D288" s="96">
        <f t="shared" si="58"/>
        <v>1069</v>
      </c>
      <c r="E288" s="95">
        <f>VLOOKUP(B288,'115+740'!B289:AB390,3,FALSE)</f>
        <v>1722</v>
      </c>
      <c r="F288" s="92">
        <f t="shared" si="53"/>
        <v>2791</v>
      </c>
      <c r="G288" s="94">
        <f ca="1">VLOOKUP(B288,'115+740'!$B$15:$AB$757,20,FALSE)</f>
        <v>860</v>
      </c>
      <c r="H288" s="94">
        <f ca="1">VLOOKUP(B288,'115+740'!$B$15:$AB$757,4,FALSE)</f>
        <v>891</v>
      </c>
      <c r="I288" s="91">
        <f t="shared" ca="1" si="54"/>
        <v>1900</v>
      </c>
      <c r="J288" s="91">
        <f ca="1">VLOOKUP(B288,'115+740'!$B$15:$AB$757,13,FALSE)</f>
        <v>-100</v>
      </c>
      <c r="K288" s="89">
        <f>'115+740'!Q289</f>
        <v>0</v>
      </c>
      <c r="L288" s="88">
        <f t="shared" ca="1" si="59"/>
        <v>140</v>
      </c>
      <c r="M288" s="93">
        <f ca="1">VLOOKUP(B288,'115+740'!$B$14:$AB$757,21,FALSE)</f>
        <v>897</v>
      </c>
      <c r="N288" s="92">
        <f ca="1">VLOOKUP(B288,'115+740'!$B$15:$AB$757,5,FALSE)</f>
        <v>904</v>
      </c>
      <c r="O288" s="91">
        <f t="shared" ca="1" si="55"/>
        <v>1887</v>
      </c>
      <c r="P288" s="91">
        <f ca="1">VLOOKUP(B288,'115+740'!$B$15:$AB$757,14,FALSE)</f>
        <v>-113</v>
      </c>
      <c r="Q288" s="89">
        <f>'115+740'!R289</f>
        <v>0</v>
      </c>
      <c r="R288" s="88">
        <f t="shared" ca="1" si="60"/>
        <v>103</v>
      </c>
      <c r="S288" s="93">
        <f ca="1">VLOOKUP(B288,'115+740'!$B$14:$AB$757,22,FALSE)</f>
        <v>874</v>
      </c>
      <c r="T288" s="92">
        <f ca="1">VLOOKUP(B288,'115+740'!$B$15:$AB$757,6,FALSE)</f>
        <v>957</v>
      </c>
      <c r="U288" s="91">
        <f t="shared" ca="1" si="56"/>
        <v>1834</v>
      </c>
      <c r="V288" s="90">
        <f ca="1">VLOOKUP(B288,'115+740'!$B$15:$AB$757,15,FALSE)</f>
        <v>-166</v>
      </c>
      <c r="W288" s="89">
        <f>'115+740'!S289</f>
        <v>0</v>
      </c>
      <c r="X288" s="88">
        <f t="shared" ca="1" si="61"/>
        <v>126</v>
      </c>
      <c r="Y288" s="87">
        <f t="shared" ca="1" si="62"/>
        <v>0</v>
      </c>
      <c r="Z288" s="86">
        <f t="shared" ca="1" si="63"/>
        <v>0</v>
      </c>
      <c r="AA288" s="85">
        <f t="shared" ca="1" si="64"/>
        <v>1.0069999999999999</v>
      </c>
      <c r="AB288" s="85">
        <f t="shared" ca="1" si="65"/>
        <v>0.80400000000000005</v>
      </c>
    </row>
    <row r="289" spans="2:28">
      <c r="B289" s="98">
        <f>'115+740'!B290</f>
        <v>45348</v>
      </c>
      <c r="C289" s="97">
        <f t="shared" si="57"/>
        <v>1</v>
      </c>
      <c r="D289" s="96">
        <f t="shared" si="58"/>
        <v>1069</v>
      </c>
      <c r="E289" s="95">
        <f>VLOOKUP(B289,'115+740'!B290:AB391,3,FALSE)</f>
        <v>1724</v>
      </c>
      <c r="F289" s="92">
        <f t="shared" si="53"/>
        <v>2793</v>
      </c>
      <c r="G289" s="94">
        <f ca="1">VLOOKUP(B289,'115+740'!$B$15:$AB$757,20,FALSE)</f>
        <v>860</v>
      </c>
      <c r="H289" s="94">
        <f ca="1">VLOOKUP(B289,'115+740'!$B$15:$AB$757,4,FALSE)</f>
        <v>893</v>
      </c>
      <c r="I289" s="91">
        <f t="shared" ca="1" si="54"/>
        <v>1900</v>
      </c>
      <c r="J289" s="91">
        <f ca="1">VLOOKUP(B289,'115+740'!$B$15:$AB$757,13,FALSE)</f>
        <v>-100</v>
      </c>
      <c r="K289" s="89">
        <f>'115+740'!Q290</f>
        <v>0</v>
      </c>
      <c r="L289" s="88">
        <f t="shared" ca="1" si="59"/>
        <v>140</v>
      </c>
      <c r="M289" s="93">
        <f ca="1">VLOOKUP(B289,'115+740'!$B$14:$AB$757,21,FALSE)</f>
        <v>897</v>
      </c>
      <c r="N289" s="92">
        <f ca="1">VLOOKUP(B289,'115+740'!$B$15:$AB$757,5,FALSE)</f>
        <v>906</v>
      </c>
      <c r="O289" s="91">
        <f t="shared" ca="1" si="55"/>
        <v>1887</v>
      </c>
      <c r="P289" s="91">
        <f ca="1">VLOOKUP(B289,'115+740'!$B$15:$AB$757,14,FALSE)</f>
        <v>-113</v>
      </c>
      <c r="Q289" s="89">
        <f>'115+740'!R290</f>
        <v>0</v>
      </c>
      <c r="R289" s="88">
        <f t="shared" ca="1" si="60"/>
        <v>103</v>
      </c>
      <c r="S289" s="93">
        <f ca="1">VLOOKUP(B289,'115+740'!$B$14:$AB$757,22,FALSE)</f>
        <v>874</v>
      </c>
      <c r="T289" s="92">
        <f ca="1">VLOOKUP(B289,'115+740'!$B$15:$AB$757,6,FALSE)</f>
        <v>959</v>
      </c>
      <c r="U289" s="91">
        <f t="shared" ca="1" si="56"/>
        <v>1834</v>
      </c>
      <c r="V289" s="90">
        <f ca="1">VLOOKUP(B289,'115+740'!$B$15:$AB$757,15,FALSE)</f>
        <v>-166</v>
      </c>
      <c r="W289" s="89">
        <f>'115+740'!S290</f>
        <v>0</v>
      </c>
      <c r="X289" s="88">
        <f t="shared" ca="1" si="61"/>
        <v>126</v>
      </c>
      <c r="Y289" s="87">
        <f t="shared" ca="1" si="62"/>
        <v>0</v>
      </c>
      <c r="Z289" s="86">
        <f t="shared" ca="1" si="63"/>
        <v>0</v>
      </c>
      <c r="AA289" s="85">
        <f t="shared" ca="1" si="64"/>
        <v>1.0069999999999999</v>
      </c>
      <c r="AB289" s="85">
        <f t="shared" ca="1" si="65"/>
        <v>0.80400000000000005</v>
      </c>
    </row>
    <row r="290" spans="2:28">
      <c r="B290" s="98">
        <f>'115+740'!B291</f>
        <v>45349</v>
      </c>
      <c r="C290" s="97">
        <f t="shared" si="57"/>
        <v>1</v>
      </c>
      <c r="D290" s="96">
        <f t="shared" si="58"/>
        <v>1069</v>
      </c>
      <c r="E290" s="95">
        <f>VLOOKUP(B290,'115+740'!B291:AB392,3,FALSE)</f>
        <v>1726</v>
      </c>
      <c r="F290" s="92">
        <f t="shared" si="53"/>
        <v>2795</v>
      </c>
      <c r="G290" s="94">
        <f ca="1">VLOOKUP(B290,'115+740'!$B$15:$AB$757,20,FALSE)</f>
        <v>860</v>
      </c>
      <c r="H290" s="94">
        <f ca="1">VLOOKUP(B290,'115+740'!$B$15:$AB$757,4,FALSE)</f>
        <v>895</v>
      </c>
      <c r="I290" s="91">
        <f t="shared" ca="1" si="54"/>
        <v>1900</v>
      </c>
      <c r="J290" s="91">
        <f ca="1">VLOOKUP(B290,'115+740'!$B$15:$AB$757,13,FALSE)</f>
        <v>-100</v>
      </c>
      <c r="K290" s="89">
        <f>'115+740'!Q291</f>
        <v>0</v>
      </c>
      <c r="L290" s="88">
        <f t="shared" ca="1" si="59"/>
        <v>140</v>
      </c>
      <c r="M290" s="93">
        <f ca="1">VLOOKUP(B290,'115+740'!$B$14:$AB$757,21,FALSE)</f>
        <v>897</v>
      </c>
      <c r="N290" s="92">
        <f ca="1">VLOOKUP(B290,'115+740'!$B$15:$AB$757,5,FALSE)</f>
        <v>908</v>
      </c>
      <c r="O290" s="91">
        <f t="shared" ca="1" si="55"/>
        <v>1887</v>
      </c>
      <c r="P290" s="91">
        <f ca="1">VLOOKUP(B290,'115+740'!$B$15:$AB$757,14,FALSE)</f>
        <v>-113</v>
      </c>
      <c r="Q290" s="89">
        <f>'115+740'!R291</f>
        <v>0</v>
      </c>
      <c r="R290" s="88">
        <f t="shared" ca="1" si="60"/>
        <v>103</v>
      </c>
      <c r="S290" s="93">
        <f ca="1">VLOOKUP(B290,'115+740'!$B$14:$AB$757,22,FALSE)</f>
        <v>874</v>
      </c>
      <c r="T290" s="92">
        <f ca="1">VLOOKUP(B290,'115+740'!$B$15:$AB$757,6,FALSE)</f>
        <v>961</v>
      </c>
      <c r="U290" s="91">
        <f t="shared" ca="1" si="56"/>
        <v>1834</v>
      </c>
      <c r="V290" s="90">
        <f ca="1">VLOOKUP(B290,'115+740'!$B$15:$AB$757,15,FALSE)</f>
        <v>-166</v>
      </c>
      <c r="W290" s="89">
        <f>'115+740'!S291</f>
        <v>0</v>
      </c>
      <c r="X290" s="88">
        <f t="shared" ca="1" si="61"/>
        <v>126</v>
      </c>
      <c r="Y290" s="87">
        <f t="shared" ca="1" si="62"/>
        <v>0</v>
      </c>
      <c r="Z290" s="86">
        <f t="shared" ca="1" si="63"/>
        <v>0</v>
      </c>
      <c r="AA290" s="85">
        <f t="shared" ca="1" si="64"/>
        <v>1.0069999999999999</v>
      </c>
      <c r="AB290" s="85">
        <f t="shared" ca="1" si="65"/>
        <v>0.80400000000000005</v>
      </c>
    </row>
    <row r="291" spans="2:28">
      <c r="B291" s="98">
        <f>'115+740'!B292</f>
        <v>45350</v>
      </c>
      <c r="C291" s="97">
        <f t="shared" si="57"/>
        <v>1</v>
      </c>
      <c r="D291" s="96">
        <f t="shared" si="58"/>
        <v>1069</v>
      </c>
      <c r="E291" s="95">
        <f>VLOOKUP(B291,'115+740'!B292:AB393,3,FALSE)</f>
        <v>1728</v>
      </c>
      <c r="F291" s="92">
        <f t="shared" si="53"/>
        <v>2797</v>
      </c>
      <c r="G291" s="94">
        <f ca="1">VLOOKUP(B291,'115+740'!$B$15:$AB$757,20,FALSE)</f>
        <v>860</v>
      </c>
      <c r="H291" s="94">
        <f ca="1">VLOOKUP(B291,'115+740'!$B$15:$AB$757,4,FALSE)</f>
        <v>897</v>
      </c>
      <c r="I291" s="91">
        <f t="shared" ca="1" si="54"/>
        <v>1900</v>
      </c>
      <c r="J291" s="91">
        <f ca="1">VLOOKUP(B291,'115+740'!$B$15:$AB$757,13,FALSE)</f>
        <v>-100</v>
      </c>
      <c r="K291" s="89">
        <f>'115+740'!Q292</f>
        <v>0</v>
      </c>
      <c r="L291" s="88">
        <f t="shared" ca="1" si="59"/>
        <v>140</v>
      </c>
      <c r="M291" s="93">
        <f ca="1">VLOOKUP(B291,'115+740'!$B$14:$AB$757,21,FALSE)</f>
        <v>897</v>
      </c>
      <c r="N291" s="92">
        <f ca="1">VLOOKUP(B291,'115+740'!$B$15:$AB$757,5,FALSE)</f>
        <v>910</v>
      </c>
      <c r="O291" s="91">
        <f t="shared" ca="1" si="55"/>
        <v>1887</v>
      </c>
      <c r="P291" s="91">
        <f ca="1">VLOOKUP(B291,'115+740'!$B$15:$AB$757,14,FALSE)</f>
        <v>-113</v>
      </c>
      <c r="Q291" s="89">
        <f>'115+740'!R292</f>
        <v>0</v>
      </c>
      <c r="R291" s="88">
        <f t="shared" ca="1" si="60"/>
        <v>103</v>
      </c>
      <c r="S291" s="93">
        <f ca="1">VLOOKUP(B291,'115+740'!$B$14:$AB$757,22,FALSE)</f>
        <v>874</v>
      </c>
      <c r="T291" s="92">
        <f ca="1">VLOOKUP(B291,'115+740'!$B$15:$AB$757,6,FALSE)</f>
        <v>963</v>
      </c>
      <c r="U291" s="91">
        <f t="shared" ca="1" si="56"/>
        <v>1834</v>
      </c>
      <c r="V291" s="90">
        <f ca="1">VLOOKUP(B291,'115+740'!$B$15:$AB$757,15,FALSE)</f>
        <v>-166</v>
      </c>
      <c r="W291" s="89">
        <f>'115+740'!S292</f>
        <v>0</v>
      </c>
      <c r="X291" s="88">
        <f t="shared" ca="1" si="61"/>
        <v>126</v>
      </c>
      <c r="Y291" s="87">
        <f t="shared" ca="1" si="62"/>
        <v>0</v>
      </c>
      <c r="Z291" s="86">
        <f t="shared" ca="1" si="63"/>
        <v>0</v>
      </c>
      <c r="AA291" s="85">
        <f t="shared" ca="1" si="64"/>
        <v>1.0069999999999999</v>
      </c>
      <c r="AB291" s="85">
        <f t="shared" ca="1" si="65"/>
        <v>0.80400000000000005</v>
      </c>
    </row>
    <row r="292" spans="2:28">
      <c r="B292" s="98">
        <f>'115+740'!B293</f>
        <v>45351</v>
      </c>
      <c r="C292" s="97">
        <f t="shared" si="57"/>
        <v>1</v>
      </c>
      <c r="D292" s="96">
        <f t="shared" si="58"/>
        <v>1069</v>
      </c>
      <c r="E292" s="95">
        <f>VLOOKUP(B292,'115+740'!B293:AB394,3,FALSE)</f>
        <v>1730</v>
      </c>
      <c r="F292" s="92">
        <f t="shared" si="53"/>
        <v>2799</v>
      </c>
      <c r="G292" s="94">
        <f ca="1">VLOOKUP(B292,'115+740'!$B$15:$AB$757,20,FALSE)</f>
        <v>860</v>
      </c>
      <c r="H292" s="94">
        <f ca="1">VLOOKUP(B292,'115+740'!$B$15:$AB$757,4,FALSE)</f>
        <v>899</v>
      </c>
      <c r="I292" s="91">
        <f t="shared" ca="1" si="54"/>
        <v>1900</v>
      </c>
      <c r="J292" s="91">
        <f ca="1">VLOOKUP(B292,'115+740'!$B$15:$AB$757,13,FALSE)</f>
        <v>-100</v>
      </c>
      <c r="K292" s="89">
        <f>'115+740'!Q293</f>
        <v>0</v>
      </c>
      <c r="L292" s="88">
        <f t="shared" ca="1" si="59"/>
        <v>140</v>
      </c>
      <c r="M292" s="93">
        <f ca="1">VLOOKUP(B292,'115+740'!$B$14:$AB$757,21,FALSE)</f>
        <v>897</v>
      </c>
      <c r="N292" s="92">
        <f ca="1">VLOOKUP(B292,'115+740'!$B$15:$AB$757,5,FALSE)</f>
        <v>912</v>
      </c>
      <c r="O292" s="91">
        <f t="shared" ca="1" si="55"/>
        <v>1887</v>
      </c>
      <c r="P292" s="91">
        <f ca="1">VLOOKUP(B292,'115+740'!$B$15:$AB$757,14,FALSE)</f>
        <v>-113</v>
      </c>
      <c r="Q292" s="89">
        <f>'115+740'!R293</f>
        <v>0</v>
      </c>
      <c r="R292" s="88">
        <f t="shared" ca="1" si="60"/>
        <v>103</v>
      </c>
      <c r="S292" s="93">
        <f ca="1">VLOOKUP(B292,'115+740'!$B$14:$AB$757,22,FALSE)</f>
        <v>874</v>
      </c>
      <c r="T292" s="92">
        <f ca="1">VLOOKUP(B292,'115+740'!$B$15:$AB$757,6,FALSE)</f>
        <v>965</v>
      </c>
      <c r="U292" s="91">
        <f t="shared" ca="1" si="56"/>
        <v>1834</v>
      </c>
      <c r="V292" s="90">
        <f ca="1">VLOOKUP(B292,'115+740'!$B$15:$AB$757,15,FALSE)</f>
        <v>-166</v>
      </c>
      <c r="W292" s="89">
        <f>'115+740'!S293</f>
        <v>0</v>
      </c>
      <c r="X292" s="88">
        <f t="shared" ca="1" si="61"/>
        <v>126</v>
      </c>
      <c r="Y292" s="87">
        <f t="shared" ca="1" si="62"/>
        <v>0</v>
      </c>
      <c r="Z292" s="86">
        <f t="shared" ca="1" si="63"/>
        <v>0</v>
      </c>
      <c r="AA292" s="85">
        <f t="shared" ca="1" si="64"/>
        <v>1.0069999999999999</v>
      </c>
      <c r="AB292" s="85">
        <f t="shared" ca="1" si="65"/>
        <v>0.80400000000000005</v>
      </c>
    </row>
    <row r="293" spans="2:28">
      <c r="B293" s="98">
        <f>'115+740'!B294</f>
        <v>45352</v>
      </c>
      <c r="C293" s="97">
        <f t="shared" si="57"/>
        <v>1</v>
      </c>
      <c r="D293" s="96">
        <f t="shared" si="58"/>
        <v>1069</v>
      </c>
      <c r="E293" s="95">
        <f>VLOOKUP(B293,'115+740'!B294:AB395,3,FALSE)</f>
        <v>1732</v>
      </c>
      <c r="F293" s="92">
        <f t="shared" si="53"/>
        <v>2801</v>
      </c>
      <c r="G293" s="94">
        <f ca="1">VLOOKUP(B293,'115+740'!$B$15:$AB$757,20,FALSE)</f>
        <v>860</v>
      </c>
      <c r="H293" s="94">
        <f ca="1">VLOOKUP(B293,'115+740'!$B$15:$AB$757,4,FALSE)</f>
        <v>901</v>
      </c>
      <c r="I293" s="91">
        <f t="shared" ca="1" si="54"/>
        <v>1900</v>
      </c>
      <c r="J293" s="91">
        <f ca="1">VLOOKUP(B293,'115+740'!$B$15:$AB$757,13,FALSE)</f>
        <v>-100</v>
      </c>
      <c r="K293" s="89">
        <f>'115+740'!Q294</f>
        <v>0</v>
      </c>
      <c r="L293" s="88">
        <f t="shared" ca="1" si="59"/>
        <v>140</v>
      </c>
      <c r="M293" s="93">
        <f ca="1">VLOOKUP(B293,'115+740'!$B$14:$AB$757,21,FALSE)</f>
        <v>897</v>
      </c>
      <c r="N293" s="92">
        <f ca="1">VLOOKUP(B293,'115+740'!$B$15:$AB$757,5,FALSE)</f>
        <v>914</v>
      </c>
      <c r="O293" s="91">
        <f t="shared" ca="1" si="55"/>
        <v>1887</v>
      </c>
      <c r="P293" s="91">
        <f ca="1">VLOOKUP(B293,'115+740'!$B$15:$AB$757,14,FALSE)</f>
        <v>-113</v>
      </c>
      <c r="Q293" s="89">
        <f>'115+740'!R294</f>
        <v>0</v>
      </c>
      <c r="R293" s="88">
        <f t="shared" ca="1" si="60"/>
        <v>103</v>
      </c>
      <c r="S293" s="93">
        <f ca="1">VLOOKUP(B293,'115+740'!$B$14:$AB$757,22,FALSE)</f>
        <v>874</v>
      </c>
      <c r="T293" s="92">
        <f ca="1">VLOOKUP(B293,'115+740'!$B$15:$AB$757,6,FALSE)</f>
        <v>967</v>
      </c>
      <c r="U293" s="91">
        <f t="shared" ca="1" si="56"/>
        <v>1834</v>
      </c>
      <c r="V293" s="90">
        <f ca="1">VLOOKUP(B293,'115+740'!$B$15:$AB$757,15,FALSE)</f>
        <v>-166</v>
      </c>
      <c r="W293" s="89">
        <f>'115+740'!S294</f>
        <v>0</v>
      </c>
      <c r="X293" s="88">
        <f t="shared" ca="1" si="61"/>
        <v>126</v>
      </c>
      <c r="Y293" s="87">
        <f t="shared" ca="1" si="62"/>
        <v>0</v>
      </c>
      <c r="Z293" s="86">
        <f t="shared" ca="1" si="63"/>
        <v>0</v>
      </c>
      <c r="AA293" s="85">
        <f t="shared" ca="1" si="64"/>
        <v>1.0069999999999999</v>
      </c>
      <c r="AB293" s="85">
        <f t="shared" ca="1" si="65"/>
        <v>0.80400000000000005</v>
      </c>
    </row>
    <row r="294" spans="2:28">
      <c r="B294" s="98">
        <f>'115+740'!B295</f>
        <v>45353</v>
      </c>
      <c r="C294" s="97">
        <f t="shared" si="57"/>
        <v>1</v>
      </c>
      <c r="D294" s="96">
        <f t="shared" si="58"/>
        <v>1069</v>
      </c>
      <c r="E294" s="95">
        <f>VLOOKUP(B294,'115+740'!B295:AB396,3,FALSE)</f>
        <v>1734</v>
      </c>
      <c r="F294" s="92">
        <f t="shared" si="53"/>
        <v>2803</v>
      </c>
      <c r="G294" s="94">
        <f ca="1">VLOOKUP(B294,'115+740'!$B$15:$AB$757,20,FALSE)</f>
        <v>860</v>
      </c>
      <c r="H294" s="94">
        <f ca="1">VLOOKUP(B294,'115+740'!$B$15:$AB$757,4,FALSE)</f>
        <v>903</v>
      </c>
      <c r="I294" s="91">
        <f t="shared" ca="1" si="54"/>
        <v>1900</v>
      </c>
      <c r="J294" s="91">
        <f ca="1">VLOOKUP(B294,'115+740'!$B$15:$AB$757,13,FALSE)</f>
        <v>-100</v>
      </c>
      <c r="K294" s="89">
        <f>'115+740'!Q295</f>
        <v>0</v>
      </c>
      <c r="L294" s="88">
        <f t="shared" ca="1" si="59"/>
        <v>140</v>
      </c>
      <c r="M294" s="93">
        <f ca="1">VLOOKUP(B294,'115+740'!$B$14:$AB$757,21,FALSE)</f>
        <v>897</v>
      </c>
      <c r="N294" s="92">
        <f ca="1">VLOOKUP(B294,'115+740'!$B$15:$AB$757,5,FALSE)</f>
        <v>916</v>
      </c>
      <c r="O294" s="91">
        <f t="shared" ca="1" si="55"/>
        <v>1887</v>
      </c>
      <c r="P294" s="91">
        <f ca="1">VLOOKUP(B294,'115+740'!$B$15:$AB$757,14,FALSE)</f>
        <v>-113</v>
      </c>
      <c r="Q294" s="89">
        <f>'115+740'!R295</f>
        <v>0</v>
      </c>
      <c r="R294" s="88">
        <f t="shared" ca="1" si="60"/>
        <v>103</v>
      </c>
      <c r="S294" s="93">
        <f ca="1">VLOOKUP(B294,'115+740'!$B$14:$AB$757,22,FALSE)</f>
        <v>874</v>
      </c>
      <c r="T294" s="92">
        <f ca="1">VLOOKUP(B294,'115+740'!$B$15:$AB$757,6,FALSE)</f>
        <v>969</v>
      </c>
      <c r="U294" s="91">
        <f t="shared" ca="1" si="56"/>
        <v>1834</v>
      </c>
      <c r="V294" s="90">
        <f ca="1">VLOOKUP(B294,'115+740'!$B$15:$AB$757,15,FALSE)</f>
        <v>-166</v>
      </c>
      <c r="W294" s="89">
        <f>'115+740'!S295</f>
        <v>0</v>
      </c>
      <c r="X294" s="88">
        <f t="shared" ca="1" si="61"/>
        <v>126</v>
      </c>
      <c r="Y294" s="87">
        <f t="shared" ca="1" si="62"/>
        <v>0</v>
      </c>
      <c r="Z294" s="86">
        <f t="shared" ca="1" si="63"/>
        <v>0</v>
      </c>
      <c r="AA294" s="85">
        <f t="shared" ca="1" si="64"/>
        <v>1.0069999999999999</v>
      </c>
      <c r="AB294" s="85">
        <f t="shared" ca="1" si="65"/>
        <v>0.80400000000000005</v>
      </c>
    </row>
    <row r="295" spans="2:28">
      <c r="B295" s="98">
        <f>'115+740'!B296</f>
        <v>45354</v>
      </c>
      <c r="C295" s="97">
        <f t="shared" si="57"/>
        <v>1</v>
      </c>
      <c r="D295" s="96">
        <f t="shared" si="58"/>
        <v>1069</v>
      </c>
      <c r="E295" s="95">
        <f>VLOOKUP(B295,'115+740'!B296:AB397,3,FALSE)</f>
        <v>1736</v>
      </c>
      <c r="F295" s="92">
        <f t="shared" si="53"/>
        <v>2805</v>
      </c>
      <c r="G295" s="94">
        <f ca="1">VLOOKUP(B295,'115+740'!$B$15:$AB$757,20,FALSE)</f>
        <v>860</v>
      </c>
      <c r="H295" s="94">
        <f ca="1">VLOOKUP(B295,'115+740'!$B$15:$AB$757,4,FALSE)</f>
        <v>905</v>
      </c>
      <c r="I295" s="91">
        <f t="shared" ca="1" si="54"/>
        <v>1900</v>
      </c>
      <c r="J295" s="91">
        <f ca="1">VLOOKUP(B295,'115+740'!$B$15:$AB$757,13,FALSE)</f>
        <v>-100</v>
      </c>
      <c r="K295" s="89">
        <f>'115+740'!Q296</f>
        <v>0</v>
      </c>
      <c r="L295" s="88">
        <f t="shared" ca="1" si="59"/>
        <v>140</v>
      </c>
      <c r="M295" s="93">
        <f ca="1">VLOOKUP(B295,'115+740'!$B$14:$AB$757,21,FALSE)</f>
        <v>897</v>
      </c>
      <c r="N295" s="92">
        <f ca="1">VLOOKUP(B295,'115+740'!$B$15:$AB$757,5,FALSE)</f>
        <v>918</v>
      </c>
      <c r="O295" s="91">
        <f t="shared" ca="1" si="55"/>
        <v>1887</v>
      </c>
      <c r="P295" s="91">
        <f ca="1">VLOOKUP(B295,'115+740'!$B$15:$AB$757,14,FALSE)</f>
        <v>-113</v>
      </c>
      <c r="Q295" s="89">
        <f>'115+740'!R296</f>
        <v>0</v>
      </c>
      <c r="R295" s="88">
        <f t="shared" ca="1" si="60"/>
        <v>103</v>
      </c>
      <c r="S295" s="93">
        <f ca="1">VLOOKUP(B295,'115+740'!$B$14:$AB$757,22,FALSE)</f>
        <v>874</v>
      </c>
      <c r="T295" s="92">
        <f ca="1">VLOOKUP(B295,'115+740'!$B$15:$AB$757,6,FALSE)</f>
        <v>971</v>
      </c>
      <c r="U295" s="91">
        <f t="shared" ca="1" si="56"/>
        <v>1834</v>
      </c>
      <c r="V295" s="90">
        <f ca="1">VLOOKUP(B295,'115+740'!$B$15:$AB$757,15,FALSE)</f>
        <v>-166</v>
      </c>
      <c r="W295" s="89">
        <f>'115+740'!S296</f>
        <v>0</v>
      </c>
      <c r="X295" s="88">
        <f t="shared" ca="1" si="61"/>
        <v>126</v>
      </c>
      <c r="Y295" s="87">
        <f t="shared" ca="1" si="62"/>
        <v>0</v>
      </c>
      <c r="Z295" s="86">
        <f t="shared" ca="1" si="63"/>
        <v>0</v>
      </c>
      <c r="AA295" s="85">
        <f t="shared" ca="1" si="64"/>
        <v>1.0069999999999999</v>
      </c>
      <c r="AB295" s="85">
        <f t="shared" ca="1" si="65"/>
        <v>0.80400000000000005</v>
      </c>
    </row>
    <row r="296" spans="2:28">
      <c r="B296" s="98">
        <f>'115+740'!B297</f>
        <v>45355</v>
      </c>
      <c r="C296" s="97">
        <f t="shared" si="57"/>
        <v>1</v>
      </c>
      <c r="D296" s="96">
        <f t="shared" si="58"/>
        <v>1069</v>
      </c>
      <c r="E296" s="95">
        <f>VLOOKUP(B296,'115+740'!B297:AB398,3,FALSE)</f>
        <v>1738</v>
      </c>
      <c r="F296" s="92">
        <f t="shared" si="53"/>
        <v>2807</v>
      </c>
      <c r="G296" s="94">
        <f ca="1">VLOOKUP(B296,'115+740'!$B$15:$AB$757,20,FALSE)</f>
        <v>860</v>
      </c>
      <c r="H296" s="94">
        <f ca="1">VLOOKUP(B296,'115+740'!$B$15:$AB$757,4,FALSE)</f>
        <v>907</v>
      </c>
      <c r="I296" s="91">
        <f t="shared" ca="1" si="54"/>
        <v>1900</v>
      </c>
      <c r="J296" s="91">
        <f ca="1">VLOOKUP(B296,'115+740'!$B$15:$AB$757,13,FALSE)</f>
        <v>-100</v>
      </c>
      <c r="K296" s="89">
        <f>'115+740'!Q297</f>
        <v>0</v>
      </c>
      <c r="L296" s="88">
        <f t="shared" ca="1" si="59"/>
        <v>140</v>
      </c>
      <c r="M296" s="93">
        <f ca="1">VLOOKUP(B296,'115+740'!$B$14:$AB$757,21,FALSE)</f>
        <v>897</v>
      </c>
      <c r="N296" s="92">
        <f ca="1">VLOOKUP(B296,'115+740'!$B$15:$AB$757,5,FALSE)</f>
        <v>920</v>
      </c>
      <c r="O296" s="91">
        <f t="shared" ca="1" si="55"/>
        <v>1887</v>
      </c>
      <c r="P296" s="91">
        <f ca="1">VLOOKUP(B296,'115+740'!$B$15:$AB$757,14,FALSE)</f>
        <v>-113</v>
      </c>
      <c r="Q296" s="89">
        <f>'115+740'!R297</f>
        <v>0</v>
      </c>
      <c r="R296" s="88">
        <f t="shared" ca="1" si="60"/>
        <v>103</v>
      </c>
      <c r="S296" s="93">
        <f ca="1">VLOOKUP(B296,'115+740'!$B$14:$AB$757,22,FALSE)</f>
        <v>874</v>
      </c>
      <c r="T296" s="92">
        <f ca="1">VLOOKUP(B296,'115+740'!$B$15:$AB$757,6,FALSE)</f>
        <v>973</v>
      </c>
      <c r="U296" s="91">
        <f t="shared" ca="1" si="56"/>
        <v>1834</v>
      </c>
      <c r="V296" s="90">
        <f ca="1">VLOOKUP(B296,'115+740'!$B$15:$AB$757,15,FALSE)</f>
        <v>-166</v>
      </c>
      <c r="W296" s="89">
        <f>'115+740'!S297</f>
        <v>0</v>
      </c>
      <c r="X296" s="88">
        <f t="shared" ca="1" si="61"/>
        <v>126</v>
      </c>
      <c r="Y296" s="87">
        <f t="shared" ca="1" si="62"/>
        <v>0</v>
      </c>
      <c r="Z296" s="86">
        <f t="shared" ca="1" si="63"/>
        <v>0</v>
      </c>
      <c r="AA296" s="85">
        <f t="shared" ca="1" si="64"/>
        <v>1.0069999999999999</v>
      </c>
      <c r="AB296" s="85">
        <f t="shared" ca="1" si="65"/>
        <v>0.80400000000000005</v>
      </c>
    </row>
    <row r="297" spans="2:28">
      <c r="B297" s="98">
        <f>'115+740'!B298</f>
        <v>45356</v>
      </c>
      <c r="C297" s="97">
        <f t="shared" si="57"/>
        <v>1</v>
      </c>
      <c r="D297" s="96">
        <f t="shared" si="58"/>
        <v>1069</v>
      </c>
      <c r="E297" s="95">
        <f>VLOOKUP(B297,'115+740'!B298:AB399,3,FALSE)</f>
        <v>1740</v>
      </c>
      <c r="F297" s="92">
        <f t="shared" si="53"/>
        <v>2809</v>
      </c>
      <c r="G297" s="94">
        <f ca="1">VLOOKUP(B297,'115+740'!$B$15:$AB$757,20,FALSE)</f>
        <v>860</v>
      </c>
      <c r="H297" s="94">
        <f ca="1">VLOOKUP(B297,'115+740'!$B$15:$AB$757,4,FALSE)</f>
        <v>909</v>
      </c>
      <c r="I297" s="91">
        <f t="shared" ca="1" si="54"/>
        <v>1900</v>
      </c>
      <c r="J297" s="91">
        <f ca="1">VLOOKUP(B297,'115+740'!$B$15:$AB$757,13,FALSE)</f>
        <v>-100</v>
      </c>
      <c r="K297" s="89">
        <f>'115+740'!Q298</f>
        <v>0</v>
      </c>
      <c r="L297" s="88">
        <f t="shared" ca="1" si="59"/>
        <v>140</v>
      </c>
      <c r="M297" s="93">
        <f ca="1">VLOOKUP(B297,'115+740'!$B$14:$AB$757,21,FALSE)</f>
        <v>897</v>
      </c>
      <c r="N297" s="92">
        <f ca="1">VLOOKUP(B297,'115+740'!$B$15:$AB$757,5,FALSE)</f>
        <v>922</v>
      </c>
      <c r="O297" s="91">
        <f t="shared" ca="1" si="55"/>
        <v>1887</v>
      </c>
      <c r="P297" s="91">
        <f ca="1">VLOOKUP(B297,'115+740'!$B$15:$AB$757,14,FALSE)</f>
        <v>-113</v>
      </c>
      <c r="Q297" s="89">
        <f>'115+740'!R298</f>
        <v>0</v>
      </c>
      <c r="R297" s="88">
        <f t="shared" ca="1" si="60"/>
        <v>103</v>
      </c>
      <c r="S297" s="93">
        <f ca="1">VLOOKUP(B297,'115+740'!$B$14:$AB$757,22,FALSE)</f>
        <v>874</v>
      </c>
      <c r="T297" s="92">
        <f ca="1">VLOOKUP(B297,'115+740'!$B$15:$AB$757,6,FALSE)</f>
        <v>975</v>
      </c>
      <c r="U297" s="91">
        <f t="shared" ca="1" si="56"/>
        <v>1834</v>
      </c>
      <c r="V297" s="90">
        <f ca="1">VLOOKUP(B297,'115+740'!$B$15:$AB$757,15,FALSE)</f>
        <v>-166</v>
      </c>
      <c r="W297" s="89">
        <f>'115+740'!S298</f>
        <v>0</v>
      </c>
      <c r="X297" s="88">
        <f t="shared" ca="1" si="61"/>
        <v>126</v>
      </c>
      <c r="Y297" s="87">
        <f t="shared" ca="1" si="62"/>
        <v>0</v>
      </c>
      <c r="Z297" s="86">
        <f t="shared" ca="1" si="63"/>
        <v>0</v>
      </c>
      <c r="AA297" s="85">
        <f t="shared" ca="1" si="64"/>
        <v>1.0069999999999999</v>
      </c>
      <c r="AB297" s="85">
        <f t="shared" ca="1" si="65"/>
        <v>0.80400000000000005</v>
      </c>
    </row>
    <row r="298" spans="2:28">
      <c r="B298" s="98">
        <f>'115+740'!B299</f>
        <v>45357</v>
      </c>
      <c r="C298" s="97">
        <f t="shared" si="57"/>
        <v>1</v>
      </c>
      <c r="D298" s="96">
        <f t="shared" si="58"/>
        <v>1069</v>
      </c>
      <c r="E298" s="95">
        <f>VLOOKUP(B298,'115+740'!B299:AB400,3,FALSE)</f>
        <v>1742</v>
      </c>
      <c r="F298" s="92">
        <f t="shared" si="53"/>
        <v>2811</v>
      </c>
      <c r="G298" s="94">
        <f ca="1">VLOOKUP(B298,'115+740'!$B$15:$AB$757,20,FALSE)</f>
        <v>860</v>
      </c>
      <c r="H298" s="94">
        <f ca="1">VLOOKUP(B298,'115+740'!$B$15:$AB$757,4,FALSE)</f>
        <v>911</v>
      </c>
      <c r="I298" s="91">
        <f t="shared" ca="1" si="54"/>
        <v>1900</v>
      </c>
      <c r="J298" s="91">
        <f ca="1">VLOOKUP(B298,'115+740'!$B$15:$AB$757,13,FALSE)</f>
        <v>-100</v>
      </c>
      <c r="K298" s="89">
        <f>'115+740'!Q299</f>
        <v>0</v>
      </c>
      <c r="L298" s="88">
        <f t="shared" ca="1" si="59"/>
        <v>140</v>
      </c>
      <c r="M298" s="93">
        <f ca="1">VLOOKUP(B298,'115+740'!$B$14:$AB$757,21,FALSE)</f>
        <v>897</v>
      </c>
      <c r="N298" s="92">
        <f ca="1">VLOOKUP(B298,'115+740'!$B$15:$AB$757,5,FALSE)</f>
        <v>924</v>
      </c>
      <c r="O298" s="91">
        <f t="shared" ca="1" si="55"/>
        <v>1887</v>
      </c>
      <c r="P298" s="91">
        <f ca="1">VLOOKUP(B298,'115+740'!$B$15:$AB$757,14,FALSE)</f>
        <v>-113</v>
      </c>
      <c r="Q298" s="89">
        <f>'115+740'!R299</f>
        <v>0</v>
      </c>
      <c r="R298" s="88">
        <f t="shared" ca="1" si="60"/>
        <v>103</v>
      </c>
      <c r="S298" s="93">
        <f ca="1">VLOOKUP(B298,'115+740'!$B$14:$AB$757,22,FALSE)</f>
        <v>874</v>
      </c>
      <c r="T298" s="92">
        <f ca="1">VLOOKUP(B298,'115+740'!$B$15:$AB$757,6,FALSE)</f>
        <v>977</v>
      </c>
      <c r="U298" s="91">
        <f t="shared" ca="1" si="56"/>
        <v>1834</v>
      </c>
      <c r="V298" s="90">
        <f ca="1">VLOOKUP(B298,'115+740'!$B$15:$AB$757,15,FALSE)</f>
        <v>-166</v>
      </c>
      <c r="W298" s="89">
        <f>'115+740'!S299</f>
        <v>0</v>
      </c>
      <c r="X298" s="88">
        <f t="shared" ca="1" si="61"/>
        <v>126</v>
      </c>
      <c r="Y298" s="87">
        <f t="shared" ca="1" si="62"/>
        <v>0</v>
      </c>
      <c r="Z298" s="86">
        <f t="shared" ca="1" si="63"/>
        <v>0</v>
      </c>
      <c r="AA298" s="85">
        <f t="shared" ca="1" si="64"/>
        <v>1.0069999999999999</v>
      </c>
      <c r="AB298" s="85">
        <f t="shared" ca="1" si="65"/>
        <v>0.80400000000000005</v>
      </c>
    </row>
    <row r="299" spans="2:28">
      <c r="B299" s="98">
        <f>'115+740'!B300</f>
        <v>45358</v>
      </c>
      <c r="C299" s="97">
        <f t="shared" si="57"/>
        <v>1</v>
      </c>
      <c r="D299" s="96">
        <f t="shared" si="58"/>
        <v>1069</v>
      </c>
      <c r="E299" s="95">
        <f>VLOOKUP(B299,'115+740'!B300:AB401,3,FALSE)</f>
        <v>1744</v>
      </c>
      <c r="F299" s="92">
        <f t="shared" si="53"/>
        <v>2813</v>
      </c>
      <c r="G299" s="94">
        <f ca="1">VLOOKUP(B299,'115+740'!$B$15:$AB$757,20,FALSE)</f>
        <v>860</v>
      </c>
      <c r="H299" s="94">
        <f ca="1">VLOOKUP(B299,'115+740'!$B$15:$AB$757,4,FALSE)</f>
        <v>913</v>
      </c>
      <c r="I299" s="91">
        <f t="shared" ca="1" si="54"/>
        <v>1900</v>
      </c>
      <c r="J299" s="91">
        <f ca="1">VLOOKUP(B299,'115+740'!$B$15:$AB$757,13,FALSE)</f>
        <v>-100</v>
      </c>
      <c r="K299" s="89">
        <f>'115+740'!Q300</f>
        <v>0</v>
      </c>
      <c r="L299" s="88">
        <f t="shared" ca="1" si="59"/>
        <v>140</v>
      </c>
      <c r="M299" s="93">
        <f ca="1">VLOOKUP(B299,'115+740'!$B$14:$AB$757,21,FALSE)</f>
        <v>897</v>
      </c>
      <c r="N299" s="92">
        <f ca="1">VLOOKUP(B299,'115+740'!$B$15:$AB$757,5,FALSE)</f>
        <v>926</v>
      </c>
      <c r="O299" s="91">
        <f t="shared" ca="1" si="55"/>
        <v>1887</v>
      </c>
      <c r="P299" s="91">
        <f ca="1">VLOOKUP(B299,'115+740'!$B$15:$AB$757,14,FALSE)</f>
        <v>-113</v>
      </c>
      <c r="Q299" s="89">
        <f>'115+740'!R300</f>
        <v>0</v>
      </c>
      <c r="R299" s="88">
        <f t="shared" ca="1" si="60"/>
        <v>103</v>
      </c>
      <c r="S299" s="93">
        <f ca="1">VLOOKUP(B299,'115+740'!$B$14:$AB$757,22,FALSE)</f>
        <v>874</v>
      </c>
      <c r="T299" s="92">
        <f ca="1">VLOOKUP(B299,'115+740'!$B$15:$AB$757,6,FALSE)</f>
        <v>979</v>
      </c>
      <c r="U299" s="91">
        <f t="shared" ca="1" si="56"/>
        <v>1834</v>
      </c>
      <c r="V299" s="90">
        <f ca="1">VLOOKUP(B299,'115+740'!$B$15:$AB$757,15,FALSE)</f>
        <v>-166</v>
      </c>
      <c r="W299" s="89">
        <f>'115+740'!S300</f>
        <v>0</v>
      </c>
      <c r="X299" s="88">
        <f t="shared" ca="1" si="61"/>
        <v>126</v>
      </c>
      <c r="Y299" s="87">
        <f t="shared" ca="1" si="62"/>
        <v>0</v>
      </c>
      <c r="Z299" s="86">
        <f t="shared" ca="1" si="63"/>
        <v>0</v>
      </c>
      <c r="AA299" s="85">
        <f t="shared" ca="1" si="64"/>
        <v>1.0069999999999999</v>
      </c>
      <c r="AB299" s="85">
        <f t="shared" ca="1" si="65"/>
        <v>0.80400000000000005</v>
      </c>
    </row>
    <row r="300" spans="2:28">
      <c r="B300" s="98">
        <f>'115+740'!B301</f>
        <v>45359</v>
      </c>
      <c r="C300" s="97">
        <f t="shared" si="57"/>
        <v>1</v>
      </c>
      <c r="D300" s="96">
        <f t="shared" si="58"/>
        <v>1069</v>
      </c>
      <c r="E300" s="95">
        <f>VLOOKUP(B300,'115+740'!B301:AB402,3,FALSE)</f>
        <v>1746</v>
      </c>
      <c r="F300" s="92">
        <f t="shared" si="53"/>
        <v>2815</v>
      </c>
      <c r="G300" s="94">
        <f ca="1">VLOOKUP(B300,'115+740'!$B$15:$AB$757,20,FALSE)</f>
        <v>860</v>
      </c>
      <c r="H300" s="94">
        <f ca="1">VLOOKUP(B300,'115+740'!$B$15:$AB$757,4,FALSE)</f>
        <v>915</v>
      </c>
      <c r="I300" s="91">
        <f t="shared" ca="1" si="54"/>
        <v>1900</v>
      </c>
      <c r="J300" s="91">
        <f ca="1">VLOOKUP(B300,'115+740'!$B$15:$AB$757,13,FALSE)</f>
        <v>-100</v>
      </c>
      <c r="K300" s="89">
        <f>'115+740'!Q301</f>
        <v>0</v>
      </c>
      <c r="L300" s="88">
        <f t="shared" ca="1" si="59"/>
        <v>140</v>
      </c>
      <c r="M300" s="93">
        <f ca="1">VLOOKUP(B300,'115+740'!$B$14:$AB$757,21,FALSE)</f>
        <v>897</v>
      </c>
      <c r="N300" s="92">
        <f ca="1">VLOOKUP(B300,'115+740'!$B$15:$AB$757,5,FALSE)</f>
        <v>928</v>
      </c>
      <c r="O300" s="91">
        <f t="shared" ca="1" si="55"/>
        <v>1887</v>
      </c>
      <c r="P300" s="91">
        <f ca="1">VLOOKUP(B300,'115+740'!$B$15:$AB$757,14,FALSE)</f>
        <v>-113</v>
      </c>
      <c r="Q300" s="89">
        <f>'115+740'!R301</f>
        <v>0</v>
      </c>
      <c r="R300" s="88">
        <f t="shared" ca="1" si="60"/>
        <v>103</v>
      </c>
      <c r="S300" s="93">
        <f ca="1">VLOOKUP(B300,'115+740'!$B$14:$AB$757,22,FALSE)</f>
        <v>874</v>
      </c>
      <c r="T300" s="92">
        <f ca="1">VLOOKUP(B300,'115+740'!$B$15:$AB$757,6,FALSE)</f>
        <v>981</v>
      </c>
      <c r="U300" s="91">
        <f t="shared" ca="1" si="56"/>
        <v>1834</v>
      </c>
      <c r="V300" s="90">
        <f ca="1">VLOOKUP(B300,'115+740'!$B$15:$AB$757,15,FALSE)</f>
        <v>-166</v>
      </c>
      <c r="W300" s="89">
        <f>'115+740'!S301</f>
        <v>0</v>
      </c>
      <c r="X300" s="88">
        <f t="shared" ca="1" si="61"/>
        <v>126</v>
      </c>
      <c r="Y300" s="87">
        <f t="shared" ca="1" si="62"/>
        <v>0</v>
      </c>
      <c r="Z300" s="86">
        <f t="shared" ca="1" si="63"/>
        <v>0</v>
      </c>
      <c r="AA300" s="85">
        <f t="shared" ca="1" si="64"/>
        <v>1.0069999999999999</v>
      </c>
      <c r="AB300" s="85">
        <f t="shared" ca="1" si="65"/>
        <v>0.80400000000000005</v>
      </c>
    </row>
    <row r="301" spans="2:28">
      <c r="B301" s="98">
        <f>'115+740'!B302</f>
        <v>45360</v>
      </c>
      <c r="C301" s="97">
        <f t="shared" si="57"/>
        <v>1</v>
      </c>
      <c r="D301" s="96">
        <f t="shared" si="58"/>
        <v>1069</v>
      </c>
      <c r="E301" s="95">
        <f>VLOOKUP(B301,'115+740'!B302:AB403,3,FALSE)</f>
        <v>1748</v>
      </c>
      <c r="F301" s="92">
        <f t="shared" si="53"/>
        <v>2817</v>
      </c>
      <c r="G301" s="94">
        <f ca="1">VLOOKUP(B301,'115+740'!$B$15:$AB$757,20,FALSE)</f>
        <v>860</v>
      </c>
      <c r="H301" s="94">
        <f ca="1">VLOOKUP(B301,'115+740'!$B$15:$AB$757,4,FALSE)</f>
        <v>917</v>
      </c>
      <c r="I301" s="91">
        <f t="shared" ca="1" si="54"/>
        <v>1900</v>
      </c>
      <c r="J301" s="91">
        <f ca="1">VLOOKUP(B301,'115+740'!$B$15:$AB$757,13,FALSE)</f>
        <v>-100</v>
      </c>
      <c r="K301" s="89">
        <f>'115+740'!Q302</f>
        <v>0</v>
      </c>
      <c r="L301" s="88">
        <f t="shared" ca="1" si="59"/>
        <v>140</v>
      </c>
      <c r="M301" s="93">
        <f ca="1">VLOOKUP(B301,'115+740'!$B$14:$AB$757,21,FALSE)</f>
        <v>897</v>
      </c>
      <c r="N301" s="92">
        <f ca="1">VLOOKUP(B301,'115+740'!$B$15:$AB$757,5,FALSE)</f>
        <v>930</v>
      </c>
      <c r="O301" s="91">
        <f t="shared" ca="1" si="55"/>
        <v>1887</v>
      </c>
      <c r="P301" s="91">
        <f ca="1">VLOOKUP(B301,'115+740'!$B$15:$AB$757,14,FALSE)</f>
        <v>-113</v>
      </c>
      <c r="Q301" s="89">
        <f>'115+740'!R302</f>
        <v>0</v>
      </c>
      <c r="R301" s="88">
        <f t="shared" ca="1" si="60"/>
        <v>103</v>
      </c>
      <c r="S301" s="93">
        <f ca="1">VLOOKUP(B301,'115+740'!$B$14:$AB$757,22,FALSE)</f>
        <v>874</v>
      </c>
      <c r="T301" s="92">
        <f ca="1">VLOOKUP(B301,'115+740'!$B$15:$AB$757,6,FALSE)</f>
        <v>983</v>
      </c>
      <c r="U301" s="91">
        <f t="shared" ca="1" si="56"/>
        <v>1834</v>
      </c>
      <c r="V301" s="90">
        <f ca="1">VLOOKUP(B301,'115+740'!$B$15:$AB$757,15,FALSE)</f>
        <v>-166</v>
      </c>
      <c r="W301" s="89">
        <f>'115+740'!S302</f>
        <v>0</v>
      </c>
      <c r="X301" s="88">
        <f t="shared" ca="1" si="61"/>
        <v>126</v>
      </c>
      <c r="Y301" s="87">
        <f t="shared" ca="1" si="62"/>
        <v>0</v>
      </c>
      <c r="Z301" s="86">
        <f t="shared" ca="1" si="63"/>
        <v>0</v>
      </c>
      <c r="AA301" s="85">
        <f t="shared" ca="1" si="64"/>
        <v>1.0069999999999999</v>
      </c>
      <c r="AB301" s="85">
        <f t="shared" ca="1" si="65"/>
        <v>0.80400000000000005</v>
      </c>
    </row>
    <row r="302" spans="2:28">
      <c r="B302" s="98">
        <f>'115+740'!B303</f>
        <v>45361</v>
      </c>
      <c r="C302" s="97">
        <f t="shared" si="57"/>
        <v>1</v>
      </c>
      <c r="D302" s="96">
        <f t="shared" si="58"/>
        <v>1069</v>
      </c>
      <c r="E302" s="95">
        <f>VLOOKUP(B302,'115+740'!B303:AB404,3,FALSE)</f>
        <v>1750</v>
      </c>
      <c r="F302" s="92">
        <f t="shared" si="53"/>
        <v>2819</v>
      </c>
      <c r="G302" s="94">
        <f ca="1">VLOOKUP(B302,'115+740'!$B$15:$AB$757,20,FALSE)</f>
        <v>860</v>
      </c>
      <c r="H302" s="94">
        <f ca="1">VLOOKUP(B302,'115+740'!$B$15:$AB$757,4,FALSE)</f>
        <v>919</v>
      </c>
      <c r="I302" s="91">
        <f t="shared" ca="1" si="54"/>
        <v>1900</v>
      </c>
      <c r="J302" s="91">
        <f ca="1">VLOOKUP(B302,'115+740'!$B$15:$AB$757,13,FALSE)</f>
        <v>-100</v>
      </c>
      <c r="K302" s="89">
        <f>'115+740'!Q303</f>
        <v>0</v>
      </c>
      <c r="L302" s="88">
        <f t="shared" ca="1" si="59"/>
        <v>140</v>
      </c>
      <c r="M302" s="93">
        <f ca="1">VLOOKUP(B302,'115+740'!$B$14:$AB$757,21,FALSE)</f>
        <v>897</v>
      </c>
      <c r="N302" s="92">
        <f ca="1">VLOOKUP(B302,'115+740'!$B$15:$AB$757,5,FALSE)</f>
        <v>932</v>
      </c>
      <c r="O302" s="91">
        <f t="shared" ca="1" si="55"/>
        <v>1887</v>
      </c>
      <c r="P302" s="91">
        <f ca="1">VLOOKUP(B302,'115+740'!$B$15:$AB$757,14,FALSE)</f>
        <v>-113</v>
      </c>
      <c r="Q302" s="89">
        <f>'115+740'!R303</f>
        <v>0</v>
      </c>
      <c r="R302" s="88">
        <f t="shared" ca="1" si="60"/>
        <v>103</v>
      </c>
      <c r="S302" s="93">
        <f ca="1">VLOOKUP(B302,'115+740'!$B$14:$AB$757,22,FALSE)</f>
        <v>874</v>
      </c>
      <c r="T302" s="92">
        <f ca="1">VLOOKUP(B302,'115+740'!$B$15:$AB$757,6,FALSE)</f>
        <v>985</v>
      </c>
      <c r="U302" s="91">
        <f t="shared" ca="1" si="56"/>
        <v>1834</v>
      </c>
      <c r="V302" s="90">
        <f ca="1">VLOOKUP(B302,'115+740'!$B$15:$AB$757,15,FALSE)</f>
        <v>-166</v>
      </c>
      <c r="W302" s="89">
        <f>'115+740'!S303</f>
        <v>0</v>
      </c>
      <c r="X302" s="88">
        <f t="shared" ca="1" si="61"/>
        <v>126</v>
      </c>
      <c r="Y302" s="87">
        <f t="shared" ca="1" si="62"/>
        <v>0</v>
      </c>
      <c r="Z302" s="86">
        <f t="shared" ca="1" si="63"/>
        <v>0</v>
      </c>
      <c r="AA302" s="85">
        <f t="shared" ca="1" si="64"/>
        <v>1.0069999999999999</v>
      </c>
      <c r="AB302" s="85">
        <f t="shared" ca="1" si="65"/>
        <v>0.80400000000000005</v>
      </c>
    </row>
    <row r="303" spans="2:28">
      <c r="B303" s="98">
        <f>'115+740'!B304</f>
        <v>45362</v>
      </c>
      <c r="C303" s="97">
        <f t="shared" si="57"/>
        <v>1</v>
      </c>
      <c r="D303" s="96">
        <f t="shared" si="58"/>
        <v>1069</v>
      </c>
      <c r="E303" s="95">
        <f>VLOOKUP(B303,'115+740'!B304:AB405,3,FALSE)</f>
        <v>1752</v>
      </c>
      <c r="F303" s="92">
        <f t="shared" si="53"/>
        <v>2821</v>
      </c>
      <c r="G303" s="94">
        <f ca="1">VLOOKUP(B303,'115+740'!$B$15:$AB$757,20,FALSE)</f>
        <v>860</v>
      </c>
      <c r="H303" s="94">
        <f ca="1">VLOOKUP(B303,'115+740'!$B$15:$AB$757,4,FALSE)</f>
        <v>921</v>
      </c>
      <c r="I303" s="91">
        <f t="shared" ca="1" si="54"/>
        <v>1900</v>
      </c>
      <c r="J303" s="91">
        <f ca="1">VLOOKUP(B303,'115+740'!$B$15:$AB$757,13,FALSE)</f>
        <v>-100</v>
      </c>
      <c r="K303" s="89">
        <f>'115+740'!Q304</f>
        <v>0</v>
      </c>
      <c r="L303" s="88">
        <f t="shared" ca="1" si="59"/>
        <v>140</v>
      </c>
      <c r="M303" s="93">
        <f ca="1">VLOOKUP(B303,'115+740'!$B$14:$AB$757,21,FALSE)</f>
        <v>897</v>
      </c>
      <c r="N303" s="92">
        <f ca="1">VLOOKUP(B303,'115+740'!$B$15:$AB$757,5,FALSE)</f>
        <v>934</v>
      </c>
      <c r="O303" s="91">
        <f t="shared" ca="1" si="55"/>
        <v>1887</v>
      </c>
      <c r="P303" s="91">
        <f ca="1">VLOOKUP(B303,'115+740'!$B$15:$AB$757,14,FALSE)</f>
        <v>-113</v>
      </c>
      <c r="Q303" s="89">
        <f>'115+740'!R304</f>
        <v>0</v>
      </c>
      <c r="R303" s="88">
        <f t="shared" ca="1" si="60"/>
        <v>103</v>
      </c>
      <c r="S303" s="93">
        <f ca="1">VLOOKUP(B303,'115+740'!$B$14:$AB$757,22,FALSE)</f>
        <v>874</v>
      </c>
      <c r="T303" s="92">
        <f ca="1">VLOOKUP(B303,'115+740'!$B$15:$AB$757,6,FALSE)</f>
        <v>987</v>
      </c>
      <c r="U303" s="91">
        <f t="shared" ca="1" si="56"/>
        <v>1834</v>
      </c>
      <c r="V303" s="90">
        <f ca="1">VLOOKUP(B303,'115+740'!$B$15:$AB$757,15,FALSE)</f>
        <v>-166</v>
      </c>
      <c r="W303" s="89">
        <f>'115+740'!S304</f>
        <v>0</v>
      </c>
      <c r="X303" s="88">
        <f t="shared" ca="1" si="61"/>
        <v>126</v>
      </c>
      <c r="Y303" s="87">
        <f t="shared" ca="1" si="62"/>
        <v>0</v>
      </c>
      <c r="Z303" s="86">
        <f t="shared" ca="1" si="63"/>
        <v>0</v>
      </c>
      <c r="AA303" s="85">
        <f t="shared" ca="1" si="64"/>
        <v>1.0069999999999999</v>
      </c>
      <c r="AB303" s="85">
        <f t="shared" ca="1" si="65"/>
        <v>0.80400000000000005</v>
      </c>
    </row>
    <row r="304" spans="2:28">
      <c r="B304" s="98">
        <f>'115+740'!B305</f>
        <v>45363</v>
      </c>
      <c r="C304" s="97">
        <f t="shared" si="57"/>
        <v>1</v>
      </c>
      <c r="D304" s="96">
        <f t="shared" si="58"/>
        <v>1069</v>
      </c>
      <c r="E304" s="95">
        <f>VLOOKUP(B304,'115+740'!B305:AB406,3,FALSE)</f>
        <v>1754</v>
      </c>
      <c r="F304" s="92">
        <f t="shared" si="53"/>
        <v>2823</v>
      </c>
      <c r="G304" s="94">
        <f ca="1">VLOOKUP(B304,'115+740'!$B$15:$AB$757,20,FALSE)</f>
        <v>860</v>
      </c>
      <c r="H304" s="94">
        <f ca="1">VLOOKUP(B304,'115+740'!$B$15:$AB$757,4,FALSE)</f>
        <v>923</v>
      </c>
      <c r="I304" s="91">
        <f t="shared" ca="1" si="54"/>
        <v>1900</v>
      </c>
      <c r="J304" s="91">
        <f ca="1">VLOOKUP(B304,'115+740'!$B$15:$AB$757,13,FALSE)</f>
        <v>-100</v>
      </c>
      <c r="K304" s="89">
        <f>'115+740'!Q305</f>
        <v>0</v>
      </c>
      <c r="L304" s="88">
        <f t="shared" ca="1" si="59"/>
        <v>140</v>
      </c>
      <c r="M304" s="93">
        <f ca="1">VLOOKUP(B304,'115+740'!$B$14:$AB$757,21,FALSE)</f>
        <v>897</v>
      </c>
      <c r="N304" s="92">
        <f ca="1">VLOOKUP(B304,'115+740'!$B$15:$AB$757,5,FALSE)</f>
        <v>936</v>
      </c>
      <c r="O304" s="91">
        <f t="shared" ca="1" si="55"/>
        <v>1887</v>
      </c>
      <c r="P304" s="91">
        <f ca="1">VLOOKUP(B304,'115+740'!$B$15:$AB$757,14,FALSE)</f>
        <v>-113</v>
      </c>
      <c r="Q304" s="89">
        <f>'115+740'!R305</f>
        <v>0</v>
      </c>
      <c r="R304" s="88">
        <f t="shared" ca="1" si="60"/>
        <v>103</v>
      </c>
      <c r="S304" s="93">
        <f ca="1">VLOOKUP(B304,'115+740'!$B$14:$AB$757,22,FALSE)</f>
        <v>874</v>
      </c>
      <c r="T304" s="92">
        <f ca="1">VLOOKUP(B304,'115+740'!$B$15:$AB$757,6,FALSE)</f>
        <v>989</v>
      </c>
      <c r="U304" s="91">
        <f t="shared" ca="1" si="56"/>
        <v>1834</v>
      </c>
      <c r="V304" s="90">
        <f ca="1">VLOOKUP(B304,'115+740'!$B$15:$AB$757,15,FALSE)</f>
        <v>-166</v>
      </c>
      <c r="W304" s="89">
        <f>'115+740'!S305</f>
        <v>0</v>
      </c>
      <c r="X304" s="88">
        <f t="shared" ca="1" si="61"/>
        <v>126</v>
      </c>
      <c r="Y304" s="87">
        <f t="shared" ca="1" si="62"/>
        <v>0</v>
      </c>
      <c r="Z304" s="86">
        <f t="shared" ca="1" si="63"/>
        <v>0</v>
      </c>
      <c r="AA304" s="85">
        <f t="shared" ca="1" si="64"/>
        <v>1.0069999999999999</v>
      </c>
      <c r="AB304" s="85">
        <f t="shared" ca="1" si="65"/>
        <v>0.80400000000000005</v>
      </c>
    </row>
    <row r="305" spans="2:28">
      <c r="B305" s="98">
        <f>'115+740'!B306</f>
        <v>45364</v>
      </c>
      <c r="C305" s="97">
        <f t="shared" si="57"/>
        <v>1</v>
      </c>
      <c r="D305" s="96">
        <f t="shared" si="58"/>
        <v>1069</v>
      </c>
      <c r="E305" s="95">
        <f>VLOOKUP(B305,'115+740'!B306:AB407,3,FALSE)</f>
        <v>1756</v>
      </c>
      <c r="F305" s="92">
        <f t="shared" si="53"/>
        <v>2825</v>
      </c>
      <c r="G305" s="94">
        <f ca="1">VLOOKUP(B305,'115+740'!$B$15:$AB$757,20,FALSE)</f>
        <v>860</v>
      </c>
      <c r="H305" s="94">
        <f ca="1">VLOOKUP(B305,'115+740'!$B$15:$AB$757,4,FALSE)</f>
        <v>925</v>
      </c>
      <c r="I305" s="91">
        <f t="shared" ca="1" si="54"/>
        <v>1900</v>
      </c>
      <c r="J305" s="91">
        <f ca="1">VLOOKUP(B305,'115+740'!$B$15:$AB$757,13,FALSE)</f>
        <v>-100</v>
      </c>
      <c r="K305" s="89">
        <f>'115+740'!Q306</f>
        <v>0</v>
      </c>
      <c r="L305" s="88">
        <f t="shared" ca="1" si="59"/>
        <v>140</v>
      </c>
      <c r="M305" s="93">
        <f ca="1">VLOOKUP(B305,'115+740'!$B$14:$AB$757,21,FALSE)</f>
        <v>897</v>
      </c>
      <c r="N305" s="92">
        <f ca="1">VLOOKUP(B305,'115+740'!$B$15:$AB$757,5,FALSE)</f>
        <v>938</v>
      </c>
      <c r="O305" s="91">
        <f t="shared" ca="1" si="55"/>
        <v>1887</v>
      </c>
      <c r="P305" s="91">
        <f ca="1">VLOOKUP(B305,'115+740'!$B$15:$AB$757,14,FALSE)</f>
        <v>-113</v>
      </c>
      <c r="Q305" s="89">
        <f>'115+740'!R306</f>
        <v>0</v>
      </c>
      <c r="R305" s="88">
        <f t="shared" ca="1" si="60"/>
        <v>103</v>
      </c>
      <c r="S305" s="93">
        <f ca="1">VLOOKUP(B305,'115+740'!$B$14:$AB$757,22,FALSE)</f>
        <v>874</v>
      </c>
      <c r="T305" s="92">
        <f ca="1">VLOOKUP(B305,'115+740'!$B$15:$AB$757,6,FALSE)</f>
        <v>991</v>
      </c>
      <c r="U305" s="91">
        <f t="shared" ca="1" si="56"/>
        <v>1834</v>
      </c>
      <c r="V305" s="90">
        <f ca="1">VLOOKUP(B305,'115+740'!$B$15:$AB$757,15,FALSE)</f>
        <v>-166</v>
      </c>
      <c r="W305" s="89">
        <f>'115+740'!S306</f>
        <v>0</v>
      </c>
      <c r="X305" s="88">
        <f t="shared" ca="1" si="61"/>
        <v>126</v>
      </c>
      <c r="Y305" s="87">
        <f t="shared" ca="1" si="62"/>
        <v>0</v>
      </c>
      <c r="Z305" s="86">
        <f t="shared" ca="1" si="63"/>
        <v>0</v>
      </c>
      <c r="AA305" s="85">
        <f t="shared" ca="1" si="64"/>
        <v>1.0069999999999999</v>
      </c>
      <c r="AB305" s="85">
        <f t="shared" ca="1" si="65"/>
        <v>0.80400000000000005</v>
      </c>
    </row>
    <row r="306" spans="2:28">
      <c r="B306" s="98">
        <f>'115+740'!B307</f>
        <v>45365</v>
      </c>
      <c r="C306" s="97">
        <f t="shared" si="57"/>
        <v>1</v>
      </c>
      <c r="D306" s="96">
        <f t="shared" si="58"/>
        <v>1069</v>
      </c>
      <c r="E306" s="95">
        <f>VLOOKUP(B306,'115+740'!B307:AB408,3,FALSE)</f>
        <v>1758</v>
      </c>
      <c r="F306" s="92">
        <f t="shared" si="53"/>
        <v>2827</v>
      </c>
      <c r="G306" s="94">
        <f ca="1">VLOOKUP(B306,'115+740'!$B$15:$AB$757,20,FALSE)</f>
        <v>1151</v>
      </c>
      <c r="H306" s="94">
        <f ca="1">VLOOKUP(B306,'115+740'!$B$15:$AB$757,4,FALSE)</f>
        <v>936</v>
      </c>
      <c r="I306" s="91">
        <f t="shared" ca="1" si="54"/>
        <v>1891</v>
      </c>
      <c r="J306" s="91">
        <f ca="1">VLOOKUP(B306,'115+740'!$B$15:$AB$757,13,FALSE)</f>
        <v>-109</v>
      </c>
      <c r="K306" s="89">
        <f>'115+740'!Q307</f>
        <v>9</v>
      </c>
      <c r="L306" s="88">
        <f t="shared" ca="1" si="59"/>
        <v>149</v>
      </c>
      <c r="M306" s="93">
        <f ca="1">VLOOKUP(B306,'115+740'!$B$14:$AB$757,21,FALSE)</f>
        <v>1188</v>
      </c>
      <c r="N306" s="92">
        <f ca="1">VLOOKUP(B306,'115+740'!$B$15:$AB$757,5,FALSE)</f>
        <v>949</v>
      </c>
      <c r="O306" s="91">
        <f t="shared" ca="1" si="55"/>
        <v>1878</v>
      </c>
      <c r="P306" s="91">
        <f ca="1">VLOOKUP(B306,'115+740'!$B$15:$AB$757,14,FALSE)</f>
        <v>-122</v>
      </c>
      <c r="Q306" s="89">
        <f>'115+740'!R307</f>
        <v>9</v>
      </c>
      <c r="R306" s="88">
        <f t="shared" ca="1" si="60"/>
        <v>112</v>
      </c>
      <c r="S306" s="93">
        <f ca="1">VLOOKUP(B306,'115+740'!$B$14:$AB$757,22,FALSE)</f>
        <v>1166</v>
      </c>
      <c r="T306" s="92">
        <f ca="1">VLOOKUP(B306,'115+740'!$B$15:$AB$757,6,FALSE)</f>
        <v>1001</v>
      </c>
      <c r="U306" s="91">
        <f t="shared" ca="1" si="56"/>
        <v>1826</v>
      </c>
      <c r="V306" s="90">
        <f ca="1">VLOOKUP(B306,'115+740'!$B$15:$AB$757,15,FALSE)</f>
        <v>-174</v>
      </c>
      <c r="W306" s="89">
        <f>'115+740'!S307</f>
        <v>8</v>
      </c>
      <c r="X306" s="88">
        <f t="shared" ca="1" si="61"/>
        <v>134</v>
      </c>
      <c r="Y306" s="87">
        <f t="shared" ca="1" si="62"/>
        <v>292</v>
      </c>
      <c r="Z306" s="86">
        <f t="shared" ca="1" si="63"/>
        <v>0.29199999999999998</v>
      </c>
      <c r="AA306" s="85">
        <f t="shared" ca="1" si="64"/>
        <v>1.2989999999999999</v>
      </c>
      <c r="AB306" s="85">
        <f t="shared" ca="1" si="65"/>
        <v>1.0860000000000001</v>
      </c>
    </row>
    <row r="307" spans="2:28">
      <c r="B307" s="98">
        <f>'115+740'!B308</f>
        <v>45366</v>
      </c>
      <c r="C307" s="97">
        <f t="shared" si="57"/>
        <v>1</v>
      </c>
      <c r="D307" s="96">
        <f t="shared" si="58"/>
        <v>1069</v>
      </c>
      <c r="E307" s="95">
        <f>VLOOKUP(B307,'115+740'!B308:AB409,3,FALSE)</f>
        <v>1760</v>
      </c>
      <c r="F307" s="92">
        <f t="shared" si="53"/>
        <v>2829</v>
      </c>
      <c r="G307" s="94">
        <f ca="1">VLOOKUP(B307,'115+740'!$B$15:$AB$757,20,FALSE)</f>
        <v>1145</v>
      </c>
      <c r="H307" s="94">
        <f ca="1">VLOOKUP(B307,'115+740'!$B$15:$AB$757,4,FALSE)</f>
        <v>944</v>
      </c>
      <c r="I307" s="91">
        <f t="shared" ca="1" si="54"/>
        <v>1885</v>
      </c>
      <c r="J307" s="91">
        <f ca="1">VLOOKUP(B307,'115+740'!$B$15:$AB$757,13,FALSE)</f>
        <v>-115</v>
      </c>
      <c r="K307" s="89">
        <f>'115+740'!Q308</f>
        <v>6</v>
      </c>
      <c r="L307" s="88">
        <f t="shared" ca="1" si="59"/>
        <v>155</v>
      </c>
      <c r="M307" s="93">
        <f ca="1">VLOOKUP(B307,'115+740'!$B$14:$AB$757,21,FALSE)</f>
        <v>1182</v>
      </c>
      <c r="N307" s="92">
        <f ca="1">VLOOKUP(B307,'115+740'!$B$15:$AB$757,5,FALSE)</f>
        <v>957</v>
      </c>
      <c r="O307" s="91">
        <f t="shared" ca="1" si="55"/>
        <v>1872</v>
      </c>
      <c r="P307" s="91">
        <f ca="1">VLOOKUP(B307,'115+740'!$B$15:$AB$757,14,FALSE)</f>
        <v>-128</v>
      </c>
      <c r="Q307" s="89">
        <f>'115+740'!R308</f>
        <v>6</v>
      </c>
      <c r="R307" s="88">
        <f t="shared" ca="1" si="60"/>
        <v>118</v>
      </c>
      <c r="S307" s="93">
        <f ca="1">VLOOKUP(B307,'115+740'!$B$14:$AB$757,22,FALSE)</f>
        <v>1163</v>
      </c>
      <c r="T307" s="92">
        <f ca="1">VLOOKUP(B307,'115+740'!$B$15:$AB$757,6,FALSE)</f>
        <v>1006</v>
      </c>
      <c r="U307" s="91">
        <f t="shared" ca="1" si="56"/>
        <v>1823</v>
      </c>
      <c r="V307" s="90">
        <f ca="1">VLOOKUP(B307,'115+740'!$B$15:$AB$757,15,FALSE)</f>
        <v>-177</v>
      </c>
      <c r="W307" s="89">
        <f>'115+740'!S308</f>
        <v>3</v>
      </c>
      <c r="X307" s="88">
        <f t="shared" ca="1" si="61"/>
        <v>137</v>
      </c>
      <c r="Y307" s="87">
        <f t="shared" ca="1" si="62"/>
        <v>-3</v>
      </c>
      <c r="Z307" s="86">
        <f t="shared" ca="1" si="63"/>
        <v>0</v>
      </c>
      <c r="AA307" s="85">
        <f t="shared" ca="1" si="64"/>
        <v>1.2989999999999999</v>
      </c>
      <c r="AB307" s="85">
        <f t="shared" ca="1" si="65"/>
        <v>1.0740000000000001</v>
      </c>
    </row>
    <row r="308" spans="2:28">
      <c r="B308" s="98">
        <f>'115+740'!B309</f>
        <v>45367</v>
      </c>
      <c r="C308" s="97">
        <f t="shared" si="57"/>
        <v>1</v>
      </c>
      <c r="D308" s="96">
        <f t="shared" si="58"/>
        <v>1069</v>
      </c>
      <c r="E308" s="95">
        <f>VLOOKUP(B308,'115+740'!B309:AB410,3,FALSE)</f>
        <v>1762</v>
      </c>
      <c r="F308" s="92">
        <f t="shared" si="53"/>
        <v>2831</v>
      </c>
      <c r="G308" s="94">
        <f ca="1">VLOOKUP(B308,'115+740'!$B$15:$AB$757,20,FALSE)</f>
        <v>1140</v>
      </c>
      <c r="H308" s="94">
        <f ca="1">VLOOKUP(B308,'115+740'!$B$15:$AB$757,4,FALSE)</f>
        <v>951</v>
      </c>
      <c r="I308" s="91">
        <f t="shared" ca="1" si="54"/>
        <v>1880</v>
      </c>
      <c r="J308" s="91">
        <f ca="1">VLOOKUP(B308,'115+740'!$B$15:$AB$757,13,FALSE)</f>
        <v>-120</v>
      </c>
      <c r="K308" s="89">
        <f>'115+740'!Q309</f>
        <v>5</v>
      </c>
      <c r="L308" s="88">
        <f t="shared" ca="1" si="59"/>
        <v>160</v>
      </c>
      <c r="M308" s="93">
        <f ca="1">VLOOKUP(B308,'115+740'!$B$14:$AB$757,21,FALSE)</f>
        <v>1177</v>
      </c>
      <c r="N308" s="92">
        <f ca="1">VLOOKUP(B308,'115+740'!$B$15:$AB$757,5,FALSE)</f>
        <v>964</v>
      </c>
      <c r="O308" s="91">
        <f t="shared" ca="1" si="55"/>
        <v>1867</v>
      </c>
      <c r="P308" s="91">
        <f ca="1">VLOOKUP(B308,'115+740'!$B$15:$AB$757,14,FALSE)</f>
        <v>-133</v>
      </c>
      <c r="Q308" s="89">
        <f>'115+740'!R309</f>
        <v>5</v>
      </c>
      <c r="R308" s="88">
        <f t="shared" ca="1" si="60"/>
        <v>123</v>
      </c>
      <c r="S308" s="93">
        <f ca="1">VLOOKUP(B308,'115+740'!$B$14:$AB$757,22,FALSE)</f>
        <v>1159</v>
      </c>
      <c r="T308" s="92">
        <f ca="1">VLOOKUP(B308,'115+740'!$B$15:$AB$757,6,FALSE)</f>
        <v>1012</v>
      </c>
      <c r="U308" s="91">
        <f t="shared" ca="1" si="56"/>
        <v>1819</v>
      </c>
      <c r="V308" s="90">
        <f ca="1">VLOOKUP(B308,'115+740'!$B$15:$AB$757,15,FALSE)</f>
        <v>-181</v>
      </c>
      <c r="W308" s="89">
        <f>'115+740'!S309</f>
        <v>4</v>
      </c>
      <c r="X308" s="88">
        <f t="shared" ca="1" si="61"/>
        <v>141</v>
      </c>
      <c r="Y308" s="87">
        <f t="shared" ca="1" si="62"/>
        <v>-4</v>
      </c>
      <c r="Z308" s="86">
        <f t="shared" ca="1" si="63"/>
        <v>0</v>
      </c>
      <c r="AA308" s="85">
        <f t="shared" ca="1" si="64"/>
        <v>1.2989999999999999</v>
      </c>
      <c r="AB308" s="85">
        <f t="shared" ca="1" si="65"/>
        <v>1.0640000000000001</v>
      </c>
    </row>
    <row r="309" spans="2:28">
      <c r="B309" s="98">
        <f>'115+740'!B310</f>
        <v>45368</v>
      </c>
      <c r="C309" s="97">
        <f t="shared" si="57"/>
        <v>1</v>
      </c>
      <c r="D309" s="96">
        <f t="shared" si="58"/>
        <v>1069</v>
      </c>
      <c r="E309" s="95">
        <f>VLOOKUP(B309,'115+740'!B310:AB411,3,FALSE)</f>
        <v>1764</v>
      </c>
      <c r="F309" s="92">
        <f t="shared" si="53"/>
        <v>2833</v>
      </c>
      <c r="G309" s="94">
        <f ca="1">VLOOKUP(B309,'115+740'!$B$15:$AB$757,20,FALSE)</f>
        <v>1135</v>
      </c>
      <c r="H309" s="94">
        <f ca="1">VLOOKUP(B309,'115+740'!$B$15:$AB$757,4,FALSE)</f>
        <v>958</v>
      </c>
      <c r="I309" s="91">
        <f t="shared" ca="1" si="54"/>
        <v>1875</v>
      </c>
      <c r="J309" s="91">
        <f ca="1">VLOOKUP(B309,'115+740'!$B$15:$AB$757,13,FALSE)</f>
        <v>-125</v>
      </c>
      <c r="K309" s="89">
        <f>'115+740'!Q310</f>
        <v>5</v>
      </c>
      <c r="L309" s="88">
        <f t="shared" ca="1" si="59"/>
        <v>165</v>
      </c>
      <c r="M309" s="93">
        <f ca="1">VLOOKUP(B309,'115+740'!$B$14:$AB$757,21,FALSE)</f>
        <v>1171</v>
      </c>
      <c r="N309" s="92">
        <f ca="1">VLOOKUP(B309,'115+740'!$B$15:$AB$757,5,FALSE)</f>
        <v>972</v>
      </c>
      <c r="O309" s="91">
        <f t="shared" ca="1" si="55"/>
        <v>1861</v>
      </c>
      <c r="P309" s="91">
        <f ca="1">VLOOKUP(B309,'115+740'!$B$15:$AB$757,14,FALSE)</f>
        <v>-139</v>
      </c>
      <c r="Q309" s="89">
        <f>'115+740'!R310</f>
        <v>6</v>
      </c>
      <c r="R309" s="88">
        <f t="shared" ca="1" si="60"/>
        <v>129</v>
      </c>
      <c r="S309" s="93">
        <f ca="1">VLOOKUP(B309,'115+740'!$B$14:$AB$757,22,FALSE)</f>
        <v>1155</v>
      </c>
      <c r="T309" s="92">
        <f ca="1">VLOOKUP(B309,'115+740'!$B$15:$AB$757,6,FALSE)</f>
        <v>1018</v>
      </c>
      <c r="U309" s="91">
        <f t="shared" ca="1" si="56"/>
        <v>1815</v>
      </c>
      <c r="V309" s="90">
        <f ca="1">VLOOKUP(B309,'115+740'!$B$15:$AB$757,15,FALSE)</f>
        <v>-185</v>
      </c>
      <c r="W309" s="89">
        <f>'115+740'!S310</f>
        <v>4</v>
      </c>
      <c r="X309" s="88">
        <f t="shared" ca="1" si="61"/>
        <v>145</v>
      </c>
      <c r="Y309" s="87">
        <f t="shared" ca="1" si="62"/>
        <v>-4</v>
      </c>
      <c r="Z309" s="86">
        <f t="shared" ca="1" si="63"/>
        <v>0</v>
      </c>
      <c r="AA309" s="85">
        <f t="shared" ca="1" si="64"/>
        <v>1.2989999999999999</v>
      </c>
      <c r="AB309" s="85">
        <f t="shared" ca="1" si="65"/>
        <v>1.052</v>
      </c>
    </row>
    <row r="310" spans="2:28">
      <c r="B310" s="98">
        <f>'115+740'!B311</f>
        <v>45369</v>
      </c>
      <c r="C310" s="97">
        <f t="shared" si="57"/>
        <v>1</v>
      </c>
      <c r="D310" s="96">
        <f t="shared" si="58"/>
        <v>1069</v>
      </c>
      <c r="E310" s="95">
        <f>VLOOKUP(B310,'115+740'!B311:AB412,3,FALSE)</f>
        <v>1766</v>
      </c>
      <c r="F310" s="92">
        <f t="shared" si="53"/>
        <v>2835</v>
      </c>
      <c r="G310" s="94">
        <f ca="1">VLOOKUP(B310,'115+740'!$B$15:$AB$757,20,FALSE)</f>
        <v>1426</v>
      </c>
      <c r="H310" s="94">
        <f ca="1">VLOOKUP(B310,'115+740'!$B$15:$AB$757,4,FALSE)</f>
        <v>969</v>
      </c>
      <c r="I310" s="91">
        <f t="shared" ca="1" si="54"/>
        <v>1866</v>
      </c>
      <c r="J310" s="91">
        <f ca="1">VLOOKUP(B310,'115+740'!$B$15:$AB$757,13,FALSE)</f>
        <v>-134</v>
      </c>
      <c r="K310" s="89">
        <f>'115+740'!Q311</f>
        <v>9</v>
      </c>
      <c r="L310" s="88">
        <f t="shared" ca="1" si="59"/>
        <v>174</v>
      </c>
      <c r="M310" s="93">
        <f ca="1">VLOOKUP(B310,'115+740'!$B$14:$AB$757,21,FALSE)</f>
        <v>1462</v>
      </c>
      <c r="N310" s="92">
        <f ca="1">VLOOKUP(B310,'115+740'!$B$15:$AB$757,5,FALSE)</f>
        <v>983</v>
      </c>
      <c r="O310" s="91">
        <f t="shared" ca="1" si="55"/>
        <v>1852</v>
      </c>
      <c r="P310" s="91">
        <f ca="1">VLOOKUP(B310,'115+740'!$B$15:$AB$757,14,FALSE)</f>
        <v>-148</v>
      </c>
      <c r="Q310" s="89">
        <f>'115+740'!R311</f>
        <v>9</v>
      </c>
      <c r="R310" s="88">
        <f t="shared" ca="1" si="60"/>
        <v>138</v>
      </c>
      <c r="S310" s="93">
        <f ca="1">VLOOKUP(B310,'115+740'!$B$14:$AB$757,22,FALSE)</f>
        <v>1447</v>
      </c>
      <c r="T310" s="92">
        <f ca="1">VLOOKUP(B310,'115+740'!$B$15:$AB$757,6,FALSE)</f>
        <v>1028</v>
      </c>
      <c r="U310" s="91">
        <f t="shared" ca="1" si="56"/>
        <v>1807</v>
      </c>
      <c r="V310" s="90">
        <f ca="1">VLOOKUP(B310,'115+740'!$B$15:$AB$757,15,FALSE)</f>
        <v>-193</v>
      </c>
      <c r="W310" s="89">
        <f>'115+740'!S311</f>
        <v>8</v>
      </c>
      <c r="X310" s="88">
        <f t="shared" ca="1" si="61"/>
        <v>153</v>
      </c>
      <c r="Y310" s="87">
        <f t="shared" ca="1" si="62"/>
        <v>292</v>
      </c>
      <c r="Z310" s="86">
        <f t="shared" ca="1" si="63"/>
        <v>0.29199999999999998</v>
      </c>
      <c r="AA310" s="85">
        <f t="shared" ca="1" si="64"/>
        <v>1.591</v>
      </c>
      <c r="AB310" s="85">
        <f t="shared" ca="1" si="65"/>
        <v>1.3340000000000001</v>
      </c>
    </row>
    <row r="311" spans="2:28">
      <c r="B311" s="98">
        <f>'115+740'!B312</f>
        <v>45370</v>
      </c>
      <c r="C311" s="97">
        <f t="shared" si="57"/>
        <v>1</v>
      </c>
      <c r="D311" s="96">
        <f t="shared" si="58"/>
        <v>1069</v>
      </c>
      <c r="E311" s="95">
        <f>VLOOKUP(B311,'115+740'!B312:AB413,3,FALSE)</f>
        <v>1768</v>
      </c>
      <c r="F311" s="92">
        <f t="shared" si="53"/>
        <v>2837</v>
      </c>
      <c r="G311" s="94">
        <f ca="1">VLOOKUP(B311,'115+740'!$B$15:$AB$757,20,FALSE)</f>
        <v>1420</v>
      </c>
      <c r="H311" s="94">
        <f ca="1">VLOOKUP(B311,'115+740'!$B$15:$AB$757,4,FALSE)</f>
        <v>977</v>
      </c>
      <c r="I311" s="91">
        <f t="shared" ca="1" si="54"/>
        <v>1860</v>
      </c>
      <c r="J311" s="91">
        <f ca="1">VLOOKUP(B311,'115+740'!$B$15:$AB$757,13,FALSE)</f>
        <v>-140</v>
      </c>
      <c r="K311" s="89">
        <f>'115+740'!Q312</f>
        <v>6</v>
      </c>
      <c r="L311" s="88">
        <f t="shared" ca="1" si="59"/>
        <v>180</v>
      </c>
      <c r="M311" s="93">
        <f ca="1">VLOOKUP(B311,'115+740'!$B$14:$AB$757,21,FALSE)</f>
        <v>1456</v>
      </c>
      <c r="N311" s="92">
        <f ca="1">VLOOKUP(B311,'115+740'!$B$15:$AB$757,5,FALSE)</f>
        <v>991</v>
      </c>
      <c r="O311" s="91">
        <f t="shared" ca="1" si="55"/>
        <v>1846</v>
      </c>
      <c r="P311" s="91">
        <f ca="1">VLOOKUP(B311,'115+740'!$B$15:$AB$757,14,FALSE)</f>
        <v>-154</v>
      </c>
      <c r="Q311" s="89">
        <f>'115+740'!R312</f>
        <v>6</v>
      </c>
      <c r="R311" s="88">
        <f t="shared" ca="1" si="60"/>
        <v>144</v>
      </c>
      <c r="S311" s="93">
        <f ca="1">VLOOKUP(B311,'115+740'!$B$14:$AB$757,22,FALSE)</f>
        <v>1444</v>
      </c>
      <c r="T311" s="92">
        <f ca="1">VLOOKUP(B311,'115+740'!$B$15:$AB$757,6,FALSE)</f>
        <v>1033</v>
      </c>
      <c r="U311" s="91">
        <f t="shared" ca="1" si="56"/>
        <v>1804</v>
      </c>
      <c r="V311" s="90">
        <f ca="1">VLOOKUP(B311,'115+740'!$B$15:$AB$757,15,FALSE)</f>
        <v>-196</v>
      </c>
      <c r="W311" s="89">
        <f>'115+740'!S312</f>
        <v>3</v>
      </c>
      <c r="X311" s="88">
        <f t="shared" ca="1" si="61"/>
        <v>156</v>
      </c>
      <c r="Y311" s="87">
        <f t="shared" ca="1" si="62"/>
        <v>-3</v>
      </c>
      <c r="Z311" s="86">
        <f t="shared" ca="1" si="63"/>
        <v>0</v>
      </c>
      <c r="AA311" s="85">
        <f t="shared" ca="1" si="64"/>
        <v>1.591</v>
      </c>
      <c r="AB311" s="85">
        <f t="shared" ca="1" si="65"/>
        <v>1.3220000000000001</v>
      </c>
    </row>
    <row r="312" spans="2:28">
      <c r="B312" s="98">
        <f>'115+740'!B313</f>
        <v>45371</v>
      </c>
      <c r="C312" s="97">
        <f t="shared" si="57"/>
        <v>1</v>
      </c>
      <c r="D312" s="96">
        <f t="shared" si="58"/>
        <v>1069</v>
      </c>
      <c r="E312" s="95">
        <f>VLOOKUP(B312,'115+740'!B313:AB414,3,FALSE)</f>
        <v>1770</v>
      </c>
      <c r="F312" s="92">
        <f t="shared" si="53"/>
        <v>2839</v>
      </c>
      <c r="G312" s="94">
        <f ca="1">VLOOKUP(B312,'115+740'!$B$15:$AB$757,20,FALSE)</f>
        <v>1415</v>
      </c>
      <c r="H312" s="94">
        <f ca="1">VLOOKUP(B312,'115+740'!$B$15:$AB$757,4,FALSE)</f>
        <v>984</v>
      </c>
      <c r="I312" s="91">
        <f t="shared" ca="1" si="54"/>
        <v>1855</v>
      </c>
      <c r="J312" s="91">
        <f ca="1">VLOOKUP(B312,'115+740'!$B$15:$AB$757,13,FALSE)</f>
        <v>-145</v>
      </c>
      <c r="K312" s="89">
        <f>'115+740'!Q313</f>
        <v>5</v>
      </c>
      <c r="L312" s="88">
        <f t="shared" ca="1" si="59"/>
        <v>185</v>
      </c>
      <c r="M312" s="93">
        <f ca="1">VLOOKUP(B312,'115+740'!$B$14:$AB$757,21,FALSE)</f>
        <v>1451</v>
      </c>
      <c r="N312" s="92">
        <f ca="1">VLOOKUP(B312,'115+740'!$B$15:$AB$757,5,FALSE)</f>
        <v>998</v>
      </c>
      <c r="O312" s="91">
        <f t="shared" ca="1" si="55"/>
        <v>1841</v>
      </c>
      <c r="P312" s="91">
        <f ca="1">VLOOKUP(B312,'115+740'!$B$15:$AB$757,14,FALSE)</f>
        <v>-159</v>
      </c>
      <c r="Q312" s="89">
        <f>'115+740'!R313</f>
        <v>5</v>
      </c>
      <c r="R312" s="88">
        <f t="shared" ca="1" si="60"/>
        <v>149</v>
      </c>
      <c r="S312" s="93">
        <f ca="1">VLOOKUP(B312,'115+740'!$B$14:$AB$757,22,FALSE)</f>
        <v>1440</v>
      </c>
      <c r="T312" s="92">
        <f ca="1">VLOOKUP(B312,'115+740'!$B$15:$AB$757,6,FALSE)</f>
        <v>1039</v>
      </c>
      <c r="U312" s="91">
        <f t="shared" ca="1" si="56"/>
        <v>1800</v>
      </c>
      <c r="V312" s="90">
        <f ca="1">VLOOKUP(B312,'115+740'!$B$15:$AB$757,15,FALSE)</f>
        <v>-200</v>
      </c>
      <c r="W312" s="89">
        <f>'115+740'!S313</f>
        <v>4</v>
      </c>
      <c r="X312" s="88">
        <f t="shared" ca="1" si="61"/>
        <v>160</v>
      </c>
      <c r="Y312" s="87">
        <f t="shared" ca="1" si="62"/>
        <v>-4</v>
      </c>
      <c r="Z312" s="86">
        <f t="shared" ca="1" si="63"/>
        <v>0</v>
      </c>
      <c r="AA312" s="85">
        <f t="shared" ca="1" si="64"/>
        <v>1.591</v>
      </c>
      <c r="AB312" s="85">
        <f t="shared" ca="1" si="65"/>
        <v>1.3120000000000001</v>
      </c>
    </row>
    <row r="313" spans="2:28">
      <c r="B313" s="98">
        <f>'115+740'!B314</f>
        <v>45372</v>
      </c>
      <c r="C313" s="97">
        <f t="shared" si="57"/>
        <v>1</v>
      </c>
      <c r="D313" s="96">
        <f t="shared" si="58"/>
        <v>1069</v>
      </c>
      <c r="E313" s="95">
        <f>VLOOKUP(B313,'115+740'!B314:AB415,3,FALSE)</f>
        <v>1772</v>
      </c>
      <c r="F313" s="92">
        <f t="shared" si="53"/>
        <v>2841</v>
      </c>
      <c r="G313" s="94">
        <f ca="1">VLOOKUP(B313,'115+740'!$B$15:$AB$757,20,FALSE)</f>
        <v>1410</v>
      </c>
      <c r="H313" s="94">
        <f ca="1">VLOOKUP(B313,'115+740'!$B$15:$AB$757,4,FALSE)</f>
        <v>991</v>
      </c>
      <c r="I313" s="91">
        <f t="shared" ca="1" si="54"/>
        <v>1850</v>
      </c>
      <c r="J313" s="91">
        <f ca="1">VLOOKUP(B313,'115+740'!$B$15:$AB$757,13,FALSE)</f>
        <v>-150</v>
      </c>
      <c r="K313" s="89">
        <f>'115+740'!Q314</f>
        <v>5</v>
      </c>
      <c r="L313" s="88">
        <f t="shared" ca="1" si="59"/>
        <v>190</v>
      </c>
      <c r="M313" s="93">
        <f ca="1">VLOOKUP(B313,'115+740'!$B$14:$AB$757,21,FALSE)</f>
        <v>1445</v>
      </c>
      <c r="N313" s="92">
        <f ca="1">VLOOKUP(B313,'115+740'!$B$15:$AB$757,5,FALSE)</f>
        <v>1006</v>
      </c>
      <c r="O313" s="91">
        <f t="shared" ca="1" si="55"/>
        <v>1835</v>
      </c>
      <c r="P313" s="91">
        <f ca="1">VLOOKUP(B313,'115+740'!$B$15:$AB$757,14,FALSE)</f>
        <v>-165</v>
      </c>
      <c r="Q313" s="89">
        <f>'115+740'!R314</f>
        <v>6</v>
      </c>
      <c r="R313" s="88">
        <f t="shared" ca="1" si="60"/>
        <v>155</v>
      </c>
      <c r="S313" s="93">
        <f ca="1">VLOOKUP(B313,'115+740'!$B$14:$AB$757,22,FALSE)</f>
        <v>1436</v>
      </c>
      <c r="T313" s="92">
        <f ca="1">VLOOKUP(B313,'115+740'!$B$15:$AB$757,6,FALSE)</f>
        <v>1045</v>
      </c>
      <c r="U313" s="91">
        <f t="shared" ca="1" si="56"/>
        <v>1796</v>
      </c>
      <c r="V313" s="90">
        <f ca="1">VLOOKUP(B313,'115+740'!$B$15:$AB$757,15,FALSE)</f>
        <v>-204</v>
      </c>
      <c r="W313" s="89">
        <f>'115+740'!S314</f>
        <v>4</v>
      </c>
      <c r="X313" s="88">
        <f t="shared" ca="1" si="61"/>
        <v>164</v>
      </c>
      <c r="Y313" s="87">
        <f t="shared" ca="1" si="62"/>
        <v>-4</v>
      </c>
      <c r="Z313" s="86">
        <f t="shared" ca="1" si="63"/>
        <v>0</v>
      </c>
      <c r="AA313" s="85">
        <f t="shared" ca="1" si="64"/>
        <v>1.591</v>
      </c>
      <c r="AB313" s="85">
        <f t="shared" ca="1" si="65"/>
        <v>1.3</v>
      </c>
    </row>
    <row r="314" spans="2:28">
      <c r="B314" s="98">
        <f>'115+740'!B315</f>
        <v>45373</v>
      </c>
      <c r="C314" s="97">
        <f t="shared" si="57"/>
        <v>1</v>
      </c>
      <c r="D314" s="96">
        <f t="shared" si="58"/>
        <v>1069</v>
      </c>
      <c r="E314" s="95">
        <f>VLOOKUP(B314,'115+740'!B315:AB416,3,FALSE)</f>
        <v>1774</v>
      </c>
      <c r="F314" s="92">
        <f t="shared" si="53"/>
        <v>2843</v>
      </c>
      <c r="G314" s="94">
        <f ca="1">VLOOKUP(B314,'115+740'!$B$15:$AB$757,20,FALSE)</f>
        <v>1405</v>
      </c>
      <c r="H314" s="94">
        <f ca="1">VLOOKUP(B314,'115+740'!$B$15:$AB$757,4,FALSE)</f>
        <v>998</v>
      </c>
      <c r="I314" s="91">
        <f t="shared" ca="1" si="54"/>
        <v>1845</v>
      </c>
      <c r="J314" s="91">
        <f ca="1">VLOOKUP(B314,'115+740'!$B$15:$AB$757,13,FALSE)</f>
        <v>-155</v>
      </c>
      <c r="K314" s="89">
        <f>'115+740'!Q315</f>
        <v>5</v>
      </c>
      <c r="L314" s="88">
        <f t="shared" ca="1" si="59"/>
        <v>195</v>
      </c>
      <c r="M314" s="93">
        <f ca="1">VLOOKUP(B314,'115+740'!$B$14:$AB$757,21,FALSE)</f>
        <v>1439</v>
      </c>
      <c r="N314" s="92">
        <f ca="1">VLOOKUP(B314,'115+740'!$B$15:$AB$757,5,FALSE)</f>
        <v>1014</v>
      </c>
      <c r="O314" s="91">
        <f t="shared" ca="1" si="55"/>
        <v>1829</v>
      </c>
      <c r="P314" s="91">
        <f ca="1">VLOOKUP(B314,'115+740'!$B$15:$AB$757,14,FALSE)</f>
        <v>-171</v>
      </c>
      <c r="Q314" s="89">
        <f>'115+740'!R315</f>
        <v>6</v>
      </c>
      <c r="R314" s="88">
        <f t="shared" ca="1" si="60"/>
        <v>161</v>
      </c>
      <c r="S314" s="93">
        <f ca="1">VLOOKUP(B314,'115+740'!$B$14:$AB$757,22,FALSE)</f>
        <v>1432</v>
      </c>
      <c r="T314" s="92">
        <f ca="1">VLOOKUP(B314,'115+740'!$B$15:$AB$757,6,FALSE)</f>
        <v>1051</v>
      </c>
      <c r="U314" s="91">
        <f t="shared" ca="1" si="56"/>
        <v>1792</v>
      </c>
      <c r="V314" s="90">
        <f ca="1">VLOOKUP(B314,'115+740'!$B$15:$AB$757,15,FALSE)</f>
        <v>-208</v>
      </c>
      <c r="W314" s="89">
        <f>'115+740'!S315</f>
        <v>4</v>
      </c>
      <c r="X314" s="88">
        <f t="shared" ca="1" si="61"/>
        <v>168</v>
      </c>
      <c r="Y314" s="87">
        <f t="shared" ca="1" si="62"/>
        <v>-4</v>
      </c>
      <c r="Z314" s="86">
        <f t="shared" ca="1" si="63"/>
        <v>0</v>
      </c>
      <c r="AA314" s="85">
        <f t="shared" ca="1" si="64"/>
        <v>1.591</v>
      </c>
      <c r="AB314" s="85">
        <f t="shared" ca="1" si="65"/>
        <v>1.288</v>
      </c>
    </row>
    <row r="315" spans="2:28">
      <c r="B315" s="98">
        <f>'115+740'!B316</f>
        <v>45374</v>
      </c>
      <c r="C315" s="97">
        <f t="shared" si="57"/>
        <v>1</v>
      </c>
      <c r="D315" s="96">
        <f t="shared" si="58"/>
        <v>1069</v>
      </c>
      <c r="E315" s="95">
        <f>VLOOKUP(B315,'115+740'!B316:AB417,3,FALSE)</f>
        <v>1776</v>
      </c>
      <c r="F315" s="92">
        <f t="shared" si="53"/>
        <v>2845</v>
      </c>
      <c r="G315" s="94">
        <f ca="1">VLOOKUP(B315,'115+740'!$B$15:$AB$757,20,FALSE)</f>
        <v>1696</v>
      </c>
      <c r="H315" s="94">
        <f ca="1">VLOOKUP(B315,'115+740'!$B$15:$AB$757,4,FALSE)</f>
        <v>1009</v>
      </c>
      <c r="I315" s="91">
        <f t="shared" ca="1" si="54"/>
        <v>1836</v>
      </c>
      <c r="J315" s="91">
        <f ca="1">VLOOKUP(B315,'115+740'!$B$15:$AB$757,13,FALSE)</f>
        <v>-164</v>
      </c>
      <c r="K315" s="89">
        <f>'115+740'!Q316</f>
        <v>9</v>
      </c>
      <c r="L315" s="88">
        <f t="shared" ca="1" si="59"/>
        <v>204</v>
      </c>
      <c r="M315" s="93">
        <f ca="1">VLOOKUP(B315,'115+740'!$B$14:$AB$757,21,FALSE)</f>
        <v>1730</v>
      </c>
      <c r="N315" s="92">
        <f ca="1">VLOOKUP(B315,'115+740'!$B$15:$AB$757,5,FALSE)</f>
        <v>1025</v>
      </c>
      <c r="O315" s="91">
        <f t="shared" ca="1" si="55"/>
        <v>1820</v>
      </c>
      <c r="P315" s="91">
        <f ca="1">VLOOKUP(B315,'115+740'!$B$15:$AB$757,14,FALSE)</f>
        <v>-180</v>
      </c>
      <c r="Q315" s="89">
        <f>'115+740'!R316</f>
        <v>9</v>
      </c>
      <c r="R315" s="88">
        <f t="shared" ca="1" si="60"/>
        <v>170</v>
      </c>
      <c r="S315" s="93">
        <f ca="1">VLOOKUP(B315,'115+740'!$B$14:$AB$757,22,FALSE)</f>
        <v>1723</v>
      </c>
      <c r="T315" s="92">
        <f ca="1">VLOOKUP(B315,'115+740'!$B$15:$AB$757,6,FALSE)</f>
        <v>1062</v>
      </c>
      <c r="U315" s="91">
        <f t="shared" ca="1" si="56"/>
        <v>1783</v>
      </c>
      <c r="V315" s="90">
        <f ca="1">VLOOKUP(B315,'115+740'!$B$15:$AB$757,15,FALSE)</f>
        <v>-217</v>
      </c>
      <c r="W315" s="89">
        <f>'115+740'!S316</f>
        <v>9</v>
      </c>
      <c r="X315" s="88">
        <f t="shared" ca="1" si="61"/>
        <v>177</v>
      </c>
      <c r="Y315" s="87">
        <f t="shared" ca="1" si="62"/>
        <v>291</v>
      </c>
      <c r="Z315" s="86">
        <f t="shared" ca="1" si="63"/>
        <v>0.29099999999999998</v>
      </c>
      <c r="AA315" s="85">
        <f t="shared" ca="1" si="64"/>
        <v>1.8819999999999999</v>
      </c>
      <c r="AB315" s="85">
        <f t="shared" ca="1" si="65"/>
        <v>1.57</v>
      </c>
    </row>
    <row r="316" spans="2:28">
      <c r="B316" s="98">
        <f>'115+740'!B317</f>
        <v>45375</v>
      </c>
      <c r="C316" s="97">
        <f t="shared" si="57"/>
        <v>1</v>
      </c>
      <c r="D316" s="96">
        <f t="shared" si="58"/>
        <v>1069</v>
      </c>
      <c r="E316" s="95">
        <f>VLOOKUP(B316,'115+740'!B317:AB418,3,FALSE)</f>
        <v>1778</v>
      </c>
      <c r="F316" s="92">
        <f t="shared" si="53"/>
        <v>2847</v>
      </c>
      <c r="G316" s="94">
        <f ca="1">VLOOKUP(B316,'115+740'!$B$15:$AB$757,20,FALSE)</f>
        <v>1693</v>
      </c>
      <c r="H316" s="94">
        <f ca="1">VLOOKUP(B316,'115+740'!$B$15:$AB$757,4,FALSE)</f>
        <v>1014</v>
      </c>
      <c r="I316" s="91">
        <f t="shared" ca="1" si="54"/>
        <v>1833</v>
      </c>
      <c r="J316" s="91">
        <f ca="1">VLOOKUP(B316,'115+740'!$B$15:$AB$757,13,FALSE)</f>
        <v>-167</v>
      </c>
      <c r="K316" s="89">
        <f>'115+740'!Q317</f>
        <v>3</v>
      </c>
      <c r="L316" s="88">
        <f t="shared" ca="1" si="59"/>
        <v>207</v>
      </c>
      <c r="M316" s="93">
        <f ca="1">VLOOKUP(B316,'115+740'!$B$14:$AB$757,21,FALSE)</f>
        <v>1726</v>
      </c>
      <c r="N316" s="92">
        <f ca="1">VLOOKUP(B316,'115+740'!$B$15:$AB$757,5,FALSE)</f>
        <v>1031</v>
      </c>
      <c r="O316" s="91">
        <f t="shared" ca="1" si="55"/>
        <v>1816</v>
      </c>
      <c r="P316" s="91">
        <f ca="1">VLOOKUP(B316,'115+740'!$B$15:$AB$757,14,FALSE)</f>
        <v>-184</v>
      </c>
      <c r="Q316" s="89">
        <f>'115+740'!R317</f>
        <v>4</v>
      </c>
      <c r="R316" s="88">
        <f t="shared" ca="1" si="60"/>
        <v>174</v>
      </c>
      <c r="S316" s="93">
        <f ca="1">VLOOKUP(B316,'115+740'!$B$14:$AB$757,22,FALSE)</f>
        <v>1719</v>
      </c>
      <c r="T316" s="92">
        <f ca="1">VLOOKUP(B316,'115+740'!$B$15:$AB$757,6,FALSE)</f>
        <v>1068</v>
      </c>
      <c r="U316" s="91">
        <f t="shared" ca="1" si="56"/>
        <v>1779</v>
      </c>
      <c r="V316" s="90">
        <f ca="1">VLOOKUP(B316,'115+740'!$B$15:$AB$757,15,FALSE)</f>
        <v>-221</v>
      </c>
      <c r="W316" s="89">
        <f>'115+740'!S317</f>
        <v>4</v>
      </c>
      <c r="X316" s="88">
        <f t="shared" ca="1" si="61"/>
        <v>181</v>
      </c>
      <c r="Y316" s="87">
        <f t="shared" ca="1" si="62"/>
        <v>-4</v>
      </c>
      <c r="Z316" s="86">
        <f t="shared" ca="1" si="63"/>
        <v>0</v>
      </c>
      <c r="AA316" s="85">
        <f t="shared" ca="1" si="64"/>
        <v>1.8819999999999999</v>
      </c>
      <c r="AB316" s="85">
        <f t="shared" ca="1" si="65"/>
        <v>1.5620000000000001</v>
      </c>
    </row>
    <row r="317" spans="2:28">
      <c r="B317" s="98">
        <f>'115+740'!B318</f>
        <v>45376</v>
      </c>
      <c r="C317" s="97">
        <f t="shared" si="57"/>
        <v>1</v>
      </c>
      <c r="D317" s="96">
        <f t="shared" si="58"/>
        <v>1069</v>
      </c>
      <c r="E317" s="95">
        <f>VLOOKUP(B317,'115+740'!B318:AB419,3,FALSE)</f>
        <v>1780</v>
      </c>
      <c r="F317" s="92">
        <f t="shared" si="53"/>
        <v>2849</v>
      </c>
      <c r="G317" s="94">
        <f ca="1">VLOOKUP(B317,'115+740'!$B$15:$AB$757,20,FALSE)</f>
        <v>1691</v>
      </c>
      <c r="H317" s="94">
        <f ca="1">VLOOKUP(B317,'115+740'!$B$15:$AB$757,4,FALSE)</f>
        <v>1018</v>
      </c>
      <c r="I317" s="91">
        <f t="shared" ca="1" si="54"/>
        <v>1831</v>
      </c>
      <c r="J317" s="91">
        <f ca="1">VLOOKUP(B317,'115+740'!$B$15:$AB$757,13,FALSE)</f>
        <v>-169</v>
      </c>
      <c r="K317" s="89">
        <f>'115+740'!Q318</f>
        <v>2</v>
      </c>
      <c r="L317" s="88">
        <f t="shared" ca="1" si="59"/>
        <v>209</v>
      </c>
      <c r="M317" s="93">
        <f ca="1">VLOOKUP(B317,'115+740'!$B$14:$AB$757,21,FALSE)</f>
        <v>1721</v>
      </c>
      <c r="N317" s="92">
        <f ca="1">VLOOKUP(B317,'115+740'!$B$15:$AB$757,5,FALSE)</f>
        <v>1038</v>
      </c>
      <c r="O317" s="91">
        <f t="shared" ca="1" si="55"/>
        <v>1811</v>
      </c>
      <c r="P317" s="91">
        <f ca="1">VLOOKUP(B317,'115+740'!$B$15:$AB$757,14,FALSE)</f>
        <v>-189</v>
      </c>
      <c r="Q317" s="89">
        <f>'115+740'!R318</f>
        <v>5</v>
      </c>
      <c r="R317" s="88">
        <f t="shared" ca="1" si="60"/>
        <v>179</v>
      </c>
      <c r="S317" s="93">
        <f ca="1">VLOOKUP(B317,'115+740'!$B$14:$AB$757,22,FALSE)</f>
        <v>1717</v>
      </c>
      <c r="T317" s="92">
        <f ca="1">VLOOKUP(B317,'115+740'!$B$15:$AB$757,6,FALSE)</f>
        <v>1072</v>
      </c>
      <c r="U317" s="91">
        <f t="shared" ca="1" si="56"/>
        <v>1777</v>
      </c>
      <c r="V317" s="90">
        <f ca="1">VLOOKUP(B317,'115+740'!$B$15:$AB$757,15,FALSE)</f>
        <v>-223</v>
      </c>
      <c r="W317" s="89">
        <f>'115+740'!S318</f>
        <v>2</v>
      </c>
      <c r="X317" s="88">
        <f t="shared" ca="1" si="61"/>
        <v>183</v>
      </c>
      <c r="Y317" s="87">
        <f t="shared" ca="1" si="62"/>
        <v>-2</v>
      </c>
      <c r="Z317" s="86">
        <f t="shared" ca="1" si="63"/>
        <v>0</v>
      </c>
      <c r="AA317" s="85">
        <f t="shared" ca="1" si="64"/>
        <v>1.8819999999999999</v>
      </c>
      <c r="AB317" s="85">
        <f t="shared" ca="1" si="65"/>
        <v>1.552</v>
      </c>
    </row>
    <row r="318" spans="2:28">
      <c r="B318" s="98">
        <f>'115+740'!B319</f>
        <v>45377</v>
      </c>
      <c r="C318" s="97">
        <f t="shared" si="57"/>
        <v>1</v>
      </c>
      <c r="D318" s="96">
        <f t="shared" si="58"/>
        <v>1069</v>
      </c>
      <c r="E318" s="95">
        <f>VLOOKUP(B318,'115+740'!B319:AB420,3,FALSE)</f>
        <v>1782</v>
      </c>
      <c r="F318" s="92">
        <f t="shared" si="53"/>
        <v>2851</v>
      </c>
      <c r="G318" s="94">
        <f ca="1">VLOOKUP(B318,'115+740'!$B$15:$AB$757,20,FALSE)</f>
        <v>1687</v>
      </c>
      <c r="H318" s="94">
        <f ca="1">VLOOKUP(B318,'115+740'!$B$15:$AB$757,4,FALSE)</f>
        <v>1024</v>
      </c>
      <c r="I318" s="91">
        <f t="shared" ca="1" si="54"/>
        <v>1827</v>
      </c>
      <c r="J318" s="91">
        <f ca="1">VLOOKUP(B318,'115+740'!$B$15:$AB$757,13,FALSE)</f>
        <v>-173</v>
      </c>
      <c r="K318" s="89">
        <f>'115+740'!Q319</f>
        <v>4</v>
      </c>
      <c r="L318" s="88">
        <f t="shared" ca="1" si="59"/>
        <v>213</v>
      </c>
      <c r="M318" s="93">
        <f ca="1">VLOOKUP(B318,'115+740'!$B$14:$AB$757,21,FALSE)</f>
        <v>1716</v>
      </c>
      <c r="N318" s="92">
        <f ca="1">VLOOKUP(B318,'115+740'!$B$15:$AB$757,5,FALSE)</f>
        <v>1045</v>
      </c>
      <c r="O318" s="91">
        <f t="shared" ca="1" si="55"/>
        <v>1806</v>
      </c>
      <c r="P318" s="91">
        <f ca="1">VLOOKUP(B318,'115+740'!$B$15:$AB$757,14,FALSE)</f>
        <v>-194</v>
      </c>
      <c r="Q318" s="89">
        <f>'115+740'!R319</f>
        <v>5</v>
      </c>
      <c r="R318" s="88">
        <f t="shared" ca="1" si="60"/>
        <v>184</v>
      </c>
      <c r="S318" s="93">
        <f ca="1">VLOOKUP(B318,'115+740'!$B$14:$AB$757,22,FALSE)</f>
        <v>1712</v>
      </c>
      <c r="T318" s="92">
        <f ca="1">VLOOKUP(B318,'115+740'!$B$15:$AB$757,6,FALSE)</f>
        <v>1079</v>
      </c>
      <c r="U318" s="91">
        <f t="shared" ca="1" si="56"/>
        <v>1772</v>
      </c>
      <c r="V318" s="90">
        <f ca="1">VLOOKUP(B318,'115+740'!$B$15:$AB$757,15,FALSE)</f>
        <v>-228</v>
      </c>
      <c r="W318" s="89">
        <f>'115+740'!S319</f>
        <v>5</v>
      </c>
      <c r="X318" s="88">
        <f t="shared" ca="1" si="61"/>
        <v>188</v>
      </c>
      <c r="Y318" s="87">
        <f t="shared" ca="1" si="62"/>
        <v>-5</v>
      </c>
      <c r="Z318" s="86">
        <f t="shared" ca="1" si="63"/>
        <v>0</v>
      </c>
      <c r="AA318" s="85">
        <f t="shared" ca="1" si="64"/>
        <v>1.8819999999999999</v>
      </c>
      <c r="AB318" s="85">
        <f t="shared" ca="1" si="65"/>
        <v>1.542</v>
      </c>
    </row>
    <row r="319" spans="2:28">
      <c r="B319" s="98">
        <f>'115+740'!B320</f>
        <v>45378</v>
      </c>
      <c r="C319" s="97">
        <f t="shared" si="57"/>
        <v>1</v>
      </c>
      <c r="D319" s="96">
        <f t="shared" si="58"/>
        <v>1069</v>
      </c>
      <c r="E319" s="95">
        <f>VLOOKUP(B319,'115+740'!B320:AB421,3,FALSE)</f>
        <v>1784</v>
      </c>
      <c r="F319" s="92">
        <f t="shared" si="53"/>
        <v>2853</v>
      </c>
      <c r="G319" s="94">
        <f ca="1">VLOOKUP(B319,'115+740'!$B$15:$AB$757,20,FALSE)</f>
        <v>1979</v>
      </c>
      <c r="H319" s="94">
        <f ca="1">VLOOKUP(B319,'115+740'!$B$15:$AB$757,4,FALSE)</f>
        <v>1034</v>
      </c>
      <c r="I319" s="91">
        <f t="shared" ca="1" si="54"/>
        <v>1819</v>
      </c>
      <c r="J319" s="91">
        <f ca="1">VLOOKUP(B319,'115+740'!$B$15:$AB$757,13,FALSE)</f>
        <v>-181</v>
      </c>
      <c r="K319" s="89">
        <f>'115+740'!Q320</f>
        <v>8</v>
      </c>
      <c r="L319" s="88">
        <f t="shared" ca="1" si="59"/>
        <v>221</v>
      </c>
      <c r="M319" s="93">
        <f ca="1">VLOOKUP(B319,'115+740'!$B$14:$AB$757,21,FALSE)</f>
        <v>2007</v>
      </c>
      <c r="N319" s="92">
        <f ca="1">VLOOKUP(B319,'115+740'!$B$15:$AB$757,5,FALSE)</f>
        <v>1056</v>
      </c>
      <c r="O319" s="91">
        <f t="shared" ca="1" si="55"/>
        <v>1797</v>
      </c>
      <c r="P319" s="91">
        <f ca="1">VLOOKUP(B319,'115+740'!$B$15:$AB$757,14,FALSE)</f>
        <v>-203</v>
      </c>
      <c r="Q319" s="89">
        <f>'115+740'!R320</f>
        <v>9</v>
      </c>
      <c r="R319" s="88">
        <f t="shared" ca="1" si="60"/>
        <v>193</v>
      </c>
      <c r="S319" s="93">
        <f ca="1">VLOOKUP(B319,'115+740'!$B$14:$AB$757,22,FALSE)</f>
        <v>2004</v>
      </c>
      <c r="T319" s="92">
        <f ca="1">VLOOKUP(B319,'115+740'!$B$15:$AB$757,6,FALSE)</f>
        <v>1089</v>
      </c>
      <c r="U319" s="91">
        <f t="shared" ca="1" si="56"/>
        <v>1764</v>
      </c>
      <c r="V319" s="90">
        <f ca="1">VLOOKUP(B319,'115+740'!$B$15:$AB$757,15,FALSE)</f>
        <v>-236</v>
      </c>
      <c r="W319" s="89">
        <f>'115+740'!S320</f>
        <v>8</v>
      </c>
      <c r="X319" s="88">
        <f t="shared" ca="1" si="61"/>
        <v>196</v>
      </c>
      <c r="Y319" s="87">
        <f t="shared" ca="1" si="62"/>
        <v>292</v>
      </c>
      <c r="Z319" s="86">
        <f t="shared" ca="1" si="63"/>
        <v>0.29199999999999998</v>
      </c>
      <c r="AA319" s="85">
        <f t="shared" ca="1" si="64"/>
        <v>2.1739999999999999</v>
      </c>
      <c r="AB319" s="85">
        <f t="shared" ca="1" si="65"/>
        <v>1.8240000000000001</v>
      </c>
    </row>
    <row r="320" spans="2:28">
      <c r="B320" s="98">
        <f>'115+740'!B321</f>
        <v>45379</v>
      </c>
      <c r="C320" s="97">
        <f t="shared" si="57"/>
        <v>1</v>
      </c>
      <c r="D320" s="96">
        <f t="shared" si="58"/>
        <v>1069</v>
      </c>
      <c r="E320" s="95">
        <f>VLOOKUP(B320,'115+740'!B321:AB422,3,FALSE)</f>
        <v>1786</v>
      </c>
      <c r="F320" s="92">
        <f t="shared" si="53"/>
        <v>2855</v>
      </c>
      <c r="G320" s="94">
        <f ca="1">VLOOKUP(B320,'115+740'!$B$15:$AB$757,20,FALSE)</f>
        <v>1974</v>
      </c>
      <c r="H320" s="94">
        <f ca="1">VLOOKUP(B320,'115+740'!$B$15:$AB$757,4,FALSE)</f>
        <v>1041</v>
      </c>
      <c r="I320" s="91">
        <f t="shared" ca="1" si="54"/>
        <v>1814</v>
      </c>
      <c r="J320" s="91">
        <f ca="1">VLOOKUP(B320,'115+740'!$B$15:$AB$757,13,FALSE)</f>
        <v>-186</v>
      </c>
      <c r="K320" s="89">
        <f>'115+740'!Q321</f>
        <v>5</v>
      </c>
      <c r="L320" s="88">
        <f t="shared" ca="1" si="59"/>
        <v>226</v>
      </c>
      <c r="M320" s="93">
        <f ca="1">VLOOKUP(B320,'115+740'!$B$14:$AB$757,21,FALSE)</f>
        <v>2002</v>
      </c>
      <c r="N320" s="92">
        <f ca="1">VLOOKUP(B320,'115+740'!$B$15:$AB$757,5,FALSE)</f>
        <v>1063</v>
      </c>
      <c r="O320" s="91">
        <f t="shared" ca="1" si="55"/>
        <v>1792</v>
      </c>
      <c r="P320" s="91">
        <f ca="1">VLOOKUP(B320,'115+740'!$B$15:$AB$757,14,FALSE)</f>
        <v>-208</v>
      </c>
      <c r="Q320" s="89">
        <f>'115+740'!R321</f>
        <v>5</v>
      </c>
      <c r="R320" s="88">
        <f t="shared" ca="1" si="60"/>
        <v>198</v>
      </c>
      <c r="S320" s="93">
        <f ca="1">VLOOKUP(B320,'115+740'!$B$14:$AB$757,22,FALSE)</f>
        <v>2000</v>
      </c>
      <c r="T320" s="92">
        <f ca="1">VLOOKUP(B320,'115+740'!$B$15:$AB$757,6,FALSE)</f>
        <v>1095</v>
      </c>
      <c r="U320" s="91">
        <f t="shared" ca="1" si="56"/>
        <v>1760</v>
      </c>
      <c r="V320" s="90">
        <f ca="1">VLOOKUP(B320,'115+740'!$B$15:$AB$757,15,FALSE)</f>
        <v>-240</v>
      </c>
      <c r="W320" s="89">
        <f>'115+740'!S321</f>
        <v>4</v>
      </c>
      <c r="X320" s="88">
        <f t="shared" ca="1" si="61"/>
        <v>200</v>
      </c>
      <c r="Y320" s="87">
        <f t="shared" ca="1" si="62"/>
        <v>-4</v>
      </c>
      <c r="Z320" s="86">
        <f t="shared" ca="1" si="63"/>
        <v>0</v>
      </c>
      <c r="AA320" s="85">
        <f t="shared" ca="1" si="64"/>
        <v>2.1739999999999999</v>
      </c>
      <c r="AB320" s="85">
        <f t="shared" ca="1" si="65"/>
        <v>1.8140000000000001</v>
      </c>
    </row>
    <row r="321" spans="2:28">
      <c r="B321" s="98">
        <f>'115+740'!B322</f>
        <v>45380</v>
      </c>
      <c r="C321" s="97">
        <f t="shared" si="57"/>
        <v>1</v>
      </c>
      <c r="D321" s="96">
        <f t="shared" si="58"/>
        <v>1069</v>
      </c>
      <c r="E321" s="95">
        <f>VLOOKUP(B321,'115+740'!B322:AB423,3,FALSE)</f>
        <v>1788</v>
      </c>
      <c r="F321" s="92">
        <f t="shared" si="53"/>
        <v>2857</v>
      </c>
      <c r="G321" s="94">
        <f ca="1">VLOOKUP(B321,'115+740'!$B$15:$AB$757,20,FALSE)</f>
        <v>1969</v>
      </c>
      <c r="H321" s="94">
        <f ca="1">VLOOKUP(B321,'115+740'!$B$15:$AB$757,4,FALSE)</f>
        <v>1048</v>
      </c>
      <c r="I321" s="91">
        <f t="shared" ca="1" si="54"/>
        <v>1809</v>
      </c>
      <c r="J321" s="91">
        <f ca="1">VLOOKUP(B321,'115+740'!$B$15:$AB$757,13,FALSE)</f>
        <v>-191</v>
      </c>
      <c r="K321" s="89">
        <f>'115+740'!Q322</f>
        <v>5</v>
      </c>
      <c r="L321" s="88">
        <f t="shared" ca="1" si="59"/>
        <v>231</v>
      </c>
      <c r="M321" s="93">
        <f ca="1">VLOOKUP(B321,'115+740'!$B$14:$AB$757,21,FALSE)</f>
        <v>1998</v>
      </c>
      <c r="N321" s="92">
        <f ca="1">VLOOKUP(B321,'115+740'!$B$15:$AB$757,5,FALSE)</f>
        <v>1069</v>
      </c>
      <c r="O321" s="91">
        <f t="shared" ca="1" si="55"/>
        <v>1788</v>
      </c>
      <c r="P321" s="91">
        <f ca="1">VLOOKUP(B321,'115+740'!$B$15:$AB$757,14,FALSE)</f>
        <v>-212</v>
      </c>
      <c r="Q321" s="89">
        <f>'115+740'!R322</f>
        <v>4</v>
      </c>
      <c r="R321" s="88">
        <f t="shared" ca="1" si="60"/>
        <v>202</v>
      </c>
      <c r="S321" s="93">
        <f ca="1">VLOOKUP(B321,'115+740'!$B$14:$AB$757,22,FALSE)</f>
        <v>1997</v>
      </c>
      <c r="T321" s="92">
        <f ca="1">VLOOKUP(B321,'115+740'!$B$15:$AB$757,6,FALSE)</f>
        <v>1100</v>
      </c>
      <c r="U321" s="91">
        <f t="shared" ca="1" si="56"/>
        <v>1757</v>
      </c>
      <c r="V321" s="90">
        <f ca="1">VLOOKUP(B321,'115+740'!$B$15:$AB$757,15,FALSE)</f>
        <v>-243</v>
      </c>
      <c r="W321" s="89">
        <f>'115+740'!S322</f>
        <v>3</v>
      </c>
      <c r="X321" s="88">
        <f t="shared" ca="1" si="61"/>
        <v>203</v>
      </c>
      <c r="Y321" s="87">
        <f t="shared" ca="1" si="62"/>
        <v>-3</v>
      </c>
      <c r="Z321" s="86">
        <f t="shared" ca="1" si="63"/>
        <v>0</v>
      </c>
      <c r="AA321" s="85">
        <f t="shared" ca="1" si="64"/>
        <v>2.1739999999999999</v>
      </c>
      <c r="AB321" s="85">
        <f t="shared" ca="1" si="65"/>
        <v>1.806</v>
      </c>
    </row>
    <row r="322" spans="2:28">
      <c r="B322" s="98">
        <f>'115+740'!B323</f>
        <v>45381</v>
      </c>
      <c r="C322" s="97">
        <f t="shared" si="57"/>
        <v>1</v>
      </c>
      <c r="D322" s="96">
        <f t="shared" si="58"/>
        <v>1069</v>
      </c>
      <c r="E322" s="95">
        <f>VLOOKUP(B322,'115+740'!B323:AB424,3,FALSE)</f>
        <v>1790</v>
      </c>
      <c r="F322" s="92">
        <f t="shared" si="53"/>
        <v>2859</v>
      </c>
      <c r="G322" s="94">
        <f ca="1">VLOOKUP(B322,'115+740'!$B$15:$AB$757,20,FALSE)</f>
        <v>1965</v>
      </c>
      <c r="H322" s="94">
        <f ca="1">VLOOKUP(B322,'115+740'!$B$15:$AB$757,4,FALSE)</f>
        <v>1054</v>
      </c>
      <c r="I322" s="91">
        <f t="shared" ca="1" si="54"/>
        <v>1805</v>
      </c>
      <c r="J322" s="91">
        <f ca="1">VLOOKUP(B322,'115+740'!$B$15:$AB$757,13,FALSE)</f>
        <v>-195</v>
      </c>
      <c r="K322" s="89">
        <f>'115+740'!Q323</f>
        <v>4</v>
      </c>
      <c r="L322" s="88">
        <f t="shared" ca="1" si="59"/>
        <v>235</v>
      </c>
      <c r="M322" s="93">
        <f ca="1">VLOOKUP(B322,'115+740'!$B$14:$AB$757,21,FALSE)</f>
        <v>1994</v>
      </c>
      <c r="N322" s="92">
        <f ca="1">VLOOKUP(B322,'115+740'!$B$15:$AB$757,5,FALSE)</f>
        <v>1075</v>
      </c>
      <c r="O322" s="91">
        <f t="shared" ca="1" si="55"/>
        <v>1784</v>
      </c>
      <c r="P322" s="91">
        <f ca="1">VLOOKUP(B322,'115+740'!$B$15:$AB$757,14,FALSE)</f>
        <v>-216</v>
      </c>
      <c r="Q322" s="89">
        <f>'115+740'!R323</f>
        <v>4</v>
      </c>
      <c r="R322" s="88">
        <f t="shared" ca="1" si="60"/>
        <v>206</v>
      </c>
      <c r="S322" s="93">
        <f ca="1">VLOOKUP(B322,'115+740'!$B$14:$AB$757,22,FALSE)</f>
        <v>1996</v>
      </c>
      <c r="T322" s="92">
        <f ca="1">VLOOKUP(B322,'115+740'!$B$15:$AB$757,6,FALSE)</f>
        <v>1103</v>
      </c>
      <c r="U322" s="91">
        <f t="shared" ca="1" si="56"/>
        <v>1756</v>
      </c>
      <c r="V322" s="90">
        <f ca="1">VLOOKUP(B322,'115+740'!$B$15:$AB$757,15,FALSE)</f>
        <v>-244</v>
      </c>
      <c r="W322" s="89">
        <f>'115+740'!S323</f>
        <v>1</v>
      </c>
      <c r="X322" s="88">
        <f t="shared" ca="1" si="61"/>
        <v>204</v>
      </c>
      <c r="Y322" s="87">
        <f t="shared" ca="1" si="62"/>
        <v>-1</v>
      </c>
      <c r="Z322" s="86">
        <f t="shared" ca="1" si="63"/>
        <v>0</v>
      </c>
      <c r="AA322" s="85">
        <f t="shared" ca="1" si="64"/>
        <v>2.1739999999999999</v>
      </c>
      <c r="AB322" s="85">
        <f t="shared" ca="1" si="65"/>
        <v>1.798</v>
      </c>
    </row>
    <row r="323" spans="2:28">
      <c r="B323" s="98">
        <f>'115+740'!B324</f>
        <v>45382</v>
      </c>
      <c r="C323" s="97">
        <f t="shared" si="57"/>
        <v>1</v>
      </c>
      <c r="D323" s="96">
        <f t="shared" si="58"/>
        <v>1069</v>
      </c>
      <c r="E323" s="95">
        <f>VLOOKUP(B323,'115+740'!B324:AB425,3,FALSE)</f>
        <v>1792</v>
      </c>
      <c r="F323" s="92">
        <f t="shared" si="53"/>
        <v>2861</v>
      </c>
      <c r="G323" s="94">
        <f ca="1">VLOOKUP(B323,'115+740'!$B$15:$AB$757,20,FALSE)</f>
        <v>1962</v>
      </c>
      <c r="H323" s="94">
        <f ca="1">VLOOKUP(B323,'115+740'!$B$15:$AB$757,4,FALSE)</f>
        <v>59</v>
      </c>
      <c r="I323" s="91">
        <f t="shared" ca="1" si="54"/>
        <v>2802</v>
      </c>
      <c r="J323" s="91">
        <f ca="1">VLOOKUP(B323,'115+740'!$B$15:$AB$757,13,FALSE)</f>
        <v>-198</v>
      </c>
      <c r="K323" s="89">
        <f>'115+740'!Q324</f>
        <v>3</v>
      </c>
      <c r="L323" s="88">
        <f t="shared" ca="1" si="59"/>
        <v>238</v>
      </c>
      <c r="M323" s="93">
        <f ca="1">VLOOKUP(B323,'115+740'!$B$14:$AB$757,21,FALSE)</f>
        <v>1991</v>
      </c>
      <c r="N323" s="92">
        <f ca="1">VLOOKUP(B323,'115+740'!$B$15:$AB$757,5,FALSE)</f>
        <v>80</v>
      </c>
      <c r="O323" s="91">
        <f t="shared" ca="1" si="55"/>
        <v>2781</v>
      </c>
      <c r="P323" s="91">
        <f ca="1">VLOOKUP(B323,'115+740'!$B$15:$AB$757,14,FALSE)</f>
        <v>-219</v>
      </c>
      <c r="Q323" s="89">
        <f>'115+740'!R324</f>
        <v>3</v>
      </c>
      <c r="R323" s="88">
        <f t="shared" ca="1" si="60"/>
        <v>209</v>
      </c>
      <c r="S323" s="93">
        <f ca="1">VLOOKUP(B323,'115+740'!$B$14:$AB$757,22,FALSE)</f>
        <v>1995</v>
      </c>
      <c r="T323" s="92">
        <f ca="1">VLOOKUP(B323,'115+740'!$B$15:$AB$757,6,FALSE)</f>
        <v>106</v>
      </c>
      <c r="U323" s="91">
        <f t="shared" ca="1" si="56"/>
        <v>2755</v>
      </c>
      <c r="V323" s="90">
        <f ca="1">VLOOKUP(B323,'115+740'!$B$15:$AB$757,15,FALSE)</f>
        <v>-245</v>
      </c>
      <c r="W323" s="89">
        <f>'115+740'!S324</f>
        <v>1</v>
      </c>
      <c r="X323" s="88">
        <f t="shared" ca="1" si="61"/>
        <v>205</v>
      </c>
      <c r="Y323" s="87">
        <f t="shared" ca="1" si="62"/>
        <v>-1</v>
      </c>
      <c r="Z323" s="86">
        <f t="shared" ca="1" si="63"/>
        <v>0</v>
      </c>
      <c r="AA323" s="85">
        <f t="shared" ca="1" si="64"/>
        <v>2.1739999999999999</v>
      </c>
      <c r="AB323" s="85">
        <f t="shared" ca="1" si="65"/>
        <v>1.792</v>
      </c>
    </row>
    <row r="324" spans="2:28">
      <c r="B324" s="98">
        <f>'115+740'!B325</f>
        <v>45383</v>
      </c>
      <c r="C324" s="97">
        <f t="shared" si="57"/>
        <v>1</v>
      </c>
      <c r="D324" s="96">
        <f t="shared" si="58"/>
        <v>1069</v>
      </c>
      <c r="E324" s="95">
        <f>VLOOKUP(B324,'115+740'!B325:AB426,3,FALSE)</f>
        <v>1794</v>
      </c>
      <c r="F324" s="92">
        <f t="shared" si="53"/>
        <v>2863</v>
      </c>
      <c r="G324" s="94">
        <f ca="1">VLOOKUP(B324,'115+740'!$B$15:$AB$757,20,FALSE)</f>
        <v>1960</v>
      </c>
      <c r="H324" s="94">
        <f ca="1">VLOOKUP(B324,'115+740'!$B$15:$AB$757,4,FALSE)</f>
        <v>63</v>
      </c>
      <c r="I324" s="91">
        <f t="shared" ca="1" si="54"/>
        <v>2800</v>
      </c>
      <c r="J324" s="91">
        <f ca="1">VLOOKUP(B324,'115+740'!$B$15:$AB$757,13,FALSE)</f>
        <v>-200</v>
      </c>
      <c r="K324" s="89">
        <f>'115+740'!Q325</f>
        <v>2</v>
      </c>
      <c r="L324" s="88">
        <f t="shared" ca="1" si="59"/>
        <v>240</v>
      </c>
      <c r="M324" s="93">
        <f ca="1">VLOOKUP(B324,'115+740'!$B$14:$AB$757,21,FALSE)</f>
        <v>1986</v>
      </c>
      <c r="N324" s="92">
        <f ca="1">VLOOKUP(B324,'115+740'!$B$15:$AB$757,5,FALSE)</f>
        <v>87</v>
      </c>
      <c r="O324" s="91">
        <f t="shared" ca="1" si="55"/>
        <v>2776</v>
      </c>
      <c r="P324" s="91">
        <f ca="1">VLOOKUP(B324,'115+740'!$B$15:$AB$757,14,FALSE)</f>
        <v>-224</v>
      </c>
      <c r="Q324" s="89">
        <f>'115+740'!R325</f>
        <v>5</v>
      </c>
      <c r="R324" s="88">
        <f t="shared" ca="1" si="60"/>
        <v>214</v>
      </c>
      <c r="S324" s="93">
        <f ca="1">VLOOKUP(B324,'115+740'!$B$14:$AB$757,22,FALSE)</f>
        <v>1994</v>
      </c>
      <c r="T324" s="92">
        <f ca="1">VLOOKUP(B324,'115+740'!$B$15:$AB$757,6,FALSE)</f>
        <v>109</v>
      </c>
      <c r="U324" s="91">
        <f t="shared" ca="1" si="56"/>
        <v>2754</v>
      </c>
      <c r="V324" s="90">
        <f ca="1">VLOOKUP(B324,'115+740'!$B$15:$AB$757,15,FALSE)</f>
        <v>-246</v>
      </c>
      <c r="W324" s="89">
        <f>'115+740'!S325</f>
        <v>1</v>
      </c>
      <c r="X324" s="88">
        <f t="shared" ca="1" si="61"/>
        <v>206</v>
      </c>
      <c r="Y324" s="87">
        <f t="shared" ca="1" si="62"/>
        <v>-1</v>
      </c>
      <c r="Z324" s="86">
        <f t="shared" ca="1" si="63"/>
        <v>0</v>
      </c>
      <c r="AA324" s="85">
        <f t="shared" ca="1" si="64"/>
        <v>2.1739999999999999</v>
      </c>
      <c r="AB324" s="85">
        <f t="shared" ca="1" si="65"/>
        <v>1.782</v>
      </c>
    </row>
    <row r="325" spans="2:28">
      <c r="B325" s="98">
        <f>'115+740'!B326</f>
        <v>45384</v>
      </c>
      <c r="C325" s="97">
        <f t="shared" si="57"/>
        <v>1</v>
      </c>
      <c r="D325" s="96">
        <f t="shared" si="58"/>
        <v>1069</v>
      </c>
      <c r="E325" s="95">
        <f>VLOOKUP(B325,'115+740'!B326:AB427,3,FALSE)</f>
        <v>1796</v>
      </c>
      <c r="F325" s="92">
        <f t="shared" si="53"/>
        <v>2865</v>
      </c>
      <c r="G325" s="94">
        <f ca="1">VLOOKUP(B325,'115+740'!$B$15:$AB$757,20,FALSE)</f>
        <v>2253</v>
      </c>
      <c r="H325" s="94">
        <f ca="1">VLOOKUP(B325,'115+740'!$B$15:$AB$757,4,FALSE)</f>
        <v>72</v>
      </c>
      <c r="I325" s="91">
        <f t="shared" ca="1" si="54"/>
        <v>2793</v>
      </c>
      <c r="J325" s="91">
        <f ca="1">VLOOKUP(B325,'115+740'!$B$15:$AB$757,13,FALSE)</f>
        <v>-207</v>
      </c>
      <c r="K325" s="89">
        <f>'115+740'!Q326</f>
        <v>7</v>
      </c>
      <c r="L325" s="88">
        <f t="shared" ca="1" si="59"/>
        <v>247</v>
      </c>
      <c r="M325" s="93">
        <f ca="1">VLOOKUP(B325,'115+740'!$B$14:$AB$757,21,FALSE)</f>
        <v>2278</v>
      </c>
      <c r="N325" s="92">
        <f ca="1">VLOOKUP(B325,'115+740'!$B$15:$AB$757,5,FALSE)</f>
        <v>97</v>
      </c>
      <c r="O325" s="91">
        <f t="shared" ca="1" si="55"/>
        <v>2768</v>
      </c>
      <c r="P325" s="91">
        <f ca="1">VLOOKUP(B325,'115+740'!$B$15:$AB$757,14,FALSE)</f>
        <v>-232</v>
      </c>
      <c r="Q325" s="89">
        <f>'115+740'!R326</f>
        <v>8</v>
      </c>
      <c r="R325" s="88">
        <f t="shared" ca="1" si="60"/>
        <v>222</v>
      </c>
      <c r="S325" s="93">
        <f ca="1">VLOOKUP(B325,'115+740'!$B$14:$AB$757,22,FALSE)</f>
        <v>2288</v>
      </c>
      <c r="T325" s="92">
        <f ca="1">VLOOKUP(B325,'115+740'!$B$15:$AB$757,6,FALSE)</f>
        <v>117</v>
      </c>
      <c r="U325" s="91">
        <f t="shared" ca="1" si="56"/>
        <v>2748</v>
      </c>
      <c r="V325" s="90">
        <f ca="1">VLOOKUP(B325,'115+740'!$B$15:$AB$757,15,FALSE)</f>
        <v>-252</v>
      </c>
      <c r="W325" s="89">
        <f>'115+740'!S326</f>
        <v>6</v>
      </c>
      <c r="X325" s="88">
        <f t="shared" ca="1" si="61"/>
        <v>212</v>
      </c>
      <c r="Y325" s="87">
        <f t="shared" ca="1" si="62"/>
        <v>294</v>
      </c>
      <c r="Z325" s="86">
        <f t="shared" ca="1" si="63"/>
        <v>0.29399999999999998</v>
      </c>
      <c r="AA325" s="85">
        <f t="shared" ca="1" si="64"/>
        <v>2.468</v>
      </c>
      <c r="AB325" s="85">
        <f t="shared" ca="1" si="65"/>
        <v>2.0659999999999998</v>
      </c>
    </row>
    <row r="326" spans="2:28">
      <c r="B326" s="98">
        <f>'115+740'!B327</f>
        <v>45385</v>
      </c>
      <c r="C326" s="97">
        <f t="shared" si="57"/>
        <v>1</v>
      </c>
      <c r="D326" s="96">
        <f t="shared" si="58"/>
        <v>1069</v>
      </c>
      <c r="E326" s="95">
        <f>VLOOKUP(B326,'115+740'!B327:AB428,3,FALSE)</f>
        <v>1798</v>
      </c>
      <c r="F326" s="92">
        <f t="shared" si="53"/>
        <v>2867</v>
      </c>
      <c r="G326" s="94">
        <f ca="1">VLOOKUP(B326,'115+740'!$B$15:$AB$757,20,FALSE)</f>
        <v>2251</v>
      </c>
      <c r="H326" s="94">
        <f ca="1">VLOOKUP(B326,'115+740'!$B$15:$AB$757,4,FALSE)</f>
        <v>76</v>
      </c>
      <c r="I326" s="91">
        <f t="shared" ca="1" si="54"/>
        <v>2791</v>
      </c>
      <c r="J326" s="91">
        <f ca="1">VLOOKUP(B326,'115+740'!$B$15:$AB$757,13,FALSE)</f>
        <v>-209</v>
      </c>
      <c r="K326" s="89">
        <f>'115+740'!Q327</f>
        <v>2</v>
      </c>
      <c r="L326" s="88">
        <f t="shared" ca="1" si="59"/>
        <v>249</v>
      </c>
      <c r="M326" s="93">
        <f ca="1">VLOOKUP(B326,'115+740'!$B$14:$AB$757,21,FALSE)</f>
        <v>2274</v>
      </c>
      <c r="N326" s="92">
        <f ca="1">VLOOKUP(B326,'115+740'!$B$15:$AB$757,5,FALSE)</f>
        <v>103</v>
      </c>
      <c r="O326" s="91">
        <f t="shared" ca="1" si="55"/>
        <v>2764</v>
      </c>
      <c r="P326" s="91">
        <f ca="1">VLOOKUP(B326,'115+740'!$B$15:$AB$757,14,FALSE)</f>
        <v>-236</v>
      </c>
      <c r="Q326" s="89">
        <f>'115+740'!R327</f>
        <v>4</v>
      </c>
      <c r="R326" s="88">
        <f t="shared" ca="1" si="60"/>
        <v>226</v>
      </c>
      <c r="S326" s="93">
        <f ca="1">VLOOKUP(B326,'115+740'!$B$14:$AB$757,22,FALSE)</f>
        <v>2286</v>
      </c>
      <c r="T326" s="92">
        <f ca="1">VLOOKUP(B326,'115+740'!$B$15:$AB$757,6,FALSE)</f>
        <v>121</v>
      </c>
      <c r="U326" s="91">
        <f t="shared" ca="1" si="56"/>
        <v>2746</v>
      </c>
      <c r="V326" s="90">
        <f ca="1">VLOOKUP(B326,'115+740'!$B$15:$AB$757,15,FALSE)</f>
        <v>-254</v>
      </c>
      <c r="W326" s="89">
        <f>'115+740'!S327</f>
        <v>2</v>
      </c>
      <c r="X326" s="88">
        <f t="shared" ca="1" si="61"/>
        <v>214</v>
      </c>
      <c r="Y326" s="87">
        <f t="shared" ca="1" si="62"/>
        <v>-2</v>
      </c>
      <c r="Z326" s="86">
        <f t="shared" ca="1" si="63"/>
        <v>0</v>
      </c>
      <c r="AA326" s="85">
        <f t="shared" ca="1" si="64"/>
        <v>2.468</v>
      </c>
      <c r="AB326" s="85">
        <f t="shared" ca="1" si="65"/>
        <v>2.0579999999999998</v>
      </c>
    </row>
    <row r="327" spans="2:28">
      <c r="B327" s="98">
        <f>'115+740'!B328</f>
        <v>45386</v>
      </c>
      <c r="C327" s="97">
        <f t="shared" si="57"/>
        <v>1</v>
      </c>
      <c r="D327" s="96">
        <f t="shared" si="58"/>
        <v>1069</v>
      </c>
      <c r="E327" s="95">
        <f>VLOOKUP(B327,'115+740'!B328:AB429,3,FALSE)</f>
        <v>1800</v>
      </c>
      <c r="F327" s="92">
        <f t="shared" si="53"/>
        <v>2869</v>
      </c>
      <c r="G327" s="94">
        <f ca="1">VLOOKUP(B327,'115+740'!$B$15:$AB$757,20,FALSE)</f>
        <v>2250</v>
      </c>
      <c r="H327" s="94">
        <f ca="1">VLOOKUP(B327,'115+740'!$B$15:$AB$757,4,FALSE)</f>
        <v>79</v>
      </c>
      <c r="I327" s="91">
        <f t="shared" ca="1" si="54"/>
        <v>2790</v>
      </c>
      <c r="J327" s="91">
        <f ca="1">VLOOKUP(B327,'115+740'!$B$15:$AB$757,13,FALSE)</f>
        <v>-210</v>
      </c>
      <c r="K327" s="89">
        <f>'115+740'!Q328</f>
        <v>1</v>
      </c>
      <c r="L327" s="88">
        <f t="shared" ca="1" si="59"/>
        <v>250</v>
      </c>
      <c r="M327" s="93">
        <f ca="1">VLOOKUP(B327,'115+740'!$B$14:$AB$757,21,FALSE)</f>
        <v>2272</v>
      </c>
      <c r="N327" s="92">
        <f ca="1">VLOOKUP(B327,'115+740'!$B$15:$AB$757,5,FALSE)</f>
        <v>107</v>
      </c>
      <c r="O327" s="91">
        <f t="shared" ca="1" si="55"/>
        <v>2762</v>
      </c>
      <c r="P327" s="91">
        <f ca="1">VLOOKUP(B327,'115+740'!$B$15:$AB$757,14,FALSE)</f>
        <v>-238</v>
      </c>
      <c r="Q327" s="89">
        <f>'115+740'!R328</f>
        <v>2</v>
      </c>
      <c r="R327" s="88">
        <f t="shared" ca="1" si="60"/>
        <v>228</v>
      </c>
      <c r="S327" s="93">
        <f ca="1">VLOOKUP(B327,'115+740'!$B$14:$AB$757,22,FALSE)</f>
        <v>2284</v>
      </c>
      <c r="T327" s="92">
        <f ca="1">VLOOKUP(B327,'115+740'!$B$15:$AB$757,6,FALSE)</f>
        <v>125</v>
      </c>
      <c r="U327" s="91">
        <f t="shared" ca="1" si="56"/>
        <v>2744</v>
      </c>
      <c r="V327" s="90">
        <f ca="1">VLOOKUP(B327,'115+740'!$B$15:$AB$757,15,FALSE)</f>
        <v>-256</v>
      </c>
      <c r="W327" s="89">
        <f>'115+740'!S328</f>
        <v>2</v>
      </c>
      <c r="X327" s="88">
        <f t="shared" ca="1" si="61"/>
        <v>216</v>
      </c>
      <c r="Y327" s="87">
        <f t="shared" ca="1" si="62"/>
        <v>-2</v>
      </c>
      <c r="Z327" s="86">
        <f t="shared" ca="1" si="63"/>
        <v>0</v>
      </c>
      <c r="AA327" s="85">
        <f t="shared" ca="1" si="64"/>
        <v>2.468</v>
      </c>
      <c r="AB327" s="85">
        <f t="shared" ca="1" si="65"/>
        <v>2.0539999999999998</v>
      </c>
    </row>
    <row r="328" spans="2:28">
      <c r="B328" s="98">
        <f>'115+740'!B329</f>
        <v>45387</v>
      </c>
      <c r="C328" s="97">
        <f t="shared" si="57"/>
        <v>1</v>
      </c>
      <c r="D328" s="96">
        <f t="shared" si="58"/>
        <v>1069</v>
      </c>
      <c r="E328" s="95">
        <f>VLOOKUP(B328,'115+740'!B329:AB430,3,FALSE)</f>
        <v>1802</v>
      </c>
      <c r="F328" s="92">
        <f t="shared" si="53"/>
        <v>2871</v>
      </c>
      <c r="G328" s="94">
        <f ca="1">VLOOKUP(B328,'115+740'!$B$15:$AB$757,20,FALSE)</f>
        <v>2249</v>
      </c>
      <c r="H328" s="94">
        <f ca="1">VLOOKUP(B328,'115+740'!$B$15:$AB$757,4,FALSE)</f>
        <v>82</v>
      </c>
      <c r="I328" s="91">
        <f t="shared" ca="1" si="54"/>
        <v>2789</v>
      </c>
      <c r="J328" s="91">
        <f ca="1">VLOOKUP(B328,'115+740'!$B$15:$AB$757,13,FALSE)</f>
        <v>-211</v>
      </c>
      <c r="K328" s="89">
        <f>'115+740'!Q329</f>
        <v>1</v>
      </c>
      <c r="L328" s="88">
        <f t="shared" ca="1" si="59"/>
        <v>251</v>
      </c>
      <c r="M328" s="93">
        <f ca="1">VLOOKUP(B328,'115+740'!$B$14:$AB$757,21,FALSE)</f>
        <v>2271</v>
      </c>
      <c r="N328" s="92">
        <f ca="1">VLOOKUP(B328,'115+740'!$B$15:$AB$757,5,FALSE)</f>
        <v>110</v>
      </c>
      <c r="O328" s="91">
        <f t="shared" ca="1" si="55"/>
        <v>2761</v>
      </c>
      <c r="P328" s="91">
        <f ca="1">VLOOKUP(B328,'115+740'!$B$15:$AB$757,14,FALSE)</f>
        <v>-239</v>
      </c>
      <c r="Q328" s="89">
        <f>'115+740'!R329</f>
        <v>1</v>
      </c>
      <c r="R328" s="88">
        <f t="shared" ca="1" si="60"/>
        <v>229</v>
      </c>
      <c r="S328" s="93">
        <f ca="1">VLOOKUP(B328,'115+740'!$B$14:$AB$757,22,FALSE)</f>
        <v>2282</v>
      </c>
      <c r="T328" s="92">
        <f ca="1">VLOOKUP(B328,'115+740'!$B$15:$AB$757,6,FALSE)</f>
        <v>129</v>
      </c>
      <c r="U328" s="91">
        <f t="shared" ca="1" si="56"/>
        <v>2742</v>
      </c>
      <c r="V328" s="90">
        <f ca="1">VLOOKUP(B328,'115+740'!$B$15:$AB$757,15,FALSE)</f>
        <v>-258</v>
      </c>
      <c r="W328" s="89">
        <f>'115+740'!S329</f>
        <v>2</v>
      </c>
      <c r="X328" s="88">
        <f t="shared" ca="1" si="61"/>
        <v>218</v>
      </c>
      <c r="Y328" s="87">
        <f t="shared" ca="1" si="62"/>
        <v>-2</v>
      </c>
      <c r="Z328" s="86">
        <f t="shared" ca="1" si="63"/>
        <v>0</v>
      </c>
      <c r="AA328" s="85">
        <f t="shared" ca="1" si="64"/>
        <v>2.468</v>
      </c>
      <c r="AB328" s="85">
        <f t="shared" ca="1" si="65"/>
        <v>2.052</v>
      </c>
    </row>
    <row r="329" spans="2:28">
      <c r="B329" s="98">
        <f>'115+740'!B330</f>
        <v>45388</v>
      </c>
      <c r="C329" s="97">
        <f t="shared" si="57"/>
        <v>1</v>
      </c>
      <c r="D329" s="96">
        <f t="shared" si="58"/>
        <v>1069</v>
      </c>
      <c r="E329" s="95">
        <f>VLOOKUP(B329,'115+740'!B330:AB431,3,FALSE)</f>
        <v>1804</v>
      </c>
      <c r="F329" s="92">
        <f t="shared" si="53"/>
        <v>2873</v>
      </c>
      <c r="G329" s="94">
        <f ca="1">VLOOKUP(B329,'115+740'!$B$15:$AB$757,20,FALSE)</f>
        <v>2249</v>
      </c>
      <c r="H329" s="94">
        <f ca="1">VLOOKUP(B329,'115+740'!$B$15:$AB$757,4,FALSE)</f>
        <v>84</v>
      </c>
      <c r="I329" s="91">
        <f t="shared" ca="1" si="54"/>
        <v>2789</v>
      </c>
      <c r="J329" s="91">
        <f ca="1">VLOOKUP(B329,'115+740'!$B$15:$AB$757,13,FALSE)</f>
        <v>-211</v>
      </c>
      <c r="K329" s="89">
        <f>'115+740'!Q330</f>
        <v>0</v>
      </c>
      <c r="L329" s="88">
        <f t="shared" ca="1" si="59"/>
        <v>251</v>
      </c>
      <c r="M329" s="93">
        <f ca="1">VLOOKUP(B329,'115+740'!$B$14:$AB$757,21,FALSE)</f>
        <v>2269</v>
      </c>
      <c r="N329" s="92">
        <f ca="1">VLOOKUP(B329,'115+740'!$B$15:$AB$757,5,FALSE)</f>
        <v>114</v>
      </c>
      <c r="O329" s="91">
        <f t="shared" ca="1" si="55"/>
        <v>2759</v>
      </c>
      <c r="P329" s="91">
        <f ca="1">VLOOKUP(B329,'115+740'!$B$15:$AB$757,14,FALSE)</f>
        <v>-241</v>
      </c>
      <c r="Q329" s="89">
        <f>'115+740'!R330</f>
        <v>2</v>
      </c>
      <c r="R329" s="88">
        <f t="shared" ca="1" si="60"/>
        <v>231</v>
      </c>
      <c r="S329" s="93">
        <f ca="1">VLOOKUP(B329,'115+740'!$B$14:$AB$757,22,FALSE)</f>
        <v>2280</v>
      </c>
      <c r="T329" s="92">
        <f ca="1">VLOOKUP(B329,'115+740'!$B$15:$AB$757,6,FALSE)</f>
        <v>133</v>
      </c>
      <c r="U329" s="91">
        <f t="shared" ca="1" si="56"/>
        <v>2740</v>
      </c>
      <c r="V329" s="90">
        <f ca="1">VLOOKUP(B329,'115+740'!$B$15:$AB$757,15,FALSE)</f>
        <v>-260</v>
      </c>
      <c r="W329" s="89">
        <f>'115+740'!S330</f>
        <v>2</v>
      </c>
      <c r="X329" s="88">
        <f t="shared" ca="1" si="61"/>
        <v>220</v>
      </c>
      <c r="Y329" s="87">
        <f t="shared" ca="1" si="62"/>
        <v>-2</v>
      </c>
      <c r="Z329" s="86">
        <f t="shared" ca="1" si="63"/>
        <v>0</v>
      </c>
      <c r="AA329" s="85">
        <f t="shared" ca="1" si="64"/>
        <v>2.468</v>
      </c>
      <c r="AB329" s="85">
        <f t="shared" ca="1" si="65"/>
        <v>2.048</v>
      </c>
    </row>
    <row r="330" spans="2:28">
      <c r="B330" s="98">
        <f>'115+740'!B331</f>
        <v>45389</v>
      </c>
      <c r="C330" s="97">
        <f t="shared" si="57"/>
        <v>1</v>
      </c>
      <c r="D330" s="96">
        <f t="shared" si="58"/>
        <v>1069</v>
      </c>
      <c r="E330" s="95">
        <f>VLOOKUP(B330,'115+740'!B331:AB432,3,FALSE)</f>
        <v>1806</v>
      </c>
      <c r="F330" s="92">
        <f t="shared" si="53"/>
        <v>2875</v>
      </c>
      <c r="G330" s="94">
        <f ca="1">VLOOKUP(B330,'115+740'!$B$15:$AB$757,20,FALSE)</f>
        <v>2247</v>
      </c>
      <c r="H330" s="94">
        <f ca="1">VLOOKUP(B330,'115+740'!$B$15:$AB$757,4,FALSE)</f>
        <v>88</v>
      </c>
      <c r="I330" s="91">
        <f t="shared" ca="1" si="54"/>
        <v>2787</v>
      </c>
      <c r="J330" s="91">
        <f ca="1">VLOOKUP(B330,'115+740'!$B$15:$AB$757,13,FALSE)</f>
        <v>-213</v>
      </c>
      <c r="K330" s="89">
        <f>'115+740'!Q331</f>
        <v>2</v>
      </c>
      <c r="L330" s="88">
        <f t="shared" ca="1" si="59"/>
        <v>253</v>
      </c>
      <c r="M330" s="93">
        <f ca="1">VLOOKUP(B330,'115+740'!$B$14:$AB$757,21,FALSE)</f>
        <v>2267</v>
      </c>
      <c r="N330" s="92">
        <f ca="1">VLOOKUP(B330,'115+740'!$B$15:$AB$757,5,FALSE)</f>
        <v>118</v>
      </c>
      <c r="O330" s="91">
        <f t="shared" ca="1" si="55"/>
        <v>2757</v>
      </c>
      <c r="P330" s="91">
        <f ca="1">VLOOKUP(B330,'115+740'!$B$15:$AB$757,14,FALSE)</f>
        <v>-243</v>
      </c>
      <c r="Q330" s="89">
        <f>'115+740'!R331</f>
        <v>2</v>
      </c>
      <c r="R330" s="88">
        <f t="shared" ca="1" si="60"/>
        <v>233</v>
      </c>
      <c r="S330" s="93">
        <f ca="1">VLOOKUP(B330,'115+740'!$B$14:$AB$757,22,FALSE)</f>
        <v>2280</v>
      </c>
      <c r="T330" s="92">
        <f ca="1">VLOOKUP(B330,'115+740'!$B$15:$AB$757,6,FALSE)</f>
        <v>135</v>
      </c>
      <c r="U330" s="91">
        <f t="shared" ca="1" si="56"/>
        <v>2740</v>
      </c>
      <c r="V330" s="90">
        <f ca="1">VLOOKUP(B330,'115+740'!$B$15:$AB$757,15,FALSE)</f>
        <v>-260</v>
      </c>
      <c r="W330" s="89">
        <f>'115+740'!S331</f>
        <v>0</v>
      </c>
      <c r="X330" s="88">
        <f t="shared" ca="1" si="61"/>
        <v>220</v>
      </c>
      <c r="Y330" s="87">
        <f t="shared" ca="1" si="62"/>
        <v>0</v>
      </c>
      <c r="Z330" s="86">
        <f t="shared" ca="1" si="63"/>
        <v>0</v>
      </c>
      <c r="AA330" s="85">
        <f t="shared" ca="1" si="64"/>
        <v>2.468</v>
      </c>
      <c r="AB330" s="85">
        <f t="shared" ca="1" si="65"/>
        <v>2.044</v>
      </c>
    </row>
    <row r="331" spans="2:28">
      <c r="B331" s="98">
        <f>'115+740'!B332</f>
        <v>45390</v>
      </c>
      <c r="C331" s="97">
        <f t="shared" si="57"/>
        <v>1</v>
      </c>
      <c r="D331" s="96">
        <f t="shared" si="58"/>
        <v>1069</v>
      </c>
      <c r="E331" s="95">
        <f>VLOOKUP(B331,'115+740'!B332:AB433,3,FALSE)</f>
        <v>1808</v>
      </c>
      <c r="F331" s="92">
        <f t="shared" si="53"/>
        <v>2877</v>
      </c>
      <c r="G331" s="94">
        <f ca="1">VLOOKUP(B331,'115+740'!$B$15:$AB$757,20,FALSE)</f>
        <v>2246</v>
      </c>
      <c r="H331" s="94">
        <f ca="1">VLOOKUP(B331,'115+740'!$B$15:$AB$757,4,FALSE)</f>
        <v>91</v>
      </c>
      <c r="I331" s="91">
        <f t="shared" ca="1" si="54"/>
        <v>2786</v>
      </c>
      <c r="J331" s="91">
        <f ca="1">VLOOKUP(B331,'115+740'!$B$15:$AB$757,13,FALSE)</f>
        <v>-214</v>
      </c>
      <c r="K331" s="89">
        <f>'115+740'!Q332</f>
        <v>1</v>
      </c>
      <c r="L331" s="88">
        <f t="shared" ca="1" si="59"/>
        <v>254</v>
      </c>
      <c r="M331" s="93">
        <f ca="1">VLOOKUP(B331,'115+740'!$B$14:$AB$757,21,FALSE)</f>
        <v>2267</v>
      </c>
      <c r="N331" s="92">
        <f ca="1">VLOOKUP(B331,'115+740'!$B$15:$AB$757,5,FALSE)</f>
        <v>120</v>
      </c>
      <c r="O331" s="91">
        <f t="shared" ca="1" si="55"/>
        <v>2757</v>
      </c>
      <c r="P331" s="91">
        <f ca="1">VLOOKUP(B331,'115+740'!$B$15:$AB$757,14,FALSE)</f>
        <v>-243</v>
      </c>
      <c r="Q331" s="89">
        <f>'115+740'!R332</f>
        <v>0</v>
      </c>
      <c r="R331" s="88">
        <f t="shared" ca="1" si="60"/>
        <v>233</v>
      </c>
      <c r="S331" s="93">
        <f ca="1">VLOOKUP(B331,'115+740'!$B$14:$AB$757,22,FALSE)</f>
        <v>2278</v>
      </c>
      <c r="T331" s="92">
        <f ca="1">VLOOKUP(B331,'115+740'!$B$15:$AB$757,6,FALSE)</f>
        <v>139</v>
      </c>
      <c r="U331" s="91">
        <f t="shared" ca="1" si="56"/>
        <v>2738</v>
      </c>
      <c r="V331" s="90">
        <f ca="1">VLOOKUP(B331,'115+740'!$B$15:$AB$757,15,FALSE)</f>
        <v>-262</v>
      </c>
      <c r="W331" s="89">
        <f>'115+740'!S332</f>
        <v>2</v>
      </c>
      <c r="X331" s="88">
        <f t="shared" ca="1" si="61"/>
        <v>222</v>
      </c>
      <c r="Y331" s="87">
        <f t="shared" ca="1" si="62"/>
        <v>-2</v>
      </c>
      <c r="Z331" s="86">
        <f t="shared" ca="1" si="63"/>
        <v>0</v>
      </c>
      <c r="AA331" s="85">
        <f t="shared" ca="1" si="64"/>
        <v>2.468</v>
      </c>
      <c r="AB331" s="85">
        <f t="shared" ca="1" si="65"/>
        <v>2.044</v>
      </c>
    </row>
    <row r="332" spans="2:28">
      <c r="B332" s="98">
        <f>'115+740'!B333</f>
        <v>45391</v>
      </c>
      <c r="C332" s="97">
        <f t="shared" si="57"/>
        <v>1</v>
      </c>
      <c r="D332" s="96">
        <f t="shared" si="58"/>
        <v>1069</v>
      </c>
      <c r="E332" s="95">
        <f>VLOOKUP(B332,'115+740'!B333:AB434,3,FALSE)</f>
        <v>1810</v>
      </c>
      <c r="F332" s="92">
        <f t="shared" si="53"/>
        <v>2879</v>
      </c>
      <c r="G332" s="94">
        <f ca="1">VLOOKUP(B332,'115+740'!$B$15:$AB$757,20,FALSE)</f>
        <v>2246</v>
      </c>
      <c r="H332" s="94">
        <f ca="1">VLOOKUP(B332,'115+740'!$B$15:$AB$757,4,FALSE)</f>
        <v>93</v>
      </c>
      <c r="I332" s="91">
        <f t="shared" ca="1" si="54"/>
        <v>2786</v>
      </c>
      <c r="J332" s="91">
        <f ca="1">VLOOKUP(B332,'115+740'!$B$15:$AB$757,13,FALSE)</f>
        <v>-214</v>
      </c>
      <c r="K332" s="89">
        <f>'115+740'!Q333</f>
        <v>0</v>
      </c>
      <c r="L332" s="88">
        <f t="shared" ca="1" si="59"/>
        <v>254</v>
      </c>
      <c r="M332" s="93">
        <f ca="1">VLOOKUP(B332,'115+740'!$B$14:$AB$757,21,FALSE)</f>
        <v>2266</v>
      </c>
      <c r="N332" s="92">
        <f ca="1">VLOOKUP(B332,'115+740'!$B$15:$AB$757,5,FALSE)</f>
        <v>123</v>
      </c>
      <c r="O332" s="91">
        <f t="shared" ca="1" si="55"/>
        <v>2756</v>
      </c>
      <c r="P332" s="91">
        <f ca="1">VLOOKUP(B332,'115+740'!$B$15:$AB$757,14,FALSE)</f>
        <v>-244</v>
      </c>
      <c r="Q332" s="89">
        <f>'115+740'!R333</f>
        <v>1</v>
      </c>
      <c r="R332" s="88">
        <f t="shared" ca="1" si="60"/>
        <v>234</v>
      </c>
      <c r="S332" s="93">
        <f ca="1">VLOOKUP(B332,'115+740'!$B$14:$AB$757,22,FALSE)</f>
        <v>2278</v>
      </c>
      <c r="T332" s="92">
        <f ca="1">VLOOKUP(B332,'115+740'!$B$15:$AB$757,6,FALSE)</f>
        <v>141</v>
      </c>
      <c r="U332" s="91">
        <f t="shared" ca="1" si="56"/>
        <v>2738</v>
      </c>
      <c r="V332" s="90">
        <f ca="1">VLOOKUP(B332,'115+740'!$B$15:$AB$757,15,FALSE)</f>
        <v>-262</v>
      </c>
      <c r="W332" s="89">
        <f>'115+740'!S333</f>
        <v>0</v>
      </c>
      <c r="X332" s="88">
        <f t="shared" ca="1" si="61"/>
        <v>222</v>
      </c>
      <c r="Y332" s="87">
        <f t="shared" ca="1" si="62"/>
        <v>0</v>
      </c>
      <c r="Z332" s="86">
        <f t="shared" ca="1" si="63"/>
        <v>0</v>
      </c>
      <c r="AA332" s="85">
        <f t="shared" ca="1" si="64"/>
        <v>2.468</v>
      </c>
      <c r="AB332" s="85">
        <f t="shared" ca="1" si="65"/>
        <v>2.0419999999999998</v>
      </c>
    </row>
    <row r="333" spans="2:28">
      <c r="B333" s="98">
        <f>'115+740'!B334</f>
        <v>45392</v>
      </c>
      <c r="C333" s="97">
        <f t="shared" si="57"/>
        <v>1</v>
      </c>
      <c r="D333" s="96">
        <f t="shared" si="58"/>
        <v>1069</v>
      </c>
      <c r="E333" s="95">
        <f>VLOOKUP(B333,'115+740'!B334:AB435,3,FALSE)</f>
        <v>1812</v>
      </c>
      <c r="F333" s="92">
        <f t="shared" ref="F333:F396" si="66">D333+E333</f>
        <v>2881</v>
      </c>
      <c r="G333" s="94">
        <f ca="1">VLOOKUP(B333,'115+740'!$B$15:$AB$757,20,FALSE)</f>
        <v>2245</v>
      </c>
      <c r="H333" s="94">
        <f ca="1">VLOOKUP(B333,'115+740'!$B$15:$AB$757,4,FALSE)</f>
        <v>96</v>
      </c>
      <c r="I333" s="91">
        <f t="shared" ref="I333:I396" ca="1" si="67">F333-H333</f>
        <v>2785</v>
      </c>
      <c r="J333" s="91">
        <f ca="1">VLOOKUP(B333,'115+740'!$B$15:$AB$757,13,FALSE)</f>
        <v>-215</v>
      </c>
      <c r="K333" s="89">
        <f>'115+740'!Q334</f>
        <v>1</v>
      </c>
      <c r="L333" s="88">
        <f t="shared" ca="1" si="59"/>
        <v>255</v>
      </c>
      <c r="M333" s="93">
        <f ca="1">VLOOKUP(B333,'115+740'!$B$14:$AB$757,21,FALSE)</f>
        <v>2265</v>
      </c>
      <c r="N333" s="92">
        <f ca="1">VLOOKUP(B333,'115+740'!$B$15:$AB$757,5,FALSE)</f>
        <v>126</v>
      </c>
      <c r="O333" s="91">
        <f t="shared" ref="O333:O396" ca="1" si="68">F333-N333</f>
        <v>2755</v>
      </c>
      <c r="P333" s="91">
        <f ca="1">VLOOKUP(B333,'115+740'!$B$15:$AB$757,14,FALSE)</f>
        <v>-245</v>
      </c>
      <c r="Q333" s="89">
        <f>'115+740'!R334</f>
        <v>1</v>
      </c>
      <c r="R333" s="88">
        <f t="shared" ca="1" si="60"/>
        <v>235</v>
      </c>
      <c r="S333" s="93">
        <f ca="1">VLOOKUP(B333,'115+740'!$B$14:$AB$757,22,FALSE)</f>
        <v>2277</v>
      </c>
      <c r="T333" s="92">
        <f ca="1">VLOOKUP(B333,'115+740'!$B$15:$AB$757,6,FALSE)</f>
        <v>144</v>
      </c>
      <c r="U333" s="91">
        <f t="shared" ref="U333:U396" ca="1" si="69">F333-T333</f>
        <v>2737</v>
      </c>
      <c r="V333" s="90">
        <f ca="1">VLOOKUP(B333,'115+740'!$B$15:$AB$757,15,FALSE)</f>
        <v>-263</v>
      </c>
      <c r="W333" s="89">
        <f>'115+740'!S334</f>
        <v>1</v>
      </c>
      <c r="X333" s="88">
        <f t="shared" ca="1" si="61"/>
        <v>223</v>
      </c>
      <c r="Y333" s="87">
        <f t="shared" ca="1" si="62"/>
        <v>-1</v>
      </c>
      <c r="Z333" s="86">
        <f t="shared" ca="1" si="63"/>
        <v>0</v>
      </c>
      <c r="AA333" s="85">
        <f t="shared" ca="1" si="64"/>
        <v>2.468</v>
      </c>
      <c r="AB333" s="85">
        <f t="shared" ca="1" si="65"/>
        <v>2.04</v>
      </c>
    </row>
    <row r="334" spans="2:28">
      <c r="B334" s="98">
        <f>'115+740'!B335</f>
        <v>45393</v>
      </c>
      <c r="C334" s="97">
        <f t="shared" ref="C334:C397" si="70">B334-B333</f>
        <v>1</v>
      </c>
      <c r="D334" s="96">
        <f t="shared" ref="D334:D397" si="71">D333</f>
        <v>1069</v>
      </c>
      <c r="E334" s="95">
        <f>VLOOKUP(B334,'115+740'!B335:AB436,3,FALSE)</f>
        <v>1814</v>
      </c>
      <c r="F334" s="92">
        <f t="shared" si="66"/>
        <v>2883</v>
      </c>
      <c r="G334" s="94">
        <f ca="1">VLOOKUP(B334,'115+740'!$B$15:$AB$757,20,FALSE)</f>
        <v>2245</v>
      </c>
      <c r="H334" s="94">
        <f ca="1">VLOOKUP(B334,'115+740'!$B$15:$AB$757,4,FALSE)</f>
        <v>98</v>
      </c>
      <c r="I334" s="91">
        <f t="shared" ca="1" si="67"/>
        <v>2785</v>
      </c>
      <c r="J334" s="91">
        <f ca="1">VLOOKUP(B334,'115+740'!$B$15:$AB$757,13,FALSE)</f>
        <v>-215</v>
      </c>
      <c r="K334" s="89">
        <f>'115+740'!Q335</f>
        <v>0</v>
      </c>
      <c r="L334" s="88">
        <f t="shared" ref="L334:L397" ca="1" si="72">+K334+L333</f>
        <v>255</v>
      </c>
      <c r="M334" s="93">
        <f ca="1">VLOOKUP(B334,'115+740'!$B$14:$AB$757,21,FALSE)</f>
        <v>2265</v>
      </c>
      <c r="N334" s="92">
        <f ca="1">VLOOKUP(B334,'115+740'!$B$15:$AB$757,5,FALSE)</f>
        <v>128</v>
      </c>
      <c r="O334" s="91">
        <f t="shared" ca="1" si="68"/>
        <v>2755</v>
      </c>
      <c r="P334" s="91">
        <f ca="1">VLOOKUP(B334,'115+740'!$B$15:$AB$757,14,FALSE)</f>
        <v>-245</v>
      </c>
      <c r="Q334" s="89">
        <f>'115+740'!R335</f>
        <v>0</v>
      </c>
      <c r="R334" s="88">
        <f t="shared" ref="R334:R397" ca="1" si="73">+Q334+R333</f>
        <v>235</v>
      </c>
      <c r="S334" s="93">
        <f ca="1">VLOOKUP(B334,'115+740'!$B$14:$AB$757,22,FALSE)</f>
        <v>2277</v>
      </c>
      <c r="T334" s="92">
        <f ca="1">VLOOKUP(B334,'115+740'!$B$15:$AB$757,6,FALSE)</f>
        <v>146</v>
      </c>
      <c r="U334" s="91">
        <f t="shared" ca="1" si="69"/>
        <v>2737</v>
      </c>
      <c r="V334" s="90">
        <f ca="1">VLOOKUP(B334,'115+740'!$B$15:$AB$757,15,FALSE)</f>
        <v>-263</v>
      </c>
      <c r="W334" s="89">
        <f>'115+740'!S335</f>
        <v>0</v>
      </c>
      <c r="X334" s="88">
        <f t="shared" ref="X334:X397" ca="1" si="74">+W334+X333</f>
        <v>223</v>
      </c>
      <c r="Y334" s="87">
        <f t="shared" ref="Y334:Y397" ca="1" si="75">S334-S333</f>
        <v>0</v>
      </c>
      <c r="Z334" s="86">
        <f t="shared" ref="Z334:Z397" ca="1" si="76">IF(Y334&gt;0,Y334,0)/1000</f>
        <v>0</v>
      </c>
      <c r="AA334" s="85">
        <f t="shared" ref="AA334:AA397" ca="1" si="77">AA333+Z334</f>
        <v>2.468</v>
      </c>
      <c r="AB334" s="85">
        <f t="shared" ref="AB334:AB397" ca="1" si="78">(M334-$M$13-R334)/1000</f>
        <v>2.04</v>
      </c>
    </row>
    <row r="335" spans="2:28">
      <c r="B335" s="98">
        <f>'115+740'!B336</f>
        <v>45394</v>
      </c>
      <c r="C335" s="97">
        <f t="shared" si="70"/>
        <v>1</v>
      </c>
      <c r="D335" s="96">
        <f t="shared" si="71"/>
        <v>1069</v>
      </c>
      <c r="E335" s="95">
        <f>VLOOKUP(B335,'115+740'!B336:AB437,3,FALSE)</f>
        <v>1816</v>
      </c>
      <c r="F335" s="92">
        <f t="shared" si="66"/>
        <v>2885</v>
      </c>
      <c r="G335" s="94">
        <f ca="1">VLOOKUP(B335,'115+740'!$B$15:$AB$757,20,FALSE)</f>
        <v>2245</v>
      </c>
      <c r="H335" s="94">
        <f ca="1">VLOOKUP(B335,'115+740'!$B$15:$AB$757,4,FALSE)</f>
        <v>100</v>
      </c>
      <c r="I335" s="91">
        <f t="shared" ca="1" si="67"/>
        <v>2785</v>
      </c>
      <c r="J335" s="91">
        <f ca="1">VLOOKUP(B335,'115+740'!$B$15:$AB$757,13,FALSE)</f>
        <v>-215</v>
      </c>
      <c r="K335" s="89">
        <f>'115+740'!Q336</f>
        <v>0</v>
      </c>
      <c r="L335" s="88">
        <f t="shared" ca="1" si="72"/>
        <v>255</v>
      </c>
      <c r="M335" s="93">
        <f ca="1">VLOOKUP(B335,'115+740'!$B$14:$AB$757,21,FALSE)</f>
        <v>2264</v>
      </c>
      <c r="N335" s="92">
        <f ca="1">VLOOKUP(B335,'115+740'!$B$15:$AB$757,5,FALSE)</f>
        <v>131</v>
      </c>
      <c r="O335" s="91">
        <f t="shared" ca="1" si="68"/>
        <v>2754</v>
      </c>
      <c r="P335" s="91">
        <f ca="1">VLOOKUP(B335,'115+740'!$B$15:$AB$757,14,FALSE)</f>
        <v>-246</v>
      </c>
      <c r="Q335" s="89">
        <f>'115+740'!R336</f>
        <v>1</v>
      </c>
      <c r="R335" s="88">
        <f t="shared" ca="1" si="73"/>
        <v>236</v>
      </c>
      <c r="S335" s="93">
        <f ca="1">VLOOKUP(B335,'115+740'!$B$14:$AB$757,22,FALSE)</f>
        <v>2277</v>
      </c>
      <c r="T335" s="92">
        <f ca="1">VLOOKUP(B335,'115+740'!$B$15:$AB$757,6,FALSE)</f>
        <v>148</v>
      </c>
      <c r="U335" s="91">
        <f t="shared" ca="1" si="69"/>
        <v>2737</v>
      </c>
      <c r="V335" s="90">
        <f ca="1">VLOOKUP(B335,'115+740'!$B$15:$AB$757,15,FALSE)</f>
        <v>-263</v>
      </c>
      <c r="W335" s="89">
        <f>'115+740'!S336</f>
        <v>0</v>
      </c>
      <c r="X335" s="88">
        <f t="shared" ca="1" si="74"/>
        <v>223</v>
      </c>
      <c r="Y335" s="87">
        <f t="shared" ca="1" si="75"/>
        <v>0</v>
      </c>
      <c r="Z335" s="86">
        <f t="shared" ca="1" si="76"/>
        <v>0</v>
      </c>
      <c r="AA335" s="85">
        <f t="shared" ca="1" si="77"/>
        <v>2.468</v>
      </c>
      <c r="AB335" s="85">
        <f t="shared" ca="1" si="78"/>
        <v>2.0379999999999998</v>
      </c>
    </row>
    <row r="336" spans="2:28">
      <c r="B336" s="98">
        <f>'115+740'!B337</f>
        <v>45395</v>
      </c>
      <c r="C336" s="97">
        <f t="shared" si="70"/>
        <v>1</v>
      </c>
      <c r="D336" s="96">
        <f t="shared" si="71"/>
        <v>1069</v>
      </c>
      <c r="E336" s="95">
        <f>VLOOKUP(B336,'115+740'!B337:AB438,3,FALSE)</f>
        <v>1818</v>
      </c>
      <c r="F336" s="92">
        <f t="shared" si="66"/>
        <v>2887</v>
      </c>
      <c r="G336" s="94">
        <f ca="1">VLOOKUP(B336,'115+740'!$B$15:$AB$757,20,FALSE)</f>
        <v>2245</v>
      </c>
      <c r="H336" s="94">
        <f ca="1">VLOOKUP(B336,'115+740'!$B$15:$AB$757,4,FALSE)</f>
        <v>102</v>
      </c>
      <c r="I336" s="91">
        <f t="shared" ca="1" si="67"/>
        <v>2785</v>
      </c>
      <c r="J336" s="91">
        <f ca="1">VLOOKUP(B336,'115+740'!$B$15:$AB$757,13,FALSE)</f>
        <v>-215</v>
      </c>
      <c r="K336" s="89">
        <f>'115+740'!Q337</f>
        <v>0</v>
      </c>
      <c r="L336" s="88">
        <f t="shared" ca="1" si="72"/>
        <v>255</v>
      </c>
      <c r="M336" s="93">
        <f ca="1">VLOOKUP(B336,'115+740'!$B$14:$AB$757,21,FALSE)</f>
        <v>2263</v>
      </c>
      <c r="N336" s="92">
        <f ca="1">VLOOKUP(B336,'115+740'!$B$15:$AB$757,5,FALSE)</f>
        <v>134</v>
      </c>
      <c r="O336" s="91">
        <f t="shared" ca="1" si="68"/>
        <v>2753</v>
      </c>
      <c r="P336" s="91">
        <f ca="1">VLOOKUP(B336,'115+740'!$B$15:$AB$757,14,FALSE)</f>
        <v>-247</v>
      </c>
      <c r="Q336" s="89">
        <f>'115+740'!R337</f>
        <v>1</v>
      </c>
      <c r="R336" s="88">
        <f t="shared" ca="1" si="73"/>
        <v>237</v>
      </c>
      <c r="S336" s="93">
        <f ca="1">VLOOKUP(B336,'115+740'!$B$14:$AB$757,22,FALSE)</f>
        <v>2276</v>
      </c>
      <c r="T336" s="92">
        <f ca="1">VLOOKUP(B336,'115+740'!$B$15:$AB$757,6,FALSE)</f>
        <v>151</v>
      </c>
      <c r="U336" s="91">
        <f t="shared" ca="1" si="69"/>
        <v>2736</v>
      </c>
      <c r="V336" s="90">
        <f ca="1">VLOOKUP(B336,'115+740'!$B$15:$AB$757,15,FALSE)</f>
        <v>-264</v>
      </c>
      <c r="W336" s="89">
        <f>'115+740'!S337</f>
        <v>1</v>
      </c>
      <c r="X336" s="88">
        <f t="shared" ca="1" si="74"/>
        <v>224</v>
      </c>
      <c r="Y336" s="87">
        <f t="shared" ca="1" si="75"/>
        <v>-1</v>
      </c>
      <c r="Z336" s="86">
        <f t="shared" ca="1" si="76"/>
        <v>0</v>
      </c>
      <c r="AA336" s="85">
        <f t="shared" ca="1" si="77"/>
        <v>2.468</v>
      </c>
      <c r="AB336" s="85">
        <f t="shared" ca="1" si="78"/>
        <v>2.036</v>
      </c>
    </row>
    <row r="337" spans="2:28">
      <c r="B337" s="98">
        <f>'115+740'!B338</f>
        <v>45396</v>
      </c>
      <c r="C337" s="97">
        <f t="shared" si="70"/>
        <v>1</v>
      </c>
      <c r="D337" s="96">
        <f t="shared" si="71"/>
        <v>1069</v>
      </c>
      <c r="E337" s="95">
        <f>VLOOKUP(B337,'115+740'!B338:AB439,3,FALSE)</f>
        <v>1820</v>
      </c>
      <c r="F337" s="92">
        <f t="shared" si="66"/>
        <v>2889</v>
      </c>
      <c r="G337" s="94">
        <f ca="1">VLOOKUP(B337,'115+740'!$B$15:$AB$757,20,FALSE)</f>
        <v>2245</v>
      </c>
      <c r="H337" s="94">
        <f ca="1">VLOOKUP(B337,'115+740'!$B$15:$AB$757,4,FALSE)</f>
        <v>104</v>
      </c>
      <c r="I337" s="91">
        <f t="shared" ca="1" si="67"/>
        <v>2785</v>
      </c>
      <c r="J337" s="91">
        <f ca="1">VLOOKUP(B337,'115+740'!$B$15:$AB$757,13,FALSE)</f>
        <v>-215</v>
      </c>
      <c r="K337" s="89">
        <f>'115+740'!Q338</f>
        <v>0</v>
      </c>
      <c r="L337" s="88">
        <f t="shared" ca="1" si="72"/>
        <v>255</v>
      </c>
      <c r="M337" s="93">
        <f ca="1">VLOOKUP(B337,'115+740'!$B$14:$AB$757,21,FALSE)</f>
        <v>2263</v>
      </c>
      <c r="N337" s="92">
        <f ca="1">VLOOKUP(B337,'115+740'!$B$15:$AB$757,5,FALSE)</f>
        <v>136</v>
      </c>
      <c r="O337" s="91">
        <f t="shared" ca="1" si="68"/>
        <v>2753</v>
      </c>
      <c r="P337" s="91">
        <f ca="1">VLOOKUP(B337,'115+740'!$B$15:$AB$757,14,FALSE)</f>
        <v>-247</v>
      </c>
      <c r="Q337" s="89">
        <f>'115+740'!R338</f>
        <v>0</v>
      </c>
      <c r="R337" s="88">
        <f t="shared" ca="1" si="73"/>
        <v>237</v>
      </c>
      <c r="S337" s="93">
        <f ca="1">VLOOKUP(B337,'115+740'!$B$14:$AB$757,22,FALSE)</f>
        <v>2276</v>
      </c>
      <c r="T337" s="92">
        <f ca="1">VLOOKUP(B337,'115+740'!$B$15:$AB$757,6,FALSE)</f>
        <v>153</v>
      </c>
      <c r="U337" s="91">
        <f t="shared" ca="1" si="69"/>
        <v>2736</v>
      </c>
      <c r="V337" s="90">
        <f ca="1">VLOOKUP(B337,'115+740'!$B$15:$AB$757,15,FALSE)</f>
        <v>-264</v>
      </c>
      <c r="W337" s="89">
        <f>'115+740'!S338</f>
        <v>0</v>
      </c>
      <c r="X337" s="88">
        <f t="shared" ca="1" si="74"/>
        <v>224</v>
      </c>
      <c r="Y337" s="87">
        <f t="shared" ca="1" si="75"/>
        <v>0</v>
      </c>
      <c r="Z337" s="86">
        <f t="shared" ca="1" si="76"/>
        <v>0</v>
      </c>
      <c r="AA337" s="85">
        <f t="shared" ca="1" si="77"/>
        <v>2.468</v>
      </c>
      <c r="AB337" s="85">
        <f t="shared" ca="1" si="78"/>
        <v>2.036</v>
      </c>
    </row>
    <row r="338" spans="2:28">
      <c r="B338" s="98">
        <f>'115+740'!B339</f>
        <v>45397</v>
      </c>
      <c r="C338" s="97">
        <f t="shared" si="70"/>
        <v>1</v>
      </c>
      <c r="D338" s="96">
        <f t="shared" si="71"/>
        <v>1069</v>
      </c>
      <c r="E338" s="95">
        <f>VLOOKUP(B338,'115+740'!B339:AB440,3,FALSE)</f>
        <v>1822</v>
      </c>
      <c r="F338" s="92">
        <f t="shared" si="66"/>
        <v>2891</v>
      </c>
      <c r="G338" s="94">
        <f ca="1">VLOOKUP(B338,'115+740'!$B$15:$AB$757,20,FALSE)</f>
        <v>2245</v>
      </c>
      <c r="H338" s="94">
        <f ca="1">VLOOKUP(B338,'115+740'!$B$15:$AB$757,4,FALSE)</f>
        <v>106</v>
      </c>
      <c r="I338" s="91">
        <f t="shared" ca="1" si="67"/>
        <v>2785</v>
      </c>
      <c r="J338" s="91">
        <f ca="1">VLOOKUP(B338,'115+740'!$B$15:$AB$757,13,FALSE)</f>
        <v>-215</v>
      </c>
      <c r="K338" s="89">
        <f>'115+740'!Q339</f>
        <v>0</v>
      </c>
      <c r="L338" s="88">
        <f t="shared" ca="1" si="72"/>
        <v>255</v>
      </c>
      <c r="M338" s="93">
        <f ca="1">VLOOKUP(B338,'115+740'!$B$14:$AB$757,21,FALSE)</f>
        <v>2263</v>
      </c>
      <c r="N338" s="92">
        <f ca="1">VLOOKUP(B338,'115+740'!$B$15:$AB$757,5,FALSE)</f>
        <v>138</v>
      </c>
      <c r="O338" s="91">
        <f t="shared" ca="1" si="68"/>
        <v>2753</v>
      </c>
      <c r="P338" s="91">
        <f ca="1">VLOOKUP(B338,'115+740'!$B$15:$AB$757,14,FALSE)</f>
        <v>-247</v>
      </c>
      <c r="Q338" s="89">
        <f>'115+740'!R339</f>
        <v>0</v>
      </c>
      <c r="R338" s="88">
        <f t="shared" ca="1" si="73"/>
        <v>237</v>
      </c>
      <c r="S338" s="93">
        <f ca="1">VLOOKUP(B338,'115+740'!$B$14:$AB$757,22,FALSE)</f>
        <v>2276</v>
      </c>
      <c r="T338" s="92">
        <f ca="1">VLOOKUP(B338,'115+740'!$B$15:$AB$757,6,FALSE)</f>
        <v>155</v>
      </c>
      <c r="U338" s="91">
        <f t="shared" ca="1" si="69"/>
        <v>2736</v>
      </c>
      <c r="V338" s="90">
        <f ca="1">VLOOKUP(B338,'115+740'!$B$15:$AB$757,15,FALSE)</f>
        <v>-264</v>
      </c>
      <c r="W338" s="89">
        <f>'115+740'!S339</f>
        <v>0</v>
      </c>
      <c r="X338" s="88">
        <f t="shared" ca="1" si="74"/>
        <v>224</v>
      </c>
      <c r="Y338" s="87">
        <f t="shared" ca="1" si="75"/>
        <v>0</v>
      </c>
      <c r="Z338" s="86">
        <f t="shared" ca="1" si="76"/>
        <v>0</v>
      </c>
      <c r="AA338" s="85">
        <f t="shared" ca="1" si="77"/>
        <v>2.468</v>
      </c>
      <c r="AB338" s="85">
        <f t="shared" ca="1" si="78"/>
        <v>2.036</v>
      </c>
    </row>
    <row r="339" spans="2:28">
      <c r="B339" s="98">
        <f>'115+740'!B340</f>
        <v>45398</v>
      </c>
      <c r="C339" s="97">
        <f t="shared" si="70"/>
        <v>1</v>
      </c>
      <c r="D339" s="96">
        <f t="shared" si="71"/>
        <v>1069</v>
      </c>
      <c r="E339" s="95">
        <f>VLOOKUP(B339,'115+740'!B340:AB441,3,FALSE)</f>
        <v>1824</v>
      </c>
      <c r="F339" s="92">
        <f t="shared" si="66"/>
        <v>2893</v>
      </c>
      <c r="G339" s="94">
        <f ca="1">VLOOKUP(B339,'115+740'!$B$15:$AB$757,20,FALSE)</f>
        <v>2245</v>
      </c>
      <c r="H339" s="94">
        <f ca="1">VLOOKUP(B339,'115+740'!$B$15:$AB$757,4,FALSE)</f>
        <v>108</v>
      </c>
      <c r="I339" s="91">
        <f t="shared" ca="1" si="67"/>
        <v>2785</v>
      </c>
      <c r="J339" s="91">
        <f ca="1">VLOOKUP(B339,'115+740'!$B$15:$AB$757,13,FALSE)</f>
        <v>-215</v>
      </c>
      <c r="K339" s="89">
        <f>'115+740'!Q340</f>
        <v>0</v>
      </c>
      <c r="L339" s="88">
        <f t="shared" ca="1" si="72"/>
        <v>255</v>
      </c>
      <c r="M339" s="93">
        <f ca="1">VLOOKUP(B339,'115+740'!$B$14:$AB$757,21,FALSE)</f>
        <v>2263</v>
      </c>
      <c r="N339" s="92">
        <f ca="1">VLOOKUP(B339,'115+740'!$B$15:$AB$757,5,FALSE)</f>
        <v>140</v>
      </c>
      <c r="O339" s="91">
        <f t="shared" ca="1" si="68"/>
        <v>2753</v>
      </c>
      <c r="P339" s="91">
        <f ca="1">VLOOKUP(B339,'115+740'!$B$15:$AB$757,14,FALSE)</f>
        <v>-247</v>
      </c>
      <c r="Q339" s="89">
        <f>'115+740'!R340</f>
        <v>0</v>
      </c>
      <c r="R339" s="88">
        <f t="shared" ca="1" si="73"/>
        <v>237</v>
      </c>
      <c r="S339" s="93">
        <f ca="1">VLOOKUP(B339,'115+740'!$B$14:$AB$757,22,FALSE)</f>
        <v>2276</v>
      </c>
      <c r="T339" s="92">
        <f ca="1">VLOOKUP(B339,'115+740'!$B$15:$AB$757,6,FALSE)</f>
        <v>157</v>
      </c>
      <c r="U339" s="91">
        <f t="shared" ca="1" si="69"/>
        <v>2736</v>
      </c>
      <c r="V339" s="90">
        <f ca="1">VLOOKUP(B339,'115+740'!$B$15:$AB$757,15,FALSE)</f>
        <v>-264</v>
      </c>
      <c r="W339" s="89">
        <f>'115+740'!S340</f>
        <v>0</v>
      </c>
      <c r="X339" s="88">
        <f t="shared" ca="1" si="74"/>
        <v>224</v>
      </c>
      <c r="Y339" s="87">
        <f t="shared" ca="1" si="75"/>
        <v>0</v>
      </c>
      <c r="Z339" s="86">
        <f t="shared" ca="1" si="76"/>
        <v>0</v>
      </c>
      <c r="AA339" s="85">
        <f t="shared" ca="1" si="77"/>
        <v>2.468</v>
      </c>
      <c r="AB339" s="85">
        <f t="shared" ca="1" si="78"/>
        <v>2.036</v>
      </c>
    </row>
    <row r="340" spans="2:28">
      <c r="B340" s="98">
        <f>'115+740'!B341</f>
        <v>45399</v>
      </c>
      <c r="C340" s="97">
        <f t="shared" si="70"/>
        <v>1</v>
      </c>
      <c r="D340" s="96">
        <f t="shared" si="71"/>
        <v>1069</v>
      </c>
      <c r="E340" s="95">
        <f>VLOOKUP(B340,'115+740'!B341:AB442,3,FALSE)</f>
        <v>1826</v>
      </c>
      <c r="F340" s="92">
        <f t="shared" si="66"/>
        <v>2895</v>
      </c>
      <c r="G340" s="94">
        <f ca="1">VLOOKUP(B340,'115+740'!$B$15:$AB$757,20,FALSE)</f>
        <v>2245</v>
      </c>
      <c r="H340" s="94">
        <f ca="1">VLOOKUP(B340,'115+740'!$B$15:$AB$757,4,FALSE)</f>
        <v>110</v>
      </c>
      <c r="I340" s="91">
        <f t="shared" ca="1" si="67"/>
        <v>2785</v>
      </c>
      <c r="J340" s="91">
        <f ca="1">VLOOKUP(B340,'115+740'!$B$15:$AB$757,13,FALSE)</f>
        <v>-215</v>
      </c>
      <c r="K340" s="89">
        <f>'115+740'!Q341</f>
        <v>0</v>
      </c>
      <c r="L340" s="88">
        <f t="shared" ca="1" si="72"/>
        <v>255</v>
      </c>
      <c r="M340" s="93">
        <f ca="1">VLOOKUP(B340,'115+740'!$B$14:$AB$757,21,FALSE)</f>
        <v>2263</v>
      </c>
      <c r="N340" s="92">
        <f ca="1">VLOOKUP(B340,'115+740'!$B$15:$AB$757,5,FALSE)</f>
        <v>142</v>
      </c>
      <c r="O340" s="91">
        <f t="shared" ca="1" si="68"/>
        <v>2753</v>
      </c>
      <c r="P340" s="91">
        <f ca="1">VLOOKUP(B340,'115+740'!$B$15:$AB$757,14,FALSE)</f>
        <v>-247</v>
      </c>
      <c r="Q340" s="89">
        <f>'115+740'!R341</f>
        <v>0</v>
      </c>
      <c r="R340" s="88">
        <f t="shared" ca="1" si="73"/>
        <v>237</v>
      </c>
      <c r="S340" s="93">
        <f ca="1">VLOOKUP(B340,'115+740'!$B$14:$AB$757,22,FALSE)</f>
        <v>2276</v>
      </c>
      <c r="T340" s="92">
        <f ca="1">VLOOKUP(B340,'115+740'!$B$15:$AB$757,6,FALSE)</f>
        <v>159</v>
      </c>
      <c r="U340" s="91">
        <f t="shared" ca="1" si="69"/>
        <v>2736</v>
      </c>
      <c r="V340" s="90">
        <f ca="1">VLOOKUP(B340,'115+740'!$B$15:$AB$757,15,FALSE)</f>
        <v>-264</v>
      </c>
      <c r="W340" s="89">
        <f>'115+740'!S341</f>
        <v>0</v>
      </c>
      <c r="X340" s="88">
        <f t="shared" ca="1" si="74"/>
        <v>224</v>
      </c>
      <c r="Y340" s="87">
        <f t="shared" ca="1" si="75"/>
        <v>0</v>
      </c>
      <c r="Z340" s="86">
        <f t="shared" ca="1" si="76"/>
        <v>0</v>
      </c>
      <c r="AA340" s="85">
        <f t="shared" ca="1" si="77"/>
        <v>2.468</v>
      </c>
      <c r="AB340" s="85">
        <f t="shared" ca="1" si="78"/>
        <v>2.036</v>
      </c>
    </row>
    <row r="341" spans="2:28">
      <c r="B341" s="98">
        <f>'115+740'!B342</f>
        <v>45400</v>
      </c>
      <c r="C341" s="97">
        <f t="shared" si="70"/>
        <v>1</v>
      </c>
      <c r="D341" s="96">
        <f t="shared" si="71"/>
        <v>1069</v>
      </c>
      <c r="E341" s="95">
        <f>VLOOKUP(B341,'115+740'!B342:AB443,3,FALSE)</f>
        <v>1828</v>
      </c>
      <c r="F341" s="92">
        <f t="shared" si="66"/>
        <v>2897</v>
      </c>
      <c r="G341" s="94">
        <f ca="1">VLOOKUP(B341,'115+740'!$B$15:$AB$757,20,FALSE)</f>
        <v>2245</v>
      </c>
      <c r="H341" s="94">
        <f ca="1">VLOOKUP(B341,'115+740'!$B$15:$AB$757,4,FALSE)</f>
        <v>112</v>
      </c>
      <c r="I341" s="91">
        <f t="shared" ca="1" si="67"/>
        <v>2785</v>
      </c>
      <c r="J341" s="91">
        <f ca="1">VLOOKUP(B341,'115+740'!$B$15:$AB$757,13,FALSE)</f>
        <v>-215</v>
      </c>
      <c r="K341" s="89">
        <f>'115+740'!Q342</f>
        <v>0</v>
      </c>
      <c r="L341" s="88">
        <f t="shared" ca="1" si="72"/>
        <v>255</v>
      </c>
      <c r="M341" s="93">
        <f ca="1">VLOOKUP(B341,'115+740'!$B$14:$AB$757,21,FALSE)</f>
        <v>2263</v>
      </c>
      <c r="N341" s="92">
        <f ca="1">VLOOKUP(B341,'115+740'!$B$15:$AB$757,5,FALSE)</f>
        <v>144</v>
      </c>
      <c r="O341" s="91">
        <f t="shared" ca="1" si="68"/>
        <v>2753</v>
      </c>
      <c r="P341" s="91">
        <f ca="1">VLOOKUP(B341,'115+740'!$B$15:$AB$757,14,FALSE)</f>
        <v>-247</v>
      </c>
      <c r="Q341" s="89">
        <f>'115+740'!R342</f>
        <v>0</v>
      </c>
      <c r="R341" s="88">
        <f t="shared" ca="1" si="73"/>
        <v>237</v>
      </c>
      <c r="S341" s="93">
        <f ca="1">VLOOKUP(B341,'115+740'!$B$14:$AB$757,22,FALSE)</f>
        <v>2276</v>
      </c>
      <c r="T341" s="92">
        <f ca="1">VLOOKUP(B341,'115+740'!$B$15:$AB$757,6,FALSE)</f>
        <v>161</v>
      </c>
      <c r="U341" s="91">
        <f t="shared" ca="1" si="69"/>
        <v>2736</v>
      </c>
      <c r="V341" s="90">
        <f ca="1">VLOOKUP(B341,'115+740'!$B$15:$AB$757,15,FALSE)</f>
        <v>-264</v>
      </c>
      <c r="W341" s="89">
        <f>'115+740'!S342</f>
        <v>0</v>
      </c>
      <c r="X341" s="88">
        <f t="shared" ca="1" si="74"/>
        <v>224</v>
      </c>
      <c r="Y341" s="87">
        <f t="shared" ca="1" si="75"/>
        <v>0</v>
      </c>
      <c r="Z341" s="86">
        <f t="shared" ca="1" si="76"/>
        <v>0</v>
      </c>
      <c r="AA341" s="85">
        <f t="shared" ca="1" si="77"/>
        <v>2.468</v>
      </c>
      <c r="AB341" s="85">
        <f t="shared" ca="1" si="78"/>
        <v>2.036</v>
      </c>
    </row>
    <row r="342" spans="2:28">
      <c r="B342" s="98">
        <f>'115+740'!B343</f>
        <v>45401</v>
      </c>
      <c r="C342" s="97">
        <f t="shared" si="70"/>
        <v>1</v>
      </c>
      <c r="D342" s="96">
        <f t="shared" si="71"/>
        <v>1069</v>
      </c>
      <c r="E342" s="95">
        <f>VLOOKUP(B342,'115+740'!B343:AB444,3,FALSE)</f>
        <v>1830</v>
      </c>
      <c r="F342" s="92">
        <f t="shared" si="66"/>
        <v>2899</v>
      </c>
      <c r="G342" s="94">
        <f ca="1">VLOOKUP(B342,'115+740'!$B$15:$AB$757,20,FALSE)</f>
        <v>2245</v>
      </c>
      <c r="H342" s="94">
        <f ca="1">VLOOKUP(B342,'115+740'!$B$15:$AB$757,4,FALSE)</f>
        <v>114</v>
      </c>
      <c r="I342" s="91">
        <f t="shared" ca="1" si="67"/>
        <v>2785</v>
      </c>
      <c r="J342" s="91">
        <f ca="1">VLOOKUP(B342,'115+740'!$B$15:$AB$757,13,FALSE)</f>
        <v>-215</v>
      </c>
      <c r="K342" s="89">
        <f>'115+740'!Q343</f>
        <v>0</v>
      </c>
      <c r="L342" s="88">
        <f t="shared" ca="1" si="72"/>
        <v>255</v>
      </c>
      <c r="M342" s="93">
        <f ca="1">VLOOKUP(B342,'115+740'!$B$14:$AB$757,21,FALSE)</f>
        <v>2263</v>
      </c>
      <c r="N342" s="92">
        <f ca="1">VLOOKUP(B342,'115+740'!$B$15:$AB$757,5,FALSE)</f>
        <v>146</v>
      </c>
      <c r="O342" s="91">
        <f t="shared" ca="1" si="68"/>
        <v>2753</v>
      </c>
      <c r="P342" s="91">
        <f ca="1">VLOOKUP(B342,'115+740'!$B$15:$AB$757,14,FALSE)</f>
        <v>-247</v>
      </c>
      <c r="Q342" s="89">
        <f>'115+740'!R343</f>
        <v>0</v>
      </c>
      <c r="R342" s="88">
        <f t="shared" ca="1" si="73"/>
        <v>237</v>
      </c>
      <c r="S342" s="93">
        <f ca="1">VLOOKUP(B342,'115+740'!$B$14:$AB$757,22,FALSE)</f>
        <v>2276</v>
      </c>
      <c r="T342" s="92">
        <f ca="1">VLOOKUP(B342,'115+740'!$B$15:$AB$757,6,FALSE)</f>
        <v>163</v>
      </c>
      <c r="U342" s="91">
        <f t="shared" ca="1" si="69"/>
        <v>2736</v>
      </c>
      <c r="V342" s="90">
        <f ca="1">VLOOKUP(B342,'115+740'!$B$15:$AB$757,15,FALSE)</f>
        <v>-264</v>
      </c>
      <c r="W342" s="89">
        <f>'115+740'!S343</f>
        <v>0</v>
      </c>
      <c r="X342" s="88">
        <f t="shared" ca="1" si="74"/>
        <v>224</v>
      </c>
      <c r="Y342" s="87">
        <f t="shared" ca="1" si="75"/>
        <v>0</v>
      </c>
      <c r="Z342" s="86">
        <f t="shared" ca="1" si="76"/>
        <v>0</v>
      </c>
      <c r="AA342" s="85">
        <f t="shared" ca="1" si="77"/>
        <v>2.468</v>
      </c>
      <c r="AB342" s="85">
        <f t="shared" ca="1" si="78"/>
        <v>2.036</v>
      </c>
    </row>
    <row r="343" spans="2:28">
      <c r="B343" s="98">
        <f>'115+740'!B344</f>
        <v>45402</v>
      </c>
      <c r="C343" s="97">
        <f t="shared" si="70"/>
        <v>1</v>
      </c>
      <c r="D343" s="96">
        <f t="shared" si="71"/>
        <v>1069</v>
      </c>
      <c r="E343" s="95">
        <f>VLOOKUP(B343,'115+740'!B344:AB445,3,FALSE)</f>
        <v>1832</v>
      </c>
      <c r="F343" s="92">
        <f t="shared" si="66"/>
        <v>2901</v>
      </c>
      <c r="G343" s="94">
        <f ca="1">VLOOKUP(B343,'115+740'!$B$15:$AB$757,20,FALSE)</f>
        <v>2245</v>
      </c>
      <c r="H343" s="94">
        <f ca="1">VLOOKUP(B343,'115+740'!$B$15:$AB$757,4,FALSE)</f>
        <v>116</v>
      </c>
      <c r="I343" s="91">
        <f t="shared" ca="1" si="67"/>
        <v>2785</v>
      </c>
      <c r="J343" s="91">
        <f ca="1">VLOOKUP(B343,'115+740'!$B$15:$AB$757,13,FALSE)</f>
        <v>-215</v>
      </c>
      <c r="K343" s="89">
        <f>'115+740'!Q344</f>
        <v>0</v>
      </c>
      <c r="L343" s="88">
        <f t="shared" ca="1" si="72"/>
        <v>255</v>
      </c>
      <c r="M343" s="93">
        <f ca="1">VLOOKUP(B343,'115+740'!$B$14:$AB$757,21,FALSE)</f>
        <v>2263</v>
      </c>
      <c r="N343" s="92">
        <f ca="1">VLOOKUP(B343,'115+740'!$B$15:$AB$757,5,FALSE)</f>
        <v>148</v>
      </c>
      <c r="O343" s="91">
        <f t="shared" ca="1" si="68"/>
        <v>2753</v>
      </c>
      <c r="P343" s="91">
        <f ca="1">VLOOKUP(B343,'115+740'!$B$15:$AB$757,14,FALSE)</f>
        <v>-247</v>
      </c>
      <c r="Q343" s="89">
        <f>'115+740'!R344</f>
        <v>0</v>
      </c>
      <c r="R343" s="88">
        <f t="shared" ca="1" si="73"/>
        <v>237</v>
      </c>
      <c r="S343" s="93">
        <f ca="1">VLOOKUP(B343,'115+740'!$B$14:$AB$757,22,FALSE)</f>
        <v>2276</v>
      </c>
      <c r="T343" s="92">
        <f ca="1">VLOOKUP(B343,'115+740'!$B$15:$AB$757,6,FALSE)</f>
        <v>165</v>
      </c>
      <c r="U343" s="91">
        <f t="shared" ca="1" si="69"/>
        <v>2736</v>
      </c>
      <c r="V343" s="90">
        <f ca="1">VLOOKUP(B343,'115+740'!$B$15:$AB$757,15,FALSE)</f>
        <v>-264</v>
      </c>
      <c r="W343" s="89">
        <f>'115+740'!S344</f>
        <v>0</v>
      </c>
      <c r="X343" s="88">
        <f t="shared" ca="1" si="74"/>
        <v>224</v>
      </c>
      <c r="Y343" s="87">
        <f t="shared" ca="1" si="75"/>
        <v>0</v>
      </c>
      <c r="Z343" s="86">
        <f t="shared" ca="1" si="76"/>
        <v>0</v>
      </c>
      <c r="AA343" s="85">
        <f t="shared" ca="1" si="77"/>
        <v>2.468</v>
      </c>
      <c r="AB343" s="85">
        <f t="shared" ca="1" si="78"/>
        <v>2.036</v>
      </c>
    </row>
    <row r="344" spans="2:28">
      <c r="B344" s="98">
        <f>'115+740'!B345</f>
        <v>45403</v>
      </c>
      <c r="C344" s="97">
        <f t="shared" si="70"/>
        <v>1</v>
      </c>
      <c r="D344" s="96">
        <f t="shared" si="71"/>
        <v>1069</v>
      </c>
      <c r="E344" s="95">
        <f>VLOOKUP(B344,'115+740'!B345:AB446,3,FALSE)</f>
        <v>1834</v>
      </c>
      <c r="F344" s="92">
        <f t="shared" si="66"/>
        <v>2903</v>
      </c>
      <c r="G344" s="94">
        <f ca="1">VLOOKUP(B344,'115+740'!$B$15:$AB$757,20,FALSE)</f>
        <v>2245</v>
      </c>
      <c r="H344" s="94">
        <f ca="1">VLOOKUP(B344,'115+740'!$B$15:$AB$757,4,FALSE)</f>
        <v>118</v>
      </c>
      <c r="I344" s="91">
        <f t="shared" ca="1" si="67"/>
        <v>2785</v>
      </c>
      <c r="J344" s="91">
        <f ca="1">VLOOKUP(B344,'115+740'!$B$15:$AB$757,13,FALSE)</f>
        <v>-215</v>
      </c>
      <c r="K344" s="89">
        <f>'115+740'!Q345</f>
        <v>0</v>
      </c>
      <c r="L344" s="88">
        <f t="shared" ca="1" si="72"/>
        <v>255</v>
      </c>
      <c r="M344" s="93">
        <f ca="1">VLOOKUP(B344,'115+740'!$B$14:$AB$757,21,FALSE)</f>
        <v>2263</v>
      </c>
      <c r="N344" s="92">
        <f ca="1">VLOOKUP(B344,'115+740'!$B$15:$AB$757,5,FALSE)</f>
        <v>150</v>
      </c>
      <c r="O344" s="91">
        <f t="shared" ca="1" si="68"/>
        <v>2753</v>
      </c>
      <c r="P344" s="91">
        <f ca="1">VLOOKUP(B344,'115+740'!$B$15:$AB$757,14,FALSE)</f>
        <v>-247</v>
      </c>
      <c r="Q344" s="89">
        <f>'115+740'!R345</f>
        <v>0</v>
      </c>
      <c r="R344" s="88">
        <f t="shared" ca="1" si="73"/>
        <v>237</v>
      </c>
      <c r="S344" s="93">
        <f ca="1">VLOOKUP(B344,'115+740'!$B$14:$AB$757,22,FALSE)</f>
        <v>2276</v>
      </c>
      <c r="T344" s="92">
        <f ca="1">VLOOKUP(B344,'115+740'!$B$15:$AB$757,6,FALSE)</f>
        <v>167</v>
      </c>
      <c r="U344" s="91">
        <f t="shared" ca="1" si="69"/>
        <v>2736</v>
      </c>
      <c r="V344" s="90">
        <f ca="1">VLOOKUP(B344,'115+740'!$B$15:$AB$757,15,FALSE)</f>
        <v>-264</v>
      </c>
      <c r="W344" s="89">
        <f>'115+740'!S345</f>
        <v>0</v>
      </c>
      <c r="X344" s="88">
        <f t="shared" ca="1" si="74"/>
        <v>224</v>
      </c>
      <c r="Y344" s="87">
        <f t="shared" ca="1" si="75"/>
        <v>0</v>
      </c>
      <c r="Z344" s="86">
        <f t="shared" ca="1" si="76"/>
        <v>0</v>
      </c>
      <c r="AA344" s="85">
        <f t="shared" ca="1" si="77"/>
        <v>2.468</v>
      </c>
      <c r="AB344" s="85">
        <f t="shared" ca="1" si="78"/>
        <v>2.036</v>
      </c>
    </row>
    <row r="345" spans="2:28">
      <c r="B345" s="98">
        <f>'115+740'!B346</f>
        <v>45404</v>
      </c>
      <c r="C345" s="97">
        <f t="shared" si="70"/>
        <v>1</v>
      </c>
      <c r="D345" s="96">
        <f t="shared" si="71"/>
        <v>1069</v>
      </c>
      <c r="E345" s="95">
        <f>VLOOKUP(B345,'115+740'!B346:AB447,3,FALSE)</f>
        <v>1836</v>
      </c>
      <c r="F345" s="92">
        <f t="shared" si="66"/>
        <v>2905</v>
      </c>
      <c r="G345" s="94">
        <f ca="1">VLOOKUP(B345,'115+740'!$B$15:$AB$757,20,FALSE)</f>
        <v>2245</v>
      </c>
      <c r="H345" s="94">
        <f ca="1">VLOOKUP(B345,'115+740'!$B$15:$AB$757,4,FALSE)</f>
        <v>120</v>
      </c>
      <c r="I345" s="91">
        <f t="shared" ca="1" si="67"/>
        <v>2785</v>
      </c>
      <c r="J345" s="91">
        <f ca="1">VLOOKUP(B345,'115+740'!$B$15:$AB$757,13,FALSE)</f>
        <v>-215</v>
      </c>
      <c r="K345" s="89">
        <f>'115+740'!Q346</f>
        <v>0</v>
      </c>
      <c r="L345" s="88">
        <f t="shared" ca="1" si="72"/>
        <v>255</v>
      </c>
      <c r="M345" s="93">
        <f ca="1">VLOOKUP(B345,'115+740'!$B$14:$AB$757,21,FALSE)</f>
        <v>2263</v>
      </c>
      <c r="N345" s="92">
        <f ca="1">VLOOKUP(B345,'115+740'!$B$15:$AB$757,5,FALSE)</f>
        <v>152</v>
      </c>
      <c r="O345" s="91">
        <f t="shared" ca="1" si="68"/>
        <v>2753</v>
      </c>
      <c r="P345" s="91">
        <f ca="1">VLOOKUP(B345,'115+740'!$B$15:$AB$757,14,FALSE)</f>
        <v>-247</v>
      </c>
      <c r="Q345" s="89">
        <f>'115+740'!R346</f>
        <v>0</v>
      </c>
      <c r="R345" s="88">
        <f t="shared" ca="1" si="73"/>
        <v>237</v>
      </c>
      <c r="S345" s="93">
        <f ca="1">VLOOKUP(B345,'115+740'!$B$14:$AB$757,22,FALSE)</f>
        <v>2276</v>
      </c>
      <c r="T345" s="92">
        <f ca="1">VLOOKUP(B345,'115+740'!$B$15:$AB$757,6,FALSE)</f>
        <v>169</v>
      </c>
      <c r="U345" s="91">
        <f t="shared" ca="1" si="69"/>
        <v>2736</v>
      </c>
      <c r="V345" s="90">
        <f ca="1">VLOOKUP(B345,'115+740'!$B$15:$AB$757,15,FALSE)</f>
        <v>-264</v>
      </c>
      <c r="W345" s="89">
        <f>'115+740'!S346</f>
        <v>0</v>
      </c>
      <c r="X345" s="88">
        <f t="shared" ca="1" si="74"/>
        <v>224</v>
      </c>
      <c r="Y345" s="87">
        <f t="shared" ca="1" si="75"/>
        <v>0</v>
      </c>
      <c r="Z345" s="86">
        <f t="shared" ca="1" si="76"/>
        <v>0</v>
      </c>
      <c r="AA345" s="85">
        <f t="shared" ca="1" si="77"/>
        <v>2.468</v>
      </c>
      <c r="AB345" s="85">
        <f t="shared" ca="1" si="78"/>
        <v>2.036</v>
      </c>
    </row>
    <row r="346" spans="2:28">
      <c r="B346" s="98">
        <f>'115+740'!B347</f>
        <v>45405</v>
      </c>
      <c r="C346" s="97">
        <f t="shared" si="70"/>
        <v>1</v>
      </c>
      <c r="D346" s="96">
        <f t="shared" si="71"/>
        <v>1069</v>
      </c>
      <c r="E346" s="95">
        <f>VLOOKUP(B346,'115+740'!B347:AB448,3,FALSE)</f>
        <v>1838</v>
      </c>
      <c r="F346" s="92">
        <f t="shared" si="66"/>
        <v>2907</v>
      </c>
      <c r="G346" s="94">
        <f ca="1">VLOOKUP(B346,'115+740'!$B$15:$AB$757,20,FALSE)</f>
        <v>2245</v>
      </c>
      <c r="H346" s="94">
        <f ca="1">VLOOKUP(B346,'115+740'!$B$15:$AB$757,4,FALSE)</f>
        <v>122</v>
      </c>
      <c r="I346" s="91">
        <f t="shared" ca="1" si="67"/>
        <v>2785</v>
      </c>
      <c r="J346" s="91">
        <f ca="1">VLOOKUP(B346,'115+740'!$B$15:$AB$757,13,FALSE)</f>
        <v>-215</v>
      </c>
      <c r="K346" s="89">
        <f>'115+740'!Q347</f>
        <v>0</v>
      </c>
      <c r="L346" s="88">
        <f t="shared" ca="1" si="72"/>
        <v>255</v>
      </c>
      <c r="M346" s="93">
        <f ca="1">VLOOKUP(B346,'115+740'!$B$14:$AB$757,21,FALSE)</f>
        <v>2263</v>
      </c>
      <c r="N346" s="92">
        <f ca="1">VLOOKUP(B346,'115+740'!$B$15:$AB$757,5,FALSE)</f>
        <v>154</v>
      </c>
      <c r="O346" s="91">
        <f t="shared" ca="1" si="68"/>
        <v>2753</v>
      </c>
      <c r="P346" s="91">
        <f ca="1">VLOOKUP(B346,'115+740'!$B$15:$AB$757,14,FALSE)</f>
        <v>-247</v>
      </c>
      <c r="Q346" s="89">
        <f>'115+740'!R347</f>
        <v>0</v>
      </c>
      <c r="R346" s="88">
        <f t="shared" ca="1" si="73"/>
        <v>237</v>
      </c>
      <c r="S346" s="93">
        <f ca="1">VLOOKUP(B346,'115+740'!$B$14:$AB$757,22,FALSE)</f>
        <v>2276</v>
      </c>
      <c r="T346" s="92">
        <f ca="1">VLOOKUP(B346,'115+740'!$B$15:$AB$757,6,FALSE)</f>
        <v>171</v>
      </c>
      <c r="U346" s="91">
        <f t="shared" ca="1" si="69"/>
        <v>2736</v>
      </c>
      <c r="V346" s="90">
        <f ca="1">VLOOKUP(B346,'115+740'!$B$15:$AB$757,15,FALSE)</f>
        <v>-264</v>
      </c>
      <c r="W346" s="89">
        <f>'115+740'!S347</f>
        <v>0</v>
      </c>
      <c r="X346" s="88">
        <f t="shared" ca="1" si="74"/>
        <v>224</v>
      </c>
      <c r="Y346" s="87">
        <f t="shared" ca="1" si="75"/>
        <v>0</v>
      </c>
      <c r="Z346" s="86">
        <f t="shared" ca="1" si="76"/>
        <v>0</v>
      </c>
      <c r="AA346" s="85">
        <f t="shared" ca="1" si="77"/>
        <v>2.468</v>
      </c>
      <c r="AB346" s="85">
        <f t="shared" ca="1" si="78"/>
        <v>2.036</v>
      </c>
    </row>
    <row r="347" spans="2:28">
      <c r="B347" s="98">
        <f>'115+740'!B348</f>
        <v>45406</v>
      </c>
      <c r="C347" s="97">
        <f t="shared" si="70"/>
        <v>1</v>
      </c>
      <c r="D347" s="96">
        <f t="shared" si="71"/>
        <v>1069</v>
      </c>
      <c r="E347" s="95">
        <f>VLOOKUP(B347,'115+740'!B348:AB449,3,FALSE)</f>
        <v>1840</v>
      </c>
      <c r="F347" s="92">
        <f t="shared" si="66"/>
        <v>2909</v>
      </c>
      <c r="G347" s="94">
        <f ca="1">VLOOKUP(B347,'115+740'!$B$15:$AB$757,20,FALSE)</f>
        <v>2245</v>
      </c>
      <c r="H347" s="94">
        <f ca="1">VLOOKUP(B347,'115+740'!$B$15:$AB$757,4,FALSE)</f>
        <v>124</v>
      </c>
      <c r="I347" s="91">
        <f t="shared" ca="1" si="67"/>
        <v>2785</v>
      </c>
      <c r="J347" s="91">
        <f ca="1">VLOOKUP(B347,'115+740'!$B$15:$AB$757,13,FALSE)</f>
        <v>-215</v>
      </c>
      <c r="K347" s="89">
        <f>'115+740'!Q348</f>
        <v>0</v>
      </c>
      <c r="L347" s="88">
        <f t="shared" ca="1" si="72"/>
        <v>255</v>
      </c>
      <c r="M347" s="93">
        <f ca="1">VLOOKUP(B347,'115+740'!$B$14:$AB$757,21,FALSE)</f>
        <v>2263</v>
      </c>
      <c r="N347" s="92">
        <f ca="1">VLOOKUP(B347,'115+740'!$B$15:$AB$757,5,FALSE)</f>
        <v>156</v>
      </c>
      <c r="O347" s="91">
        <f t="shared" ca="1" si="68"/>
        <v>2753</v>
      </c>
      <c r="P347" s="91">
        <f ca="1">VLOOKUP(B347,'115+740'!$B$15:$AB$757,14,FALSE)</f>
        <v>-247</v>
      </c>
      <c r="Q347" s="89">
        <f>'115+740'!R348</f>
        <v>0</v>
      </c>
      <c r="R347" s="88">
        <f t="shared" ca="1" si="73"/>
        <v>237</v>
      </c>
      <c r="S347" s="93">
        <f ca="1">VLOOKUP(B347,'115+740'!$B$14:$AB$757,22,FALSE)</f>
        <v>2276</v>
      </c>
      <c r="T347" s="92">
        <f ca="1">VLOOKUP(B347,'115+740'!$B$15:$AB$757,6,FALSE)</f>
        <v>173</v>
      </c>
      <c r="U347" s="91">
        <f t="shared" ca="1" si="69"/>
        <v>2736</v>
      </c>
      <c r="V347" s="90">
        <f ca="1">VLOOKUP(B347,'115+740'!$B$15:$AB$757,15,FALSE)</f>
        <v>-264</v>
      </c>
      <c r="W347" s="89">
        <f>'115+740'!S348</f>
        <v>0</v>
      </c>
      <c r="X347" s="88">
        <f t="shared" ca="1" si="74"/>
        <v>224</v>
      </c>
      <c r="Y347" s="87">
        <f t="shared" ca="1" si="75"/>
        <v>0</v>
      </c>
      <c r="Z347" s="86">
        <f t="shared" ca="1" si="76"/>
        <v>0</v>
      </c>
      <c r="AA347" s="85">
        <f t="shared" ca="1" si="77"/>
        <v>2.468</v>
      </c>
      <c r="AB347" s="85">
        <f t="shared" ca="1" si="78"/>
        <v>2.036</v>
      </c>
    </row>
    <row r="348" spans="2:28">
      <c r="B348" s="98">
        <f>'115+740'!B349</f>
        <v>45407</v>
      </c>
      <c r="C348" s="97">
        <f t="shared" si="70"/>
        <v>1</v>
      </c>
      <c r="D348" s="96">
        <f t="shared" si="71"/>
        <v>1069</v>
      </c>
      <c r="E348" s="95">
        <f>VLOOKUP(B348,'115+740'!B349:AB450,3,FALSE)</f>
        <v>1842</v>
      </c>
      <c r="F348" s="92">
        <f t="shared" si="66"/>
        <v>2911</v>
      </c>
      <c r="G348" s="94">
        <f ca="1">VLOOKUP(B348,'115+740'!$B$15:$AB$757,20,FALSE)</f>
        <v>2245</v>
      </c>
      <c r="H348" s="94">
        <f ca="1">VLOOKUP(B348,'115+740'!$B$15:$AB$757,4,FALSE)</f>
        <v>126</v>
      </c>
      <c r="I348" s="91">
        <f t="shared" ca="1" si="67"/>
        <v>2785</v>
      </c>
      <c r="J348" s="91">
        <f ca="1">VLOOKUP(B348,'115+740'!$B$15:$AB$757,13,FALSE)</f>
        <v>-215</v>
      </c>
      <c r="K348" s="89">
        <f>'115+740'!Q349</f>
        <v>0</v>
      </c>
      <c r="L348" s="88">
        <f t="shared" ca="1" si="72"/>
        <v>255</v>
      </c>
      <c r="M348" s="93">
        <f ca="1">VLOOKUP(B348,'115+740'!$B$14:$AB$757,21,FALSE)</f>
        <v>2263</v>
      </c>
      <c r="N348" s="92">
        <f ca="1">VLOOKUP(B348,'115+740'!$B$15:$AB$757,5,FALSE)</f>
        <v>158</v>
      </c>
      <c r="O348" s="91">
        <f t="shared" ca="1" si="68"/>
        <v>2753</v>
      </c>
      <c r="P348" s="91">
        <f ca="1">VLOOKUP(B348,'115+740'!$B$15:$AB$757,14,FALSE)</f>
        <v>-247</v>
      </c>
      <c r="Q348" s="89">
        <f>'115+740'!R349</f>
        <v>0</v>
      </c>
      <c r="R348" s="88">
        <f t="shared" ca="1" si="73"/>
        <v>237</v>
      </c>
      <c r="S348" s="93">
        <f ca="1">VLOOKUP(B348,'115+740'!$B$14:$AB$757,22,FALSE)</f>
        <v>2276</v>
      </c>
      <c r="T348" s="92">
        <f ca="1">VLOOKUP(B348,'115+740'!$B$15:$AB$757,6,FALSE)</f>
        <v>175</v>
      </c>
      <c r="U348" s="91">
        <f t="shared" ca="1" si="69"/>
        <v>2736</v>
      </c>
      <c r="V348" s="90">
        <f ca="1">VLOOKUP(B348,'115+740'!$B$15:$AB$757,15,FALSE)</f>
        <v>-264</v>
      </c>
      <c r="W348" s="89">
        <f>'115+740'!S349</f>
        <v>0</v>
      </c>
      <c r="X348" s="88">
        <f t="shared" ca="1" si="74"/>
        <v>224</v>
      </c>
      <c r="Y348" s="87">
        <f t="shared" ca="1" si="75"/>
        <v>0</v>
      </c>
      <c r="Z348" s="86">
        <f t="shared" ca="1" si="76"/>
        <v>0</v>
      </c>
      <c r="AA348" s="85">
        <f t="shared" ca="1" si="77"/>
        <v>2.468</v>
      </c>
      <c r="AB348" s="85">
        <f t="shared" ca="1" si="78"/>
        <v>2.036</v>
      </c>
    </row>
    <row r="349" spans="2:28">
      <c r="B349" s="98">
        <f>'115+740'!B350</f>
        <v>45408</v>
      </c>
      <c r="C349" s="97">
        <f t="shared" si="70"/>
        <v>1</v>
      </c>
      <c r="D349" s="96">
        <f t="shared" si="71"/>
        <v>1069</v>
      </c>
      <c r="E349" s="95">
        <f>VLOOKUP(B349,'115+740'!B350:AB451,3,FALSE)</f>
        <v>1844</v>
      </c>
      <c r="F349" s="92">
        <f t="shared" si="66"/>
        <v>2913</v>
      </c>
      <c r="G349" s="94">
        <f ca="1">VLOOKUP(B349,'115+740'!$B$15:$AB$757,20,FALSE)</f>
        <v>2245</v>
      </c>
      <c r="H349" s="94">
        <f ca="1">VLOOKUP(B349,'115+740'!$B$15:$AB$757,4,FALSE)</f>
        <v>128</v>
      </c>
      <c r="I349" s="91">
        <f t="shared" ca="1" si="67"/>
        <v>2785</v>
      </c>
      <c r="J349" s="91">
        <f ca="1">VLOOKUP(B349,'115+740'!$B$15:$AB$757,13,FALSE)</f>
        <v>-215</v>
      </c>
      <c r="K349" s="89">
        <f>'115+740'!Q350</f>
        <v>0</v>
      </c>
      <c r="L349" s="88">
        <f t="shared" ca="1" si="72"/>
        <v>255</v>
      </c>
      <c r="M349" s="93">
        <f ca="1">VLOOKUP(B349,'115+740'!$B$14:$AB$757,21,FALSE)</f>
        <v>2263</v>
      </c>
      <c r="N349" s="92">
        <f ca="1">VLOOKUP(B349,'115+740'!$B$15:$AB$757,5,FALSE)</f>
        <v>160</v>
      </c>
      <c r="O349" s="91">
        <f t="shared" ca="1" si="68"/>
        <v>2753</v>
      </c>
      <c r="P349" s="91">
        <f ca="1">VLOOKUP(B349,'115+740'!$B$15:$AB$757,14,FALSE)</f>
        <v>-247</v>
      </c>
      <c r="Q349" s="89">
        <f>'115+740'!R350</f>
        <v>0</v>
      </c>
      <c r="R349" s="88">
        <f t="shared" ca="1" si="73"/>
        <v>237</v>
      </c>
      <c r="S349" s="93">
        <f ca="1">VLOOKUP(B349,'115+740'!$B$14:$AB$757,22,FALSE)</f>
        <v>2276</v>
      </c>
      <c r="T349" s="92">
        <f ca="1">VLOOKUP(B349,'115+740'!$B$15:$AB$757,6,FALSE)</f>
        <v>177</v>
      </c>
      <c r="U349" s="91">
        <f t="shared" ca="1" si="69"/>
        <v>2736</v>
      </c>
      <c r="V349" s="90">
        <f ca="1">VLOOKUP(B349,'115+740'!$B$15:$AB$757,15,FALSE)</f>
        <v>-264</v>
      </c>
      <c r="W349" s="89">
        <f>'115+740'!S350</f>
        <v>0</v>
      </c>
      <c r="X349" s="88">
        <f t="shared" ca="1" si="74"/>
        <v>224</v>
      </c>
      <c r="Y349" s="87">
        <f t="shared" ca="1" si="75"/>
        <v>0</v>
      </c>
      <c r="Z349" s="86">
        <f t="shared" ca="1" si="76"/>
        <v>0</v>
      </c>
      <c r="AA349" s="85">
        <f t="shared" ca="1" si="77"/>
        <v>2.468</v>
      </c>
      <c r="AB349" s="85">
        <f t="shared" ca="1" si="78"/>
        <v>2.036</v>
      </c>
    </row>
    <row r="350" spans="2:28">
      <c r="B350" s="98">
        <f>'115+740'!B351</f>
        <v>45409</v>
      </c>
      <c r="C350" s="97">
        <f t="shared" si="70"/>
        <v>1</v>
      </c>
      <c r="D350" s="96">
        <f t="shared" si="71"/>
        <v>1069</v>
      </c>
      <c r="E350" s="95">
        <f>VLOOKUP(B350,'115+740'!B351:AB452,3,FALSE)</f>
        <v>1846</v>
      </c>
      <c r="F350" s="92">
        <f t="shared" si="66"/>
        <v>2915</v>
      </c>
      <c r="G350" s="94">
        <f ca="1">VLOOKUP(B350,'115+740'!$B$15:$AB$757,20,FALSE)</f>
        <v>2245</v>
      </c>
      <c r="H350" s="94">
        <f ca="1">VLOOKUP(B350,'115+740'!$B$15:$AB$757,4,FALSE)</f>
        <v>130</v>
      </c>
      <c r="I350" s="91">
        <f t="shared" ca="1" si="67"/>
        <v>2785</v>
      </c>
      <c r="J350" s="91">
        <f ca="1">VLOOKUP(B350,'115+740'!$B$15:$AB$757,13,FALSE)</f>
        <v>-215</v>
      </c>
      <c r="K350" s="89">
        <f>'115+740'!Q351</f>
        <v>0</v>
      </c>
      <c r="L350" s="88">
        <f t="shared" ca="1" si="72"/>
        <v>255</v>
      </c>
      <c r="M350" s="93">
        <f ca="1">VLOOKUP(B350,'115+740'!$B$14:$AB$757,21,FALSE)</f>
        <v>2263</v>
      </c>
      <c r="N350" s="92">
        <f ca="1">VLOOKUP(B350,'115+740'!$B$15:$AB$757,5,FALSE)</f>
        <v>162</v>
      </c>
      <c r="O350" s="91">
        <f t="shared" ca="1" si="68"/>
        <v>2753</v>
      </c>
      <c r="P350" s="91">
        <f ca="1">VLOOKUP(B350,'115+740'!$B$15:$AB$757,14,FALSE)</f>
        <v>-247</v>
      </c>
      <c r="Q350" s="89">
        <f>'115+740'!R351</f>
        <v>0</v>
      </c>
      <c r="R350" s="88">
        <f t="shared" ca="1" si="73"/>
        <v>237</v>
      </c>
      <c r="S350" s="93">
        <f ca="1">VLOOKUP(B350,'115+740'!$B$14:$AB$757,22,FALSE)</f>
        <v>2276</v>
      </c>
      <c r="T350" s="92">
        <f ca="1">VLOOKUP(B350,'115+740'!$B$15:$AB$757,6,FALSE)</f>
        <v>179</v>
      </c>
      <c r="U350" s="91">
        <f t="shared" ca="1" si="69"/>
        <v>2736</v>
      </c>
      <c r="V350" s="90">
        <f ca="1">VLOOKUP(B350,'115+740'!$B$15:$AB$757,15,FALSE)</f>
        <v>-264</v>
      </c>
      <c r="W350" s="89">
        <f>'115+740'!S351</f>
        <v>0</v>
      </c>
      <c r="X350" s="88">
        <f t="shared" ca="1" si="74"/>
        <v>224</v>
      </c>
      <c r="Y350" s="87">
        <f t="shared" ca="1" si="75"/>
        <v>0</v>
      </c>
      <c r="Z350" s="86">
        <f t="shared" ca="1" si="76"/>
        <v>0</v>
      </c>
      <c r="AA350" s="85">
        <f t="shared" ca="1" si="77"/>
        <v>2.468</v>
      </c>
      <c r="AB350" s="85">
        <f t="shared" ca="1" si="78"/>
        <v>2.036</v>
      </c>
    </row>
    <row r="351" spans="2:28">
      <c r="B351" s="98">
        <f>'115+740'!B352</f>
        <v>45410</v>
      </c>
      <c r="C351" s="97">
        <f t="shared" si="70"/>
        <v>1</v>
      </c>
      <c r="D351" s="96">
        <f t="shared" si="71"/>
        <v>1069</v>
      </c>
      <c r="E351" s="95">
        <f>VLOOKUP(B351,'115+740'!B352:AB452,3,FALSE)</f>
        <v>1848</v>
      </c>
      <c r="F351" s="92">
        <f t="shared" si="66"/>
        <v>2917</v>
      </c>
      <c r="G351" s="94">
        <f ca="1">VLOOKUP(B351,'115+740'!$B$15:$AB$757,20,FALSE)</f>
        <v>2245</v>
      </c>
      <c r="H351" s="94">
        <f ca="1">VLOOKUP(B351,'115+740'!$B$15:$AB$757,4,FALSE)</f>
        <v>132</v>
      </c>
      <c r="I351" s="91">
        <f t="shared" ca="1" si="67"/>
        <v>2785</v>
      </c>
      <c r="J351" s="91">
        <f ca="1">VLOOKUP(B351,'115+740'!$B$15:$AB$757,13,FALSE)</f>
        <v>-215</v>
      </c>
      <c r="K351" s="89">
        <f>'115+740'!Q352</f>
        <v>0</v>
      </c>
      <c r="L351" s="88">
        <f t="shared" ca="1" si="72"/>
        <v>255</v>
      </c>
      <c r="M351" s="93">
        <f ca="1">VLOOKUP(B351,'115+740'!$B$14:$AB$757,21,FALSE)</f>
        <v>2263</v>
      </c>
      <c r="N351" s="92">
        <f ca="1">VLOOKUP(B351,'115+740'!$B$15:$AB$757,5,FALSE)</f>
        <v>164</v>
      </c>
      <c r="O351" s="91">
        <f t="shared" ca="1" si="68"/>
        <v>2753</v>
      </c>
      <c r="P351" s="91">
        <f ca="1">VLOOKUP(B351,'115+740'!$B$15:$AB$757,14,FALSE)</f>
        <v>-247</v>
      </c>
      <c r="Q351" s="89">
        <f>'115+740'!R352</f>
        <v>0</v>
      </c>
      <c r="R351" s="88">
        <f t="shared" ca="1" si="73"/>
        <v>237</v>
      </c>
      <c r="S351" s="93">
        <f ca="1">VLOOKUP(B351,'115+740'!$B$14:$AB$757,22,FALSE)</f>
        <v>2276</v>
      </c>
      <c r="T351" s="92">
        <f ca="1">VLOOKUP(B351,'115+740'!$B$15:$AB$757,6,FALSE)</f>
        <v>181</v>
      </c>
      <c r="U351" s="91">
        <f t="shared" ca="1" si="69"/>
        <v>2736</v>
      </c>
      <c r="V351" s="90">
        <f ca="1">VLOOKUP(B351,'115+740'!$B$15:$AB$757,15,FALSE)</f>
        <v>-264</v>
      </c>
      <c r="W351" s="89">
        <f>'115+740'!S352</f>
        <v>0</v>
      </c>
      <c r="X351" s="88">
        <f t="shared" ca="1" si="74"/>
        <v>224</v>
      </c>
      <c r="Y351" s="87">
        <f t="shared" ca="1" si="75"/>
        <v>0</v>
      </c>
      <c r="Z351" s="86">
        <f t="shared" ca="1" si="76"/>
        <v>0</v>
      </c>
      <c r="AA351" s="85">
        <f t="shared" ca="1" si="77"/>
        <v>2.468</v>
      </c>
      <c r="AB351" s="85">
        <f t="shared" ca="1" si="78"/>
        <v>2.036</v>
      </c>
    </row>
    <row r="352" spans="2:28">
      <c r="B352" s="98">
        <f>'115+740'!B353</f>
        <v>45411</v>
      </c>
      <c r="C352" s="97">
        <f t="shared" si="70"/>
        <v>1</v>
      </c>
      <c r="D352" s="96">
        <f t="shared" si="71"/>
        <v>1069</v>
      </c>
      <c r="E352" s="95">
        <f>VLOOKUP(B352,'115+740'!B353:AB452,3,FALSE)</f>
        <v>1850</v>
      </c>
      <c r="F352" s="92">
        <f t="shared" si="66"/>
        <v>2919</v>
      </c>
      <c r="G352" s="94">
        <f ca="1">VLOOKUP(B352,'115+740'!$B$15:$AB$757,20,FALSE)</f>
        <v>2245</v>
      </c>
      <c r="H352" s="94">
        <f ca="1">VLOOKUP(B352,'115+740'!$B$15:$AB$757,4,FALSE)</f>
        <v>134</v>
      </c>
      <c r="I352" s="91">
        <f t="shared" ca="1" si="67"/>
        <v>2785</v>
      </c>
      <c r="J352" s="91">
        <f ca="1">VLOOKUP(B352,'115+740'!$B$15:$AB$757,13,FALSE)</f>
        <v>-215</v>
      </c>
      <c r="K352" s="89">
        <f>'115+740'!Q353</f>
        <v>0</v>
      </c>
      <c r="L352" s="88">
        <f t="shared" ca="1" si="72"/>
        <v>255</v>
      </c>
      <c r="M352" s="93">
        <f ca="1">VLOOKUP(B352,'115+740'!$B$14:$AB$757,21,FALSE)</f>
        <v>2263</v>
      </c>
      <c r="N352" s="92">
        <f ca="1">VLOOKUP(B352,'115+740'!$B$15:$AB$757,5,FALSE)</f>
        <v>166</v>
      </c>
      <c r="O352" s="91">
        <f t="shared" ca="1" si="68"/>
        <v>2753</v>
      </c>
      <c r="P352" s="91">
        <f ca="1">VLOOKUP(B352,'115+740'!$B$15:$AB$757,14,FALSE)</f>
        <v>-247</v>
      </c>
      <c r="Q352" s="89">
        <f>'115+740'!R353</f>
        <v>0</v>
      </c>
      <c r="R352" s="88">
        <f t="shared" ca="1" si="73"/>
        <v>237</v>
      </c>
      <c r="S352" s="93">
        <f ca="1">VLOOKUP(B352,'115+740'!$B$14:$AB$757,22,FALSE)</f>
        <v>2276</v>
      </c>
      <c r="T352" s="92">
        <f ca="1">VLOOKUP(B352,'115+740'!$B$15:$AB$757,6,FALSE)</f>
        <v>183</v>
      </c>
      <c r="U352" s="91">
        <f t="shared" ca="1" si="69"/>
        <v>2736</v>
      </c>
      <c r="V352" s="90">
        <f ca="1">VLOOKUP(B352,'115+740'!$B$15:$AB$757,15,FALSE)</f>
        <v>-264</v>
      </c>
      <c r="W352" s="89">
        <f>'115+740'!S353</f>
        <v>0</v>
      </c>
      <c r="X352" s="88">
        <f t="shared" ca="1" si="74"/>
        <v>224</v>
      </c>
      <c r="Y352" s="87">
        <f t="shared" ca="1" si="75"/>
        <v>0</v>
      </c>
      <c r="Z352" s="86">
        <f t="shared" ca="1" si="76"/>
        <v>0</v>
      </c>
      <c r="AA352" s="85">
        <f t="shared" ca="1" si="77"/>
        <v>2.468</v>
      </c>
      <c r="AB352" s="85">
        <f t="shared" ca="1" si="78"/>
        <v>2.036</v>
      </c>
    </row>
    <row r="353" spans="2:28">
      <c r="B353" s="98">
        <f>'115+740'!B354</f>
        <v>45412</v>
      </c>
      <c r="C353" s="97">
        <f t="shared" si="70"/>
        <v>1</v>
      </c>
      <c r="D353" s="96">
        <f t="shared" si="71"/>
        <v>1069</v>
      </c>
      <c r="E353" s="95">
        <f>VLOOKUP(B353,'115+740'!B354:AB452,3,FALSE)</f>
        <v>1852</v>
      </c>
      <c r="F353" s="92">
        <f t="shared" si="66"/>
        <v>2921</v>
      </c>
      <c r="G353" s="94">
        <f ca="1">VLOOKUP(B353,'115+740'!$B$15:$AB$757,20,FALSE)</f>
        <v>2245</v>
      </c>
      <c r="H353" s="94">
        <f ca="1">VLOOKUP(B353,'115+740'!$B$15:$AB$757,4,FALSE)</f>
        <v>136</v>
      </c>
      <c r="I353" s="91">
        <f t="shared" ca="1" si="67"/>
        <v>2785</v>
      </c>
      <c r="J353" s="91">
        <f ca="1">VLOOKUP(B353,'115+740'!$B$15:$AB$757,13,FALSE)</f>
        <v>-215</v>
      </c>
      <c r="K353" s="89">
        <f>'115+740'!Q354</f>
        <v>0</v>
      </c>
      <c r="L353" s="88">
        <f t="shared" ca="1" si="72"/>
        <v>255</v>
      </c>
      <c r="M353" s="93">
        <f ca="1">VLOOKUP(B353,'115+740'!$B$14:$AB$757,21,FALSE)</f>
        <v>2263</v>
      </c>
      <c r="N353" s="92">
        <f ca="1">VLOOKUP(B353,'115+740'!$B$15:$AB$757,5,FALSE)</f>
        <v>168</v>
      </c>
      <c r="O353" s="91">
        <f t="shared" ca="1" si="68"/>
        <v>2753</v>
      </c>
      <c r="P353" s="91">
        <f ca="1">VLOOKUP(B353,'115+740'!$B$15:$AB$757,14,FALSE)</f>
        <v>-247</v>
      </c>
      <c r="Q353" s="89">
        <f>'115+740'!R354</f>
        <v>0</v>
      </c>
      <c r="R353" s="88">
        <f t="shared" ca="1" si="73"/>
        <v>237</v>
      </c>
      <c r="S353" s="93">
        <f ca="1">VLOOKUP(B353,'115+740'!$B$14:$AB$757,22,FALSE)</f>
        <v>2276</v>
      </c>
      <c r="T353" s="92">
        <f ca="1">VLOOKUP(B353,'115+740'!$B$15:$AB$757,6,FALSE)</f>
        <v>185</v>
      </c>
      <c r="U353" s="91">
        <f t="shared" ca="1" si="69"/>
        <v>2736</v>
      </c>
      <c r="V353" s="90">
        <f ca="1">VLOOKUP(B353,'115+740'!$B$15:$AB$757,15,FALSE)</f>
        <v>-264</v>
      </c>
      <c r="W353" s="89">
        <f>'115+740'!S354</f>
        <v>0</v>
      </c>
      <c r="X353" s="88">
        <f t="shared" ca="1" si="74"/>
        <v>224</v>
      </c>
      <c r="Y353" s="87">
        <f t="shared" ca="1" si="75"/>
        <v>0</v>
      </c>
      <c r="Z353" s="86">
        <f t="shared" ca="1" si="76"/>
        <v>0</v>
      </c>
      <c r="AA353" s="85">
        <f t="shared" ca="1" si="77"/>
        <v>2.468</v>
      </c>
      <c r="AB353" s="85">
        <f t="shared" ca="1" si="78"/>
        <v>2.036</v>
      </c>
    </row>
    <row r="354" spans="2:28">
      <c r="B354" s="98">
        <f>'115+740'!B355</f>
        <v>45413</v>
      </c>
      <c r="C354" s="97">
        <f t="shared" si="70"/>
        <v>1</v>
      </c>
      <c r="D354" s="96">
        <f t="shared" si="71"/>
        <v>1069</v>
      </c>
      <c r="E354" s="95">
        <f>VLOOKUP(B354,'115+740'!B355:AB452,3,FALSE)</f>
        <v>1854</v>
      </c>
      <c r="F354" s="92">
        <f t="shared" si="66"/>
        <v>2923</v>
      </c>
      <c r="G354" s="94">
        <f ca="1">VLOOKUP(B354,'115+740'!$B$15:$AB$757,20,FALSE)</f>
        <v>2245</v>
      </c>
      <c r="H354" s="94">
        <f ca="1">VLOOKUP(B354,'115+740'!$B$15:$AB$757,4,FALSE)</f>
        <v>138</v>
      </c>
      <c r="I354" s="91">
        <f t="shared" ca="1" si="67"/>
        <v>2785</v>
      </c>
      <c r="J354" s="91">
        <f ca="1">VLOOKUP(B354,'115+740'!$B$15:$AB$757,13,FALSE)</f>
        <v>-215</v>
      </c>
      <c r="K354" s="89">
        <f>'115+740'!Q355</f>
        <v>0</v>
      </c>
      <c r="L354" s="88">
        <f t="shared" ca="1" si="72"/>
        <v>255</v>
      </c>
      <c r="M354" s="93">
        <f ca="1">VLOOKUP(B354,'115+740'!$B$14:$AB$757,21,FALSE)</f>
        <v>2263</v>
      </c>
      <c r="N354" s="92">
        <f ca="1">VLOOKUP(B354,'115+740'!$B$15:$AB$757,5,FALSE)</f>
        <v>170</v>
      </c>
      <c r="O354" s="91">
        <f t="shared" ca="1" si="68"/>
        <v>2753</v>
      </c>
      <c r="P354" s="91">
        <f ca="1">VLOOKUP(B354,'115+740'!$B$15:$AB$757,14,FALSE)</f>
        <v>-247</v>
      </c>
      <c r="Q354" s="89">
        <f>'115+740'!R355</f>
        <v>0</v>
      </c>
      <c r="R354" s="88">
        <f t="shared" ca="1" si="73"/>
        <v>237</v>
      </c>
      <c r="S354" s="93">
        <f ca="1">VLOOKUP(B354,'115+740'!$B$14:$AB$757,22,FALSE)</f>
        <v>2276</v>
      </c>
      <c r="T354" s="92">
        <f ca="1">VLOOKUP(B354,'115+740'!$B$15:$AB$757,6,FALSE)</f>
        <v>187</v>
      </c>
      <c r="U354" s="91">
        <f t="shared" ca="1" si="69"/>
        <v>2736</v>
      </c>
      <c r="V354" s="90">
        <f ca="1">VLOOKUP(B354,'115+740'!$B$15:$AB$757,15,FALSE)</f>
        <v>-264</v>
      </c>
      <c r="W354" s="89">
        <f>'115+740'!S355</f>
        <v>0</v>
      </c>
      <c r="X354" s="88">
        <f t="shared" ca="1" si="74"/>
        <v>224</v>
      </c>
      <c r="Y354" s="87">
        <f t="shared" ca="1" si="75"/>
        <v>0</v>
      </c>
      <c r="Z354" s="86">
        <f t="shared" ca="1" si="76"/>
        <v>0</v>
      </c>
      <c r="AA354" s="85">
        <f t="shared" ca="1" si="77"/>
        <v>2.468</v>
      </c>
      <c r="AB354" s="85">
        <f t="shared" ca="1" si="78"/>
        <v>2.036</v>
      </c>
    </row>
    <row r="355" spans="2:28">
      <c r="B355" s="98">
        <f>'115+740'!B356</f>
        <v>45414</v>
      </c>
      <c r="C355" s="97">
        <f t="shared" si="70"/>
        <v>1</v>
      </c>
      <c r="D355" s="96">
        <f t="shared" si="71"/>
        <v>1069</v>
      </c>
      <c r="E355" s="95">
        <f>VLOOKUP(B355,'115+740'!B356:AB452,3,FALSE)</f>
        <v>1856</v>
      </c>
      <c r="F355" s="92">
        <f t="shared" si="66"/>
        <v>2925</v>
      </c>
      <c r="G355" s="94">
        <f ca="1">VLOOKUP(B355,'115+740'!$B$15:$AB$757,20,FALSE)</f>
        <v>2245</v>
      </c>
      <c r="H355" s="94">
        <f ca="1">VLOOKUP(B355,'115+740'!$B$15:$AB$757,4,FALSE)</f>
        <v>140</v>
      </c>
      <c r="I355" s="91">
        <f t="shared" ca="1" si="67"/>
        <v>2785</v>
      </c>
      <c r="J355" s="91">
        <f ca="1">VLOOKUP(B355,'115+740'!$B$15:$AB$757,13,FALSE)</f>
        <v>-215</v>
      </c>
      <c r="K355" s="89">
        <f>'115+740'!Q356</f>
        <v>0</v>
      </c>
      <c r="L355" s="88">
        <f t="shared" ca="1" si="72"/>
        <v>255</v>
      </c>
      <c r="M355" s="93">
        <f ca="1">VLOOKUP(B355,'115+740'!$B$14:$AB$757,21,FALSE)</f>
        <v>2263</v>
      </c>
      <c r="N355" s="92">
        <f ca="1">VLOOKUP(B355,'115+740'!$B$15:$AB$757,5,FALSE)</f>
        <v>172</v>
      </c>
      <c r="O355" s="91">
        <f t="shared" ca="1" si="68"/>
        <v>2753</v>
      </c>
      <c r="P355" s="91">
        <f ca="1">VLOOKUP(B355,'115+740'!$B$15:$AB$757,14,FALSE)</f>
        <v>-247</v>
      </c>
      <c r="Q355" s="89">
        <f>'115+740'!R356</f>
        <v>0</v>
      </c>
      <c r="R355" s="88">
        <f t="shared" ca="1" si="73"/>
        <v>237</v>
      </c>
      <c r="S355" s="93">
        <f ca="1">VLOOKUP(B355,'115+740'!$B$14:$AB$757,22,FALSE)</f>
        <v>2276</v>
      </c>
      <c r="T355" s="92">
        <f ca="1">VLOOKUP(B355,'115+740'!$B$15:$AB$757,6,FALSE)</f>
        <v>189</v>
      </c>
      <c r="U355" s="91">
        <f t="shared" ca="1" si="69"/>
        <v>2736</v>
      </c>
      <c r="V355" s="90">
        <f ca="1">VLOOKUP(B355,'115+740'!$B$15:$AB$757,15,FALSE)</f>
        <v>-264</v>
      </c>
      <c r="W355" s="89">
        <f>'115+740'!S356</f>
        <v>0</v>
      </c>
      <c r="X355" s="88">
        <f t="shared" ca="1" si="74"/>
        <v>224</v>
      </c>
      <c r="Y355" s="87">
        <f t="shared" ca="1" si="75"/>
        <v>0</v>
      </c>
      <c r="Z355" s="86">
        <f t="shared" ca="1" si="76"/>
        <v>0</v>
      </c>
      <c r="AA355" s="85">
        <f t="shared" ca="1" si="77"/>
        <v>2.468</v>
      </c>
      <c r="AB355" s="85">
        <f t="shared" ca="1" si="78"/>
        <v>2.036</v>
      </c>
    </row>
    <row r="356" spans="2:28">
      <c r="B356" s="98">
        <f>'115+740'!B357</f>
        <v>45415</v>
      </c>
      <c r="C356" s="97">
        <f t="shared" si="70"/>
        <v>1</v>
      </c>
      <c r="D356" s="96">
        <f t="shared" si="71"/>
        <v>1069</v>
      </c>
      <c r="E356" s="95">
        <f>VLOOKUP(B356,'115+740'!B357:AB452,3,FALSE)</f>
        <v>1858</v>
      </c>
      <c r="F356" s="92">
        <f t="shared" si="66"/>
        <v>2927</v>
      </c>
      <c r="G356" s="94">
        <f ca="1">VLOOKUP(B356,'115+740'!$B$15:$AB$757,20,FALSE)</f>
        <v>2245</v>
      </c>
      <c r="H356" s="94">
        <f ca="1">VLOOKUP(B356,'115+740'!$B$15:$AB$757,4,FALSE)</f>
        <v>142</v>
      </c>
      <c r="I356" s="91">
        <f t="shared" ca="1" si="67"/>
        <v>2785</v>
      </c>
      <c r="J356" s="91">
        <f ca="1">VLOOKUP(B356,'115+740'!$B$15:$AB$757,13,FALSE)</f>
        <v>-215</v>
      </c>
      <c r="K356" s="89">
        <f>'115+740'!Q357</f>
        <v>0</v>
      </c>
      <c r="L356" s="88">
        <f t="shared" ca="1" si="72"/>
        <v>255</v>
      </c>
      <c r="M356" s="93">
        <f ca="1">VLOOKUP(B356,'115+740'!$B$14:$AB$757,21,FALSE)</f>
        <v>2263</v>
      </c>
      <c r="N356" s="92">
        <f ca="1">VLOOKUP(B356,'115+740'!$B$15:$AB$757,5,FALSE)</f>
        <v>174</v>
      </c>
      <c r="O356" s="91">
        <f t="shared" ca="1" si="68"/>
        <v>2753</v>
      </c>
      <c r="P356" s="91">
        <f ca="1">VLOOKUP(B356,'115+740'!$B$15:$AB$757,14,FALSE)</f>
        <v>-247</v>
      </c>
      <c r="Q356" s="89">
        <f>'115+740'!R357</f>
        <v>0</v>
      </c>
      <c r="R356" s="88">
        <f t="shared" ca="1" si="73"/>
        <v>237</v>
      </c>
      <c r="S356" s="93">
        <f ca="1">VLOOKUP(B356,'115+740'!$B$14:$AB$757,22,FALSE)</f>
        <v>2276</v>
      </c>
      <c r="T356" s="92">
        <f ca="1">VLOOKUP(B356,'115+740'!$B$15:$AB$757,6,FALSE)</f>
        <v>191</v>
      </c>
      <c r="U356" s="91">
        <f t="shared" ca="1" si="69"/>
        <v>2736</v>
      </c>
      <c r="V356" s="90">
        <f ca="1">VLOOKUP(B356,'115+740'!$B$15:$AB$757,15,FALSE)</f>
        <v>-264</v>
      </c>
      <c r="W356" s="89">
        <f>'115+740'!S357</f>
        <v>0</v>
      </c>
      <c r="X356" s="88">
        <f t="shared" ca="1" si="74"/>
        <v>224</v>
      </c>
      <c r="Y356" s="87">
        <f t="shared" ca="1" si="75"/>
        <v>0</v>
      </c>
      <c r="Z356" s="86">
        <f t="shared" ca="1" si="76"/>
        <v>0</v>
      </c>
      <c r="AA356" s="85">
        <f t="shared" ca="1" si="77"/>
        <v>2.468</v>
      </c>
      <c r="AB356" s="85">
        <f t="shared" ca="1" si="78"/>
        <v>2.036</v>
      </c>
    </row>
    <row r="357" spans="2:28">
      <c r="B357" s="98">
        <f>'115+740'!B358</f>
        <v>45416</v>
      </c>
      <c r="C357" s="97">
        <f t="shared" si="70"/>
        <v>1</v>
      </c>
      <c r="D357" s="96">
        <f t="shared" si="71"/>
        <v>1069</v>
      </c>
      <c r="E357" s="95">
        <f>VLOOKUP(B357,'115+740'!B358:AB452,3,FALSE)</f>
        <v>1860</v>
      </c>
      <c r="F357" s="92">
        <f t="shared" si="66"/>
        <v>2929</v>
      </c>
      <c r="G357" s="94">
        <f ca="1">VLOOKUP(B357,'115+740'!$B$15:$AB$757,20,FALSE)</f>
        <v>2245</v>
      </c>
      <c r="H357" s="94">
        <f ca="1">VLOOKUP(B357,'115+740'!$B$15:$AB$757,4,FALSE)</f>
        <v>144</v>
      </c>
      <c r="I357" s="91">
        <f t="shared" ca="1" si="67"/>
        <v>2785</v>
      </c>
      <c r="J357" s="91">
        <f ca="1">VLOOKUP(B357,'115+740'!$B$15:$AB$757,13,FALSE)</f>
        <v>-215</v>
      </c>
      <c r="K357" s="89">
        <f>'115+740'!Q358</f>
        <v>0</v>
      </c>
      <c r="L357" s="88">
        <f t="shared" ca="1" si="72"/>
        <v>255</v>
      </c>
      <c r="M357" s="93">
        <f ca="1">VLOOKUP(B357,'115+740'!$B$14:$AB$757,21,FALSE)</f>
        <v>2263</v>
      </c>
      <c r="N357" s="92">
        <f ca="1">VLOOKUP(B357,'115+740'!$B$15:$AB$757,5,FALSE)</f>
        <v>176</v>
      </c>
      <c r="O357" s="91">
        <f t="shared" ca="1" si="68"/>
        <v>2753</v>
      </c>
      <c r="P357" s="91">
        <f ca="1">VLOOKUP(B357,'115+740'!$B$15:$AB$757,14,FALSE)</f>
        <v>-247</v>
      </c>
      <c r="Q357" s="89">
        <f>'115+740'!R358</f>
        <v>0</v>
      </c>
      <c r="R357" s="88">
        <f t="shared" ca="1" si="73"/>
        <v>237</v>
      </c>
      <c r="S357" s="93">
        <f ca="1">VLOOKUP(B357,'115+740'!$B$14:$AB$757,22,FALSE)</f>
        <v>2276</v>
      </c>
      <c r="T357" s="92">
        <f ca="1">VLOOKUP(B357,'115+740'!$B$15:$AB$757,6,FALSE)</f>
        <v>193</v>
      </c>
      <c r="U357" s="91">
        <f t="shared" ca="1" si="69"/>
        <v>2736</v>
      </c>
      <c r="V357" s="90">
        <f ca="1">VLOOKUP(B357,'115+740'!$B$15:$AB$757,15,FALSE)</f>
        <v>-264</v>
      </c>
      <c r="W357" s="89">
        <f>'115+740'!S358</f>
        <v>0</v>
      </c>
      <c r="X357" s="88">
        <f t="shared" ca="1" si="74"/>
        <v>224</v>
      </c>
      <c r="Y357" s="87">
        <f t="shared" ca="1" si="75"/>
        <v>0</v>
      </c>
      <c r="Z357" s="86">
        <f t="shared" ca="1" si="76"/>
        <v>0</v>
      </c>
      <c r="AA357" s="85">
        <f t="shared" ca="1" si="77"/>
        <v>2.468</v>
      </c>
      <c r="AB357" s="85">
        <f t="shared" ca="1" si="78"/>
        <v>2.036</v>
      </c>
    </row>
    <row r="358" spans="2:28">
      <c r="B358" s="98">
        <f>'115+740'!B359</f>
        <v>45417</v>
      </c>
      <c r="C358" s="97">
        <f t="shared" si="70"/>
        <v>1</v>
      </c>
      <c r="D358" s="96">
        <f t="shared" si="71"/>
        <v>1069</v>
      </c>
      <c r="E358" s="95">
        <f>VLOOKUP(B358,'115+740'!B359:AB452,3,FALSE)</f>
        <v>1862</v>
      </c>
      <c r="F358" s="92">
        <f t="shared" si="66"/>
        <v>2931</v>
      </c>
      <c r="G358" s="94">
        <f ca="1">VLOOKUP(B358,'115+740'!$B$15:$AB$757,20,FALSE)</f>
        <v>2245</v>
      </c>
      <c r="H358" s="94">
        <f ca="1">VLOOKUP(B358,'115+740'!$B$15:$AB$757,4,FALSE)</f>
        <v>146</v>
      </c>
      <c r="I358" s="91">
        <f t="shared" ca="1" si="67"/>
        <v>2785</v>
      </c>
      <c r="J358" s="91">
        <f ca="1">VLOOKUP(B358,'115+740'!$B$15:$AB$757,13,FALSE)</f>
        <v>-215</v>
      </c>
      <c r="K358" s="89">
        <f>'115+740'!Q359</f>
        <v>0</v>
      </c>
      <c r="L358" s="88">
        <f t="shared" ca="1" si="72"/>
        <v>255</v>
      </c>
      <c r="M358" s="93">
        <f ca="1">VLOOKUP(B358,'115+740'!$B$14:$AB$757,21,FALSE)</f>
        <v>2263</v>
      </c>
      <c r="N358" s="92">
        <f ca="1">VLOOKUP(B358,'115+740'!$B$15:$AB$757,5,FALSE)</f>
        <v>178</v>
      </c>
      <c r="O358" s="91">
        <f t="shared" ca="1" si="68"/>
        <v>2753</v>
      </c>
      <c r="P358" s="91">
        <f ca="1">VLOOKUP(B358,'115+740'!$B$15:$AB$757,14,FALSE)</f>
        <v>-247</v>
      </c>
      <c r="Q358" s="89">
        <f>'115+740'!R359</f>
        <v>0</v>
      </c>
      <c r="R358" s="88">
        <f t="shared" ca="1" si="73"/>
        <v>237</v>
      </c>
      <c r="S358" s="93">
        <f ca="1">VLOOKUP(B358,'115+740'!$B$14:$AB$757,22,FALSE)</f>
        <v>2276</v>
      </c>
      <c r="T358" s="92">
        <f ca="1">VLOOKUP(B358,'115+740'!$B$15:$AB$757,6,FALSE)</f>
        <v>195</v>
      </c>
      <c r="U358" s="91">
        <f t="shared" ca="1" si="69"/>
        <v>2736</v>
      </c>
      <c r="V358" s="90">
        <f ca="1">VLOOKUP(B358,'115+740'!$B$15:$AB$757,15,FALSE)</f>
        <v>-264</v>
      </c>
      <c r="W358" s="89">
        <f>'115+740'!S359</f>
        <v>0</v>
      </c>
      <c r="X358" s="88">
        <f t="shared" ca="1" si="74"/>
        <v>224</v>
      </c>
      <c r="Y358" s="87">
        <f t="shared" ca="1" si="75"/>
        <v>0</v>
      </c>
      <c r="Z358" s="86">
        <f t="shared" ca="1" si="76"/>
        <v>0</v>
      </c>
      <c r="AA358" s="85">
        <f t="shared" ca="1" si="77"/>
        <v>2.468</v>
      </c>
      <c r="AB358" s="85">
        <f t="shared" ca="1" si="78"/>
        <v>2.036</v>
      </c>
    </row>
    <row r="359" spans="2:28">
      <c r="B359" s="98">
        <f>'115+740'!B360</f>
        <v>45418</v>
      </c>
      <c r="C359" s="97">
        <f t="shared" si="70"/>
        <v>1</v>
      </c>
      <c r="D359" s="96">
        <f t="shared" si="71"/>
        <v>1069</v>
      </c>
      <c r="E359" s="95">
        <f>VLOOKUP(B359,'115+740'!B360:AB452,3,FALSE)</f>
        <v>1864</v>
      </c>
      <c r="F359" s="92">
        <f t="shared" si="66"/>
        <v>2933</v>
      </c>
      <c r="G359" s="94">
        <f ca="1">VLOOKUP(B359,'115+740'!$B$15:$AB$757,20,FALSE)</f>
        <v>2245</v>
      </c>
      <c r="H359" s="94">
        <f ca="1">VLOOKUP(B359,'115+740'!$B$15:$AB$757,4,FALSE)</f>
        <v>148</v>
      </c>
      <c r="I359" s="91">
        <f t="shared" ca="1" si="67"/>
        <v>2785</v>
      </c>
      <c r="J359" s="91">
        <f ca="1">VLOOKUP(B359,'115+740'!$B$15:$AB$757,13,FALSE)</f>
        <v>-215</v>
      </c>
      <c r="K359" s="89">
        <f>'115+740'!Q360</f>
        <v>0</v>
      </c>
      <c r="L359" s="88">
        <f t="shared" ca="1" si="72"/>
        <v>255</v>
      </c>
      <c r="M359" s="93">
        <f ca="1">VLOOKUP(B359,'115+740'!$B$14:$AB$757,21,FALSE)</f>
        <v>2263</v>
      </c>
      <c r="N359" s="92">
        <f ca="1">VLOOKUP(B359,'115+740'!$B$15:$AB$757,5,FALSE)</f>
        <v>180</v>
      </c>
      <c r="O359" s="91">
        <f t="shared" ca="1" si="68"/>
        <v>2753</v>
      </c>
      <c r="P359" s="91">
        <f ca="1">VLOOKUP(B359,'115+740'!$B$15:$AB$757,14,FALSE)</f>
        <v>-247</v>
      </c>
      <c r="Q359" s="89">
        <f>'115+740'!R360</f>
        <v>0</v>
      </c>
      <c r="R359" s="88">
        <f t="shared" ca="1" si="73"/>
        <v>237</v>
      </c>
      <c r="S359" s="93">
        <f ca="1">VLOOKUP(B359,'115+740'!$B$14:$AB$757,22,FALSE)</f>
        <v>2276</v>
      </c>
      <c r="T359" s="92">
        <f ca="1">VLOOKUP(B359,'115+740'!$B$15:$AB$757,6,FALSE)</f>
        <v>197</v>
      </c>
      <c r="U359" s="91">
        <f t="shared" ca="1" si="69"/>
        <v>2736</v>
      </c>
      <c r="V359" s="90">
        <f ca="1">VLOOKUP(B359,'115+740'!$B$15:$AB$757,15,FALSE)</f>
        <v>-264</v>
      </c>
      <c r="W359" s="89">
        <f>'115+740'!S360</f>
        <v>0</v>
      </c>
      <c r="X359" s="88">
        <f t="shared" ca="1" si="74"/>
        <v>224</v>
      </c>
      <c r="Y359" s="87">
        <f t="shared" ca="1" si="75"/>
        <v>0</v>
      </c>
      <c r="Z359" s="86">
        <f t="shared" ca="1" si="76"/>
        <v>0</v>
      </c>
      <c r="AA359" s="85">
        <f t="shared" ca="1" si="77"/>
        <v>2.468</v>
      </c>
      <c r="AB359" s="85">
        <f t="shared" ca="1" si="78"/>
        <v>2.036</v>
      </c>
    </row>
    <row r="360" spans="2:28">
      <c r="B360" s="98">
        <f>'115+740'!B361</f>
        <v>45419</v>
      </c>
      <c r="C360" s="97">
        <f t="shared" si="70"/>
        <v>1</v>
      </c>
      <c r="D360" s="96">
        <f t="shared" si="71"/>
        <v>1069</v>
      </c>
      <c r="E360" s="95">
        <f>VLOOKUP(B360,'115+740'!B361:AB452,3,FALSE)</f>
        <v>1866</v>
      </c>
      <c r="F360" s="92">
        <f t="shared" si="66"/>
        <v>2935</v>
      </c>
      <c r="G360" s="94">
        <f ca="1">VLOOKUP(B360,'115+740'!$B$15:$AB$757,20,FALSE)</f>
        <v>2245</v>
      </c>
      <c r="H360" s="94">
        <f ca="1">VLOOKUP(B360,'115+740'!$B$15:$AB$757,4,FALSE)</f>
        <v>150</v>
      </c>
      <c r="I360" s="91">
        <f t="shared" ca="1" si="67"/>
        <v>2785</v>
      </c>
      <c r="J360" s="91">
        <f ca="1">VLOOKUP(B360,'115+740'!$B$15:$AB$757,13,FALSE)</f>
        <v>-215</v>
      </c>
      <c r="K360" s="89">
        <f>'115+740'!Q361</f>
        <v>0</v>
      </c>
      <c r="L360" s="88">
        <f t="shared" ca="1" si="72"/>
        <v>255</v>
      </c>
      <c r="M360" s="93">
        <f ca="1">VLOOKUP(B360,'115+740'!$B$14:$AB$757,21,FALSE)</f>
        <v>2263</v>
      </c>
      <c r="N360" s="92">
        <f ca="1">VLOOKUP(B360,'115+740'!$B$15:$AB$757,5,FALSE)</f>
        <v>182</v>
      </c>
      <c r="O360" s="91">
        <f t="shared" ca="1" si="68"/>
        <v>2753</v>
      </c>
      <c r="P360" s="91">
        <f ca="1">VLOOKUP(B360,'115+740'!$B$15:$AB$757,14,FALSE)</f>
        <v>-247</v>
      </c>
      <c r="Q360" s="89">
        <f>'115+740'!R361</f>
        <v>0</v>
      </c>
      <c r="R360" s="88">
        <f t="shared" ca="1" si="73"/>
        <v>237</v>
      </c>
      <c r="S360" s="93">
        <f ca="1">VLOOKUP(B360,'115+740'!$B$14:$AB$757,22,FALSE)</f>
        <v>2276</v>
      </c>
      <c r="T360" s="92">
        <f ca="1">VLOOKUP(B360,'115+740'!$B$15:$AB$757,6,FALSE)</f>
        <v>199</v>
      </c>
      <c r="U360" s="91">
        <f t="shared" ca="1" si="69"/>
        <v>2736</v>
      </c>
      <c r="V360" s="90">
        <f ca="1">VLOOKUP(B360,'115+740'!$B$15:$AB$757,15,FALSE)</f>
        <v>-264</v>
      </c>
      <c r="W360" s="89">
        <f>'115+740'!S361</f>
        <v>0</v>
      </c>
      <c r="X360" s="88">
        <f t="shared" ca="1" si="74"/>
        <v>224</v>
      </c>
      <c r="Y360" s="87">
        <f t="shared" ca="1" si="75"/>
        <v>0</v>
      </c>
      <c r="Z360" s="86">
        <f t="shared" ca="1" si="76"/>
        <v>0</v>
      </c>
      <c r="AA360" s="85">
        <f t="shared" ca="1" si="77"/>
        <v>2.468</v>
      </c>
      <c r="AB360" s="85">
        <f t="shared" ca="1" si="78"/>
        <v>2.036</v>
      </c>
    </row>
    <row r="361" spans="2:28">
      <c r="B361" s="98">
        <f>'115+740'!B362</f>
        <v>45420</v>
      </c>
      <c r="C361" s="97">
        <f t="shared" si="70"/>
        <v>1</v>
      </c>
      <c r="D361" s="96">
        <f t="shared" si="71"/>
        <v>1069</v>
      </c>
      <c r="E361" s="95">
        <f>VLOOKUP(B361,'115+740'!B362:AB452,3,FALSE)</f>
        <v>1868</v>
      </c>
      <c r="F361" s="92">
        <f t="shared" si="66"/>
        <v>2937</v>
      </c>
      <c r="G361" s="94">
        <f ca="1">VLOOKUP(B361,'115+740'!$B$15:$AB$757,20,FALSE)</f>
        <v>2245</v>
      </c>
      <c r="H361" s="94">
        <f ca="1">VLOOKUP(B361,'115+740'!$B$15:$AB$757,4,FALSE)</f>
        <v>152</v>
      </c>
      <c r="I361" s="91">
        <f t="shared" ca="1" si="67"/>
        <v>2785</v>
      </c>
      <c r="J361" s="91">
        <f ca="1">VLOOKUP(B361,'115+740'!$B$15:$AB$757,13,FALSE)</f>
        <v>-215</v>
      </c>
      <c r="K361" s="89">
        <f>'115+740'!Q362</f>
        <v>0</v>
      </c>
      <c r="L361" s="88">
        <f t="shared" ca="1" si="72"/>
        <v>255</v>
      </c>
      <c r="M361" s="93">
        <f ca="1">VLOOKUP(B361,'115+740'!$B$14:$AB$757,21,FALSE)</f>
        <v>2263</v>
      </c>
      <c r="N361" s="92">
        <f ca="1">VLOOKUP(B361,'115+740'!$B$15:$AB$757,5,FALSE)</f>
        <v>184</v>
      </c>
      <c r="O361" s="91">
        <f t="shared" ca="1" si="68"/>
        <v>2753</v>
      </c>
      <c r="P361" s="91">
        <f ca="1">VLOOKUP(B361,'115+740'!$B$15:$AB$757,14,FALSE)</f>
        <v>-247</v>
      </c>
      <c r="Q361" s="89">
        <f>'115+740'!R362</f>
        <v>0</v>
      </c>
      <c r="R361" s="88">
        <f t="shared" ca="1" si="73"/>
        <v>237</v>
      </c>
      <c r="S361" s="93">
        <f ca="1">VLOOKUP(B361,'115+740'!$B$14:$AB$757,22,FALSE)</f>
        <v>2276</v>
      </c>
      <c r="T361" s="92">
        <f ca="1">VLOOKUP(B361,'115+740'!$B$15:$AB$757,6,FALSE)</f>
        <v>201</v>
      </c>
      <c r="U361" s="91">
        <f t="shared" ca="1" si="69"/>
        <v>2736</v>
      </c>
      <c r="V361" s="90">
        <f ca="1">VLOOKUP(B361,'115+740'!$B$15:$AB$757,15,FALSE)</f>
        <v>-264</v>
      </c>
      <c r="W361" s="89">
        <f>'115+740'!S362</f>
        <v>0</v>
      </c>
      <c r="X361" s="88">
        <f t="shared" ca="1" si="74"/>
        <v>224</v>
      </c>
      <c r="Y361" s="87">
        <f t="shared" ca="1" si="75"/>
        <v>0</v>
      </c>
      <c r="Z361" s="86">
        <f t="shared" ca="1" si="76"/>
        <v>0</v>
      </c>
      <c r="AA361" s="85">
        <f t="shared" ca="1" si="77"/>
        <v>2.468</v>
      </c>
      <c r="AB361" s="85">
        <f t="shared" ca="1" si="78"/>
        <v>2.036</v>
      </c>
    </row>
    <row r="362" spans="2:28">
      <c r="B362" s="98">
        <f>'115+740'!B363</f>
        <v>45421</v>
      </c>
      <c r="C362" s="97">
        <f t="shared" si="70"/>
        <v>1</v>
      </c>
      <c r="D362" s="96">
        <f t="shared" si="71"/>
        <v>1069</v>
      </c>
      <c r="E362" s="95">
        <f>VLOOKUP(B362,'115+740'!B363:AB452,3,FALSE)</f>
        <v>1870</v>
      </c>
      <c r="F362" s="92">
        <f t="shared" si="66"/>
        <v>2939</v>
      </c>
      <c r="G362" s="94">
        <f ca="1">VLOOKUP(B362,'115+740'!$B$15:$AB$757,20,FALSE)</f>
        <v>2245</v>
      </c>
      <c r="H362" s="94">
        <f ca="1">VLOOKUP(B362,'115+740'!$B$15:$AB$757,4,FALSE)</f>
        <v>-846</v>
      </c>
      <c r="I362" s="91">
        <f t="shared" ca="1" si="67"/>
        <v>3785</v>
      </c>
      <c r="J362" s="91">
        <f ca="1">VLOOKUP(B362,'115+740'!$B$15:$AB$757,13,FALSE)</f>
        <v>-215</v>
      </c>
      <c r="K362" s="89">
        <f>'115+740'!Q363</f>
        <v>0</v>
      </c>
      <c r="L362" s="88">
        <f t="shared" ca="1" si="72"/>
        <v>255</v>
      </c>
      <c r="M362" s="93">
        <f ca="1">VLOOKUP(B362,'115+740'!$B$14:$AB$757,21,FALSE)</f>
        <v>2263</v>
      </c>
      <c r="N362" s="92">
        <f ca="1">VLOOKUP(B362,'115+740'!$B$15:$AB$757,5,FALSE)</f>
        <v>-814</v>
      </c>
      <c r="O362" s="91">
        <f t="shared" ca="1" si="68"/>
        <v>3753</v>
      </c>
      <c r="P362" s="91">
        <f ca="1">VLOOKUP(B362,'115+740'!$B$15:$AB$757,14,FALSE)</f>
        <v>-247</v>
      </c>
      <c r="Q362" s="89">
        <f>'115+740'!R363</f>
        <v>0</v>
      </c>
      <c r="R362" s="88">
        <f t="shared" ca="1" si="73"/>
        <v>237</v>
      </c>
      <c r="S362" s="93">
        <f ca="1">VLOOKUP(B362,'115+740'!$B$14:$AB$757,22,FALSE)</f>
        <v>2276</v>
      </c>
      <c r="T362" s="92">
        <f ca="1">VLOOKUP(B362,'115+740'!$B$15:$AB$757,6,FALSE)</f>
        <v>-797</v>
      </c>
      <c r="U362" s="91">
        <f t="shared" ca="1" si="69"/>
        <v>3736</v>
      </c>
      <c r="V362" s="90">
        <f ca="1">VLOOKUP(B362,'115+740'!$B$15:$AB$757,15,FALSE)</f>
        <v>-264</v>
      </c>
      <c r="W362" s="89">
        <f>'115+740'!S363</f>
        <v>0</v>
      </c>
      <c r="X362" s="88">
        <f t="shared" ca="1" si="74"/>
        <v>224</v>
      </c>
      <c r="Y362" s="87">
        <f t="shared" ca="1" si="75"/>
        <v>0</v>
      </c>
      <c r="Z362" s="86">
        <f t="shared" ca="1" si="76"/>
        <v>0</v>
      </c>
      <c r="AA362" s="85">
        <f t="shared" ca="1" si="77"/>
        <v>2.468</v>
      </c>
      <c r="AB362" s="85">
        <f t="shared" ca="1" si="78"/>
        <v>2.036</v>
      </c>
    </row>
    <row r="363" spans="2:28">
      <c r="B363" s="98">
        <f>'115+740'!B364</f>
        <v>45422</v>
      </c>
      <c r="C363" s="97">
        <f t="shared" si="70"/>
        <v>1</v>
      </c>
      <c r="D363" s="96">
        <f t="shared" si="71"/>
        <v>1069</v>
      </c>
      <c r="E363" s="95">
        <f>VLOOKUP(B363,'115+740'!B364:AB452,3,FALSE)</f>
        <v>1872</v>
      </c>
      <c r="F363" s="92">
        <f t="shared" si="66"/>
        <v>2941</v>
      </c>
      <c r="G363" s="94">
        <f ca="1">VLOOKUP(B363,'115+740'!$B$15:$AB$757,20,FALSE)</f>
        <v>2245</v>
      </c>
      <c r="H363" s="94">
        <f ca="1">VLOOKUP(B363,'115+740'!$B$15:$AB$757,4,FALSE)</f>
        <v>-844</v>
      </c>
      <c r="I363" s="91">
        <f t="shared" ca="1" si="67"/>
        <v>3785</v>
      </c>
      <c r="J363" s="91">
        <f ca="1">VLOOKUP(B363,'115+740'!$B$15:$AB$757,13,FALSE)</f>
        <v>-215</v>
      </c>
      <c r="K363" s="89">
        <f>'115+740'!Q364</f>
        <v>0</v>
      </c>
      <c r="L363" s="88">
        <f t="shared" ca="1" si="72"/>
        <v>255</v>
      </c>
      <c r="M363" s="93">
        <f ca="1">VLOOKUP(B363,'115+740'!$B$14:$AB$757,21,FALSE)</f>
        <v>2263</v>
      </c>
      <c r="N363" s="92">
        <f ca="1">VLOOKUP(B363,'115+740'!$B$15:$AB$757,5,FALSE)</f>
        <v>-812</v>
      </c>
      <c r="O363" s="91">
        <f t="shared" ca="1" si="68"/>
        <v>3753</v>
      </c>
      <c r="P363" s="91">
        <f ca="1">VLOOKUP(B363,'115+740'!$B$15:$AB$757,14,FALSE)</f>
        <v>-247</v>
      </c>
      <c r="Q363" s="89">
        <f>'115+740'!R364</f>
        <v>0</v>
      </c>
      <c r="R363" s="88">
        <f t="shared" ca="1" si="73"/>
        <v>237</v>
      </c>
      <c r="S363" s="93">
        <f ca="1">VLOOKUP(B363,'115+740'!$B$14:$AB$757,22,FALSE)</f>
        <v>2276</v>
      </c>
      <c r="T363" s="92">
        <f ca="1">VLOOKUP(B363,'115+740'!$B$15:$AB$757,6,FALSE)</f>
        <v>-795</v>
      </c>
      <c r="U363" s="91">
        <f t="shared" ca="1" si="69"/>
        <v>3736</v>
      </c>
      <c r="V363" s="90">
        <f ca="1">VLOOKUP(B363,'115+740'!$B$15:$AB$757,15,FALSE)</f>
        <v>-264</v>
      </c>
      <c r="W363" s="89">
        <f>'115+740'!S364</f>
        <v>0</v>
      </c>
      <c r="X363" s="88">
        <f t="shared" ca="1" si="74"/>
        <v>224</v>
      </c>
      <c r="Y363" s="87">
        <f t="shared" ca="1" si="75"/>
        <v>0</v>
      </c>
      <c r="Z363" s="86">
        <f t="shared" ca="1" si="76"/>
        <v>0</v>
      </c>
      <c r="AA363" s="85">
        <f t="shared" ca="1" si="77"/>
        <v>2.468</v>
      </c>
      <c r="AB363" s="85">
        <f t="shared" ca="1" si="78"/>
        <v>2.036</v>
      </c>
    </row>
    <row r="364" spans="2:28">
      <c r="B364" s="98">
        <f>'115+740'!B365</f>
        <v>45423</v>
      </c>
      <c r="C364" s="97">
        <f t="shared" si="70"/>
        <v>1</v>
      </c>
      <c r="D364" s="96">
        <f t="shared" si="71"/>
        <v>1069</v>
      </c>
      <c r="E364" s="95">
        <f>VLOOKUP(B364,'115+740'!B365:AB452,3,FALSE)</f>
        <v>1874</v>
      </c>
      <c r="F364" s="92">
        <f t="shared" si="66"/>
        <v>2943</v>
      </c>
      <c r="G364" s="94">
        <f ca="1">VLOOKUP(B364,'115+740'!$B$15:$AB$757,20,FALSE)</f>
        <v>2245</v>
      </c>
      <c r="H364" s="94">
        <f ca="1">VLOOKUP(B364,'115+740'!$B$15:$AB$757,4,FALSE)</f>
        <v>-842</v>
      </c>
      <c r="I364" s="91">
        <f t="shared" ca="1" si="67"/>
        <v>3785</v>
      </c>
      <c r="J364" s="91">
        <f ca="1">VLOOKUP(B364,'115+740'!$B$15:$AB$757,13,FALSE)</f>
        <v>-215</v>
      </c>
      <c r="K364" s="89">
        <f>'115+740'!Q365</f>
        <v>0</v>
      </c>
      <c r="L364" s="88">
        <f t="shared" ca="1" si="72"/>
        <v>255</v>
      </c>
      <c r="M364" s="93">
        <f ca="1">VLOOKUP(B364,'115+740'!$B$14:$AB$757,21,FALSE)</f>
        <v>2263</v>
      </c>
      <c r="N364" s="92">
        <f ca="1">VLOOKUP(B364,'115+740'!$B$15:$AB$757,5,FALSE)</f>
        <v>-810</v>
      </c>
      <c r="O364" s="91">
        <f t="shared" ca="1" si="68"/>
        <v>3753</v>
      </c>
      <c r="P364" s="91">
        <f ca="1">VLOOKUP(B364,'115+740'!$B$15:$AB$757,14,FALSE)</f>
        <v>-247</v>
      </c>
      <c r="Q364" s="89">
        <f>'115+740'!R365</f>
        <v>0</v>
      </c>
      <c r="R364" s="88">
        <f t="shared" ca="1" si="73"/>
        <v>237</v>
      </c>
      <c r="S364" s="93">
        <f ca="1">VLOOKUP(B364,'115+740'!$B$14:$AB$757,22,FALSE)</f>
        <v>2276</v>
      </c>
      <c r="T364" s="92">
        <f ca="1">VLOOKUP(B364,'115+740'!$B$15:$AB$757,6,FALSE)</f>
        <v>-793</v>
      </c>
      <c r="U364" s="91">
        <f t="shared" ca="1" si="69"/>
        <v>3736</v>
      </c>
      <c r="V364" s="90">
        <f ca="1">VLOOKUP(B364,'115+740'!$B$15:$AB$757,15,FALSE)</f>
        <v>-264</v>
      </c>
      <c r="W364" s="89">
        <f>'115+740'!S365</f>
        <v>0</v>
      </c>
      <c r="X364" s="88">
        <f t="shared" ca="1" si="74"/>
        <v>224</v>
      </c>
      <c r="Y364" s="87">
        <f t="shared" ca="1" si="75"/>
        <v>0</v>
      </c>
      <c r="Z364" s="86">
        <f t="shared" ca="1" si="76"/>
        <v>0</v>
      </c>
      <c r="AA364" s="85">
        <f t="shared" ca="1" si="77"/>
        <v>2.468</v>
      </c>
      <c r="AB364" s="85">
        <f t="shared" ca="1" si="78"/>
        <v>2.036</v>
      </c>
    </row>
    <row r="365" spans="2:28">
      <c r="B365" s="98">
        <f>'115+740'!B366</f>
        <v>45424</v>
      </c>
      <c r="C365" s="97">
        <f t="shared" si="70"/>
        <v>1</v>
      </c>
      <c r="D365" s="96">
        <f t="shared" si="71"/>
        <v>1069</v>
      </c>
      <c r="E365" s="95">
        <f>VLOOKUP(B365,'115+740'!B366:AB452,3,FALSE)</f>
        <v>1876</v>
      </c>
      <c r="F365" s="92">
        <f t="shared" si="66"/>
        <v>2945</v>
      </c>
      <c r="G365" s="94">
        <f ca="1">VLOOKUP(B365,'115+740'!$B$15:$AB$757,20,FALSE)</f>
        <v>2245</v>
      </c>
      <c r="H365" s="94">
        <f ca="1">VLOOKUP(B365,'115+740'!$B$15:$AB$757,4,FALSE)</f>
        <v>-840</v>
      </c>
      <c r="I365" s="91">
        <f t="shared" ca="1" si="67"/>
        <v>3785</v>
      </c>
      <c r="J365" s="91">
        <f ca="1">VLOOKUP(B365,'115+740'!$B$15:$AB$757,13,FALSE)</f>
        <v>-215</v>
      </c>
      <c r="K365" s="89">
        <f>'115+740'!Q366</f>
        <v>0</v>
      </c>
      <c r="L365" s="88">
        <f t="shared" ca="1" si="72"/>
        <v>255</v>
      </c>
      <c r="M365" s="93">
        <f ca="1">VLOOKUP(B365,'115+740'!$B$14:$AB$757,21,FALSE)</f>
        <v>2263</v>
      </c>
      <c r="N365" s="92">
        <f ca="1">VLOOKUP(B365,'115+740'!$B$15:$AB$757,5,FALSE)</f>
        <v>-808</v>
      </c>
      <c r="O365" s="91">
        <f t="shared" ca="1" si="68"/>
        <v>3753</v>
      </c>
      <c r="P365" s="91">
        <f ca="1">VLOOKUP(B365,'115+740'!$B$15:$AB$757,14,FALSE)</f>
        <v>-247</v>
      </c>
      <c r="Q365" s="89">
        <f>'115+740'!R366</f>
        <v>0</v>
      </c>
      <c r="R365" s="88">
        <f t="shared" ca="1" si="73"/>
        <v>237</v>
      </c>
      <c r="S365" s="93">
        <f ca="1">VLOOKUP(B365,'115+740'!$B$14:$AB$757,22,FALSE)</f>
        <v>2276</v>
      </c>
      <c r="T365" s="92">
        <f ca="1">VLOOKUP(B365,'115+740'!$B$15:$AB$757,6,FALSE)</f>
        <v>-791</v>
      </c>
      <c r="U365" s="91">
        <f t="shared" ca="1" si="69"/>
        <v>3736</v>
      </c>
      <c r="V365" s="90">
        <f ca="1">VLOOKUP(B365,'115+740'!$B$15:$AB$757,15,FALSE)</f>
        <v>-264</v>
      </c>
      <c r="W365" s="89">
        <f>'115+740'!S366</f>
        <v>0</v>
      </c>
      <c r="X365" s="88">
        <f t="shared" ca="1" si="74"/>
        <v>224</v>
      </c>
      <c r="Y365" s="87">
        <f t="shared" ca="1" si="75"/>
        <v>0</v>
      </c>
      <c r="Z365" s="86">
        <f t="shared" ca="1" si="76"/>
        <v>0</v>
      </c>
      <c r="AA365" s="85">
        <f t="shared" ca="1" si="77"/>
        <v>2.468</v>
      </c>
      <c r="AB365" s="85">
        <f t="shared" ca="1" si="78"/>
        <v>2.036</v>
      </c>
    </row>
    <row r="366" spans="2:28">
      <c r="B366" s="98">
        <f>'115+740'!B367</f>
        <v>45425</v>
      </c>
      <c r="C366" s="97">
        <f t="shared" si="70"/>
        <v>1</v>
      </c>
      <c r="D366" s="96">
        <f t="shared" si="71"/>
        <v>1069</v>
      </c>
      <c r="E366" s="95">
        <f>VLOOKUP(B366,'115+740'!B367:AB452,3,FALSE)</f>
        <v>1878</v>
      </c>
      <c r="F366" s="92">
        <f t="shared" si="66"/>
        <v>2947</v>
      </c>
      <c r="G366" s="94">
        <f ca="1">VLOOKUP(B366,'115+740'!$B$15:$AB$757,20,FALSE)</f>
        <v>2245</v>
      </c>
      <c r="H366" s="94">
        <f ca="1">VLOOKUP(B366,'115+740'!$B$15:$AB$757,4,FALSE)</f>
        <v>-838</v>
      </c>
      <c r="I366" s="91">
        <f t="shared" ca="1" si="67"/>
        <v>3785</v>
      </c>
      <c r="J366" s="91">
        <f ca="1">VLOOKUP(B366,'115+740'!$B$15:$AB$757,13,FALSE)</f>
        <v>-215</v>
      </c>
      <c r="K366" s="89">
        <f>'115+740'!Q367</f>
        <v>0</v>
      </c>
      <c r="L366" s="88">
        <f t="shared" ca="1" si="72"/>
        <v>255</v>
      </c>
      <c r="M366" s="93">
        <f ca="1">VLOOKUP(B366,'115+740'!$B$14:$AB$757,21,FALSE)</f>
        <v>2263</v>
      </c>
      <c r="N366" s="92">
        <f ca="1">VLOOKUP(B366,'115+740'!$B$15:$AB$757,5,FALSE)</f>
        <v>-806</v>
      </c>
      <c r="O366" s="91">
        <f t="shared" ca="1" si="68"/>
        <v>3753</v>
      </c>
      <c r="P366" s="91">
        <f ca="1">VLOOKUP(B366,'115+740'!$B$15:$AB$757,14,FALSE)</f>
        <v>-247</v>
      </c>
      <c r="Q366" s="89">
        <f>'115+740'!R367</f>
        <v>0</v>
      </c>
      <c r="R366" s="88">
        <f t="shared" ca="1" si="73"/>
        <v>237</v>
      </c>
      <c r="S366" s="93">
        <f ca="1">VLOOKUP(B366,'115+740'!$B$14:$AB$757,22,FALSE)</f>
        <v>2276</v>
      </c>
      <c r="T366" s="92">
        <f ca="1">VLOOKUP(B366,'115+740'!$B$15:$AB$757,6,FALSE)</f>
        <v>-789</v>
      </c>
      <c r="U366" s="91">
        <f t="shared" ca="1" si="69"/>
        <v>3736</v>
      </c>
      <c r="V366" s="90">
        <f ca="1">VLOOKUP(B366,'115+740'!$B$15:$AB$757,15,FALSE)</f>
        <v>-264</v>
      </c>
      <c r="W366" s="89">
        <f>'115+740'!S367</f>
        <v>0</v>
      </c>
      <c r="X366" s="88">
        <f t="shared" ca="1" si="74"/>
        <v>224</v>
      </c>
      <c r="Y366" s="87">
        <f t="shared" ca="1" si="75"/>
        <v>0</v>
      </c>
      <c r="Z366" s="86">
        <f t="shared" ca="1" si="76"/>
        <v>0</v>
      </c>
      <c r="AA366" s="85">
        <f t="shared" ca="1" si="77"/>
        <v>2.468</v>
      </c>
      <c r="AB366" s="85">
        <f t="shared" ca="1" si="78"/>
        <v>2.036</v>
      </c>
    </row>
    <row r="367" spans="2:28">
      <c r="B367" s="98">
        <f>'115+740'!B368</f>
        <v>45426</v>
      </c>
      <c r="C367" s="97">
        <f t="shared" si="70"/>
        <v>1</v>
      </c>
      <c r="D367" s="96">
        <f t="shared" si="71"/>
        <v>1069</v>
      </c>
      <c r="E367" s="95">
        <f>VLOOKUP(B367,'115+740'!B368:AB452,3,FALSE)</f>
        <v>1880</v>
      </c>
      <c r="F367" s="92">
        <f t="shared" si="66"/>
        <v>2949</v>
      </c>
      <c r="G367" s="94">
        <f ca="1">VLOOKUP(B367,'115+740'!$B$15:$AB$757,20,FALSE)</f>
        <v>2245</v>
      </c>
      <c r="H367" s="94">
        <f ca="1">VLOOKUP(B367,'115+740'!$B$15:$AB$757,4,FALSE)</f>
        <v>-836</v>
      </c>
      <c r="I367" s="91">
        <f t="shared" ca="1" si="67"/>
        <v>3785</v>
      </c>
      <c r="J367" s="91">
        <f ca="1">VLOOKUP(B367,'115+740'!$B$15:$AB$757,13,FALSE)</f>
        <v>-215</v>
      </c>
      <c r="K367" s="89">
        <f>'115+740'!Q368</f>
        <v>0</v>
      </c>
      <c r="L367" s="88">
        <f t="shared" ca="1" si="72"/>
        <v>255</v>
      </c>
      <c r="M367" s="93">
        <f ca="1">VLOOKUP(B367,'115+740'!$B$14:$AB$757,21,FALSE)</f>
        <v>2263</v>
      </c>
      <c r="N367" s="92">
        <f ca="1">VLOOKUP(B367,'115+740'!$B$15:$AB$757,5,FALSE)</f>
        <v>-804</v>
      </c>
      <c r="O367" s="91">
        <f t="shared" ca="1" si="68"/>
        <v>3753</v>
      </c>
      <c r="P367" s="91">
        <f ca="1">VLOOKUP(B367,'115+740'!$B$15:$AB$757,14,FALSE)</f>
        <v>-247</v>
      </c>
      <c r="Q367" s="89">
        <f>'115+740'!R368</f>
        <v>0</v>
      </c>
      <c r="R367" s="88">
        <f t="shared" ca="1" si="73"/>
        <v>237</v>
      </c>
      <c r="S367" s="93">
        <f ca="1">VLOOKUP(B367,'115+740'!$B$14:$AB$757,22,FALSE)</f>
        <v>2276</v>
      </c>
      <c r="T367" s="92">
        <f ca="1">VLOOKUP(B367,'115+740'!$B$15:$AB$757,6,FALSE)</f>
        <v>-787</v>
      </c>
      <c r="U367" s="91">
        <f t="shared" ca="1" si="69"/>
        <v>3736</v>
      </c>
      <c r="V367" s="90">
        <f ca="1">VLOOKUP(B367,'115+740'!$B$15:$AB$757,15,FALSE)</f>
        <v>-264</v>
      </c>
      <c r="W367" s="89">
        <f>'115+740'!S368</f>
        <v>0</v>
      </c>
      <c r="X367" s="88">
        <f t="shared" ca="1" si="74"/>
        <v>224</v>
      </c>
      <c r="Y367" s="87">
        <f t="shared" ca="1" si="75"/>
        <v>0</v>
      </c>
      <c r="Z367" s="86">
        <f t="shared" ca="1" si="76"/>
        <v>0</v>
      </c>
      <c r="AA367" s="85">
        <f t="shared" ca="1" si="77"/>
        <v>2.468</v>
      </c>
      <c r="AB367" s="85">
        <f t="shared" ca="1" si="78"/>
        <v>2.036</v>
      </c>
    </row>
    <row r="368" spans="2:28">
      <c r="B368" s="98">
        <f>'115+740'!B369</f>
        <v>45427</v>
      </c>
      <c r="C368" s="97">
        <f t="shared" si="70"/>
        <v>1</v>
      </c>
      <c r="D368" s="96">
        <f t="shared" si="71"/>
        <v>1069</v>
      </c>
      <c r="E368" s="95">
        <f>VLOOKUP(B368,'115+740'!B369:AB452,3,FALSE)</f>
        <v>1882</v>
      </c>
      <c r="F368" s="92">
        <f t="shared" si="66"/>
        <v>2951</v>
      </c>
      <c r="G368" s="94">
        <f ca="1">VLOOKUP(B368,'115+740'!$B$15:$AB$757,20,FALSE)</f>
        <v>2245</v>
      </c>
      <c r="H368" s="94">
        <f ca="1">VLOOKUP(B368,'115+740'!$B$15:$AB$757,4,FALSE)</f>
        <v>-834</v>
      </c>
      <c r="I368" s="91">
        <f t="shared" ca="1" si="67"/>
        <v>3785</v>
      </c>
      <c r="J368" s="91">
        <f ca="1">VLOOKUP(B368,'115+740'!$B$15:$AB$757,13,FALSE)</f>
        <v>-215</v>
      </c>
      <c r="K368" s="89">
        <f>'115+740'!Q369</f>
        <v>0</v>
      </c>
      <c r="L368" s="88">
        <f t="shared" ca="1" si="72"/>
        <v>255</v>
      </c>
      <c r="M368" s="93">
        <f ca="1">VLOOKUP(B368,'115+740'!$B$14:$AB$757,21,FALSE)</f>
        <v>2263</v>
      </c>
      <c r="N368" s="92">
        <f ca="1">VLOOKUP(B368,'115+740'!$B$15:$AB$757,5,FALSE)</f>
        <v>-802</v>
      </c>
      <c r="O368" s="91">
        <f t="shared" ca="1" si="68"/>
        <v>3753</v>
      </c>
      <c r="P368" s="91">
        <f ca="1">VLOOKUP(B368,'115+740'!$B$15:$AB$757,14,FALSE)</f>
        <v>-247</v>
      </c>
      <c r="Q368" s="89">
        <f>'115+740'!R369</f>
        <v>0</v>
      </c>
      <c r="R368" s="88">
        <f t="shared" ca="1" si="73"/>
        <v>237</v>
      </c>
      <c r="S368" s="93">
        <f ca="1">VLOOKUP(B368,'115+740'!$B$14:$AB$757,22,FALSE)</f>
        <v>2276</v>
      </c>
      <c r="T368" s="92">
        <f ca="1">VLOOKUP(B368,'115+740'!$B$15:$AB$757,6,FALSE)</f>
        <v>-785</v>
      </c>
      <c r="U368" s="91">
        <f t="shared" ca="1" si="69"/>
        <v>3736</v>
      </c>
      <c r="V368" s="90">
        <f ca="1">VLOOKUP(B368,'115+740'!$B$15:$AB$757,15,FALSE)</f>
        <v>-264</v>
      </c>
      <c r="W368" s="89">
        <f>'115+740'!S369</f>
        <v>0</v>
      </c>
      <c r="X368" s="88">
        <f t="shared" ca="1" si="74"/>
        <v>224</v>
      </c>
      <c r="Y368" s="87">
        <f t="shared" ca="1" si="75"/>
        <v>0</v>
      </c>
      <c r="Z368" s="86">
        <f t="shared" ca="1" si="76"/>
        <v>0</v>
      </c>
      <c r="AA368" s="85">
        <f t="shared" ca="1" si="77"/>
        <v>2.468</v>
      </c>
      <c r="AB368" s="85">
        <f t="shared" ca="1" si="78"/>
        <v>2.036</v>
      </c>
    </row>
    <row r="369" spans="2:28">
      <c r="B369" s="98">
        <f>'115+740'!B370</f>
        <v>45428</v>
      </c>
      <c r="C369" s="97">
        <f t="shared" si="70"/>
        <v>1</v>
      </c>
      <c r="D369" s="96">
        <f t="shared" si="71"/>
        <v>1069</v>
      </c>
      <c r="E369" s="95">
        <f>VLOOKUP(B369,'115+740'!B370:AB452,3,FALSE)</f>
        <v>1884</v>
      </c>
      <c r="F369" s="92">
        <f t="shared" si="66"/>
        <v>2953</v>
      </c>
      <c r="G369" s="94">
        <f ca="1">VLOOKUP(B369,'115+740'!$B$15:$AB$757,20,FALSE)</f>
        <v>2245</v>
      </c>
      <c r="H369" s="94">
        <f ca="1">VLOOKUP(B369,'115+740'!$B$15:$AB$757,4,FALSE)</f>
        <v>-832</v>
      </c>
      <c r="I369" s="91">
        <f t="shared" ca="1" si="67"/>
        <v>3785</v>
      </c>
      <c r="J369" s="91">
        <f ca="1">VLOOKUP(B369,'115+740'!$B$15:$AB$757,13,FALSE)</f>
        <v>-215</v>
      </c>
      <c r="K369" s="89">
        <f>'115+740'!Q370</f>
        <v>0</v>
      </c>
      <c r="L369" s="88">
        <f t="shared" ca="1" si="72"/>
        <v>255</v>
      </c>
      <c r="M369" s="93">
        <f ca="1">VLOOKUP(B369,'115+740'!$B$14:$AB$757,21,FALSE)</f>
        <v>2263</v>
      </c>
      <c r="N369" s="92">
        <f ca="1">VLOOKUP(B369,'115+740'!$B$15:$AB$757,5,FALSE)</f>
        <v>-800</v>
      </c>
      <c r="O369" s="91">
        <f t="shared" ca="1" si="68"/>
        <v>3753</v>
      </c>
      <c r="P369" s="91">
        <f ca="1">VLOOKUP(B369,'115+740'!$B$15:$AB$757,14,FALSE)</f>
        <v>-247</v>
      </c>
      <c r="Q369" s="89">
        <f>'115+740'!R370</f>
        <v>0</v>
      </c>
      <c r="R369" s="88">
        <f t="shared" ca="1" si="73"/>
        <v>237</v>
      </c>
      <c r="S369" s="93">
        <f ca="1">VLOOKUP(B369,'115+740'!$B$14:$AB$757,22,FALSE)</f>
        <v>2276</v>
      </c>
      <c r="T369" s="92">
        <f ca="1">VLOOKUP(B369,'115+740'!$B$15:$AB$757,6,FALSE)</f>
        <v>-783</v>
      </c>
      <c r="U369" s="91">
        <f t="shared" ca="1" si="69"/>
        <v>3736</v>
      </c>
      <c r="V369" s="90">
        <f ca="1">VLOOKUP(B369,'115+740'!$B$15:$AB$757,15,FALSE)</f>
        <v>-264</v>
      </c>
      <c r="W369" s="89">
        <f>'115+740'!S370</f>
        <v>0</v>
      </c>
      <c r="X369" s="88">
        <f t="shared" ca="1" si="74"/>
        <v>224</v>
      </c>
      <c r="Y369" s="87">
        <f t="shared" ca="1" si="75"/>
        <v>0</v>
      </c>
      <c r="Z369" s="86">
        <f t="shared" ca="1" si="76"/>
        <v>0</v>
      </c>
      <c r="AA369" s="85">
        <f t="shared" ca="1" si="77"/>
        <v>2.468</v>
      </c>
      <c r="AB369" s="85">
        <f t="shared" ca="1" si="78"/>
        <v>2.036</v>
      </c>
    </row>
    <row r="370" spans="2:28">
      <c r="B370" s="98">
        <f>'115+740'!B371</f>
        <v>45429</v>
      </c>
      <c r="C370" s="97">
        <f t="shared" si="70"/>
        <v>1</v>
      </c>
      <c r="D370" s="96">
        <f t="shared" si="71"/>
        <v>1069</v>
      </c>
      <c r="E370" s="95">
        <f>VLOOKUP(B370,'115+740'!B371:AB452,3,FALSE)</f>
        <v>1886</v>
      </c>
      <c r="F370" s="92">
        <f t="shared" si="66"/>
        <v>2955</v>
      </c>
      <c r="G370" s="94">
        <f ca="1">VLOOKUP(B370,'115+740'!$B$15:$AB$757,20,FALSE)</f>
        <v>2245</v>
      </c>
      <c r="H370" s="94">
        <f ca="1">VLOOKUP(B370,'115+740'!$B$15:$AB$757,4,FALSE)</f>
        <v>-830</v>
      </c>
      <c r="I370" s="91">
        <f t="shared" ca="1" si="67"/>
        <v>3785</v>
      </c>
      <c r="J370" s="91">
        <f ca="1">VLOOKUP(B370,'115+740'!$B$15:$AB$757,13,FALSE)</f>
        <v>-215</v>
      </c>
      <c r="K370" s="89">
        <f>'115+740'!Q371</f>
        <v>0</v>
      </c>
      <c r="L370" s="88">
        <f t="shared" ca="1" si="72"/>
        <v>255</v>
      </c>
      <c r="M370" s="93">
        <f ca="1">VLOOKUP(B370,'115+740'!$B$14:$AB$757,21,FALSE)</f>
        <v>2263</v>
      </c>
      <c r="N370" s="92">
        <f ca="1">VLOOKUP(B370,'115+740'!$B$15:$AB$757,5,FALSE)</f>
        <v>-798</v>
      </c>
      <c r="O370" s="91">
        <f t="shared" ca="1" si="68"/>
        <v>3753</v>
      </c>
      <c r="P370" s="91">
        <f ca="1">VLOOKUP(B370,'115+740'!$B$15:$AB$757,14,FALSE)</f>
        <v>-247</v>
      </c>
      <c r="Q370" s="89">
        <f>'115+740'!R371</f>
        <v>0</v>
      </c>
      <c r="R370" s="88">
        <f t="shared" ca="1" si="73"/>
        <v>237</v>
      </c>
      <c r="S370" s="93">
        <f ca="1">VLOOKUP(B370,'115+740'!$B$14:$AB$757,22,FALSE)</f>
        <v>2276</v>
      </c>
      <c r="T370" s="92">
        <f ca="1">VLOOKUP(B370,'115+740'!$B$15:$AB$757,6,FALSE)</f>
        <v>-781</v>
      </c>
      <c r="U370" s="91">
        <f t="shared" ca="1" si="69"/>
        <v>3736</v>
      </c>
      <c r="V370" s="90">
        <f ca="1">VLOOKUP(B370,'115+740'!$B$15:$AB$757,15,FALSE)</f>
        <v>-264</v>
      </c>
      <c r="W370" s="89">
        <f>'115+740'!S371</f>
        <v>0</v>
      </c>
      <c r="X370" s="88">
        <f t="shared" ca="1" si="74"/>
        <v>224</v>
      </c>
      <c r="Y370" s="87">
        <f t="shared" ca="1" si="75"/>
        <v>0</v>
      </c>
      <c r="Z370" s="86">
        <f t="shared" ca="1" si="76"/>
        <v>0</v>
      </c>
      <c r="AA370" s="85">
        <f t="shared" ca="1" si="77"/>
        <v>2.468</v>
      </c>
      <c r="AB370" s="85">
        <f t="shared" ca="1" si="78"/>
        <v>2.036</v>
      </c>
    </row>
    <row r="371" spans="2:28">
      <c r="B371" s="98">
        <f>'115+740'!B372</f>
        <v>45430</v>
      </c>
      <c r="C371" s="97">
        <f t="shared" si="70"/>
        <v>1</v>
      </c>
      <c r="D371" s="96">
        <f t="shared" si="71"/>
        <v>1069</v>
      </c>
      <c r="E371" s="95">
        <f>VLOOKUP(B371,'115+740'!B372:AB452,3,FALSE)</f>
        <v>1888</v>
      </c>
      <c r="F371" s="92">
        <f t="shared" si="66"/>
        <v>2957</v>
      </c>
      <c r="G371" s="94">
        <f ca="1">VLOOKUP(B371,'115+740'!$B$15:$AB$757,20,FALSE)</f>
        <v>2245</v>
      </c>
      <c r="H371" s="94">
        <f ca="1">VLOOKUP(B371,'115+740'!$B$15:$AB$757,4,FALSE)</f>
        <v>-828</v>
      </c>
      <c r="I371" s="91">
        <f t="shared" ca="1" si="67"/>
        <v>3785</v>
      </c>
      <c r="J371" s="91">
        <f ca="1">VLOOKUP(B371,'115+740'!$B$15:$AB$757,13,FALSE)</f>
        <v>-215</v>
      </c>
      <c r="K371" s="89">
        <f>'115+740'!Q372</f>
        <v>0</v>
      </c>
      <c r="L371" s="88">
        <f t="shared" ca="1" si="72"/>
        <v>255</v>
      </c>
      <c r="M371" s="93">
        <f ca="1">VLOOKUP(B371,'115+740'!$B$14:$AB$757,21,FALSE)</f>
        <v>2263</v>
      </c>
      <c r="N371" s="92">
        <f ca="1">VLOOKUP(B371,'115+740'!$B$15:$AB$757,5,FALSE)</f>
        <v>-796</v>
      </c>
      <c r="O371" s="91">
        <f t="shared" ca="1" si="68"/>
        <v>3753</v>
      </c>
      <c r="P371" s="91">
        <f ca="1">VLOOKUP(B371,'115+740'!$B$15:$AB$757,14,FALSE)</f>
        <v>-247</v>
      </c>
      <c r="Q371" s="89">
        <f>'115+740'!R372</f>
        <v>0</v>
      </c>
      <c r="R371" s="88">
        <f t="shared" ca="1" si="73"/>
        <v>237</v>
      </c>
      <c r="S371" s="93">
        <f ca="1">VLOOKUP(B371,'115+740'!$B$14:$AB$757,22,FALSE)</f>
        <v>2276</v>
      </c>
      <c r="T371" s="92">
        <f ca="1">VLOOKUP(B371,'115+740'!$B$15:$AB$757,6,FALSE)</f>
        <v>-779</v>
      </c>
      <c r="U371" s="91">
        <f t="shared" ca="1" si="69"/>
        <v>3736</v>
      </c>
      <c r="V371" s="90">
        <f ca="1">VLOOKUP(B371,'115+740'!$B$15:$AB$757,15,FALSE)</f>
        <v>-264</v>
      </c>
      <c r="W371" s="89">
        <f>'115+740'!S372</f>
        <v>0</v>
      </c>
      <c r="X371" s="88">
        <f t="shared" ca="1" si="74"/>
        <v>224</v>
      </c>
      <c r="Y371" s="87">
        <f t="shared" ca="1" si="75"/>
        <v>0</v>
      </c>
      <c r="Z371" s="86">
        <f t="shared" ca="1" si="76"/>
        <v>0</v>
      </c>
      <c r="AA371" s="85">
        <f t="shared" ca="1" si="77"/>
        <v>2.468</v>
      </c>
      <c r="AB371" s="85">
        <f t="shared" ca="1" si="78"/>
        <v>2.036</v>
      </c>
    </row>
    <row r="372" spans="2:28">
      <c r="B372" s="98">
        <f>'115+740'!B373</f>
        <v>45431</v>
      </c>
      <c r="C372" s="97">
        <f t="shared" si="70"/>
        <v>1</v>
      </c>
      <c r="D372" s="96">
        <f t="shared" si="71"/>
        <v>1069</v>
      </c>
      <c r="E372" s="95">
        <f>VLOOKUP(B372,'115+740'!B373:AB452,3,FALSE)</f>
        <v>1890</v>
      </c>
      <c r="F372" s="92">
        <f t="shared" si="66"/>
        <v>2959</v>
      </c>
      <c r="G372" s="94">
        <f ca="1">VLOOKUP(B372,'115+740'!$B$15:$AB$757,20,FALSE)</f>
        <v>2245</v>
      </c>
      <c r="H372" s="94">
        <f ca="1">VLOOKUP(B372,'115+740'!$B$15:$AB$757,4,FALSE)</f>
        <v>-826</v>
      </c>
      <c r="I372" s="91">
        <f t="shared" ca="1" si="67"/>
        <v>3785</v>
      </c>
      <c r="J372" s="91">
        <f ca="1">VLOOKUP(B372,'115+740'!$B$15:$AB$757,13,FALSE)</f>
        <v>-215</v>
      </c>
      <c r="K372" s="89">
        <f>'115+740'!Q373</f>
        <v>0</v>
      </c>
      <c r="L372" s="88">
        <f t="shared" ca="1" si="72"/>
        <v>255</v>
      </c>
      <c r="M372" s="93">
        <f ca="1">VLOOKUP(B372,'115+740'!$B$14:$AB$757,21,FALSE)</f>
        <v>2263</v>
      </c>
      <c r="N372" s="92">
        <f ca="1">VLOOKUP(B372,'115+740'!$B$15:$AB$757,5,FALSE)</f>
        <v>-794</v>
      </c>
      <c r="O372" s="91">
        <f t="shared" ca="1" si="68"/>
        <v>3753</v>
      </c>
      <c r="P372" s="91">
        <f ca="1">VLOOKUP(B372,'115+740'!$B$15:$AB$757,14,FALSE)</f>
        <v>-247</v>
      </c>
      <c r="Q372" s="89">
        <f>'115+740'!R373</f>
        <v>0</v>
      </c>
      <c r="R372" s="88">
        <f t="shared" ca="1" si="73"/>
        <v>237</v>
      </c>
      <c r="S372" s="93">
        <f ca="1">VLOOKUP(B372,'115+740'!$B$14:$AB$757,22,FALSE)</f>
        <v>2276</v>
      </c>
      <c r="T372" s="92">
        <f ca="1">VLOOKUP(B372,'115+740'!$B$15:$AB$757,6,FALSE)</f>
        <v>-777</v>
      </c>
      <c r="U372" s="91">
        <f t="shared" ca="1" si="69"/>
        <v>3736</v>
      </c>
      <c r="V372" s="90">
        <f ca="1">VLOOKUP(B372,'115+740'!$B$15:$AB$757,15,FALSE)</f>
        <v>-264</v>
      </c>
      <c r="W372" s="89">
        <f>'115+740'!S373</f>
        <v>0</v>
      </c>
      <c r="X372" s="88">
        <f t="shared" ca="1" si="74"/>
        <v>224</v>
      </c>
      <c r="Y372" s="87">
        <f t="shared" ca="1" si="75"/>
        <v>0</v>
      </c>
      <c r="Z372" s="86">
        <f t="shared" ca="1" si="76"/>
        <v>0</v>
      </c>
      <c r="AA372" s="85">
        <f t="shared" ca="1" si="77"/>
        <v>2.468</v>
      </c>
      <c r="AB372" s="85">
        <f t="shared" ca="1" si="78"/>
        <v>2.036</v>
      </c>
    </row>
    <row r="373" spans="2:28">
      <c r="B373" s="98">
        <f>'115+740'!B374</f>
        <v>45432</v>
      </c>
      <c r="C373" s="97">
        <f t="shared" si="70"/>
        <v>1</v>
      </c>
      <c r="D373" s="96">
        <f t="shared" si="71"/>
        <v>1069</v>
      </c>
      <c r="E373" s="95">
        <f>VLOOKUP(B373,'115+740'!B374:AB452,3,FALSE)</f>
        <v>1892</v>
      </c>
      <c r="F373" s="92">
        <f t="shared" si="66"/>
        <v>2961</v>
      </c>
      <c r="G373" s="94">
        <f ca="1">VLOOKUP(B373,'115+740'!$B$15:$AB$757,20,FALSE)</f>
        <v>2245</v>
      </c>
      <c r="H373" s="94">
        <f ca="1">VLOOKUP(B373,'115+740'!$B$15:$AB$757,4,FALSE)</f>
        <v>-824</v>
      </c>
      <c r="I373" s="91">
        <f t="shared" ca="1" si="67"/>
        <v>3785</v>
      </c>
      <c r="J373" s="91">
        <f ca="1">VLOOKUP(B373,'115+740'!$B$15:$AB$757,13,FALSE)</f>
        <v>-215</v>
      </c>
      <c r="K373" s="89">
        <f>'115+740'!Q374</f>
        <v>0</v>
      </c>
      <c r="L373" s="88">
        <f t="shared" ca="1" si="72"/>
        <v>255</v>
      </c>
      <c r="M373" s="93">
        <f ca="1">VLOOKUP(B373,'115+740'!$B$14:$AB$757,21,FALSE)</f>
        <v>2263</v>
      </c>
      <c r="N373" s="92">
        <f ca="1">VLOOKUP(B373,'115+740'!$B$15:$AB$757,5,FALSE)</f>
        <v>-792</v>
      </c>
      <c r="O373" s="91">
        <f t="shared" ca="1" si="68"/>
        <v>3753</v>
      </c>
      <c r="P373" s="91">
        <f ca="1">VLOOKUP(B373,'115+740'!$B$15:$AB$757,14,FALSE)</f>
        <v>-247</v>
      </c>
      <c r="Q373" s="89">
        <f>'115+740'!R374</f>
        <v>0</v>
      </c>
      <c r="R373" s="88">
        <f t="shared" ca="1" si="73"/>
        <v>237</v>
      </c>
      <c r="S373" s="93">
        <f ca="1">VLOOKUP(B373,'115+740'!$B$14:$AB$757,22,FALSE)</f>
        <v>2276</v>
      </c>
      <c r="T373" s="92">
        <f ca="1">VLOOKUP(B373,'115+740'!$B$15:$AB$757,6,FALSE)</f>
        <v>-775</v>
      </c>
      <c r="U373" s="91">
        <f t="shared" ca="1" si="69"/>
        <v>3736</v>
      </c>
      <c r="V373" s="90">
        <f ca="1">VLOOKUP(B373,'115+740'!$B$15:$AB$757,15,FALSE)</f>
        <v>-264</v>
      </c>
      <c r="W373" s="89">
        <f>'115+740'!S374</f>
        <v>0</v>
      </c>
      <c r="X373" s="88">
        <f t="shared" ca="1" si="74"/>
        <v>224</v>
      </c>
      <c r="Y373" s="87">
        <f t="shared" ca="1" si="75"/>
        <v>0</v>
      </c>
      <c r="Z373" s="86">
        <f t="shared" ca="1" si="76"/>
        <v>0</v>
      </c>
      <c r="AA373" s="85">
        <f t="shared" ca="1" si="77"/>
        <v>2.468</v>
      </c>
      <c r="AB373" s="85">
        <f t="shared" ca="1" si="78"/>
        <v>2.036</v>
      </c>
    </row>
    <row r="374" spans="2:28">
      <c r="B374" s="98">
        <f>'115+740'!B375</f>
        <v>45433</v>
      </c>
      <c r="C374" s="97">
        <f t="shared" si="70"/>
        <v>1</v>
      </c>
      <c r="D374" s="96">
        <f t="shared" si="71"/>
        <v>1069</v>
      </c>
      <c r="E374" s="95">
        <f>VLOOKUP(B374,'115+740'!B375:AB452,3,FALSE)</f>
        <v>1894</v>
      </c>
      <c r="F374" s="92">
        <f t="shared" si="66"/>
        <v>2963</v>
      </c>
      <c r="G374" s="94">
        <f ca="1">VLOOKUP(B374,'115+740'!$B$15:$AB$757,20,FALSE)</f>
        <v>2245</v>
      </c>
      <c r="H374" s="94">
        <f ca="1">VLOOKUP(B374,'115+740'!$B$15:$AB$757,4,FALSE)</f>
        <v>-822</v>
      </c>
      <c r="I374" s="91">
        <f t="shared" ca="1" si="67"/>
        <v>3785</v>
      </c>
      <c r="J374" s="91">
        <f ca="1">VLOOKUP(B374,'115+740'!$B$15:$AB$757,13,FALSE)</f>
        <v>-215</v>
      </c>
      <c r="K374" s="89">
        <f>'115+740'!Q375</f>
        <v>0</v>
      </c>
      <c r="L374" s="88">
        <f t="shared" ca="1" si="72"/>
        <v>255</v>
      </c>
      <c r="M374" s="93">
        <f ca="1">VLOOKUP(B374,'115+740'!$B$14:$AB$757,21,FALSE)</f>
        <v>2263</v>
      </c>
      <c r="N374" s="92">
        <f ca="1">VLOOKUP(B374,'115+740'!$B$15:$AB$757,5,FALSE)</f>
        <v>-790</v>
      </c>
      <c r="O374" s="91">
        <f t="shared" ca="1" si="68"/>
        <v>3753</v>
      </c>
      <c r="P374" s="91">
        <f ca="1">VLOOKUP(B374,'115+740'!$B$15:$AB$757,14,FALSE)</f>
        <v>-247</v>
      </c>
      <c r="Q374" s="89">
        <f>'115+740'!R375</f>
        <v>0</v>
      </c>
      <c r="R374" s="88">
        <f t="shared" ca="1" si="73"/>
        <v>237</v>
      </c>
      <c r="S374" s="93">
        <f ca="1">VLOOKUP(B374,'115+740'!$B$14:$AB$757,22,FALSE)</f>
        <v>2276</v>
      </c>
      <c r="T374" s="92">
        <f ca="1">VLOOKUP(B374,'115+740'!$B$15:$AB$757,6,FALSE)</f>
        <v>-773</v>
      </c>
      <c r="U374" s="91">
        <f t="shared" ca="1" si="69"/>
        <v>3736</v>
      </c>
      <c r="V374" s="90">
        <f ca="1">VLOOKUP(B374,'115+740'!$B$15:$AB$757,15,FALSE)</f>
        <v>-264</v>
      </c>
      <c r="W374" s="89">
        <f>'115+740'!S375</f>
        <v>0</v>
      </c>
      <c r="X374" s="88">
        <f t="shared" ca="1" si="74"/>
        <v>224</v>
      </c>
      <c r="Y374" s="87">
        <f t="shared" ca="1" si="75"/>
        <v>0</v>
      </c>
      <c r="Z374" s="86">
        <f t="shared" ca="1" si="76"/>
        <v>0</v>
      </c>
      <c r="AA374" s="85">
        <f t="shared" ca="1" si="77"/>
        <v>2.468</v>
      </c>
      <c r="AB374" s="85">
        <f t="shared" ca="1" si="78"/>
        <v>2.036</v>
      </c>
    </row>
    <row r="375" spans="2:28">
      <c r="B375" s="98">
        <f>'115+740'!B376</f>
        <v>45434</v>
      </c>
      <c r="C375" s="97">
        <f t="shared" si="70"/>
        <v>1</v>
      </c>
      <c r="D375" s="96">
        <f t="shared" si="71"/>
        <v>1069</v>
      </c>
      <c r="E375" s="95">
        <f>VLOOKUP(B375,'115+740'!B376:AB452,3,FALSE)</f>
        <v>1896</v>
      </c>
      <c r="F375" s="92">
        <f t="shared" si="66"/>
        <v>2965</v>
      </c>
      <c r="G375" s="94">
        <f ca="1">VLOOKUP(B375,'115+740'!$B$15:$AB$757,20,FALSE)</f>
        <v>2245</v>
      </c>
      <c r="H375" s="94">
        <f ca="1">VLOOKUP(B375,'115+740'!$B$15:$AB$757,4,FALSE)</f>
        <v>-820</v>
      </c>
      <c r="I375" s="91">
        <f t="shared" ca="1" si="67"/>
        <v>3785</v>
      </c>
      <c r="J375" s="91">
        <f ca="1">VLOOKUP(B375,'115+740'!$B$15:$AB$757,13,FALSE)</f>
        <v>-215</v>
      </c>
      <c r="K375" s="89">
        <f>'115+740'!Q376</f>
        <v>0</v>
      </c>
      <c r="L375" s="88">
        <f t="shared" ca="1" si="72"/>
        <v>255</v>
      </c>
      <c r="M375" s="93">
        <f ca="1">VLOOKUP(B375,'115+740'!$B$14:$AB$757,21,FALSE)</f>
        <v>2263</v>
      </c>
      <c r="N375" s="92">
        <f ca="1">VLOOKUP(B375,'115+740'!$B$15:$AB$757,5,FALSE)</f>
        <v>-788</v>
      </c>
      <c r="O375" s="91">
        <f t="shared" ca="1" si="68"/>
        <v>3753</v>
      </c>
      <c r="P375" s="91">
        <f ca="1">VLOOKUP(B375,'115+740'!$B$15:$AB$757,14,FALSE)</f>
        <v>-247</v>
      </c>
      <c r="Q375" s="89">
        <f>'115+740'!R376</f>
        <v>0</v>
      </c>
      <c r="R375" s="88">
        <f t="shared" ca="1" si="73"/>
        <v>237</v>
      </c>
      <c r="S375" s="93">
        <f ca="1">VLOOKUP(B375,'115+740'!$B$14:$AB$757,22,FALSE)</f>
        <v>2276</v>
      </c>
      <c r="T375" s="92">
        <f ca="1">VLOOKUP(B375,'115+740'!$B$15:$AB$757,6,FALSE)</f>
        <v>-771</v>
      </c>
      <c r="U375" s="91">
        <f t="shared" ca="1" si="69"/>
        <v>3736</v>
      </c>
      <c r="V375" s="90">
        <f ca="1">VLOOKUP(B375,'115+740'!$B$15:$AB$757,15,FALSE)</f>
        <v>-264</v>
      </c>
      <c r="W375" s="89">
        <f>'115+740'!S376</f>
        <v>0</v>
      </c>
      <c r="X375" s="88">
        <f t="shared" ca="1" si="74"/>
        <v>224</v>
      </c>
      <c r="Y375" s="87">
        <f t="shared" ca="1" si="75"/>
        <v>0</v>
      </c>
      <c r="Z375" s="86">
        <f t="shared" ca="1" si="76"/>
        <v>0</v>
      </c>
      <c r="AA375" s="85">
        <f t="shared" ca="1" si="77"/>
        <v>2.468</v>
      </c>
      <c r="AB375" s="85">
        <f t="shared" ca="1" si="78"/>
        <v>2.036</v>
      </c>
    </row>
    <row r="376" spans="2:28">
      <c r="B376" s="98">
        <f>'115+740'!B377</f>
        <v>45435</v>
      </c>
      <c r="C376" s="97">
        <f t="shared" si="70"/>
        <v>1</v>
      </c>
      <c r="D376" s="96">
        <f t="shared" si="71"/>
        <v>1069</v>
      </c>
      <c r="E376" s="95">
        <f>VLOOKUP(B376,'115+740'!B377:AB452,3,FALSE)</f>
        <v>1898</v>
      </c>
      <c r="F376" s="92">
        <f t="shared" si="66"/>
        <v>2967</v>
      </c>
      <c r="G376" s="94">
        <f ca="1">VLOOKUP(B376,'115+740'!$B$15:$AB$757,20,FALSE)</f>
        <v>2245</v>
      </c>
      <c r="H376" s="94">
        <f ca="1">VLOOKUP(B376,'115+740'!$B$15:$AB$757,4,FALSE)</f>
        <v>-818</v>
      </c>
      <c r="I376" s="91">
        <f t="shared" ca="1" si="67"/>
        <v>3785</v>
      </c>
      <c r="J376" s="91">
        <f ca="1">VLOOKUP(B376,'115+740'!$B$15:$AB$757,13,FALSE)</f>
        <v>-215</v>
      </c>
      <c r="K376" s="89">
        <f>'115+740'!Q377</f>
        <v>0</v>
      </c>
      <c r="L376" s="88">
        <f t="shared" ca="1" si="72"/>
        <v>255</v>
      </c>
      <c r="M376" s="93">
        <f ca="1">VLOOKUP(B376,'115+740'!$B$14:$AB$757,21,FALSE)</f>
        <v>2263</v>
      </c>
      <c r="N376" s="92">
        <f ca="1">VLOOKUP(B376,'115+740'!$B$15:$AB$757,5,FALSE)</f>
        <v>-786</v>
      </c>
      <c r="O376" s="91">
        <f t="shared" ca="1" si="68"/>
        <v>3753</v>
      </c>
      <c r="P376" s="91">
        <f ca="1">VLOOKUP(B376,'115+740'!$B$15:$AB$757,14,FALSE)</f>
        <v>-247</v>
      </c>
      <c r="Q376" s="89">
        <f>'115+740'!R377</f>
        <v>0</v>
      </c>
      <c r="R376" s="88">
        <f t="shared" ca="1" si="73"/>
        <v>237</v>
      </c>
      <c r="S376" s="93">
        <f ca="1">VLOOKUP(B376,'115+740'!$B$14:$AB$757,22,FALSE)</f>
        <v>2276</v>
      </c>
      <c r="T376" s="92">
        <f ca="1">VLOOKUP(B376,'115+740'!$B$15:$AB$757,6,FALSE)</f>
        <v>-769</v>
      </c>
      <c r="U376" s="91">
        <f t="shared" ca="1" si="69"/>
        <v>3736</v>
      </c>
      <c r="V376" s="90">
        <f ca="1">VLOOKUP(B376,'115+740'!$B$15:$AB$757,15,FALSE)</f>
        <v>-264</v>
      </c>
      <c r="W376" s="89">
        <f>'115+740'!S377</f>
        <v>0</v>
      </c>
      <c r="X376" s="88">
        <f t="shared" ca="1" si="74"/>
        <v>224</v>
      </c>
      <c r="Y376" s="87">
        <f t="shared" ca="1" si="75"/>
        <v>0</v>
      </c>
      <c r="Z376" s="86">
        <f t="shared" ca="1" si="76"/>
        <v>0</v>
      </c>
      <c r="AA376" s="85">
        <f t="shared" ca="1" si="77"/>
        <v>2.468</v>
      </c>
      <c r="AB376" s="85">
        <f t="shared" ca="1" si="78"/>
        <v>2.036</v>
      </c>
    </row>
    <row r="377" spans="2:28">
      <c r="B377" s="98">
        <f>'115+740'!B378</f>
        <v>45436</v>
      </c>
      <c r="C377" s="97">
        <f t="shared" si="70"/>
        <v>1</v>
      </c>
      <c r="D377" s="96">
        <f t="shared" si="71"/>
        <v>1069</v>
      </c>
      <c r="E377" s="95">
        <f>VLOOKUP(B377,'115+740'!B378:AB452,3,FALSE)</f>
        <v>1900</v>
      </c>
      <c r="F377" s="92">
        <f t="shared" si="66"/>
        <v>2969</v>
      </c>
      <c r="G377" s="94">
        <f ca="1">VLOOKUP(B377,'115+740'!$B$15:$AB$757,20,FALSE)</f>
        <v>2245</v>
      </c>
      <c r="H377" s="94">
        <f ca="1">VLOOKUP(B377,'115+740'!$B$15:$AB$757,4,FALSE)</f>
        <v>-816</v>
      </c>
      <c r="I377" s="91">
        <f t="shared" ca="1" si="67"/>
        <v>3785</v>
      </c>
      <c r="J377" s="91">
        <f ca="1">VLOOKUP(B377,'115+740'!$B$15:$AB$757,13,FALSE)</f>
        <v>-215</v>
      </c>
      <c r="K377" s="89">
        <f>'115+740'!Q378</f>
        <v>0</v>
      </c>
      <c r="L377" s="88">
        <f t="shared" ca="1" si="72"/>
        <v>255</v>
      </c>
      <c r="M377" s="93">
        <f ca="1">VLOOKUP(B377,'115+740'!$B$14:$AB$757,21,FALSE)</f>
        <v>2263</v>
      </c>
      <c r="N377" s="92">
        <f ca="1">VLOOKUP(B377,'115+740'!$B$15:$AB$757,5,FALSE)</f>
        <v>-784</v>
      </c>
      <c r="O377" s="91">
        <f t="shared" ca="1" si="68"/>
        <v>3753</v>
      </c>
      <c r="P377" s="91">
        <f ca="1">VLOOKUP(B377,'115+740'!$B$15:$AB$757,14,FALSE)</f>
        <v>-247</v>
      </c>
      <c r="Q377" s="89">
        <f>'115+740'!R378</f>
        <v>0</v>
      </c>
      <c r="R377" s="88">
        <f t="shared" ca="1" si="73"/>
        <v>237</v>
      </c>
      <c r="S377" s="93">
        <f ca="1">VLOOKUP(B377,'115+740'!$B$14:$AB$757,22,FALSE)</f>
        <v>2276</v>
      </c>
      <c r="T377" s="92">
        <f ca="1">VLOOKUP(B377,'115+740'!$B$15:$AB$757,6,FALSE)</f>
        <v>-767</v>
      </c>
      <c r="U377" s="91">
        <f t="shared" ca="1" si="69"/>
        <v>3736</v>
      </c>
      <c r="V377" s="90">
        <f ca="1">VLOOKUP(B377,'115+740'!$B$15:$AB$757,15,FALSE)</f>
        <v>-264</v>
      </c>
      <c r="W377" s="89">
        <f>'115+740'!S378</f>
        <v>0</v>
      </c>
      <c r="X377" s="88">
        <f t="shared" ca="1" si="74"/>
        <v>224</v>
      </c>
      <c r="Y377" s="87">
        <f t="shared" ca="1" si="75"/>
        <v>0</v>
      </c>
      <c r="Z377" s="86">
        <f t="shared" ca="1" si="76"/>
        <v>0</v>
      </c>
      <c r="AA377" s="85">
        <f t="shared" ca="1" si="77"/>
        <v>2.468</v>
      </c>
      <c r="AB377" s="85">
        <f t="shared" ca="1" si="78"/>
        <v>2.036</v>
      </c>
    </row>
    <row r="378" spans="2:28">
      <c r="B378" s="98">
        <f>'115+740'!B379</f>
        <v>45437</v>
      </c>
      <c r="C378" s="97">
        <f t="shared" si="70"/>
        <v>1</v>
      </c>
      <c r="D378" s="96">
        <f t="shared" si="71"/>
        <v>1069</v>
      </c>
      <c r="E378" s="95">
        <f>VLOOKUP(B378,'115+740'!B379:AB452,3,FALSE)</f>
        <v>1902</v>
      </c>
      <c r="F378" s="92">
        <f t="shared" si="66"/>
        <v>2971</v>
      </c>
      <c r="G378" s="94">
        <f ca="1">VLOOKUP(B378,'115+740'!$B$15:$AB$757,20,FALSE)</f>
        <v>2245</v>
      </c>
      <c r="H378" s="94">
        <f ca="1">VLOOKUP(B378,'115+740'!$B$15:$AB$757,4,FALSE)</f>
        <v>-814</v>
      </c>
      <c r="I378" s="91">
        <f t="shared" ca="1" si="67"/>
        <v>3785</v>
      </c>
      <c r="J378" s="91">
        <f ca="1">VLOOKUP(B378,'115+740'!$B$15:$AB$757,13,FALSE)</f>
        <v>-215</v>
      </c>
      <c r="K378" s="89">
        <f>'115+740'!Q379</f>
        <v>0</v>
      </c>
      <c r="L378" s="88">
        <f t="shared" ca="1" si="72"/>
        <v>255</v>
      </c>
      <c r="M378" s="93">
        <f ca="1">VLOOKUP(B378,'115+740'!$B$14:$AB$757,21,FALSE)</f>
        <v>2263</v>
      </c>
      <c r="N378" s="92">
        <f ca="1">VLOOKUP(B378,'115+740'!$B$15:$AB$757,5,FALSE)</f>
        <v>-782</v>
      </c>
      <c r="O378" s="91">
        <f t="shared" ca="1" si="68"/>
        <v>3753</v>
      </c>
      <c r="P378" s="91">
        <f ca="1">VLOOKUP(B378,'115+740'!$B$15:$AB$757,14,FALSE)</f>
        <v>-247</v>
      </c>
      <c r="Q378" s="89">
        <f>'115+740'!R379</f>
        <v>0</v>
      </c>
      <c r="R378" s="88">
        <f t="shared" ca="1" si="73"/>
        <v>237</v>
      </c>
      <c r="S378" s="93">
        <f ca="1">VLOOKUP(B378,'115+740'!$B$14:$AB$757,22,FALSE)</f>
        <v>2276</v>
      </c>
      <c r="T378" s="92">
        <f ca="1">VLOOKUP(B378,'115+740'!$B$15:$AB$757,6,FALSE)</f>
        <v>-765</v>
      </c>
      <c r="U378" s="91">
        <f t="shared" ca="1" si="69"/>
        <v>3736</v>
      </c>
      <c r="V378" s="90">
        <f ca="1">VLOOKUP(B378,'115+740'!$B$15:$AB$757,15,FALSE)</f>
        <v>-264</v>
      </c>
      <c r="W378" s="89">
        <f>'115+740'!S379</f>
        <v>0</v>
      </c>
      <c r="X378" s="88">
        <f t="shared" ca="1" si="74"/>
        <v>224</v>
      </c>
      <c r="Y378" s="87">
        <f t="shared" ca="1" si="75"/>
        <v>0</v>
      </c>
      <c r="Z378" s="86">
        <f t="shared" ca="1" si="76"/>
        <v>0</v>
      </c>
      <c r="AA378" s="85">
        <f t="shared" ca="1" si="77"/>
        <v>2.468</v>
      </c>
      <c r="AB378" s="85">
        <f t="shared" ca="1" si="78"/>
        <v>2.036</v>
      </c>
    </row>
    <row r="379" spans="2:28">
      <c r="B379" s="98">
        <f>'115+740'!B380</f>
        <v>45438</v>
      </c>
      <c r="C379" s="97">
        <f t="shared" si="70"/>
        <v>1</v>
      </c>
      <c r="D379" s="96">
        <f t="shared" si="71"/>
        <v>1069</v>
      </c>
      <c r="E379" s="95">
        <f>VLOOKUP(B379,'115+740'!B380:AB452,3,FALSE)</f>
        <v>1904</v>
      </c>
      <c r="F379" s="92">
        <f t="shared" si="66"/>
        <v>2973</v>
      </c>
      <c r="G379" s="94">
        <f ca="1">VLOOKUP(B379,'115+740'!$B$15:$AB$757,20,FALSE)</f>
        <v>2245</v>
      </c>
      <c r="H379" s="94">
        <f ca="1">VLOOKUP(B379,'115+740'!$B$15:$AB$757,4,FALSE)</f>
        <v>-812</v>
      </c>
      <c r="I379" s="91">
        <f t="shared" ca="1" si="67"/>
        <v>3785</v>
      </c>
      <c r="J379" s="91">
        <f ca="1">VLOOKUP(B379,'115+740'!$B$15:$AB$757,13,FALSE)</f>
        <v>-215</v>
      </c>
      <c r="K379" s="89">
        <f>'115+740'!Q380</f>
        <v>0</v>
      </c>
      <c r="L379" s="88">
        <f t="shared" ca="1" si="72"/>
        <v>255</v>
      </c>
      <c r="M379" s="93">
        <f ca="1">VLOOKUP(B379,'115+740'!$B$14:$AB$757,21,FALSE)</f>
        <v>2263</v>
      </c>
      <c r="N379" s="92">
        <f ca="1">VLOOKUP(B379,'115+740'!$B$15:$AB$757,5,FALSE)</f>
        <v>-780</v>
      </c>
      <c r="O379" s="91">
        <f t="shared" ca="1" si="68"/>
        <v>3753</v>
      </c>
      <c r="P379" s="91">
        <f ca="1">VLOOKUP(B379,'115+740'!$B$15:$AB$757,14,FALSE)</f>
        <v>-247</v>
      </c>
      <c r="Q379" s="89">
        <f>'115+740'!R380</f>
        <v>0</v>
      </c>
      <c r="R379" s="88">
        <f t="shared" ca="1" si="73"/>
        <v>237</v>
      </c>
      <c r="S379" s="93">
        <f ca="1">VLOOKUP(B379,'115+740'!$B$14:$AB$757,22,FALSE)</f>
        <v>2276</v>
      </c>
      <c r="T379" s="92">
        <f ca="1">VLOOKUP(B379,'115+740'!$B$15:$AB$757,6,FALSE)</f>
        <v>-763</v>
      </c>
      <c r="U379" s="91">
        <f t="shared" ca="1" si="69"/>
        <v>3736</v>
      </c>
      <c r="V379" s="90">
        <f ca="1">VLOOKUP(B379,'115+740'!$B$15:$AB$757,15,FALSE)</f>
        <v>-264</v>
      </c>
      <c r="W379" s="89">
        <f>'115+740'!S380</f>
        <v>0</v>
      </c>
      <c r="X379" s="88">
        <f t="shared" ca="1" si="74"/>
        <v>224</v>
      </c>
      <c r="Y379" s="87">
        <f t="shared" ca="1" si="75"/>
        <v>0</v>
      </c>
      <c r="Z379" s="86">
        <f t="shared" ca="1" si="76"/>
        <v>0</v>
      </c>
      <c r="AA379" s="85">
        <f t="shared" ca="1" si="77"/>
        <v>2.468</v>
      </c>
      <c r="AB379" s="85">
        <f t="shared" ca="1" si="78"/>
        <v>2.036</v>
      </c>
    </row>
    <row r="380" spans="2:28">
      <c r="B380" s="98">
        <f>'115+740'!B381</f>
        <v>45439</v>
      </c>
      <c r="C380" s="97">
        <f t="shared" si="70"/>
        <v>1</v>
      </c>
      <c r="D380" s="96">
        <f t="shared" si="71"/>
        <v>1069</v>
      </c>
      <c r="E380" s="95">
        <f>VLOOKUP(B380,'115+740'!B381:AB477,3,FALSE)</f>
        <v>1906</v>
      </c>
      <c r="F380" s="92">
        <f t="shared" si="66"/>
        <v>2975</v>
      </c>
      <c r="G380" s="94">
        <f ca="1">VLOOKUP(B380,'115+740'!$B$15:$AB$757,20,FALSE)</f>
        <v>2245</v>
      </c>
      <c r="H380" s="94">
        <f ca="1">VLOOKUP(B380,'115+740'!$B$15:$AB$757,4,FALSE)</f>
        <v>-810</v>
      </c>
      <c r="I380" s="91">
        <f t="shared" ca="1" si="67"/>
        <v>3785</v>
      </c>
      <c r="J380" s="91">
        <f ca="1">VLOOKUP(B380,'115+740'!$B$15:$AB$757,13,FALSE)</f>
        <v>-215</v>
      </c>
      <c r="K380" s="89">
        <f>'115+740'!Q381</f>
        <v>0</v>
      </c>
      <c r="L380" s="88">
        <f t="shared" ca="1" si="72"/>
        <v>255</v>
      </c>
      <c r="M380" s="93">
        <f ca="1">VLOOKUP(B380,'115+740'!$B$14:$AB$757,21,FALSE)</f>
        <v>2263</v>
      </c>
      <c r="N380" s="92">
        <f ca="1">VLOOKUP(B380,'115+740'!$B$15:$AB$757,5,FALSE)</f>
        <v>-778</v>
      </c>
      <c r="O380" s="91">
        <f t="shared" ca="1" si="68"/>
        <v>3753</v>
      </c>
      <c r="P380" s="91">
        <f ca="1">VLOOKUP(B380,'115+740'!$B$15:$AB$757,14,FALSE)</f>
        <v>-247</v>
      </c>
      <c r="Q380" s="89">
        <f>'115+740'!R381</f>
        <v>0</v>
      </c>
      <c r="R380" s="88">
        <f t="shared" ca="1" si="73"/>
        <v>237</v>
      </c>
      <c r="S380" s="93">
        <f ca="1">VLOOKUP(B380,'115+740'!$B$14:$AB$757,22,FALSE)</f>
        <v>2276</v>
      </c>
      <c r="T380" s="92">
        <f ca="1">VLOOKUP(B380,'115+740'!$B$15:$AB$757,6,FALSE)</f>
        <v>-761</v>
      </c>
      <c r="U380" s="91">
        <f t="shared" ca="1" si="69"/>
        <v>3736</v>
      </c>
      <c r="V380" s="90">
        <f ca="1">VLOOKUP(B380,'115+740'!$B$15:$AB$757,15,FALSE)</f>
        <v>-264</v>
      </c>
      <c r="W380" s="89">
        <f>'115+740'!S381</f>
        <v>0</v>
      </c>
      <c r="X380" s="88">
        <f t="shared" ca="1" si="74"/>
        <v>224</v>
      </c>
      <c r="Y380" s="87">
        <f t="shared" ca="1" si="75"/>
        <v>0</v>
      </c>
      <c r="Z380" s="86">
        <f t="shared" ca="1" si="76"/>
        <v>0</v>
      </c>
      <c r="AA380" s="85">
        <f t="shared" ca="1" si="77"/>
        <v>2.468</v>
      </c>
      <c r="AB380" s="85">
        <f t="shared" ca="1" si="78"/>
        <v>2.036</v>
      </c>
    </row>
    <row r="381" spans="2:28">
      <c r="B381" s="98">
        <f>'115+740'!B382</f>
        <v>45440</v>
      </c>
      <c r="C381" s="97">
        <f t="shared" si="70"/>
        <v>1</v>
      </c>
      <c r="D381" s="96">
        <f t="shared" si="71"/>
        <v>1069</v>
      </c>
      <c r="E381" s="95">
        <f>VLOOKUP(B381,'115+740'!B382:AB600,3,FALSE)</f>
        <v>1908</v>
      </c>
      <c r="F381" s="92">
        <f t="shared" si="66"/>
        <v>2977</v>
      </c>
      <c r="G381" s="94">
        <f ca="1">VLOOKUP(B381,'115+740'!$B$15:$AB$757,20,FALSE)</f>
        <v>2245</v>
      </c>
      <c r="H381" s="94">
        <f ca="1">VLOOKUP(B381,'115+740'!$B$15:$AB$757,4,FALSE)</f>
        <v>-808</v>
      </c>
      <c r="I381" s="91">
        <f t="shared" ca="1" si="67"/>
        <v>3785</v>
      </c>
      <c r="J381" s="91">
        <f ca="1">VLOOKUP(B381,'115+740'!$B$15:$AB$757,13,FALSE)</f>
        <v>-215</v>
      </c>
      <c r="K381" s="89">
        <f>'115+740'!Q382</f>
        <v>0</v>
      </c>
      <c r="L381" s="88">
        <f t="shared" ca="1" si="72"/>
        <v>255</v>
      </c>
      <c r="M381" s="93">
        <f ca="1">VLOOKUP(B381,'115+740'!$B$14:$AB$757,21,FALSE)</f>
        <v>2263</v>
      </c>
      <c r="N381" s="92">
        <f ca="1">VLOOKUP(B381,'115+740'!$B$15:$AB$757,5,FALSE)</f>
        <v>-776</v>
      </c>
      <c r="O381" s="91">
        <f t="shared" ca="1" si="68"/>
        <v>3753</v>
      </c>
      <c r="P381" s="91">
        <f ca="1">VLOOKUP(B381,'115+740'!$B$15:$AB$757,14,FALSE)</f>
        <v>-247</v>
      </c>
      <c r="Q381" s="89">
        <f>'115+740'!R382</f>
        <v>0</v>
      </c>
      <c r="R381" s="88">
        <f t="shared" ca="1" si="73"/>
        <v>237</v>
      </c>
      <c r="S381" s="93">
        <f ca="1">VLOOKUP(B381,'115+740'!$B$14:$AB$757,22,FALSE)</f>
        <v>2276</v>
      </c>
      <c r="T381" s="92">
        <f ca="1">VLOOKUP(B381,'115+740'!$B$15:$AB$757,6,FALSE)</f>
        <v>-759</v>
      </c>
      <c r="U381" s="91">
        <f t="shared" ca="1" si="69"/>
        <v>3736</v>
      </c>
      <c r="V381" s="90">
        <f ca="1">VLOOKUP(B381,'115+740'!$B$15:$AB$757,15,FALSE)</f>
        <v>-264</v>
      </c>
      <c r="W381" s="89">
        <f>'115+740'!S382</f>
        <v>0</v>
      </c>
      <c r="X381" s="88">
        <f t="shared" ca="1" si="74"/>
        <v>224</v>
      </c>
      <c r="Y381" s="87">
        <f t="shared" ca="1" si="75"/>
        <v>0</v>
      </c>
      <c r="Z381" s="86">
        <f t="shared" ca="1" si="76"/>
        <v>0</v>
      </c>
      <c r="AA381" s="85">
        <f t="shared" ca="1" si="77"/>
        <v>2.468</v>
      </c>
      <c r="AB381" s="85">
        <f t="shared" ca="1" si="78"/>
        <v>2.036</v>
      </c>
    </row>
    <row r="382" spans="2:28">
      <c r="B382" s="98">
        <f>'115+740'!B383</f>
        <v>45441</v>
      </c>
      <c r="C382" s="97">
        <f t="shared" si="70"/>
        <v>1</v>
      </c>
      <c r="D382" s="96">
        <f t="shared" si="71"/>
        <v>1069</v>
      </c>
      <c r="E382" s="95">
        <f>VLOOKUP(B382,'115+740'!B383:AB601,3,FALSE)</f>
        <v>1910</v>
      </c>
      <c r="F382" s="92">
        <f t="shared" si="66"/>
        <v>2979</v>
      </c>
      <c r="G382" s="94">
        <f ca="1">VLOOKUP(B382,'115+740'!$B$15:$AB$757,20,FALSE)</f>
        <v>2245</v>
      </c>
      <c r="H382" s="94">
        <f ca="1">VLOOKUP(B382,'115+740'!$B$15:$AB$757,4,FALSE)</f>
        <v>-806</v>
      </c>
      <c r="I382" s="91">
        <f t="shared" ca="1" si="67"/>
        <v>3785</v>
      </c>
      <c r="J382" s="91">
        <f ca="1">VLOOKUP(B382,'115+740'!$B$15:$AB$757,13,FALSE)</f>
        <v>-215</v>
      </c>
      <c r="K382" s="89">
        <f>'115+740'!Q383</f>
        <v>0</v>
      </c>
      <c r="L382" s="88">
        <f t="shared" ca="1" si="72"/>
        <v>255</v>
      </c>
      <c r="M382" s="93">
        <f ca="1">VLOOKUP(B382,'115+740'!$B$14:$AB$757,21,FALSE)</f>
        <v>2263</v>
      </c>
      <c r="N382" s="92">
        <f ca="1">VLOOKUP(B382,'115+740'!$B$15:$AB$757,5,FALSE)</f>
        <v>-774</v>
      </c>
      <c r="O382" s="91">
        <f t="shared" ca="1" si="68"/>
        <v>3753</v>
      </c>
      <c r="P382" s="91">
        <f ca="1">VLOOKUP(B382,'115+740'!$B$15:$AB$757,14,FALSE)</f>
        <v>-247</v>
      </c>
      <c r="Q382" s="89">
        <f>'115+740'!R383</f>
        <v>0</v>
      </c>
      <c r="R382" s="88">
        <f t="shared" ca="1" si="73"/>
        <v>237</v>
      </c>
      <c r="S382" s="93">
        <f ca="1">VLOOKUP(B382,'115+740'!$B$14:$AB$757,22,FALSE)</f>
        <v>2276</v>
      </c>
      <c r="T382" s="92">
        <f ca="1">VLOOKUP(B382,'115+740'!$B$15:$AB$757,6,FALSE)</f>
        <v>-757</v>
      </c>
      <c r="U382" s="91">
        <f t="shared" ca="1" si="69"/>
        <v>3736</v>
      </c>
      <c r="V382" s="90">
        <f ca="1">VLOOKUP(B382,'115+740'!$B$15:$AB$757,15,FALSE)</f>
        <v>-264</v>
      </c>
      <c r="W382" s="89">
        <f>'115+740'!S383</f>
        <v>0</v>
      </c>
      <c r="X382" s="88">
        <f t="shared" ca="1" si="74"/>
        <v>224</v>
      </c>
      <c r="Y382" s="87">
        <f t="shared" ca="1" si="75"/>
        <v>0</v>
      </c>
      <c r="Z382" s="86">
        <f t="shared" ca="1" si="76"/>
        <v>0</v>
      </c>
      <c r="AA382" s="85">
        <f t="shared" ca="1" si="77"/>
        <v>2.468</v>
      </c>
      <c r="AB382" s="85">
        <f t="shared" ca="1" si="78"/>
        <v>2.036</v>
      </c>
    </row>
    <row r="383" spans="2:28">
      <c r="B383" s="98">
        <f>'115+740'!B384</f>
        <v>45442</v>
      </c>
      <c r="C383" s="97">
        <f t="shared" si="70"/>
        <v>1</v>
      </c>
      <c r="D383" s="96">
        <f t="shared" si="71"/>
        <v>1069</v>
      </c>
      <c r="E383" s="95">
        <f>VLOOKUP(B383,'115+740'!B384:AB602,3,FALSE)</f>
        <v>1912</v>
      </c>
      <c r="F383" s="92">
        <f t="shared" si="66"/>
        <v>2981</v>
      </c>
      <c r="G383" s="94">
        <f ca="1">VLOOKUP(B383,'115+740'!$B$15:$AB$757,20,FALSE)</f>
        <v>2245</v>
      </c>
      <c r="H383" s="94">
        <f ca="1">VLOOKUP(B383,'115+740'!$B$15:$AB$757,4,FALSE)</f>
        <v>-804</v>
      </c>
      <c r="I383" s="91">
        <f t="shared" ca="1" si="67"/>
        <v>3785</v>
      </c>
      <c r="J383" s="91">
        <f ca="1">VLOOKUP(B383,'115+740'!$B$15:$AB$757,13,FALSE)</f>
        <v>-215</v>
      </c>
      <c r="K383" s="89">
        <f>'115+740'!Q384</f>
        <v>0</v>
      </c>
      <c r="L383" s="88">
        <f t="shared" ca="1" si="72"/>
        <v>255</v>
      </c>
      <c r="M383" s="93">
        <f ca="1">VLOOKUP(B383,'115+740'!$B$14:$AB$757,21,FALSE)</f>
        <v>2263</v>
      </c>
      <c r="N383" s="92">
        <f ca="1">VLOOKUP(B383,'115+740'!$B$15:$AB$757,5,FALSE)</f>
        <v>-772</v>
      </c>
      <c r="O383" s="91">
        <f t="shared" ca="1" si="68"/>
        <v>3753</v>
      </c>
      <c r="P383" s="91">
        <f ca="1">VLOOKUP(B383,'115+740'!$B$15:$AB$757,14,FALSE)</f>
        <v>-247</v>
      </c>
      <c r="Q383" s="89">
        <f>'115+740'!R384</f>
        <v>0</v>
      </c>
      <c r="R383" s="88">
        <f t="shared" ca="1" si="73"/>
        <v>237</v>
      </c>
      <c r="S383" s="93">
        <f ca="1">VLOOKUP(B383,'115+740'!$B$14:$AB$757,22,FALSE)</f>
        <v>2276</v>
      </c>
      <c r="T383" s="92">
        <f ca="1">VLOOKUP(B383,'115+740'!$B$15:$AB$757,6,FALSE)</f>
        <v>-755</v>
      </c>
      <c r="U383" s="91">
        <f t="shared" ca="1" si="69"/>
        <v>3736</v>
      </c>
      <c r="V383" s="90">
        <f ca="1">VLOOKUP(B383,'115+740'!$B$15:$AB$757,15,FALSE)</f>
        <v>-264</v>
      </c>
      <c r="W383" s="89">
        <f>'115+740'!S384</f>
        <v>0</v>
      </c>
      <c r="X383" s="88">
        <f t="shared" ca="1" si="74"/>
        <v>224</v>
      </c>
      <c r="Y383" s="87">
        <f t="shared" ca="1" si="75"/>
        <v>0</v>
      </c>
      <c r="Z383" s="86">
        <f t="shared" ca="1" si="76"/>
        <v>0</v>
      </c>
      <c r="AA383" s="85">
        <f t="shared" ca="1" si="77"/>
        <v>2.468</v>
      </c>
      <c r="AB383" s="85">
        <f t="shared" ca="1" si="78"/>
        <v>2.036</v>
      </c>
    </row>
    <row r="384" spans="2:28">
      <c r="B384" s="98">
        <f>'115+740'!B385</f>
        <v>45443</v>
      </c>
      <c r="C384" s="97">
        <f t="shared" si="70"/>
        <v>1</v>
      </c>
      <c r="D384" s="96">
        <f t="shared" si="71"/>
        <v>1069</v>
      </c>
      <c r="E384" s="95">
        <f>VLOOKUP(B384,'115+740'!B385:AB743,3,FALSE)</f>
        <v>1914</v>
      </c>
      <c r="F384" s="92">
        <f t="shared" si="66"/>
        <v>2983</v>
      </c>
      <c r="G384" s="94">
        <f ca="1">VLOOKUP(B384,'115+740'!$B$15:$AB$757,20,FALSE)</f>
        <v>2245</v>
      </c>
      <c r="H384" s="94">
        <f ca="1">VLOOKUP(B384,'115+740'!$B$15:$AB$757,4,FALSE)</f>
        <v>-802</v>
      </c>
      <c r="I384" s="91">
        <f t="shared" ca="1" si="67"/>
        <v>3785</v>
      </c>
      <c r="J384" s="91">
        <f ca="1">VLOOKUP(B384,'115+740'!$B$15:$AB$757,13,FALSE)</f>
        <v>-215</v>
      </c>
      <c r="K384" s="89">
        <f>'115+740'!Q385</f>
        <v>0</v>
      </c>
      <c r="L384" s="88">
        <f t="shared" ca="1" si="72"/>
        <v>255</v>
      </c>
      <c r="M384" s="93">
        <f ca="1">VLOOKUP(B384,'115+740'!$B$14:$AB$757,21,FALSE)</f>
        <v>2263</v>
      </c>
      <c r="N384" s="92">
        <f ca="1">VLOOKUP(B384,'115+740'!$B$15:$AB$757,5,FALSE)</f>
        <v>-770</v>
      </c>
      <c r="O384" s="91">
        <f t="shared" ca="1" si="68"/>
        <v>3753</v>
      </c>
      <c r="P384" s="91">
        <f ca="1">VLOOKUP(B384,'115+740'!$B$15:$AB$757,14,FALSE)</f>
        <v>-247</v>
      </c>
      <c r="Q384" s="89">
        <f>'115+740'!R385</f>
        <v>0</v>
      </c>
      <c r="R384" s="88">
        <f t="shared" ca="1" si="73"/>
        <v>237</v>
      </c>
      <c r="S384" s="93">
        <f ca="1">VLOOKUP(B384,'115+740'!$B$14:$AB$757,22,FALSE)</f>
        <v>2276</v>
      </c>
      <c r="T384" s="92">
        <f ca="1">VLOOKUP(B384,'115+740'!$B$15:$AB$757,6,FALSE)</f>
        <v>-753</v>
      </c>
      <c r="U384" s="91">
        <f t="shared" ca="1" si="69"/>
        <v>3736</v>
      </c>
      <c r="V384" s="90">
        <f ca="1">VLOOKUP(B384,'115+740'!$B$15:$AB$757,15,FALSE)</f>
        <v>-264</v>
      </c>
      <c r="W384" s="89">
        <f>'115+740'!S385</f>
        <v>0</v>
      </c>
      <c r="X384" s="88">
        <f t="shared" ca="1" si="74"/>
        <v>224</v>
      </c>
      <c r="Y384" s="87">
        <f t="shared" ca="1" si="75"/>
        <v>0</v>
      </c>
      <c r="Z384" s="86">
        <f t="shared" ca="1" si="76"/>
        <v>0</v>
      </c>
      <c r="AA384" s="85">
        <f t="shared" ca="1" si="77"/>
        <v>2.468</v>
      </c>
      <c r="AB384" s="85">
        <f t="shared" ca="1" si="78"/>
        <v>2.036</v>
      </c>
    </row>
    <row r="385" spans="2:28">
      <c r="B385" s="98">
        <f>'115+740'!B386</f>
        <v>45444</v>
      </c>
      <c r="C385" s="97">
        <f t="shared" si="70"/>
        <v>1</v>
      </c>
      <c r="D385" s="96">
        <f t="shared" si="71"/>
        <v>1069</v>
      </c>
      <c r="E385" s="95">
        <f>VLOOKUP(B385,'115+740'!B386:AB744,3,FALSE)</f>
        <v>1916</v>
      </c>
      <c r="F385" s="92">
        <f t="shared" si="66"/>
        <v>2985</v>
      </c>
      <c r="G385" s="94">
        <f ca="1">VLOOKUP(B385,'115+740'!$B$15:$AB$757,20,FALSE)</f>
        <v>2245</v>
      </c>
      <c r="H385" s="94">
        <f ca="1">VLOOKUP(B385,'115+740'!$B$15:$AB$757,4,FALSE)</f>
        <v>-800</v>
      </c>
      <c r="I385" s="91">
        <f t="shared" ca="1" si="67"/>
        <v>3785</v>
      </c>
      <c r="J385" s="91">
        <f ca="1">VLOOKUP(B385,'115+740'!$B$15:$AB$757,13,FALSE)</f>
        <v>-215</v>
      </c>
      <c r="K385" s="89">
        <f>'115+740'!Q386</f>
        <v>0</v>
      </c>
      <c r="L385" s="88">
        <f t="shared" ca="1" si="72"/>
        <v>255</v>
      </c>
      <c r="M385" s="93">
        <f ca="1">VLOOKUP(B385,'115+740'!$B$14:$AB$757,21,FALSE)</f>
        <v>2263</v>
      </c>
      <c r="N385" s="92">
        <f ca="1">VLOOKUP(B385,'115+740'!$B$15:$AB$757,5,FALSE)</f>
        <v>-768</v>
      </c>
      <c r="O385" s="91">
        <f t="shared" ca="1" si="68"/>
        <v>3753</v>
      </c>
      <c r="P385" s="91">
        <f ca="1">VLOOKUP(B385,'115+740'!$B$15:$AB$757,14,FALSE)</f>
        <v>-247</v>
      </c>
      <c r="Q385" s="89">
        <f>'115+740'!R386</f>
        <v>0</v>
      </c>
      <c r="R385" s="88">
        <f t="shared" ca="1" si="73"/>
        <v>237</v>
      </c>
      <c r="S385" s="93">
        <f ca="1">VLOOKUP(B385,'115+740'!$B$14:$AB$757,22,FALSE)</f>
        <v>2276</v>
      </c>
      <c r="T385" s="92">
        <f ca="1">VLOOKUP(B385,'115+740'!$B$15:$AB$757,6,FALSE)</f>
        <v>-751</v>
      </c>
      <c r="U385" s="91">
        <f t="shared" ca="1" si="69"/>
        <v>3736</v>
      </c>
      <c r="V385" s="90">
        <f ca="1">VLOOKUP(B385,'115+740'!$B$15:$AB$757,15,FALSE)</f>
        <v>-264</v>
      </c>
      <c r="W385" s="89">
        <f>'115+740'!S386</f>
        <v>0</v>
      </c>
      <c r="X385" s="88">
        <f t="shared" ca="1" si="74"/>
        <v>224</v>
      </c>
      <c r="Y385" s="87">
        <f t="shared" ca="1" si="75"/>
        <v>0</v>
      </c>
      <c r="Z385" s="86">
        <f t="shared" ca="1" si="76"/>
        <v>0</v>
      </c>
      <c r="AA385" s="85">
        <f t="shared" ca="1" si="77"/>
        <v>2.468</v>
      </c>
      <c r="AB385" s="85">
        <f t="shared" ca="1" si="78"/>
        <v>2.036</v>
      </c>
    </row>
    <row r="386" spans="2:28">
      <c r="B386" s="98">
        <f>'115+740'!B387</f>
        <v>45445</v>
      </c>
      <c r="C386" s="97">
        <f t="shared" si="70"/>
        <v>1</v>
      </c>
      <c r="D386" s="96">
        <f t="shared" si="71"/>
        <v>1069</v>
      </c>
      <c r="E386" s="95">
        <f>VLOOKUP(B386,'115+740'!B387:AB745,3,FALSE)</f>
        <v>1918</v>
      </c>
      <c r="F386" s="92">
        <f t="shared" si="66"/>
        <v>2987</v>
      </c>
      <c r="G386" s="94">
        <f ca="1">VLOOKUP(B386,'115+740'!$B$15:$AB$757,20,FALSE)</f>
        <v>2245</v>
      </c>
      <c r="H386" s="94">
        <f ca="1">VLOOKUP(B386,'115+740'!$B$15:$AB$757,4,FALSE)</f>
        <v>-798</v>
      </c>
      <c r="I386" s="91">
        <f t="shared" ca="1" si="67"/>
        <v>3785</v>
      </c>
      <c r="J386" s="91">
        <f ca="1">VLOOKUP(B386,'115+740'!$B$15:$AB$757,13,FALSE)</f>
        <v>-215</v>
      </c>
      <c r="K386" s="89">
        <f>'115+740'!Q387</f>
        <v>0</v>
      </c>
      <c r="L386" s="88">
        <f t="shared" ca="1" si="72"/>
        <v>255</v>
      </c>
      <c r="M386" s="93">
        <f ca="1">VLOOKUP(B386,'115+740'!$B$14:$AB$757,21,FALSE)</f>
        <v>2263</v>
      </c>
      <c r="N386" s="92">
        <f ca="1">VLOOKUP(B386,'115+740'!$B$15:$AB$757,5,FALSE)</f>
        <v>-766</v>
      </c>
      <c r="O386" s="91">
        <f t="shared" ca="1" si="68"/>
        <v>3753</v>
      </c>
      <c r="P386" s="91">
        <f ca="1">VLOOKUP(B386,'115+740'!$B$15:$AB$757,14,FALSE)</f>
        <v>-247</v>
      </c>
      <c r="Q386" s="89">
        <f>'115+740'!R387</f>
        <v>0</v>
      </c>
      <c r="R386" s="88">
        <f t="shared" ca="1" si="73"/>
        <v>237</v>
      </c>
      <c r="S386" s="93">
        <f ca="1">VLOOKUP(B386,'115+740'!$B$14:$AB$757,22,FALSE)</f>
        <v>2276</v>
      </c>
      <c r="T386" s="92">
        <f ca="1">VLOOKUP(B386,'115+740'!$B$15:$AB$757,6,FALSE)</f>
        <v>-749</v>
      </c>
      <c r="U386" s="91">
        <f t="shared" ca="1" si="69"/>
        <v>3736</v>
      </c>
      <c r="V386" s="90">
        <f ca="1">VLOOKUP(B386,'115+740'!$B$15:$AB$757,15,FALSE)</f>
        <v>-264</v>
      </c>
      <c r="W386" s="89">
        <f>'115+740'!S387</f>
        <v>0</v>
      </c>
      <c r="X386" s="88">
        <f t="shared" ca="1" si="74"/>
        <v>224</v>
      </c>
      <c r="Y386" s="87">
        <f t="shared" ca="1" si="75"/>
        <v>0</v>
      </c>
      <c r="Z386" s="86">
        <f t="shared" ca="1" si="76"/>
        <v>0</v>
      </c>
      <c r="AA386" s="85">
        <f t="shared" ca="1" si="77"/>
        <v>2.468</v>
      </c>
      <c r="AB386" s="85">
        <f t="shared" ca="1" si="78"/>
        <v>2.036</v>
      </c>
    </row>
    <row r="387" spans="2:28">
      <c r="B387" s="98">
        <f>'115+740'!B388</f>
        <v>45446</v>
      </c>
      <c r="C387" s="97">
        <f t="shared" si="70"/>
        <v>1</v>
      </c>
      <c r="D387" s="96">
        <f t="shared" si="71"/>
        <v>1069</v>
      </c>
      <c r="E387" s="95">
        <f>VLOOKUP(B387,'115+740'!B388:AB746,3,FALSE)</f>
        <v>1920</v>
      </c>
      <c r="F387" s="92">
        <f t="shared" si="66"/>
        <v>2989</v>
      </c>
      <c r="G387" s="94">
        <f ca="1">VLOOKUP(B387,'115+740'!$B$15:$AB$757,20,FALSE)</f>
        <v>2245</v>
      </c>
      <c r="H387" s="94">
        <f ca="1">VLOOKUP(B387,'115+740'!$B$15:$AB$757,4,FALSE)</f>
        <v>-796</v>
      </c>
      <c r="I387" s="91">
        <f t="shared" ca="1" si="67"/>
        <v>3785</v>
      </c>
      <c r="J387" s="91">
        <f ca="1">VLOOKUP(B387,'115+740'!$B$15:$AB$757,13,FALSE)</f>
        <v>-215</v>
      </c>
      <c r="K387" s="89">
        <f>'115+740'!Q388</f>
        <v>0</v>
      </c>
      <c r="L387" s="88">
        <f t="shared" ca="1" si="72"/>
        <v>255</v>
      </c>
      <c r="M387" s="93">
        <f ca="1">VLOOKUP(B387,'115+740'!$B$14:$AB$757,21,FALSE)</f>
        <v>2263</v>
      </c>
      <c r="N387" s="92">
        <f ca="1">VLOOKUP(B387,'115+740'!$B$15:$AB$757,5,FALSE)</f>
        <v>-764</v>
      </c>
      <c r="O387" s="91">
        <f t="shared" ca="1" si="68"/>
        <v>3753</v>
      </c>
      <c r="P387" s="91">
        <f ca="1">VLOOKUP(B387,'115+740'!$B$15:$AB$757,14,FALSE)</f>
        <v>-247</v>
      </c>
      <c r="Q387" s="89">
        <f>'115+740'!R388</f>
        <v>0</v>
      </c>
      <c r="R387" s="88">
        <f t="shared" ca="1" si="73"/>
        <v>237</v>
      </c>
      <c r="S387" s="93">
        <f ca="1">VLOOKUP(B387,'115+740'!$B$14:$AB$757,22,FALSE)</f>
        <v>2276</v>
      </c>
      <c r="T387" s="92">
        <f ca="1">VLOOKUP(B387,'115+740'!$B$15:$AB$757,6,FALSE)</f>
        <v>-747</v>
      </c>
      <c r="U387" s="91">
        <f t="shared" ca="1" si="69"/>
        <v>3736</v>
      </c>
      <c r="V387" s="90">
        <f ca="1">VLOOKUP(B387,'115+740'!$B$15:$AB$757,15,FALSE)</f>
        <v>-264</v>
      </c>
      <c r="W387" s="89">
        <f>'115+740'!S388</f>
        <v>0</v>
      </c>
      <c r="X387" s="88">
        <f t="shared" ca="1" si="74"/>
        <v>224</v>
      </c>
      <c r="Y387" s="87">
        <f t="shared" ca="1" si="75"/>
        <v>0</v>
      </c>
      <c r="Z387" s="86">
        <f t="shared" ca="1" si="76"/>
        <v>0</v>
      </c>
      <c r="AA387" s="85">
        <f t="shared" ca="1" si="77"/>
        <v>2.468</v>
      </c>
      <c r="AB387" s="85">
        <f t="shared" ca="1" si="78"/>
        <v>2.036</v>
      </c>
    </row>
    <row r="388" spans="2:28">
      <c r="B388" s="98">
        <f>'115+740'!B389</f>
        <v>45447</v>
      </c>
      <c r="C388" s="97">
        <f t="shared" si="70"/>
        <v>1</v>
      </c>
      <c r="D388" s="96">
        <f t="shared" si="71"/>
        <v>1069</v>
      </c>
      <c r="E388" s="95">
        <f>VLOOKUP(B388,'115+740'!B389:AB747,3,FALSE)</f>
        <v>1922</v>
      </c>
      <c r="F388" s="92">
        <f t="shared" si="66"/>
        <v>2991</v>
      </c>
      <c r="G388" s="94">
        <f ca="1">VLOOKUP(B388,'115+740'!$B$15:$AB$757,20,FALSE)</f>
        <v>2245</v>
      </c>
      <c r="H388" s="94">
        <f ca="1">VLOOKUP(B388,'115+740'!$B$15:$AB$757,4,FALSE)</f>
        <v>-794</v>
      </c>
      <c r="I388" s="91">
        <f t="shared" ca="1" si="67"/>
        <v>3785</v>
      </c>
      <c r="J388" s="91">
        <f ca="1">VLOOKUP(B388,'115+740'!$B$15:$AB$757,13,FALSE)</f>
        <v>-215</v>
      </c>
      <c r="K388" s="89">
        <f>'115+740'!Q389</f>
        <v>0</v>
      </c>
      <c r="L388" s="88">
        <f t="shared" ca="1" si="72"/>
        <v>255</v>
      </c>
      <c r="M388" s="93">
        <f ca="1">VLOOKUP(B388,'115+740'!$B$14:$AB$757,21,FALSE)</f>
        <v>2263</v>
      </c>
      <c r="N388" s="92">
        <f ca="1">VLOOKUP(B388,'115+740'!$B$15:$AB$757,5,FALSE)</f>
        <v>-762</v>
      </c>
      <c r="O388" s="91">
        <f t="shared" ca="1" si="68"/>
        <v>3753</v>
      </c>
      <c r="P388" s="91">
        <f ca="1">VLOOKUP(B388,'115+740'!$B$15:$AB$757,14,FALSE)</f>
        <v>-247</v>
      </c>
      <c r="Q388" s="89">
        <f>'115+740'!R389</f>
        <v>0</v>
      </c>
      <c r="R388" s="88">
        <f t="shared" ca="1" si="73"/>
        <v>237</v>
      </c>
      <c r="S388" s="93">
        <f ca="1">VLOOKUP(B388,'115+740'!$B$14:$AB$757,22,FALSE)</f>
        <v>2276</v>
      </c>
      <c r="T388" s="92">
        <f ca="1">VLOOKUP(B388,'115+740'!$B$15:$AB$757,6,FALSE)</f>
        <v>-745</v>
      </c>
      <c r="U388" s="91">
        <f t="shared" ca="1" si="69"/>
        <v>3736</v>
      </c>
      <c r="V388" s="90">
        <f ca="1">VLOOKUP(B388,'115+740'!$B$15:$AB$757,15,FALSE)</f>
        <v>-264</v>
      </c>
      <c r="W388" s="89">
        <f>'115+740'!S389</f>
        <v>0</v>
      </c>
      <c r="X388" s="88">
        <f t="shared" ca="1" si="74"/>
        <v>224</v>
      </c>
      <c r="Y388" s="87">
        <f t="shared" ca="1" si="75"/>
        <v>0</v>
      </c>
      <c r="Z388" s="86">
        <f t="shared" ca="1" si="76"/>
        <v>0</v>
      </c>
      <c r="AA388" s="85">
        <f t="shared" ca="1" si="77"/>
        <v>2.468</v>
      </c>
      <c r="AB388" s="85">
        <f t="shared" ca="1" si="78"/>
        <v>2.036</v>
      </c>
    </row>
    <row r="389" spans="2:28">
      <c r="B389" s="98">
        <f>'115+740'!B390</f>
        <v>45448</v>
      </c>
      <c r="C389" s="97">
        <f t="shared" si="70"/>
        <v>1</v>
      </c>
      <c r="D389" s="96">
        <f t="shared" si="71"/>
        <v>1069</v>
      </c>
      <c r="E389" s="95">
        <f>VLOOKUP(B389,'115+740'!B390:AB748,3,FALSE)</f>
        <v>1924</v>
      </c>
      <c r="F389" s="92">
        <f t="shared" si="66"/>
        <v>2993</v>
      </c>
      <c r="G389" s="94">
        <f ca="1">VLOOKUP(B389,'115+740'!$B$15:$AB$757,20,FALSE)</f>
        <v>2245</v>
      </c>
      <c r="H389" s="94">
        <f ca="1">VLOOKUP(B389,'115+740'!$B$15:$AB$757,4,FALSE)</f>
        <v>-792</v>
      </c>
      <c r="I389" s="91">
        <f t="shared" ca="1" si="67"/>
        <v>3785</v>
      </c>
      <c r="J389" s="91">
        <f ca="1">VLOOKUP(B389,'115+740'!$B$15:$AB$757,13,FALSE)</f>
        <v>-215</v>
      </c>
      <c r="K389" s="89">
        <f>'115+740'!Q390</f>
        <v>0</v>
      </c>
      <c r="L389" s="88">
        <f t="shared" ca="1" si="72"/>
        <v>255</v>
      </c>
      <c r="M389" s="93">
        <f ca="1">VLOOKUP(B389,'115+740'!$B$14:$AB$757,21,FALSE)</f>
        <v>2263</v>
      </c>
      <c r="N389" s="92">
        <f ca="1">VLOOKUP(B389,'115+740'!$B$15:$AB$757,5,FALSE)</f>
        <v>-760</v>
      </c>
      <c r="O389" s="91">
        <f t="shared" ca="1" si="68"/>
        <v>3753</v>
      </c>
      <c r="P389" s="91">
        <f ca="1">VLOOKUP(B389,'115+740'!$B$15:$AB$757,14,FALSE)</f>
        <v>-247</v>
      </c>
      <c r="Q389" s="89">
        <f>'115+740'!R390</f>
        <v>0</v>
      </c>
      <c r="R389" s="88">
        <f t="shared" ca="1" si="73"/>
        <v>237</v>
      </c>
      <c r="S389" s="93">
        <f ca="1">VLOOKUP(B389,'115+740'!$B$14:$AB$757,22,FALSE)</f>
        <v>2276</v>
      </c>
      <c r="T389" s="92">
        <f ca="1">VLOOKUP(B389,'115+740'!$B$15:$AB$757,6,FALSE)</f>
        <v>-743</v>
      </c>
      <c r="U389" s="91">
        <f t="shared" ca="1" si="69"/>
        <v>3736</v>
      </c>
      <c r="V389" s="90">
        <f ca="1">VLOOKUP(B389,'115+740'!$B$15:$AB$757,15,FALSE)</f>
        <v>-264</v>
      </c>
      <c r="W389" s="89">
        <f>'115+740'!S390</f>
        <v>0</v>
      </c>
      <c r="X389" s="88">
        <f t="shared" ca="1" si="74"/>
        <v>224</v>
      </c>
      <c r="Y389" s="87">
        <f t="shared" ca="1" si="75"/>
        <v>0</v>
      </c>
      <c r="Z389" s="86">
        <f t="shared" ca="1" si="76"/>
        <v>0</v>
      </c>
      <c r="AA389" s="85">
        <f t="shared" ca="1" si="77"/>
        <v>2.468</v>
      </c>
      <c r="AB389" s="85">
        <f t="shared" ca="1" si="78"/>
        <v>2.036</v>
      </c>
    </row>
    <row r="390" spans="2:28">
      <c r="B390" s="98">
        <f>'115+740'!B391</f>
        <v>45449</v>
      </c>
      <c r="C390" s="97">
        <f t="shared" si="70"/>
        <v>1</v>
      </c>
      <c r="D390" s="96">
        <f t="shared" si="71"/>
        <v>1069</v>
      </c>
      <c r="E390" s="95">
        <f>VLOOKUP(B390,'115+740'!B391:AB749,3,FALSE)</f>
        <v>1926</v>
      </c>
      <c r="F390" s="92">
        <f t="shared" si="66"/>
        <v>2995</v>
      </c>
      <c r="G390" s="94">
        <f ca="1">VLOOKUP(B390,'115+740'!$B$15:$AB$757,20,FALSE)</f>
        <v>2245</v>
      </c>
      <c r="H390" s="94">
        <f ca="1">VLOOKUP(B390,'115+740'!$B$15:$AB$757,4,FALSE)</f>
        <v>-790</v>
      </c>
      <c r="I390" s="91">
        <f t="shared" ca="1" si="67"/>
        <v>3785</v>
      </c>
      <c r="J390" s="91">
        <f ca="1">VLOOKUP(B390,'115+740'!$B$15:$AB$757,13,FALSE)</f>
        <v>-215</v>
      </c>
      <c r="K390" s="89">
        <f>'115+740'!Q391</f>
        <v>0</v>
      </c>
      <c r="L390" s="88">
        <f t="shared" ca="1" si="72"/>
        <v>255</v>
      </c>
      <c r="M390" s="93">
        <f ca="1">VLOOKUP(B390,'115+740'!$B$14:$AB$757,21,FALSE)</f>
        <v>2263</v>
      </c>
      <c r="N390" s="92">
        <f ca="1">VLOOKUP(B390,'115+740'!$B$15:$AB$757,5,FALSE)</f>
        <v>-758</v>
      </c>
      <c r="O390" s="91">
        <f t="shared" ca="1" si="68"/>
        <v>3753</v>
      </c>
      <c r="P390" s="91">
        <f ca="1">VLOOKUP(B390,'115+740'!$B$15:$AB$757,14,FALSE)</f>
        <v>-247</v>
      </c>
      <c r="Q390" s="89">
        <f>'115+740'!R391</f>
        <v>0</v>
      </c>
      <c r="R390" s="88">
        <f t="shared" ca="1" si="73"/>
        <v>237</v>
      </c>
      <c r="S390" s="93">
        <f ca="1">VLOOKUP(B390,'115+740'!$B$14:$AB$757,22,FALSE)</f>
        <v>2276</v>
      </c>
      <c r="T390" s="92">
        <f ca="1">VLOOKUP(B390,'115+740'!$B$15:$AB$757,6,FALSE)</f>
        <v>-741</v>
      </c>
      <c r="U390" s="91">
        <f t="shared" ca="1" si="69"/>
        <v>3736</v>
      </c>
      <c r="V390" s="90">
        <f ca="1">VLOOKUP(B390,'115+740'!$B$15:$AB$757,15,FALSE)</f>
        <v>-264</v>
      </c>
      <c r="W390" s="89">
        <f>'115+740'!S391</f>
        <v>0</v>
      </c>
      <c r="X390" s="88">
        <f t="shared" ca="1" si="74"/>
        <v>224</v>
      </c>
      <c r="Y390" s="87">
        <f t="shared" ca="1" si="75"/>
        <v>0</v>
      </c>
      <c r="Z390" s="86">
        <f t="shared" ca="1" si="76"/>
        <v>0</v>
      </c>
      <c r="AA390" s="85">
        <f t="shared" ca="1" si="77"/>
        <v>2.468</v>
      </c>
      <c r="AB390" s="85">
        <f t="shared" ca="1" si="78"/>
        <v>2.036</v>
      </c>
    </row>
    <row r="391" spans="2:28">
      <c r="B391" s="98">
        <f>'115+740'!B392</f>
        <v>45450</v>
      </c>
      <c r="C391" s="97">
        <f t="shared" si="70"/>
        <v>1</v>
      </c>
      <c r="D391" s="96">
        <f t="shared" si="71"/>
        <v>1069</v>
      </c>
      <c r="E391" s="95">
        <f>VLOOKUP(B391,'115+740'!B392:AB750,3,FALSE)</f>
        <v>1928</v>
      </c>
      <c r="F391" s="92">
        <f t="shared" si="66"/>
        <v>2997</v>
      </c>
      <c r="G391" s="94">
        <f ca="1">VLOOKUP(B391,'115+740'!$B$15:$AB$757,20,FALSE)</f>
        <v>2245</v>
      </c>
      <c r="H391" s="94">
        <f ca="1">VLOOKUP(B391,'115+740'!$B$15:$AB$757,4,FALSE)</f>
        <v>-788</v>
      </c>
      <c r="I391" s="91">
        <f t="shared" ca="1" si="67"/>
        <v>3785</v>
      </c>
      <c r="J391" s="91">
        <f ca="1">VLOOKUP(B391,'115+740'!$B$15:$AB$757,13,FALSE)</f>
        <v>-215</v>
      </c>
      <c r="K391" s="89">
        <f>'115+740'!Q392</f>
        <v>0</v>
      </c>
      <c r="L391" s="88">
        <f t="shared" ca="1" si="72"/>
        <v>255</v>
      </c>
      <c r="M391" s="93">
        <f ca="1">VLOOKUP(B391,'115+740'!$B$14:$AB$757,21,FALSE)</f>
        <v>2263</v>
      </c>
      <c r="N391" s="92">
        <f ca="1">VLOOKUP(B391,'115+740'!$B$15:$AB$757,5,FALSE)</f>
        <v>-756</v>
      </c>
      <c r="O391" s="91">
        <f t="shared" ca="1" si="68"/>
        <v>3753</v>
      </c>
      <c r="P391" s="91">
        <f ca="1">VLOOKUP(B391,'115+740'!$B$15:$AB$757,14,FALSE)</f>
        <v>-247</v>
      </c>
      <c r="Q391" s="89">
        <f>'115+740'!R392</f>
        <v>0</v>
      </c>
      <c r="R391" s="88">
        <f t="shared" ca="1" si="73"/>
        <v>237</v>
      </c>
      <c r="S391" s="93">
        <f ca="1">VLOOKUP(B391,'115+740'!$B$14:$AB$757,22,FALSE)</f>
        <v>2276</v>
      </c>
      <c r="T391" s="92">
        <f ca="1">VLOOKUP(B391,'115+740'!$B$15:$AB$757,6,FALSE)</f>
        <v>-739</v>
      </c>
      <c r="U391" s="91">
        <f t="shared" ca="1" si="69"/>
        <v>3736</v>
      </c>
      <c r="V391" s="90">
        <f ca="1">VLOOKUP(B391,'115+740'!$B$15:$AB$757,15,FALSE)</f>
        <v>-264</v>
      </c>
      <c r="W391" s="89">
        <f>'115+740'!S392</f>
        <v>0</v>
      </c>
      <c r="X391" s="88">
        <f t="shared" ca="1" si="74"/>
        <v>224</v>
      </c>
      <c r="Y391" s="87">
        <f t="shared" ca="1" si="75"/>
        <v>0</v>
      </c>
      <c r="Z391" s="86">
        <f t="shared" ca="1" si="76"/>
        <v>0</v>
      </c>
      <c r="AA391" s="85">
        <f t="shared" ca="1" si="77"/>
        <v>2.468</v>
      </c>
      <c r="AB391" s="85">
        <f t="shared" ca="1" si="78"/>
        <v>2.036</v>
      </c>
    </row>
    <row r="392" spans="2:28">
      <c r="B392" s="98">
        <f>'115+740'!B393</f>
        <v>45451</v>
      </c>
      <c r="C392" s="97">
        <f t="shared" si="70"/>
        <v>1</v>
      </c>
      <c r="D392" s="96">
        <f t="shared" si="71"/>
        <v>1069</v>
      </c>
      <c r="E392" s="95">
        <f>VLOOKUP(B392,'115+740'!B393:AB751,3,FALSE)</f>
        <v>1930</v>
      </c>
      <c r="F392" s="92">
        <f t="shared" si="66"/>
        <v>2999</v>
      </c>
      <c r="G392" s="94">
        <f ca="1">VLOOKUP(B392,'115+740'!$B$15:$AB$757,20,FALSE)</f>
        <v>2245</v>
      </c>
      <c r="H392" s="94">
        <f ca="1">VLOOKUP(B392,'115+740'!$B$15:$AB$757,4,FALSE)</f>
        <v>-786</v>
      </c>
      <c r="I392" s="91">
        <f t="shared" ca="1" si="67"/>
        <v>3785</v>
      </c>
      <c r="J392" s="91">
        <f ca="1">VLOOKUP(B392,'115+740'!$B$15:$AB$757,13,FALSE)</f>
        <v>-215</v>
      </c>
      <c r="K392" s="89">
        <f>'115+740'!Q393</f>
        <v>0</v>
      </c>
      <c r="L392" s="88">
        <f t="shared" ca="1" si="72"/>
        <v>255</v>
      </c>
      <c r="M392" s="93">
        <f ca="1">VLOOKUP(B392,'115+740'!$B$14:$AB$757,21,FALSE)</f>
        <v>2263</v>
      </c>
      <c r="N392" s="92">
        <f ca="1">VLOOKUP(B392,'115+740'!$B$15:$AB$757,5,FALSE)</f>
        <v>-754</v>
      </c>
      <c r="O392" s="91">
        <f t="shared" ca="1" si="68"/>
        <v>3753</v>
      </c>
      <c r="P392" s="91">
        <f ca="1">VLOOKUP(B392,'115+740'!$B$15:$AB$757,14,FALSE)</f>
        <v>-247</v>
      </c>
      <c r="Q392" s="89">
        <f>'115+740'!R393</f>
        <v>0</v>
      </c>
      <c r="R392" s="88">
        <f t="shared" ca="1" si="73"/>
        <v>237</v>
      </c>
      <c r="S392" s="93">
        <f ca="1">VLOOKUP(B392,'115+740'!$B$14:$AB$757,22,FALSE)</f>
        <v>2276</v>
      </c>
      <c r="T392" s="92">
        <f ca="1">VLOOKUP(B392,'115+740'!$B$15:$AB$757,6,FALSE)</f>
        <v>-737</v>
      </c>
      <c r="U392" s="91">
        <f t="shared" ca="1" si="69"/>
        <v>3736</v>
      </c>
      <c r="V392" s="90">
        <f ca="1">VLOOKUP(B392,'115+740'!$B$15:$AB$757,15,FALSE)</f>
        <v>-264</v>
      </c>
      <c r="W392" s="89">
        <f>'115+740'!S393</f>
        <v>0</v>
      </c>
      <c r="X392" s="88">
        <f t="shared" ca="1" si="74"/>
        <v>224</v>
      </c>
      <c r="Y392" s="87">
        <f t="shared" ca="1" si="75"/>
        <v>0</v>
      </c>
      <c r="Z392" s="86">
        <f t="shared" ca="1" si="76"/>
        <v>0</v>
      </c>
      <c r="AA392" s="85">
        <f t="shared" ca="1" si="77"/>
        <v>2.468</v>
      </c>
      <c r="AB392" s="85">
        <f t="shared" ca="1" si="78"/>
        <v>2.036</v>
      </c>
    </row>
    <row r="393" spans="2:28">
      <c r="B393" s="98">
        <f>'115+740'!B394</f>
        <v>45452</v>
      </c>
      <c r="C393" s="97">
        <f t="shared" si="70"/>
        <v>1</v>
      </c>
      <c r="D393" s="96">
        <f t="shared" si="71"/>
        <v>1069</v>
      </c>
      <c r="E393" s="95">
        <f>VLOOKUP(B393,'115+740'!B394:AB752,3,FALSE)</f>
        <v>1932</v>
      </c>
      <c r="F393" s="92">
        <f t="shared" si="66"/>
        <v>3001</v>
      </c>
      <c r="G393" s="94">
        <f ca="1">VLOOKUP(B393,'115+740'!$B$15:$AB$757,20,FALSE)</f>
        <v>2245</v>
      </c>
      <c r="H393" s="94">
        <f ca="1">VLOOKUP(B393,'115+740'!$B$15:$AB$757,4,FALSE)</f>
        <v>-784</v>
      </c>
      <c r="I393" s="91">
        <f t="shared" ca="1" si="67"/>
        <v>3785</v>
      </c>
      <c r="J393" s="91">
        <f ca="1">VLOOKUP(B393,'115+740'!$B$15:$AB$757,13,FALSE)</f>
        <v>-215</v>
      </c>
      <c r="K393" s="89">
        <f>'115+740'!Q394</f>
        <v>0</v>
      </c>
      <c r="L393" s="88">
        <f t="shared" ca="1" si="72"/>
        <v>255</v>
      </c>
      <c r="M393" s="93">
        <f ca="1">VLOOKUP(B393,'115+740'!$B$14:$AB$757,21,FALSE)</f>
        <v>2263</v>
      </c>
      <c r="N393" s="92">
        <f ca="1">VLOOKUP(B393,'115+740'!$B$15:$AB$757,5,FALSE)</f>
        <v>-752</v>
      </c>
      <c r="O393" s="91">
        <f t="shared" ca="1" si="68"/>
        <v>3753</v>
      </c>
      <c r="P393" s="91">
        <f ca="1">VLOOKUP(B393,'115+740'!$B$15:$AB$757,14,FALSE)</f>
        <v>-247</v>
      </c>
      <c r="Q393" s="89">
        <f>'115+740'!R394</f>
        <v>0</v>
      </c>
      <c r="R393" s="88">
        <f t="shared" ca="1" si="73"/>
        <v>237</v>
      </c>
      <c r="S393" s="93">
        <f ca="1">VLOOKUP(B393,'115+740'!$B$14:$AB$757,22,FALSE)</f>
        <v>2276</v>
      </c>
      <c r="T393" s="92">
        <f ca="1">VLOOKUP(B393,'115+740'!$B$15:$AB$757,6,FALSE)</f>
        <v>-735</v>
      </c>
      <c r="U393" s="91">
        <f t="shared" ca="1" si="69"/>
        <v>3736</v>
      </c>
      <c r="V393" s="90">
        <f ca="1">VLOOKUP(B393,'115+740'!$B$15:$AB$757,15,FALSE)</f>
        <v>-264</v>
      </c>
      <c r="W393" s="89">
        <f>'115+740'!S394</f>
        <v>0</v>
      </c>
      <c r="X393" s="88">
        <f t="shared" ca="1" si="74"/>
        <v>224</v>
      </c>
      <c r="Y393" s="87">
        <f t="shared" ca="1" si="75"/>
        <v>0</v>
      </c>
      <c r="Z393" s="86">
        <f t="shared" ca="1" si="76"/>
        <v>0</v>
      </c>
      <c r="AA393" s="85">
        <f t="shared" ca="1" si="77"/>
        <v>2.468</v>
      </c>
      <c r="AB393" s="85">
        <f t="shared" ca="1" si="78"/>
        <v>2.036</v>
      </c>
    </row>
    <row r="394" spans="2:28">
      <c r="B394" s="98">
        <f>'115+740'!B395</f>
        <v>45453</v>
      </c>
      <c r="C394" s="97">
        <f t="shared" si="70"/>
        <v>1</v>
      </c>
      <c r="D394" s="96">
        <f t="shared" si="71"/>
        <v>1069</v>
      </c>
      <c r="E394" s="95">
        <f>VLOOKUP(B394,'115+740'!B395:AB753,3,FALSE)</f>
        <v>1934</v>
      </c>
      <c r="F394" s="92">
        <f t="shared" si="66"/>
        <v>3003</v>
      </c>
      <c r="G394" s="94">
        <f ca="1">VLOOKUP(B394,'115+740'!$B$15:$AB$757,20,FALSE)</f>
        <v>2245</v>
      </c>
      <c r="H394" s="94">
        <f ca="1">VLOOKUP(B394,'115+740'!$B$15:$AB$757,4,FALSE)</f>
        <v>-782</v>
      </c>
      <c r="I394" s="91">
        <f t="shared" ca="1" si="67"/>
        <v>3785</v>
      </c>
      <c r="J394" s="91">
        <f ca="1">VLOOKUP(B394,'115+740'!$B$15:$AB$757,13,FALSE)</f>
        <v>-215</v>
      </c>
      <c r="K394" s="89">
        <f>'115+740'!Q395</f>
        <v>0</v>
      </c>
      <c r="L394" s="88">
        <f t="shared" ca="1" si="72"/>
        <v>255</v>
      </c>
      <c r="M394" s="93">
        <f ca="1">VLOOKUP(B394,'115+740'!$B$14:$AB$757,21,FALSE)</f>
        <v>2263</v>
      </c>
      <c r="N394" s="92">
        <f ca="1">VLOOKUP(B394,'115+740'!$B$15:$AB$757,5,FALSE)</f>
        <v>-750</v>
      </c>
      <c r="O394" s="91">
        <f t="shared" ca="1" si="68"/>
        <v>3753</v>
      </c>
      <c r="P394" s="91">
        <f ca="1">VLOOKUP(B394,'115+740'!$B$15:$AB$757,14,FALSE)</f>
        <v>-247</v>
      </c>
      <c r="Q394" s="89">
        <f>'115+740'!R395</f>
        <v>0</v>
      </c>
      <c r="R394" s="88">
        <f t="shared" ca="1" si="73"/>
        <v>237</v>
      </c>
      <c r="S394" s="93">
        <f ca="1">VLOOKUP(B394,'115+740'!$B$14:$AB$757,22,FALSE)</f>
        <v>2276</v>
      </c>
      <c r="T394" s="92">
        <f ca="1">VLOOKUP(B394,'115+740'!$B$15:$AB$757,6,FALSE)</f>
        <v>-733</v>
      </c>
      <c r="U394" s="91">
        <f t="shared" ca="1" si="69"/>
        <v>3736</v>
      </c>
      <c r="V394" s="90">
        <f ca="1">VLOOKUP(B394,'115+740'!$B$15:$AB$757,15,FALSE)</f>
        <v>-264</v>
      </c>
      <c r="W394" s="89">
        <f>'115+740'!S395</f>
        <v>0</v>
      </c>
      <c r="X394" s="88">
        <f t="shared" ca="1" si="74"/>
        <v>224</v>
      </c>
      <c r="Y394" s="87">
        <f t="shared" ca="1" si="75"/>
        <v>0</v>
      </c>
      <c r="Z394" s="86">
        <f t="shared" ca="1" si="76"/>
        <v>0</v>
      </c>
      <c r="AA394" s="85">
        <f t="shared" ca="1" si="77"/>
        <v>2.468</v>
      </c>
      <c r="AB394" s="85">
        <f t="shared" ca="1" si="78"/>
        <v>2.036</v>
      </c>
    </row>
    <row r="395" spans="2:28">
      <c r="B395" s="98">
        <f>'115+740'!B396</f>
        <v>45454</v>
      </c>
      <c r="C395" s="97">
        <f t="shared" si="70"/>
        <v>1</v>
      </c>
      <c r="D395" s="96">
        <f t="shared" si="71"/>
        <v>1069</v>
      </c>
      <c r="E395" s="95">
        <f>VLOOKUP(B395,'115+740'!B396:AB754,3,FALSE)</f>
        <v>1936</v>
      </c>
      <c r="F395" s="92">
        <f t="shared" si="66"/>
        <v>3005</v>
      </c>
      <c r="G395" s="94">
        <f ca="1">VLOOKUP(B395,'115+740'!$B$15:$AB$757,20,FALSE)</f>
        <v>2245</v>
      </c>
      <c r="H395" s="94">
        <f ca="1">VLOOKUP(B395,'115+740'!$B$15:$AB$757,4,FALSE)</f>
        <v>-780</v>
      </c>
      <c r="I395" s="91">
        <f t="shared" ca="1" si="67"/>
        <v>3785</v>
      </c>
      <c r="J395" s="91">
        <f ca="1">VLOOKUP(B395,'115+740'!$B$15:$AB$757,13,FALSE)</f>
        <v>-215</v>
      </c>
      <c r="K395" s="89">
        <f>'115+740'!Q396</f>
        <v>0</v>
      </c>
      <c r="L395" s="88">
        <f t="shared" ca="1" si="72"/>
        <v>255</v>
      </c>
      <c r="M395" s="93">
        <f ca="1">VLOOKUP(B395,'115+740'!$B$14:$AB$757,21,FALSE)</f>
        <v>2263</v>
      </c>
      <c r="N395" s="92">
        <f ca="1">VLOOKUP(B395,'115+740'!$B$15:$AB$757,5,FALSE)</f>
        <v>-748</v>
      </c>
      <c r="O395" s="91">
        <f t="shared" ca="1" si="68"/>
        <v>3753</v>
      </c>
      <c r="P395" s="91">
        <f ca="1">VLOOKUP(B395,'115+740'!$B$15:$AB$757,14,FALSE)</f>
        <v>-247</v>
      </c>
      <c r="Q395" s="89">
        <f>'115+740'!R396</f>
        <v>0</v>
      </c>
      <c r="R395" s="88">
        <f t="shared" ca="1" si="73"/>
        <v>237</v>
      </c>
      <c r="S395" s="93">
        <f ca="1">VLOOKUP(B395,'115+740'!$B$14:$AB$757,22,FALSE)</f>
        <v>2276</v>
      </c>
      <c r="T395" s="92">
        <f ca="1">VLOOKUP(B395,'115+740'!$B$15:$AB$757,6,FALSE)</f>
        <v>-731</v>
      </c>
      <c r="U395" s="91">
        <f t="shared" ca="1" si="69"/>
        <v>3736</v>
      </c>
      <c r="V395" s="90">
        <f ca="1">VLOOKUP(B395,'115+740'!$B$15:$AB$757,15,FALSE)</f>
        <v>-264</v>
      </c>
      <c r="W395" s="89">
        <f>'115+740'!S396</f>
        <v>0</v>
      </c>
      <c r="X395" s="88">
        <f t="shared" ca="1" si="74"/>
        <v>224</v>
      </c>
      <c r="Y395" s="87">
        <f t="shared" ca="1" si="75"/>
        <v>0</v>
      </c>
      <c r="Z395" s="86">
        <f t="shared" ca="1" si="76"/>
        <v>0</v>
      </c>
      <c r="AA395" s="85">
        <f t="shared" ca="1" si="77"/>
        <v>2.468</v>
      </c>
      <c r="AB395" s="85">
        <f t="shared" ca="1" si="78"/>
        <v>2.036</v>
      </c>
    </row>
    <row r="396" spans="2:28">
      <c r="B396" s="98">
        <f>'115+740'!B397</f>
        <v>45455</v>
      </c>
      <c r="C396" s="97">
        <f t="shared" si="70"/>
        <v>1</v>
      </c>
      <c r="D396" s="96">
        <f t="shared" si="71"/>
        <v>1069</v>
      </c>
      <c r="E396" s="95">
        <f>VLOOKUP(B396,'115+740'!B397:AB755,3,FALSE)</f>
        <v>1938</v>
      </c>
      <c r="F396" s="92">
        <f t="shared" si="66"/>
        <v>3007</v>
      </c>
      <c r="G396" s="94">
        <f ca="1">VLOOKUP(B396,'115+740'!$B$15:$AB$757,20,FALSE)</f>
        <v>2245</v>
      </c>
      <c r="H396" s="94">
        <f ca="1">VLOOKUP(B396,'115+740'!$B$15:$AB$757,4,FALSE)</f>
        <v>-778</v>
      </c>
      <c r="I396" s="91">
        <f t="shared" ca="1" si="67"/>
        <v>3785</v>
      </c>
      <c r="J396" s="91">
        <f ca="1">VLOOKUP(B396,'115+740'!$B$15:$AB$757,13,FALSE)</f>
        <v>-215</v>
      </c>
      <c r="K396" s="89">
        <f>'115+740'!Q397</f>
        <v>0</v>
      </c>
      <c r="L396" s="88">
        <f t="shared" ca="1" si="72"/>
        <v>255</v>
      </c>
      <c r="M396" s="93">
        <f ca="1">VLOOKUP(B396,'115+740'!$B$14:$AB$757,21,FALSE)</f>
        <v>2263</v>
      </c>
      <c r="N396" s="92">
        <f ca="1">VLOOKUP(B396,'115+740'!$B$15:$AB$757,5,FALSE)</f>
        <v>-746</v>
      </c>
      <c r="O396" s="91">
        <f t="shared" ca="1" si="68"/>
        <v>3753</v>
      </c>
      <c r="P396" s="91">
        <f ca="1">VLOOKUP(B396,'115+740'!$B$15:$AB$757,14,FALSE)</f>
        <v>-247</v>
      </c>
      <c r="Q396" s="89">
        <f>'115+740'!R397</f>
        <v>0</v>
      </c>
      <c r="R396" s="88">
        <f t="shared" ca="1" si="73"/>
        <v>237</v>
      </c>
      <c r="S396" s="93">
        <f ca="1">VLOOKUP(B396,'115+740'!$B$14:$AB$757,22,FALSE)</f>
        <v>2276</v>
      </c>
      <c r="T396" s="92">
        <f ca="1">VLOOKUP(B396,'115+740'!$B$15:$AB$757,6,FALSE)</f>
        <v>-729</v>
      </c>
      <c r="U396" s="91">
        <f t="shared" ca="1" si="69"/>
        <v>3736</v>
      </c>
      <c r="V396" s="90">
        <f ca="1">VLOOKUP(B396,'115+740'!$B$15:$AB$757,15,FALSE)</f>
        <v>-264</v>
      </c>
      <c r="W396" s="89">
        <f>'115+740'!S397</f>
        <v>0</v>
      </c>
      <c r="X396" s="88">
        <f t="shared" ca="1" si="74"/>
        <v>224</v>
      </c>
      <c r="Y396" s="87">
        <f t="shared" ca="1" si="75"/>
        <v>0</v>
      </c>
      <c r="Z396" s="86">
        <f t="shared" ca="1" si="76"/>
        <v>0</v>
      </c>
      <c r="AA396" s="85">
        <f t="shared" ca="1" si="77"/>
        <v>2.468</v>
      </c>
      <c r="AB396" s="85">
        <f t="shared" ca="1" si="78"/>
        <v>2.036</v>
      </c>
    </row>
    <row r="397" spans="2:28">
      <c r="B397" s="98">
        <f>'115+740'!B398</f>
        <v>45456</v>
      </c>
      <c r="C397" s="97">
        <f t="shared" si="70"/>
        <v>1</v>
      </c>
      <c r="D397" s="96">
        <f t="shared" si="71"/>
        <v>1069</v>
      </c>
      <c r="E397" s="95">
        <f>VLOOKUP(B397,'115+740'!B398:AB756,3,FALSE)</f>
        <v>1940</v>
      </c>
      <c r="F397" s="92">
        <f t="shared" ref="F397:F460" si="79">D397+E397</f>
        <v>3009</v>
      </c>
      <c r="G397" s="94">
        <f ca="1">VLOOKUP(B397,'115+740'!$B$15:$AB$757,20,FALSE)</f>
        <v>2245</v>
      </c>
      <c r="H397" s="94">
        <f ca="1">VLOOKUP(B397,'115+740'!$B$15:$AB$757,4,FALSE)</f>
        <v>-776</v>
      </c>
      <c r="I397" s="91">
        <f t="shared" ref="I397:I460" ca="1" si="80">F397-H397</f>
        <v>3785</v>
      </c>
      <c r="J397" s="91">
        <f ca="1">VLOOKUP(B397,'115+740'!$B$15:$AB$757,13,FALSE)</f>
        <v>-215</v>
      </c>
      <c r="K397" s="89">
        <f>'115+740'!Q398</f>
        <v>0</v>
      </c>
      <c r="L397" s="88">
        <f t="shared" ca="1" si="72"/>
        <v>255</v>
      </c>
      <c r="M397" s="93">
        <f ca="1">VLOOKUP(B397,'115+740'!$B$14:$AB$757,21,FALSE)</f>
        <v>2263</v>
      </c>
      <c r="N397" s="92">
        <f ca="1">VLOOKUP(B397,'115+740'!$B$15:$AB$757,5,FALSE)</f>
        <v>-744</v>
      </c>
      <c r="O397" s="91">
        <f t="shared" ref="O397:O460" ca="1" si="81">F397-N397</f>
        <v>3753</v>
      </c>
      <c r="P397" s="91">
        <f ca="1">VLOOKUP(B397,'115+740'!$B$15:$AB$757,14,FALSE)</f>
        <v>-247</v>
      </c>
      <c r="Q397" s="89">
        <f>'115+740'!R398</f>
        <v>0</v>
      </c>
      <c r="R397" s="88">
        <f t="shared" ca="1" si="73"/>
        <v>237</v>
      </c>
      <c r="S397" s="93">
        <f ca="1">VLOOKUP(B397,'115+740'!$B$14:$AB$757,22,FALSE)</f>
        <v>2276</v>
      </c>
      <c r="T397" s="92">
        <f ca="1">VLOOKUP(B397,'115+740'!$B$15:$AB$757,6,FALSE)</f>
        <v>-727</v>
      </c>
      <c r="U397" s="91">
        <f t="shared" ref="U397:U460" ca="1" si="82">F397-T397</f>
        <v>3736</v>
      </c>
      <c r="V397" s="90">
        <f ca="1">VLOOKUP(B397,'115+740'!$B$15:$AB$757,15,FALSE)</f>
        <v>-264</v>
      </c>
      <c r="W397" s="89">
        <f>'115+740'!S398</f>
        <v>0</v>
      </c>
      <c r="X397" s="88">
        <f t="shared" ca="1" si="74"/>
        <v>224</v>
      </c>
      <c r="Y397" s="87">
        <f t="shared" ca="1" si="75"/>
        <v>0</v>
      </c>
      <c r="Z397" s="86">
        <f t="shared" ca="1" si="76"/>
        <v>0</v>
      </c>
      <c r="AA397" s="85">
        <f t="shared" ca="1" si="77"/>
        <v>2.468</v>
      </c>
      <c r="AB397" s="85">
        <f t="shared" ca="1" si="78"/>
        <v>2.036</v>
      </c>
    </row>
    <row r="398" spans="2:28">
      <c r="B398" s="98">
        <f>'115+740'!B399</f>
        <v>45457</v>
      </c>
      <c r="C398" s="97">
        <f t="shared" ref="C398:C461" si="83">B398-B397</f>
        <v>1</v>
      </c>
      <c r="D398" s="96">
        <f t="shared" ref="D398:D461" si="84">D397</f>
        <v>1069</v>
      </c>
      <c r="E398" s="95">
        <f>VLOOKUP(B398,'115+740'!B399:AB757,3,FALSE)</f>
        <v>1942</v>
      </c>
      <c r="F398" s="92">
        <f t="shared" si="79"/>
        <v>3011</v>
      </c>
      <c r="G398" s="94">
        <f ca="1">VLOOKUP(B398,'115+740'!$B$15:$AB$757,20,FALSE)</f>
        <v>2245</v>
      </c>
      <c r="H398" s="94">
        <f ca="1">VLOOKUP(B398,'115+740'!$B$15:$AB$757,4,FALSE)</f>
        <v>-774</v>
      </c>
      <c r="I398" s="91">
        <f t="shared" ca="1" si="80"/>
        <v>3785</v>
      </c>
      <c r="J398" s="91">
        <f ca="1">VLOOKUP(B398,'115+740'!$B$15:$AB$757,13,FALSE)</f>
        <v>-215</v>
      </c>
      <c r="K398" s="89">
        <f>'115+740'!Q399</f>
        <v>0</v>
      </c>
      <c r="L398" s="88">
        <f t="shared" ref="L398:L461" ca="1" si="85">+K398+L397</f>
        <v>255</v>
      </c>
      <c r="M398" s="93">
        <f ca="1">VLOOKUP(B398,'115+740'!$B$14:$AB$757,21,FALSE)</f>
        <v>2263</v>
      </c>
      <c r="N398" s="92">
        <f ca="1">VLOOKUP(B398,'115+740'!$B$15:$AB$757,5,FALSE)</f>
        <v>-742</v>
      </c>
      <c r="O398" s="91">
        <f t="shared" ca="1" si="81"/>
        <v>3753</v>
      </c>
      <c r="P398" s="91">
        <f ca="1">VLOOKUP(B398,'115+740'!$B$15:$AB$757,14,FALSE)</f>
        <v>-247</v>
      </c>
      <c r="Q398" s="89">
        <f>'115+740'!R399</f>
        <v>0</v>
      </c>
      <c r="R398" s="88">
        <f t="shared" ref="R398:R461" ca="1" si="86">+Q398+R397</f>
        <v>237</v>
      </c>
      <c r="S398" s="93">
        <f ca="1">VLOOKUP(B398,'115+740'!$B$14:$AB$757,22,FALSE)</f>
        <v>2276</v>
      </c>
      <c r="T398" s="92">
        <f ca="1">VLOOKUP(B398,'115+740'!$B$15:$AB$757,6,FALSE)</f>
        <v>-725</v>
      </c>
      <c r="U398" s="91">
        <f t="shared" ca="1" si="82"/>
        <v>3736</v>
      </c>
      <c r="V398" s="90">
        <f ca="1">VLOOKUP(B398,'115+740'!$B$15:$AB$757,15,FALSE)</f>
        <v>-264</v>
      </c>
      <c r="W398" s="89">
        <f>'115+740'!S399</f>
        <v>0</v>
      </c>
      <c r="X398" s="88">
        <f t="shared" ref="X398:X461" ca="1" si="87">+W398+X397</f>
        <v>224</v>
      </c>
      <c r="Y398" s="87">
        <f t="shared" ref="Y398:Y461" ca="1" si="88">S398-S397</f>
        <v>0</v>
      </c>
      <c r="Z398" s="86">
        <f t="shared" ref="Z398:Z461" ca="1" si="89">IF(Y398&gt;0,Y398,0)/1000</f>
        <v>0</v>
      </c>
      <c r="AA398" s="85">
        <f t="shared" ref="AA398:AA461" ca="1" si="90">AA397+Z398</f>
        <v>2.468</v>
      </c>
      <c r="AB398" s="85">
        <f t="shared" ref="AB398:AB461" ca="1" si="91">(M398-$M$13-R398)/1000</f>
        <v>2.036</v>
      </c>
    </row>
    <row r="399" spans="2:28">
      <c r="B399" s="98">
        <f>'115+740'!B400</f>
        <v>45458</v>
      </c>
      <c r="C399" s="97">
        <f t="shared" si="83"/>
        <v>1</v>
      </c>
      <c r="D399" s="96">
        <f t="shared" si="84"/>
        <v>1069</v>
      </c>
      <c r="E399" s="95">
        <f>VLOOKUP(B399,'115+740'!B400:AB758,3,FALSE)</f>
        <v>1944</v>
      </c>
      <c r="F399" s="92">
        <f t="shared" si="79"/>
        <v>3013</v>
      </c>
      <c r="G399" s="94">
        <f ca="1">VLOOKUP(B399,'115+740'!$B$15:$AB$757,20,FALSE)</f>
        <v>2245</v>
      </c>
      <c r="H399" s="94">
        <f ca="1">VLOOKUP(B399,'115+740'!$B$15:$AB$757,4,FALSE)</f>
        <v>-772</v>
      </c>
      <c r="I399" s="91">
        <f t="shared" ca="1" si="80"/>
        <v>3785</v>
      </c>
      <c r="J399" s="91">
        <f ca="1">VLOOKUP(B399,'115+740'!$B$15:$AB$757,13,FALSE)</f>
        <v>-215</v>
      </c>
      <c r="K399" s="89">
        <f>'115+740'!Q400</f>
        <v>0</v>
      </c>
      <c r="L399" s="88">
        <f t="shared" ca="1" si="85"/>
        <v>255</v>
      </c>
      <c r="M399" s="93">
        <f ca="1">VLOOKUP(B399,'115+740'!$B$14:$AB$757,21,FALSE)</f>
        <v>2263</v>
      </c>
      <c r="N399" s="92">
        <f ca="1">VLOOKUP(B399,'115+740'!$B$15:$AB$757,5,FALSE)</f>
        <v>-740</v>
      </c>
      <c r="O399" s="91">
        <f t="shared" ca="1" si="81"/>
        <v>3753</v>
      </c>
      <c r="P399" s="91">
        <f ca="1">VLOOKUP(B399,'115+740'!$B$15:$AB$757,14,FALSE)</f>
        <v>-247</v>
      </c>
      <c r="Q399" s="89">
        <f>'115+740'!R400</f>
        <v>0</v>
      </c>
      <c r="R399" s="88">
        <f t="shared" ca="1" si="86"/>
        <v>237</v>
      </c>
      <c r="S399" s="93">
        <f ca="1">VLOOKUP(B399,'115+740'!$B$14:$AB$757,22,FALSE)</f>
        <v>2276</v>
      </c>
      <c r="T399" s="92">
        <f ca="1">VLOOKUP(B399,'115+740'!$B$15:$AB$757,6,FALSE)</f>
        <v>-723</v>
      </c>
      <c r="U399" s="91">
        <f t="shared" ca="1" si="82"/>
        <v>3736</v>
      </c>
      <c r="V399" s="90">
        <f ca="1">VLOOKUP(B399,'115+740'!$B$15:$AB$757,15,FALSE)</f>
        <v>-264</v>
      </c>
      <c r="W399" s="89">
        <f>'115+740'!S400</f>
        <v>0</v>
      </c>
      <c r="X399" s="88">
        <f t="shared" ca="1" si="87"/>
        <v>224</v>
      </c>
      <c r="Y399" s="87">
        <f t="shared" ca="1" si="88"/>
        <v>0</v>
      </c>
      <c r="Z399" s="86">
        <f t="shared" ca="1" si="89"/>
        <v>0</v>
      </c>
      <c r="AA399" s="85">
        <f t="shared" ca="1" si="90"/>
        <v>2.468</v>
      </c>
      <c r="AB399" s="85">
        <f t="shared" ca="1" si="91"/>
        <v>2.036</v>
      </c>
    </row>
    <row r="400" spans="2:28">
      <c r="B400" s="98">
        <f>'115+740'!B401</f>
        <v>45459</v>
      </c>
      <c r="C400" s="97">
        <f t="shared" si="83"/>
        <v>1</v>
      </c>
      <c r="D400" s="96">
        <f t="shared" si="84"/>
        <v>1069</v>
      </c>
      <c r="E400" s="95">
        <f>VLOOKUP(B400,'115+740'!B401:AB759,3,FALSE)</f>
        <v>1946</v>
      </c>
      <c r="F400" s="92">
        <f t="shared" si="79"/>
        <v>3015</v>
      </c>
      <c r="G400" s="94">
        <f ca="1">VLOOKUP(B400,'115+740'!$B$15:$AB$757,20,FALSE)</f>
        <v>2245</v>
      </c>
      <c r="H400" s="94">
        <f ca="1">VLOOKUP(B400,'115+740'!$B$15:$AB$757,4,FALSE)</f>
        <v>-770</v>
      </c>
      <c r="I400" s="91">
        <f t="shared" ca="1" si="80"/>
        <v>3785</v>
      </c>
      <c r="J400" s="91">
        <f ca="1">VLOOKUP(B400,'115+740'!$B$15:$AB$757,13,FALSE)</f>
        <v>-215</v>
      </c>
      <c r="K400" s="89">
        <f>'115+740'!Q401</f>
        <v>0</v>
      </c>
      <c r="L400" s="88">
        <f t="shared" ca="1" si="85"/>
        <v>255</v>
      </c>
      <c r="M400" s="93">
        <f ca="1">VLOOKUP(B400,'115+740'!$B$14:$AB$757,21,FALSE)</f>
        <v>2263</v>
      </c>
      <c r="N400" s="92">
        <f ca="1">VLOOKUP(B400,'115+740'!$B$15:$AB$757,5,FALSE)</f>
        <v>-738</v>
      </c>
      <c r="O400" s="91">
        <f t="shared" ca="1" si="81"/>
        <v>3753</v>
      </c>
      <c r="P400" s="91">
        <f ca="1">VLOOKUP(B400,'115+740'!$B$15:$AB$757,14,FALSE)</f>
        <v>-247</v>
      </c>
      <c r="Q400" s="89">
        <f>'115+740'!R401</f>
        <v>0</v>
      </c>
      <c r="R400" s="88">
        <f t="shared" ca="1" si="86"/>
        <v>237</v>
      </c>
      <c r="S400" s="93">
        <f ca="1">VLOOKUP(B400,'115+740'!$B$14:$AB$757,22,FALSE)</f>
        <v>2276</v>
      </c>
      <c r="T400" s="92">
        <f ca="1">VLOOKUP(B400,'115+740'!$B$15:$AB$757,6,FALSE)</f>
        <v>-721</v>
      </c>
      <c r="U400" s="91">
        <f t="shared" ca="1" si="82"/>
        <v>3736</v>
      </c>
      <c r="V400" s="90">
        <f ca="1">VLOOKUP(B400,'115+740'!$B$15:$AB$757,15,FALSE)</f>
        <v>-264</v>
      </c>
      <c r="W400" s="89">
        <f>'115+740'!S401</f>
        <v>0</v>
      </c>
      <c r="X400" s="88">
        <f t="shared" ca="1" si="87"/>
        <v>224</v>
      </c>
      <c r="Y400" s="87">
        <f t="shared" ca="1" si="88"/>
        <v>0</v>
      </c>
      <c r="Z400" s="86">
        <f t="shared" ca="1" si="89"/>
        <v>0</v>
      </c>
      <c r="AA400" s="85">
        <f t="shared" ca="1" si="90"/>
        <v>2.468</v>
      </c>
      <c r="AB400" s="85">
        <f t="shared" ca="1" si="91"/>
        <v>2.036</v>
      </c>
    </row>
    <row r="401" spans="2:28">
      <c r="B401" s="98">
        <f>'115+740'!B402</f>
        <v>45460</v>
      </c>
      <c r="C401" s="97">
        <f t="shared" si="83"/>
        <v>1</v>
      </c>
      <c r="D401" s="96">
        <f t="shared" si="84"/>
        <v>1069</v>
      </c>
      <c r="E401" s="95">
        <f>VLOOKUP(B401,'115+740'!B402:AB760,3,FALSE)</f>
        <v>1948</v>
      </c>
      <c r="F401" s="92">
        <f t="shared" si="79"/>
        <v>3017</v>
      </c>
      <c r="G401" s="94">
        <f ca="1">VLOOKUP(B401,'115+740'!$B$15:$AB$757,20,FALSE)</f>
        <v>2245</v>
      </c>
      <c r="H401" s="94">
        <f ca="1">VLOOKUP(B401,'115+740'!$B$15:$AB$757,4,FALSE)</f>
        <v>-768</v>
      </c>
      <c r="I401" s="91">
        <f t="shared" ca="1" si="80"/>
        <v>3785</v>
      </c>
      <c r="J401" s="91">
        <f ca="1">VLOOKUP(B401,'115+740'!$B$15:$AB$757,13,FALSE)</f>
        <v>-215</v>
      </c>
      <c r="K401" s="89">
        <f>'115+740'!Q402</f>
        <v>0</v>
      </c>
      <c r="L401" s="88">
        <f t="shared" ca="1" si="85"/>
        <v>255</v>
      </c>
      <c r="M401" s="93">
        <f ca="1">VLOOKUP(B401,'115+740'!$B$14:$AB$757,21,FALSE)</f>
        <v>2263</v>
      </c>
      <c r="N401" s="92">
        <f ca="1">VLOOKUP(B401,'115+740'!$B$15:$AB$757,5,FALSE)</f>
        <v>-736</v>
      </c>
      <c r="O401" s="91">
        <f t="shared" ca="1" si="81"/>
        <v>3753</v>
      </c>
      <c r="P401" s="91">
        <f ca="1">VLOOKUP(B401,'115+740'!$B$15:$AB$757,14,FALSE)</f>
        <v>-247</v>
      </c>
      <c r="Q401" s="89">
        <f>'115+740'!R402</f>
        <v>0</v>
      </c>
      <c r="R401" s="88">
        <f t="shared" ca="1" si="86"/>
        <v>237</v>
      </c>
      <c r="S401" s="93">
        <f ca="1">VLOOKUP(B401,'115+740'!$B$14:$AB$757,22,FALSE)</f>
        <v>2276</v>
      </c>
      <c r="T401" s="92">
        <f ca="1">VLOOKUP(B401,'115+740'!$B$15:$AB$757,6,FALSE)</f>
        <v>-719</v>
      </c>
      <c r="U401" s="91">
        <f t="shared" ca="1" si="82"/>
        <v>3736</v>
      </c>
      <c r="V401" s="90">
        <f ca="1">VLOOKUP(B401,'115+740'!$B$15:$AB$757,15,FALSE)</f>
        <v>-264</v>
      </c>
      <c r="W401" s="89">
        <f>'115+740'!S402</f>
        <v>0</v>
      </c>
      <c r="X401" s="88">
        <f t="shared" ca="1" si="87"/>
        <v>224</v>
      </c>
      <c r="Y401" s="87">
        <f t="shared" ca="1" si="88"/>
        <v>0</v>
      </c>
      <c r="Z401" s="86">
        <f t="shared" ca="1" si="89"/>
        <v>0</v>
      </c>
      <c r="AA401" s="85">
        <f t="shared" ca="1" si="90"/>
        <v>2.468</v>
      </c>
      <c r="AB401" s="85">
        <f t="shared" ca="1" si="91"/>
        <v>2.036</v>
      </c>
    </row>
    <row r="402" spans="2:28">
      <c r="B402" s="98">
        <f>'115+740'!B403</f>
        <v>45461</v>
      </c>
      <c r="C402" s="97">
        <f t="shared" si="83"/>
        <v>1</v>
      </c>
      <c r="D402" s="96">
        <f t="shared" si="84"/>
        <v>1069</v>
      </c>
      <c r="E402" s="95">
        <f>VLOOKUP(B402,'115+740'!B403:AB761,3,FALSE)</f>
        <v>1950</v>
      </c>
      <c r="F402" s="92">
        <f t="shared" si="79"/>
        <v>3019</v>
      </c>
      <c r="G402" s="94">
        <f ca="1">VLOOKUP(B402,'115+740'!$B$15:$AB$757,20,FALSE)</f>
        <v>2245</v>
      </c>
      <c r="H402" s="94">
        <f ca="1">VLOOKUP(B402,'115+740'!$B$15:$AB$757,4,FALSE)</f>
        <v>-766</v>
      </c>
      <c r="I402" s="91">
        <f t="shared" ca="1" si="80"/>
        <v>3785</v>
      </c>
      <c r="J402" s="91">
        <f ca="1">VLOOKUP(B402,'115+740'!$B$15:$AB$757,13,FALSE)</f>
        <v>-215</v>
      </c>
      <c r="K402" s="89">
        <f>'115+740'!Q403</f>
        <v>0</v>
      </c>
      <c r="L402" s="88">
        <f t="shared" ca="1" si="85"/>
        <v>255</v>
      </c>
      <c r="M402" s="93">
        <f ca="1">VLOOKUP(B402,'115+740'!$B$14:$AB$757,21,FALSE)</f>
        <v>2263</v>
      </c>
      <c r="N402" s="92">
        <f ca="1">VLOOKUP(B402,'115+740'!$B$15:$AB$757,5,FALSE)</f>
        <v>-734</v>
      </c>
      <c r="O402" s="91">
        <f t="shared" ca="1" si="81"/>
        <v>3753</v>
      </c>
      <c r="P402" s="91">
        <f ca="1">VLOOKUP(B402,'115+740'!$B$15:$AB$757,14,FALSE)</f>
        <v>-247</v>
      </c>
      <c r="Q402" s="89">
        <f>'115+740'!R403</f>
        <v>0</v>
      </c>
      <c r="R402" s="88">
        <f t="shared" ca="1" si="86"/>
        <v>237</v>
      </c>
      <c r="S402" s="93">
        <f ca="1">VLOOKUP(B402,'115+740'!$B$14:$AB$757,22,FALSE)</f>
        <v>2276</v>
      </c>
      <c r="T402" s="92">
        <f ca="1">VLOOKUP(B402,'115+740'!$B$15:$AB$757,6,FALSE)</f>
        <v>-717</v>
      </c>
      <c r="U402" s="91">
        <f t="shared" ca="1" si="82"/>
        <v>3736</v>
      </c>
      <c r="V402" s="90">
        <f ca="1">VLOOKUP(B402,'115+740'!$B$15:$AB$757,15,FALSE)</f>
        <v>-264</v>
      </c>
      <c r="W402" s="89">
        <f>'115+740'!S403</f>
        <v>0</v>
      </c>
      <c r="X402" s="88">
        <f t="shared" ca="1" si="87"/>
        <v>224</v>
      </c>
      <c r="Y402" s="87">
        <f t="shared" ca="1" si="88"/>
        <v>0</v>
      </c>
      <c r="Z402" s="86">
        <f t="shared" ca="1" si="89"/>
        <v>0</v>
      </c>
      <c r="AA402" s="85">
        <f t="shared" ca="1" si="90"/>
        <v>2.468</v>
      </c>
      <c r="AB402" s="85">
        <f t="shared" ca="1" si="91"/>
        <v>2.036</v>
      </c>
    </row>
    <row r="403" spans="2:28">
      <c r="B403" s="98">
        <f>'115+740'!B404</f>
        <v>45462</v>
      </c>
      <c r="C403" s="97">
        <f t="shared" si="83"/>
        <v>1</v>
      </c>
      <c r="D403" s="96">
        <f t="shared" si="84"/>
        <v>1069</v>
      </c>
      <c r="E403" s="95">
        <f>VLOOKUP(B403,'115+740'!B404:AB762,3,FALSE)</f>
        <v>1952</v>
      </c>
      <c r="F403" s="92">
        <f t="shared" si="79"/>
        <v>3021</v>
      </c>
      <c r="G403" s="94">
        <f ca="1">VLOOKUP(B403,'115+740'!$B$15:$AB$757,20,FALSE)</f>
        <v>2245</v>
      </c>
      <c r="H403" s="94">
        <f ca="1">VLOOKUP(B403,'115+740'!$B$15:$AB$757,4,FALSE)</f>
        <v>-764</v>
      </c>
      <c r="I403" s="91">
        <f t="shared" ca="1" si="80"/>
        <v>3785</v>
      </c>
      <c r="J403" s="91">
        <f ca="1">VLOOKUP(B403,'115+740'!$B$15:$AB$757,13,FALSE)</f>
        <v>-215</v>
      </c>
      <c r="K403" s="89">
        <f>'115+740'!Q404</f>
        <v>0</v>
      </c>
      <c r="L403" s="88">
        <f t="shared" ca="1" si="85"/>
        <v>255</v>
      </c>
      <c r="M403" s="93">
        <f ca="1">VLOOKUP(B403,'115+740'!$B$14:$AB$757,21,FALSE)</f>
        <v>2263</v>
      </c>
      <c r="N403" s="92">
        <f ca="1">VLOOKUP(B403,'115+740'!$B$15:$AB$757,5,FALSE)</f>
        <v>-732</v>
      </c>
      <c r="O403" s="91">
        <f t="shared" ca="1" si="81"/>
        <v>3753</v>
      </c>
      <c r="P403" s="91">
        <f ca="1">VLOOKUP(B403,'115+740'!$B$15:$AB$757,14,FALSE)</f>
        <v>-247</v>
      </c>
      <c r="Q403" s="89">
        <f>'115+740'!R404</f>
        <v>0</v>
      </c>
      <c r="R403" s="88">
        <f t="shared" ca="1" si="86"/>
        <v>237</v>
      </c>
      <c r="S403" s="93">
        <f ca="1">VLOOKUP(B403,'115+740'!$B$14:$AB$757,22,FALSE)</f>
        <v>2276</v>
      </c>
      <c r="T403" s="92">
        <f ca="1">VLOOKUP(B403,'115+740'!$B$15:$AB$757,6,FALSE)</f>
        <v>-715</v>
      </c>
      <c r="U403" s="91">
        <f t="shared" ca="1" si="82"/>
        <v>3736</v>
      </c>
      <c r="V403" s="90">
        <f ca="1">VLOOKUP(B403,'115+740'!$B$15:$AB$757,15,FALSE)</f>
        <v>-264</v>
      </c>
      <c r="W403" s="89">
        <f>'115+740'!S404</f>
        <v>0</v>
      </c>
      <c r="X403" s="88">
        <f t="shared" ca="1" si="87"/>
        <v>224</v>
      </c>
      <c r="Y403" s="87">
        <f t="shared" ca="1" si="88"/>
        <v>0</v>
      </c>
      <c r="Z403" s="86">
        <f t="shared" ca="1" si="89"/>
        <v>0</v>
      </c>
      <c r="AA403" s="85">
        <f t="shared" ca="1" si="90"/>
        <v>2.468</v>
      </c>
      <c r="AB403" s="85">
        <f t="shared" ca="1" si="91"/>
        <v>2.036</v>
      </c>
    </row>
    <row r="404" spans="2:28">
      <c r="B404" s="98">
        <f>'115+740'!B405</f>
        <v>45463</v>
      </c>
      <c r="C404" s="97">
        <f t="shared" si="83"/>
        <v>1</v>
      </c>
      <c r="D404" s="96">
        <f t="shared" si="84"/>
        <v>1069</v>
      </c>
      <c r="E404" s="95">
        <f>VLOOKUP(B404,'115+740'!B405:AB763,3,FALSE)</f>
        <v>1954</v>
      </c>
      <c r="F404" s="92">
        <f t="shared" si="79"/>
        <v>3023</v>
      </c>
      <c r="G404" s="94">
        <f ca="1">VLOOKUP(B404,'115+740'!$B$15:$AB$757,20,FALSE)</f>
        <v>2245</v>
      </c>
      <c r="H404" s="94">
        <f ca="1">VLOOKUP(B404,'115+740'!$B$15:$AB$757,4,FALSE)</f>
        <v>-762</v>
      </c>
      <c r="I404" s="91">
        <f t="shared" ca="1" si="80"/>
        <v>3785</v>
      </c>
      <c r="J404" s="91">
        <f ca="1">VLOOKUP(B404,'115+740'!$B$15:$AB$757,13,FALSE)</f>
        <v>-215</v>
      </c>
      <c r="K404" s="89">
        <f>'115+740'!Q405</f>
        <v>0</v>
      </c>
      <c r="L404" s="88">
        <f t="shared" ca="1" si="85"/>
        <v>255</v>
      </c>
      <c r="M404" s="93">
        <f ca="1">VLOOKUP(B404,'115+740'!$B$14:$AB$757,21,FALSE)</f>
        <v>2263</v>
      </c>
      <c r="N404" s="92">
        <f ca="1">VLOOKUP(B404,'115+740'!$B$15:$AB$757,5,FALSE)</f>
        <v>-730</v>
      </c>
      <c r="O404" s="91">
        <f t="shared" ca="1" si="81"/>
        <v>3753</v>
      </c>
      <c r="P404" s="91">
        <f ca="1">VLOOKUP(B404,'115+740'!$B$15:$AB$757,14,FALSE)</f>
        <v>-247</v>
      </c>
      <c r="Q404" s="89">
        <f>'115+740'!R405</f>
        <v>0</v>
      </c>
      <c r="R404" s="88">
        <f t="shared" ca="1" si="86"/>
        <v>237</v>
      </c>
      <c r="S404" s="93">
        <f ca="1">VLOOKUP(B404,'115+740'!$B$14:$AB$757,22,FALSE)</f>
        <v>2276</v>
      </c>
      <c r="T404" s="92">
        <f ca="1">VLOOKUP(B404,'115+740'!$B$15:$AB$757,6,FALSE)</f>
        <v>-713</v>
      </c>
      <c r="U404" s="91">
        <f t="shared" ca="1" si="82"/>
        <v>3736</v>
      </c>
      <c r="V404" s="90">
        <f ca="1">VLOOKUP(B404,'115+740'!$B$15:$AB$757,15,FALSE)</f>
        <v>-264</v>
      </c>
      <c r="W404" s="89">
        <f>'115+740'!S405</f>
        <v>0</v>
      </c>
      <c r="X404" s="88">
        <f t="shared" ca="1" si="87"/>
        <v>224</v>
      </c>
      <c r="Y404" s="87">
        <f t="shared" ca="1" si="88"/>
        <v>0</v>
      </c>
      <c r="Z404" s="86">
        <f t="shared" ca="1" si="89"/>
        <v>0</v>
      </c>
      <c r="AA404" s="85">
        <f t="shared" ca="1" si="90"/>
        <v>2.468</v>
      </c>
      <c r="AB404" s="85">
        <f t="shared" ca="1" si="91"/>
        <v>2.036</v>
      </c>
    </row>
    <row r="405" spans="2:28">
      <c r="B405" s="98">
        <f>'115+740'!B406</f>
        <v>45464</v>
      </c>
      <c r="C405" s="97">
        <f t="shared" si="83"/>
        <v>1</v>
      </c>
      <c r="D405" s="96">
        <f t="shared" si="84"/>
        <v>1069</v>
      </c>
      <c r="E405" s="95">
        <f>VLOOKUP(B405,'115+740'!B406:AB764,3,FALSE)</f>
        <v>1956</v>
      </c>
      <c r="F405" s="92">
        <f t="shared" si="79"/>
        <v>3025</v>
      </c>
      <c r="G405" s="94">
        <f ca="1">VLOOKUP(B405,'115+740'!$B$15:$AB$757,20,FALSE)</f>
        <v>2245</v>
      </c>
      <c r="H405" s="94">
        <f ca="1">VLOOKUP(B405,'115+740'!$B$15:$AB$757,4,FALSE)</f>
        <v>-760</v>
      </c>
      <c r="I405" s="91">
        <f t="shared" ca="1" si="80"/>
        <v>3785</v>
      </c>
      <c r="J405" s="91">
        <f ca="1">VLOOKUP(B405,'115+740'!$B$15:$AB$757,13,FALSE)</f>
        <v>-215</v>
      </c>
      <c r="K405" s="89">
        <f>'115+740'!Q406</f>
        <v>0</v>
      </c>
      <c r="L405" s="88">
        <f t="shared" ca="1" si="85"/>
        <v>255</v>
      </c>
      <c r="M405" s="93">
        <f ca="1">VLOOKUP(B405,'115+740'!$B$14:$AB$757,21,FALSE)</f>
        <v>2263</v>
      </c>
      <c r="N405" s="92">
        <f ca="1">VLOOKUP(B405,'115+740'!$B$15:$AB$757,5,FALSE)</f>
        <v>-728</v>
      </c>
      <c r="O405" s="91">
        <f t="shared" ca="1" si="81"/>
        <v>3753</v>
      </c>
      <c r="P405" s="91">
        <f ca="1">VLOOKUP(B405,'115+740'!$B$15:$AB$757,14,FALSE)</f>
        <v>-247</v>
      </c>
      <c r="Q405" s="89">
        <f>'115+740'!R406</f>
        <v>0</v>
      </c>
      <c r="R405" s="88">
        <f t="shared" ca="1" si="86"/>
        <v>237</v>
      </c>
      <c r="S405" s="93">
        <f ca="1">VLOOKUP(B405,'115+740'!$B$14:$AB$757,22,FALSE)</f>
        <v>2276</v>
      </c>
      <c r="T405" s="92">
        <f ca="1">VLOOKUP(B405,'115+740'!$B$15:$AB$757,6,FALSE)</f>
        <v>-711</v>
      </c>
      <c r="U405" s="91">
        <f t="shared" ca="1" si="82"/>
        <v>3736</v>
      </c>
      <c r="V405" s="90">
        <f ca="1">VLOOKUP(B405,'115+740'!$B$15:$AB$757,15,FALSE)</f>
        <v>-264</v>
      </c>
      <c r="W405" s="89">
        <f>'115+740'!S406</f>
        <v>0</v>
      </c>
      <c r="X405" s="88">
        <f t="shared" ca="1" si="87"/>
        <v>224</v>
      </c>
      <c r="Y405" s="87">
        <f t="shared" ca="1" si="88"/>
        <v>0</v>
      </c>
      <c r="Z405" s="86">
        <f t="shared" ca="1" si="89"/>
        <v>0</v>
      </c>
      <c r="AA405" s="85">
        <f t="shared" ca="1" si="90"/>
        <v>2.468</v>
      </c>
      <c r="AB405" s="85">
        <f t="shared" ca="1" si="91"/>
        <v>2.036</v>
      </c>
    </row>
    <row r="406" spans="2:28">
      <c r="B406" s="98">
        <f>'115+740'!B407</f>
        <v>45465</v>
      </c>
      <c r="C406" s="97">
        <f t="shared" si="83"/>
        <v>1</v>
      </c>
      <c r="D406" s="96">
        <f t="shared" si="84"/>
        <v>1069</v>
      </c>
      <c r="E406" s="95">
        <f>VLOOKUP(B406,'115+740'!B407:AB765,3,FALSE)</f>
        <v>1958</v>
      </c>
      <c r="F406" s="92">
        <f t="shared" si="79"/>
        <v>3027</v>
      </c>
      <c r="G406" s="94">
        <f ca="1">VLOOKUP(B406,'115+740'!$B$15:$AB$757,20,FALSE)</f>
        <v>2245</v>
      </c>
      <c r="H406" s="94">
        <f ca="1">VLOOKUP(B406,'115+740'!$B$15:$AB$757,4,FALSE)</f>
        <v>-758</v>
      </c>
      <c r="I406" s="91">
        <f t="shared" ca="1" si="80"/>
        <v>3785</v>
      </c>
      <c r="J406" s="91">
        <f ca="1">VLOOKUP(B406,'115+740'!$B$15:$AB$757,13,FALSE)</f>
        <v>-215</v>
      </c>
      <c r="K406" s="89">
        <f>'115+740'!Q407</f>
        <v>0</v>
      </c>
      <c r="L406" s="88">
        <f t="shared" ca="1" si="85"/>
        <v>255</v>
      </c>
      <c r="M406" s="93">
        <f ca="1">VLOOKUP(B406,'115+740'!$B$14:$AB$757,21,FALSE)</f>
        <v>2263</v>
      </c>
      <c r="N406" s="92">
        <f ca="1">VLOOKUP(B406,'115+740'!$B$15:$AB$757,5,FALSE)</f>
        <v>-726</v>
      </c>
      <c r="O406" s="91">
        <f t="shared" ca="1" si="81"/>
        <v>3753</v>
      </c>
      <c r="P406" s="91">
        <f ca="1">VLOOKUP(B406,'115+740'!$B$15:$AB$757,14,FALSE)</f>
        <v>-247</v>
      </c>
      <c r="Q406" s="89">
        <f>'115+740'!R407</f>
        <v>0</v>
      </c>
      <c r="R406" s="88">
        <f t="shared" ca="1" si="86"/>
        <v>237</v>
      </c>
      <c r="S406" s="93">
        <f ca="1">VLOOKUP(B406,'115+740'!$B$14:$AB$757,22,FALSE)</f>
        <v>2276</v>
      </c>
      <c r="T406" s="92">
        <f ca="1">VLOOKUP(B406,'115+740'!$B$15:$AB$757,6,FALSE)</f>
        <v>-709</v>
      </c>
      <c r="U406" s="91">
        <f t="shared" ca="1" si="82"/>
        <v>3736</v>
      </c>
      <c r="V406" s="90">
        <f ca="1">VLOOKUP(B406,'115+740'!$B$15:$AB$757,15,FALSE)</f>
        <v>-264</v>
      </c>
      <c r="W406" s="89">
        <f>'115+740'!S407</f>
        <v>0</v>
      </c>
      <c r="X406" s="88">
        <f t="shared" ca="1" si="87"/>
        <v>224</v>
      </c>
      <c r="Y406" s="87">
        <f t="shared" ca="1" si="88"/>
        <v>0</v>
      </c>
      <c r="Z406" s="86">
        <f t="shared" ca="1" si="89"/>
        <v>0</v>
      </c>
      <c r="AA406" s="85">
        <f t="shared" ca="1" si="90"/>
        <v>2.468</v>
      </c>
      <c r="AB406" s="85">
        <f t="shared" ca="1" si="91"/>
        <v>2.036</v>
      </c>
    </row>
    <row r="407" spans="2:28">
      <c r="B407" s="98">
        <f>'115+740'!B408</f>
        <v>45466</v>
      </c>
      <c r="C407" s="97">
        <f t="shared" si="83"/>
        <v>1</v>
      </c>
      <c r="D407" s="96">
        <f t="shared" si="84"/>
        <v>1069</v>
      </c>
      <c r="E407" s="95">
        <f>VLOOKUP(B407,'115+740'!B408:AB766,3,FALSE)</f>
        <v>1960</v>
      </c>
      <c r="F407" s="92">
        <f t="shared" si="79"/>
        <v>3029</v>
      </c>
      <c r="G407" s="94">
        <f ca="1">VLOOKUP(B407,'115+740'!$B$15:$AB$757,20,FALSE)</f>
        <v>2245</v>
      </c>
      <c r="H407" s="94">
        <f ca="1">VLOOKUP(B407,'115+740'!$B$15:$AB$757,4,FALSE)</f>
        <v>-756</v>
      </c>
      <c r="I407" s="91">
        <f t="shared" ca="1" si="80"/>
        <v>3785</v>
      </c>
      <c r="J407" s="91">
        <f ca="1">VLOOKUP(B407,'115+740'!$B$15:$AB$757,13,FALSE)</f>
        <v>-215</v>
      </c>
      <c r="K407" s="89">
        <f>'115+740'!Q408</f>
        <v>0</v>
      </c>
      <c r="L407" s="88">
        <f t="shared" ca="1" si="85"/>
        <v>255</v>
      </c>
      <c r="M407" s="93">
        <f ca="1">VLOOKUP(B407,'115+740'!$B$14:$AB$757,21,FALSE)</f>
        <v>2263</v>
      </c>
      <c r="N407" s="92">
        <f ca="1">VLOOKUP(B407,'115+740'!$B$15:$AB$757,5,FALSE)</f>
        <v>-724</v>
      </c>
      <c r="O407" s="91">
        <f t="shared" ca="1" si="81"/>
        <v>3753</v>
      </c>
      <c r="P407" s="91">
        <f ca="1">VLOOKUP(B407,'115+740'!$B$15:$AB$757,14,FALSE)</f>
        <v>-247</v>
      </c>
      <c r="Q407" s="89">
        <f>'115+740'!R408</f>
        <v>0</v>
      </c>
      <c r="R407" s="88">
        <f t="shared" ca="1" si="86"/>
        <v>237</v>
      </c>
      <c r="S407" s="93">
        <f ca="1">VLOOKUP(B407,'115+740'!$B$14:$AB$757,22,FALSE)</f>
        <v>2276</v>
      </c>
      <c r="T407" s="92">
        <f ca="1">VLOOKUP(B407,'115+740'!$B$15:$AB$757,6,FALSE)</f>
        <v>-707</v>
      </c>
      <c r="U407" s="91">
        <f t="shared" ca="1" si="82"/>
        <v>3736</v>
      </c>
      <c r="V407" s="90">
        <f ca="1">VLOOKUP(B407,'115+740'!$B$15:$AB$757,15,FALSE)</f>
        <v>-264</v>
      </c>
      <c r="W407" s="89">
        <f>'115+740'!S408</f>
        <v>0</v>
      </c>
      <c r="X407" s="88">
        <f t="shared" ca="1" si="87"/>
        <v>224</v>
      </c>
      <c r="Y407" s="87">
        <f t="shared" ca="1" si="88"/>
        <v>0</v>
      </c>
      <c r="Z407" s="86">
        <f t="shared" ca="1" si="89"/>
        <v>0</v>
      </c>
      <c r="AA407" s="85">
        <f t="shared" ca="1" si="90"/>
        <v>2.468</v>
      </c>
      <c r="AB407" s="85">
        <f t="shared" ca="1" si="91"/>
        <v>2.036</v>
      </c>
    </row>
    <row r="408" spans="2:28">
      <c r="B408" s="98">
        <f>'115+740'!B409</f>
        <v>45467</v>
      </c>
      <c r="C408" s="97">
        <f t="shared" si="83"/>
        <v>1</v>
      </c>
      <c r="D408" s="96">
        <f t="shared" si="84"/>
        <v>1069</v>
      </c>
      <c r="E408" s="95">
        <f>VLOOKUP(B408,'115+740'!B409:AB767,3,FALSE)</f>
        <v>1962</v>
      </c>
      <c r="F408" s="92">
        <f t="shared" si="79"/>
        <v>3031</v>
      </c>
      <c r="G408" s="94">
        <f ca="1">VLOOKUP(B408,'115+740'!$B$15:$AB$757,20,FALSE)</f>
        <v>2245</v>
      </c>
      <c r="H408" s="94">
        <f ca="1">VLOOKUP(B408,'115+740'!$B$15:$AB$757,4,FALSE)</f>
        <v>-754</v>
      </c>
      <c r="I408" s="91">
        <f t="shared" ca="1" si="80"/>
        <v>3785</v>
      </c>
      <c r="J408" s="91">
        <f ca="1">VLOOKUP(B408,'115+740'!$B$15:$AB$757,13,FALSE)</f>
        <v>-215</v>
      </c>
      <c r="K408" s="89">
        <f>'115+740'!Q409</f>
        <v>0</v>
      </c>
      <c r="L408" s="88">
        <f t="shared" ca="1" si="85"/>
        <v>255</v>
      </c>
      <c r="M408" s="93">
        <f ca="1">VLOOKUP(B408,'115+740'!$B$14:$AB$757,21,FALSE)</f>
        <v>2263</v>
      </c>
      <c r="N408" s="92">
        <f ca="1">VLOOKUP(B408,'115+740'!$B$15:$AB$757,5,FALSE)</f>
        <v>-722</v>
      </c>
      <c r="O408" s="91">
        <f t="shared" ca="1" si="81"/>
        <v>3753</v>
      </c>
      <c r="P408" s="91">
        <f ca="1">VLOOKUP(B408,'115+740'!$B$15:$AB$757,14,FALSE)</f>
        <v>-247</v>
      </c>
      <c r="Q408" s="89">
        <f>'115+740'!R409</f>
        <v>0</v>
      </c>
      <c r="R408" s="88">
        <f t="shared" ca="1" si="86"/>
        <v>237</v>
      </c>
      <c r="S408" s="93">
        <f ca="1">VLOOKUP(B408,'115+740'!$B$14:$AB$757,22,FALSE)</f>
        <v>2276</v>
      </c>
      <c r="T408" s="92">
        <f ca="1">VLOOKUP(B408,'115+740'!$B$15:$AB$757,6,FALSE)</f>
        <v>-705</v>
      </c>
      <c r="U408" s="91">
        <f t="shared" ca="1" si="82"/>
        <v>3736</v>
      </c>
      <c r="V408" s="90">
        <f ca="1">VLOOKUP(B408,'115+740'!$B$15:$AB$757,15,FALSE)</f>
        <v>-264</v>
      </c>
      <c r="W408" s="89">
        <f>'115+740'!S409</f>
        <v>0</v>
      </c>
      <c r="X408" s="88">
        <f t="shared" ca="1" si="87"/>
        <v>224</v>
      </c>
      <c r="Y408" s="87">
        <f t="shared" ca="1" si="88"/>
        <v>0</v>
      </c>
      <c r="Z408" s="86">
        <f t="shared" ca="1" si="89"/>
        <v>0</v>
      </c>
      <c r="AA408" s="85">
        <f t="shared" ca="1" si="90"/>
        <v>2.468</v>
      </c>
      <c r="AB408" s="85">
        <f t="shared" ca="1" si="91"/>
        <v>2.036</v>
      </c>
    </row>
    <row r="409" spans="2:28">
      <c r="B409" s="98">
        <f>'115+740'!B410</f>
        <v>45468</v>
      </c>
      <c r="C409" s="97">
        <f t="shared" si="83"/>
        <v>1</v>
      </c>
      <c r="D409" s="96">
        <f t="shared" si="84"/>
        <v>1069</v>
      </c>
      <c r="E409" s="95">
        <f>VLOOKUP(B409,'115+740'!B410:AB768,3,FALSE)</f>
        <v>1964</v>
      </c>
      <c r="F409" s="92">
        <f t="shared" si="79"/>
        <v>3033</v>
      </c>
      <c r="G409" s="94">
        <f ca="1">VLOOKUP(B409,'115+740'!$B$15:$AB$757,20,FALSE)</f>
        <v>2245</v>
      </c>
      <c r="H409" s="94">
        <f ca="1">VLOOKUP(B409,'115+740'!$B$15:$AB$757,4,FALSE)</f>
        <v>-752</v>
      </c>
      <c r="I409" s="91">
        <f t="shared" ca="1" si="80"/>
        <v>3785</v>
      </c>
      <c r="J409" s="91">
        <f ca="1">VLOOKUP(B409,'115+740'!$B$15:$AB$757,13,FALSE)</f>
        <v>-215</v>
      </c>
      <c r="K409" s="89">
        <f>'115+740'!Q410</f>
        <v>0</v>
      </c>
      <c r="L409" s="88">
        <f t="shared" ca="1" si="85"/>
        <v>255</v>
      </c>
      <c r="M409" s="93">
        <f ca="1">VLOOKUP(B409,'115+740'!$B$14:$AB$757,21,FALSE)</f>
        <v>2263</v>
      </c>
      <c r="N409" s="92">
        <f ca="1">VLOOKUP(B409,'115+740'!$B$15:$AB$757,5,FALSE)</f>
        <v>-720</v>
      </c>
      <c r="O409" s="91">
        <f t="shared" ca="1" si="81"/>
        <v>3753</v>
      </c>
      <c r="P409" s="91">
        <f ca="1">VLOOKUP(B409,'115+740'!$B$15:$AB$757,14,FALSE)</f>
        <v>-247</v>
      </c>
      <c r="Q409" s="89">
        <f>'115+740'!R410</f>
        <v>0</v>
      </c>
      <c r="R409" s="88">
        <f t="shared" ca="1" si="86"/>
        <v>237</v>
      </c>
      <c r="S409" s="93">
        <f ca="1">VLOOKUP(B409,'115+740'!$B$14:$AB$757,22,FALSE)</f>
        <v>2276</v>
      </c>
      <c r="T409" s="92">
        <f ca="1">VLOOKUP(B409,'115+740'!$B$15:$AB$757,6,FALSE)</f>
        <v>-703</v>
      </c>
      <c r="U409" s="91">
        <f t="shared" ca="1" si="82"/>
        <v>3736</v>
      </c>
      <c r="V409" s="90">
        <f ca="1">VLOOKUP(B409,'115+740'!$B$15:$AB$757,15,FALSE)</f>
        <v>-264</v>
      </c>
      <c r="W409" s="89">
        <f>'115+740'!S410</f>
        <v>0</v>
      </c>
      <c r="X409" s="88">
        <f t="shared" ca="1" si="87"/>
        <v>224</v>
      </c>
      <c r="Y409" s="87">
        <f t="shared" ca="1" si="88"/>
        <v>0</v>
      </c>
      <c r="Z409" s="86">
        <f t="shared" ca="1" si="89"/>
        <v>0</v>
      </c>
      <c r="AA409" s="85">
        <f t="shared" ca="1" si="90"/>
        <v>2.468</v>
      </c>
      <c r="AB409" s="85">
        <f t="shared" ca="1" si="91"/>
        <v>2.036</v>
      </c>
    </row>
    <row r="410" spans="2:28">
      <c r="B410" s="98">
        <f>'115+740'!B411</f>
        <v>45469</v>
      </c>
      <c r="C410" s="97">
        <f t="shared" si="83"/>
        <v>1</v>
      </c>
      <c r="D410" s="96">
        <f t="shared" si="84"/>
        <v>1069</v>
      </c>
      <c r="E410" s="95">
        <f>VLOOKUP(B410,'115+740'!B411:AB769,3,FALSE)</f>
        <v>1966</v>
      </c>
      <c r="F410" s="92">
        <f t="shared" si="79"/>
        <v>3035</v>
      </c>
      <c r="G410" s="94">
        <f ca="1">VLOOKUP(B410,'115+740'!$B$15:$AB$757,20,FALSE)</f>
        <v>2245</v>
      </c>
      <c r="H410" s="94">
        <f ca="1">VLOOKUP(B410,'115+740'!$B$15:$AB$757,4,FALSE)</f>
        <v>-750</v>
      </c>
      <c r="I410" s="91">
        <f t="shared" ca="1" si="80"/>
        <v>3785</v>
      </c>
      <c r="J410" s="91">
        <f ca="1">VLOOKUP(B410,'115+740'!$B$15:$AB$757,13,FALSE)</f>
        <v>-215</v>
      </c>
      <c r="K410" s="89">
        <f>'115+740'!Q411</f>
        <v>0</v>
      </c>
      <c r="L410" s="88">
        <f t="shared" ca="1" si="85"/>
        <v>255</v>
      </c>
      <c r="M410" s="93">
        <f ca="1">VLOOKUP(B410,'115+740'!$B$14:$AB$757,21,FALSE)</f>
        <v>2263</v>
      </c>
      <c r="N410" s="92">
        <f ca="1">VLOOKUP(B410,'115+740'!$B$15:$AB$757,5,FALSE)</f>
        <v>-718</v>
      </c>
      <c r="O410" s="91">
        <f t="shared" ca="1" si="81"/>
        <v>3753</v>
      </c>
      <c r="P410" s="91">
        <f ca="1">VLOOKUP(B410,'115+740'!$B$15:$AB$757,14,FALSE)</f>
        <v>-247</v>
      </c>
      <c r="Q410" s="89">
        <f>'115+740'!R411</f>
        <v>0</v>
      </c>
      <c r="R410" s="88">
        <f t="shared" ca="1" si="86"/>
        <v>237</v>
      </c>
      <c r="S410" s="93">
        <f ca="1">VLOOKUP(B410,'115+740'!$B$14:$AB$757,22,FALSE)</f>
        <v>2276</v>
      </c>
      <c r="T410" s="92">
        <f ca="1">VLOOKUP(B410,'115+740'!$B$15:$AB$757,6,FALSE)</f>
        <v>-701</v>
      </c>
      <c r="U410" s="91">
        <f t="shared" ca="1" si="82"/>
        <v>3736</v>
      </c>
      <c r="V410" s="90">
        <f ca="1">VLOOKUP(B410,'115+740'!$B$15:$AB$757,15,FALSE)</f>
        <v>-264</v>
      </c>
      <c r="W410" s="89">
        <f>'115+740'!S411</f>
        <v>0</v>
      </c>
      <c r="X410" s="88">
        <f t="shared" ca="1" si="87"/>
        <v>224</v>
      </c>
      <c r="Y410" s="87">
        <f t="shared" ca="1" si="88"/>
        <v>0</v>
      </c>
      <c r="Z410" s="86">
        <f t="shared" ca="1" si="89"/>
        <v>0</v>
      </c>
      <c r="AA410" s="85">
        <f t="shared" ca="1" si="90"/>
        <v>2.468</v>
      </c>
      <c r="AB410" s="85">
        <f t="shared" ca="1" si="91"/>
        <v>2.036</v>
      </c>
    </row>
    <row r="411" spans="2:28">
      <c r="B411" s="98">
        <f>'115+740'!B412</f>
        <v>45470</v>
      </c>
      <c r="C411" s="97">
        <f t="shared" si="83"/>
        <v>1</v>
      </c>
      <c r="D411" s="96">
        <f t="shared" si="84"/>
        <v>1069</v>
      </c>
      <c r="E411" s="95">
        <f>VLOOKUP(B411,'115+740'!B412:AB770,3,FALSE)</f>
        <v>1968</v>
      </c>
      <c r="F411" s="92">
        <f t="shared" si="79"/>
        <v>3037</v>
      </c>
      <c r="G411" s="94">
        <f ca="1">VLOOKUP(B411,'115+740'!$B$15:$AB$757,20,FALSE)</f>
        <v>2245</v>
      </c>
      <c r="H411" s="94">
        <f ca="1">VLOOKUP(B411,'115+740'!$B$15:$AB$757,4,FALSE)</f>
        <v>-748</v>
      </c>
      <c r="I411" s="91">
        <f t="shared" ca="1" si="80"/>
        <v>3785</v>
      </c>
      <c r="J411" s="91">
        <f ca="1">VLOOKUP(B411,'115+740'!$B$15:$AB$757,13,FALSE)</f>
        <v>-215</v>
      </c>
      <c r="K411" s="89">
        <f>'115+740'!Q412</f>
        <v>0</v>
      </c>
      <c r="L411" s="88">
        <f t="shared" ca="1" si="85"/>
        <v>255</v>
      </c>
      <c r="M411" s="93">
        <f ca="1">VLOOKUP(B411,'115+740'!$B$14:$AB$757,21,FALSE)</f>
        <v>2263</v>
      </c>
      <c r="N411" s="92">
        <f ca="1">VLOOKUP(B411,'115+740'!$B$15:$AB$757,5,FALSE)</f>
        <v>-716</v>
      </c>
      <c r="O411" s="91">
        <f t="shared" ca="1" si="81"/>
        <v>3753</v>
      </c>
      <c r="P411" s="91">
        <f ca="1">VLOOKUP(B411,'115+740'!$B$15:$AB$757,14,FALSE)</f>
        <v>-247</v>
      </c>
      <c r="Q411" s="89">
        <f>'115+740'!R412</f>
        <v>0</v>
      </c>
      <c r="R411" s="88">
        <f t="shared" ca="1" si="86"/>
        <v>237</v>
      </c>
      <c r="S411" s="93">
        <f ca="1">VLOOKUP(B411,'115+740'!$B$14:$AB$757,22,FALSE)</f>
        <v>2276</v>
      </c>
      <c r="T411" s="92">
        <f ca="1">VLOOKUP(B411,'115+740'!$B$15:$AB$757,6,FALSE)</f>
        <v>-699</v>
      </c>
      <c r="U411" s="91">
        <f t="shared" ca="1" si="82"/>
        <v>3736</v>
      </c>
      <c r="V411" s="90">
        <f ca="1">VLOOKUP(B411,'115+740'!$B$15:$AB$757,15,FALSE)</f>
        <v>-264</v>
      </c>
      <c r="W411" s="89">
        <f>'115+740'!S412</f>
        <v>0</v>
      </c>
      <c r="X411" s="88">
        <f t="shared" ca="1" si="87"/>
        <v>224</v>
      </c>
      <c r="Y411" s="87">
        <f t="shared" ca="1" si="88"/>
        <v>0</v>
      </c>
      <c r="Z411" s="86">
        <f t="shared" ca="1" si="89"/>
        <v>0</v>
      </c>
      <c r="AA411" s="85">
        <f t="shared" ca="1" si="90"/>
        <v>2.468</v>
      </c>
      <c r="AB411" s="85">
        <f t="shared" ca="1" si="91"/>
        <v>2.036</v>
      </c>
    </row>
    <row r="412" spans="2:28">
      <c r="B412" s="98">
        <f>'115+740'!B413</f>
        <v>45471</v>
      </c>
      <c r="C412" s="97">
        <f t="shared" si="83"/>
        <v>1</v>
      </c>
      <c r="D412" s="96">
        <f t="shared" si="84"/>
        <v>1069</v>
      </c>
      <c r="E412" s="95">
        <f>VLOOKUP(B412,'115+740'!B413:AB771,3,FALSE)</f>
        <v>1970</v>
      </c>
      <c r="F412" s="92">
        <f t="shared" si="79"/>
        <v>3039</v>
      </c>
      <c r="G412" s="94">
        <f ca="1">VLOOKUP(B412,'115+740'!$B$15:$AB$757,20,FALSE)</f>
        <v>2245</v>
      </c>
      <c r="H412" s="94">
        <f ca="1">VLOOKUP(B412,'115+740'!$B$15:$AB$757,4,FALSE)</f>
        <v>-746</v>
      </c>
      <c r="I412" s="91">
        <f t="shared" ca="1" si="80"/>
        <v>3785</v>
      </c>
      <c r="J412" s="91">
        <f ca="1">VLOOKUP(B412,'115+740'!$B$15:$AB$757,13,FALSE)</f>
        <v>-215</v>
      </c>
      <c r="K412" s="89">
        <f>'115+740'!Q413</f>
        <v>0</v>
      </c>
      <c r="L412" s="88">
        <f t="shared" ca="1" si="85"/>
        <v>255</v>
      </c>
      <c r="M412" s="93">
        <f ca="1">VLOOKUP(B412,'115+740'!$B$14:$AB$757,21,FALSE)</f>
        <v>2263</v>
      </c>
      <c r="N412" s="92">
        <f ca="1">VLOOKUP(B412,'115+740'!$B$15:$AB$757,5,FALSE)</f>
        <v>-714</v>
      </c>
      <c r="O412" s="91">
        <f t="shared" ca="1" si="81"/>
        <v>3753</v>
      </c>
      <c r="P412" s="91">
        <f ca="1">VLOOKUP(B412,'115+740'!$B$15:$AB$757,14,FALSE)</f>
        <v>-247</v>
      </c>
      <c r="Q412" s="89">
        <f>'115+740'!R413</f>
        <v>0</v>
      </c>
      <c r="R412" s="88">
        <f t="shared" ca="1" si="86"/>
        <v>237</v>
      </c>
      <c r="S412" s="93">
        <f ca="1">VLOOKUP(B412,'115+740'!$B$14:$AB$757,22,FALSE)</f>
        <v>2276</v>
      </c>
      <c r="T412" s="92">
        <f ca="1">VLOOKUP(B412,'115+740'!$B$15:$AB$757,6,FALSE)</f>
        <v>-697</v>
      </c>
      <c r="U412" s="91">
        <f t="shared" ca="1" si="82"/>
        <v>3736</v>
      </c>
      <c r="V412" s="90">
        <f ca="1">VLOOKUP(B412,'115+740'!$B$15:$AB$757,15,FALSE)</f>
        <v>-264</v>
      </c>
      <c r="W412" s="89">
        <f>'115+740'!S413</f>
        <v>0</v>
      </c>
      <c r="X412" s="88">
        <f t="shared" ca="1" si="87"/>
        <v>224</v>
      </c>
      <c r="Y412" s="87">
        <f t="shared" ca="1" si="88"/>
        <v>0</v>
      </c>
      <c r="Z412" s="86">
        <f t="shared" ca="1" si="89"/>
        <v>0</v>
      </c>
      <c r="AA412" s="85">
        <f t="shared" ca="1" si="90"/>
        <v>2.468</v>
      </c>
      <c r="AB412" s="85">
        <f t="shared" ca="1" si="91"/>
        <v>2.036</v>
      </c>
    </row>
    <row r="413" spans="2:28">
      <c r="B413" s="98">
        <f>'115+740'!B414</f>
        <v>45472</v>
      </c>
      <c r="C413" s="97">
        <f t="shared" si="83"/>
        <v>1</v>
      </c>
      <c r="D413" s="96">
        <f t="shared" si="84"/>
        <v>1069</v>
      </c>
      <c r="E413" s="95">
        <f>VLOOKUP(B413,'115+740'!B414:AB772,3,FALSE)</f>
        <v>1972</v>
      </c>
      <c r="F413" s="92">
        <f t="shared" si="79"/>
        <v>3041</v>
      </c>
      <c r="G413" s="94">
        <f ca="1">VLOOKUP(B413,'115+740'!$B$15:$AB$757,20,FALSE)</f>
        <v>2245</v>
      </c>
      <c r="H413" s="94">
        <f ca="1">VLOOKUP(B413,'115+740'!$B$15:$AB$757,4,FALSE)</f>
        <v>-744</v>
      </c>
      <c r="I413" s="91">
        <f t="shared" ca="1" si="80"/>
        <v>3785</v>
      </c>
      <c r="J413" s="91">
        <f ca="1">VLOOKUP(B413,'115+740'!$B$15:$AB$757,13,FALSE)</f>
        <v>-215</v>
      </c>
      <c r="K413" s="89">
        <f>'115+740'!Q414</f>
        <v>0</v>
      </c>
      <c r="L413" s="88">
        <f t="shared" ca="1" si="85"/>
        <v>255</v>
      </c>
      <c r="M413" s="93">
        <f ca="1">VLOOKUP(B413,'115+740'!$B$14:$AB$757,21,FALSE)</f>
        <v>2263</v>
      </c>
      <c r="N413" s="92">
        <f ca="1">VLOOKUP(B413,'115+740'!$B$15:$AB$757,5,FALSE)</f>
        <v>-712</v>
      </c>
      <c r="O413" s="91">
        <f t="shared" ca="1" si="81"/>
        <v>3753</v>
      </c>
      <c r="P413" s="91">
        <f ca="1">VLOOKUP(B413,'115+740'!$B$15:$AB$757,14,FALSE)</f>
        <v>-247</v>
      </c>
      <c r="Q413" s="89">
        <f>'115+740'!R414</f>
        <v>0</v>
      </c>
      <c r="R413" s="88">
        <f t="shared" ca="1" si="86"/>
        <v>237</v>
      </c>
      <c r="S413" s="93">
        <f ca="1">VLOOKUP(B413,'115+740'!$B$14:$AB$757,22,FALSE)</f>
        <v>2276</v>
      </c>
      <c r="T413" s="92">
        <f ca="1">VLOOKUP(B413,'115+740'!$B$15:$AB$757,6,FALSE)</f>
        <v>-695</v>
      </c>
      <c r="U413" s="91">
        <f t="shared" ca="1" si="82"/>
        <v>3736</v>
      </c>
      <c r="V413" s="90">
        <f ca="1">VLOOKUP(B413,'115+740'!$B$15:$AB$757,15,FALSE)</f>
        <v>-264</v>
      </c>
      <c r="W413" s="89">
        <f>'115+740'!S414</f>
        <v>0</v>
      </c>
      <c r="X413" s="88">
        <f t="shared" ca="1" si="87"/>
        <v>224</v>
      </c>
      <c r="Y413" s="87">
        <f t="shared" ca="1" si="88"/>
        <v>0</v>
      </c>
      <c r="Z413" s="86">
        <f t="shared" ca="1" si="89"/>
        <v>0</v>
      </c>
      <c r="AA413" s="85">
        <f t="shared" ca="1" si="90"/>
        <v>2.468</v>
      </c>
      <c r="AB413" s="85">
        <f t="shared" ca="1" si="91"/>
        <v>2.036</v>
      </c>
    </row>
    <row r="414" spans="2:28">
      <c r="B414" s="98">
        <f>'115+740'!B415</f>
        <v>45473</v>
      </c>
      <c r="C414" s="97">
        <f t="shared" si="83"/>
        <v>1</v>
      </c>
      <c r="D414" s="96">
        <f t="shared" si="84"/>
        <v>1069</v>
      </c>
      <c r="E414" s="95">
        <f>VLOOKUP(B414,'115+740'!B415:AB773,3,FALSE)</f>
        <v>1974</v>
      </c>
      <c r="F414" s="92">
        <f t="shared" si="79"/>
        <v>3043</v>
      </c>
      <c r="G414" s="94">
        <f ca="1">VLOOKUP(B414,'115+740'!$B$15:$AB$757,20,FALSE)</f>
        <v>2245</v>
      </c>
      <c r="H414" s="94">
        <f ca="1">VLOOKUP(B414,'115+740'!$B$15:$AB$757,4,FALSE)</f>
        <v>-742</v>
      </c>
      <c r="I414" s="91">
        <f t="shared" ca="1" si="80"/>
        <v>3785</v>
      </c>
      <c r="J414" s="91">
        <f ca="1">VLOOKUP(B414,'115+740'!$B$15:$AB$757,13,FALSE)</f>
        <v>-215</v>
      </c>
      <c r="K414" s="89">
        <f>'115+740'!Q415</f>
        <v>0</v>
      </c>
      <c r="L414" s="88">
        <f t="shared" ca="1" si="85"/>
        <v>255</v>
      </c>
      <c r="M414" s="93">
        <f ca="1">VLOOKUP(B414,'115+740'!$B$14:$AB$757,21,FALSE)</f>
        <v>2263</v>
      </c>
      <c r="N414" s="92">
        <f ca="1">VLOOKUP(B414,'115+740'!$B$15:$AB$757,5,FALSE)</f>
        <v>-710</v>
      </c>
      <c r="O414" s="91">
        <f t="shared" ca="1" si="81"/>
        <v>3753</v>
      </c>
      <c r="P414" s="91">
        <f ca="1">VLOOKUP(B414,'115+740'!$B$15:$AB$757,14,FALSE)</f>
        <v>-247</v>
      </c>
      <c r="Q414" s="89">
        <f>'115+740'!R415</f>
        <v>0</v>
      </c>
      <c r="R414" s="88">
        <f t="shared" ca="1" si="86"/>
        <v>237</v>
      </c>
      <c r="S414" s="93">
        <f ca="1">VLOOKUP(B414,'115+740'!$B$14:$AB$757,22,FALSE)</f>
        <v>2276</v>
      </c>
      <c r="T414" s="92">
        <f ca="1">VLOOKUP(B414,'115+740'!$B$15:$AB$757,6,FALSE)</f>
        <v>-693</v>
      </c>
      <c r="U414" s="91">
        <f t="shared" ca="1" si="82"/>
        <v>3736</v>
      </c>
      <c r="V414" s="90">
        <f ca="1">VLOOKUP(B414,'115+740'!$B$15:$AB$757,15,FALSE)</f>
        <v>-264</v>
      </c>
      <c r="W414" s="89">
        <f>'115+740'!S415</f>
        <v>0</v>
      </c>
      <c r="X414" s="88">
        <f t="shared" ca="1" si="87"/>
        <v>224</v>
      </c>
      <c r="Y414" s="87">
        <f t="shared" ca="1" si="88"/>
        <v>0</v>
      </c>
      <c r="Z414" s="86">
        <f t="shared" ca="1" si="89"/>
        <v>0</v>
      </c>
      <c r="AA414" s="85">
        <f t="shared" ca="1" si="90"/>
        <v>2.468</v>
      </c>
      <c r="AB414" s="85">
        <f t="shared" ca="1" si="91"/>
        <v>2.036</v>
      </c>
    </row>
    <row r="415" spans="2:28">
      <c r="B415" s="98">
        <f>'115+740'!B416</f>
        <v>45474</v>
      </c>
      <c r="C415" s="97">
        <f t="shared" si="83"/>
        <v>1</v>
      </c>
      <c r="D415" s="96">
        <f t="shared" si="84"/>
        <v>1069</v>
      </c>
      <c r="E415" s="95">
        <f>VLOOKUP(B415,'115+740'!B416:AB774,3,FALSE)</f>
        <v>1976</v>
      </c>
      <c r="F415" s="92">
        <f t="shared" si="79"/>
        <v>3045</v>
      </c>
      <c r="G415" s="94">
        <f ca="1">VLOOKUP(B415,'115+740'!$B$15:$AB$757,20,FALSE)</f>
        <v>2245</v>
      </c>
      <c r="H415" s="94">
        <f ca="1">VLOOKUP(B415,'115+740'!$B$15:$AB$757,4,FALSE)</f>
        <v>-740</v>
      </c>
      <c r="I415" s="91">
        <f t="shared" ca="1" si="80"/>
        <v>3785</v>
      </c>
      <c r="J415" s="91">
        <f ca="1">VLOOKUP(B415,'115+740'!$B$15:$AB$757,13,FALSE)</f>
        <v>-215</v>
      </c>
      <c r="K415" s="89">
        <f>'115+740'!Q416</f>
        <v>0</v>
      </c>
      <c r="L415" s="88">
        <f t="shared" ca="1" si="85"/>
        <v>255</v>
      </c>
      <c r="M415" s="93">
        <f ca="1">VLOOKUP(B415,'115+740'!$B$14:$AB$757,21,FALSE)</f>
        <v>2263</v>
      </c>
      <c r="N415" s="92">
        <f ca="1">VLOOKUP(B415,'115+740'!$B$15:$AB$757,5,FALSE)</f>
        <v>-708</v>
      </c>
      <c r="O415" s="91">
        <f t="shared" ca="1" si="81"/>
        <v>3753</v>
      </c>
      <c r="P415" s="91">
        <f ca="1">VLOOKUP(B415,'115+740'!$B$15:$AB$757,14,FALSE)</f>
        <v>-247</v>
      </c>
      <c r="Q415" s="89">
        <f>'115+740'!R416</f>
        <v>0</v>
      </c>
      <c r="R415" s="88">
        <f t="shared" ca="1" si="86"/>
        <v>237</v>
      </c>
      <c r="S415" s="93">
        <f ca="1">VLOOKUP(B415,'115+740'!$B$14:$AB$757,22,FALSE)</f>
        <v>2276</v>
      </c>
      <c r="T415" s="92">
        <f ca="1">VLOOKUP(B415,'115+740'!$B$15:$AB$757,6,FALSE)</f>
        <v>-691</v>
      </c>
      <c r="U415" s="91">
        <f t="shared" ca="1" si="82"/>
        <v>3736</v>
      </c>
      <c r="V415" s="90">
        <f ca="1">VLOOKUP(B415,'115+740'!$B$15:$AB$757,15,FALSE)</f>
        <v>-264</v>
      </c>
      <c r="W415" s="89">
        <f>'115+740'!S416</f>
        <v>0</v>
      </c>
      <c r="X415" s="88">
        <f t="shared" ca="1" si="87"/>
        <v>224</v>
      </c>
      <c r="Y415" s="87">
        <f t="shared" ca="1" si="88"/>
        <v>0</v>
      </c>
      <c r="Z415" s="86">
        <f t="shared" ca="1" si="89"/>
        <v>0</v>
      </c>
      <c r="AA415" s="85">
        <f t="shared" ca="1" si="90"/>
        <v>2.468</v>
      </c>
      <c r="AB415" s="85">
        <f t="shared" ca="1" si="91"/>
        <v>2.036</v>
      </c>
    </row>
    <row r="416" spans="2:28">
      <c r="B416" s="98">
        <f>'115+740'!B417</f>
        <v>45475</v>
      </c>
      <c r="C416" s="97">
        <f t="shared" si="83"/>
        <v>1</v>
      </c>
      <c r="D416" s="96">
        <f t="shared" si="84"/>
        <v>1069</v>
      </c>
      <c r="E416" s="95">
        <f>VLOOKUP(B416,'115+740'!B417:AB775,3,FALSE)</f>
        <v>1978</v>
      </c>
      <c r="F416" s="92">
        <f t="shared" si="79"/>
        <v>3047</v>
      </c>
      <c r="G416" s="94">
        <f ca="1">VLOOKUP(B416,'115+740'!$B$15:$AB$757,20,FALSE)</f>
        <v>2245</v>
      </c>
      <c r="H416" s="94">
        <f ca="1">VLOOKUP(B416,'115+740'!$B$15:$AB$757,4,FALSE)</f>
        <v>-738</v>
      </c>
      <c r="I416" s="91">
        <f t="shared" ca="1" si="80"/>
        <v>3785</v>
      </c>
      <c r="J416" s="91">
        <f ca="1">VLOOKUP(B416,'115+740'!$B$15:$AB$757,13,FALSE)</f>
        <v>-215</v>
      </c>
      <c r="K416" s="89">
        <f>'115+740'!Q417</f>
        <v>0</v>
      </c>
      <c r="L416" s="88">
        <f t="shared" ca="1" si="85"/>
        <v>255</v>
      </c>
      <c r="M416" s="93">
        <f ca="1">VLOOKUP(B416,'115+740'!$B$14:$AB$757,21,FALSE)</f>
        <v>2263</v>
      </c>
      <c r="N416" s="92">
        <f ca="1">VLOOKUP(B416,'115+740'!$B$15:$AB$757,5,FALSE)</f>
        <v>-706</v>
      </c>
      <c r="O416" s="91">
        <f t="shared" ca="1" si="81"/>
        <v>3753</v>
      </c>
      <c r="P416" s="91">
        <f ca="1">VLOOKUP(B416,'115+740'!$B$15:$AB$757,14,FALSE)</f>
        <v>-247</v>
      </c>
      <c r="Q416" s="89">
        <f>'115+740'!R417</f>
        <v>0</v>
      </c>
      <c r="R416" s="88">
        <f t="shared" ca="1" si="86"/>
        <v>237</v>
      </c>
      <c r="S416" s="93">
        <f ca="1">VLOOKUP(B416,'115+740'!$B$14:$AB$757,22,FALSE)</f>
        <v>2276</v>
      </c>
      <c r="T416" s="92">
        <f ca="1">VLOOKUP(B416,'115+740'!$B$15:$AB$757,6,FALSE)</f>
        <v>-689</v>
      </c>
      <c r="U416" s="91">
        <f t="shared" ca="1" si="82"/>
        <v>3736</v>
      </c>
      <c r="V416" s="90">
        <f ca="1">VLOOKUP(B416,'115+740'!$B$15:$AB$757,15,FALSE)</f>
        <v>-264</v>
      </c>
      <c r="W416" s="89">
        <f>'115+740'!S417</f>
        <v>0</v>
      </c>
      <c r="X416" s="88">
        <f t="shared" ca="1" si="87"/>
        <v>224</v>
      </c>
      <c r="Y416" s="87">
        <f t="shared" ca="1" si="88"/>
        <v>0</v>
      </c>
      <c r="Z416" s="86">
        <f t="shared" ca="1" si="89"/>
        <v>0</v>
      </c>
      <c r="AA416" s="85">
        <f t="shared" ca="1" si="90"/>
        <v>2.468</v>
      </c>
      <c r="AB416" s="85">
        <f t="shared" ca="1" si="91"/>
        <v>2.036</v>
      </c>
    </row>
    <row r="417" spans="2:28">
      <c r="B417" s="98">
        <f>'115+740'!B418</f>
        <v>45476</v>
      </c>
      <c r="C417" s="97">
        <f t="shared" si="83"/>
        <v>1</v>
      </c>
      <c r="D417" s="96">
        <f t="shared" si="84"/>
        <v>1069</v>
      </c>
      <c r="E417" s="95">
        <f>VLOOKUP(B417,'115+740'!B418:AB776,3,FALSE)</f>
        <v>1980</v>
      </c>
      <c r="F417" s="92">
        <f t="shared" si="79"/>
        <v>3049</v>
      </c>
      <c r="G417" s="94">
        <f ca="1">VLOOKUP(B417,'115+740'!$B$15:$AB$757,20,FALSE)</f>
        <v>2245</v>
      </c>
      <c r="H417" s="94">
        <f ca="1">VLOOKUP(B417,'115+740'!$B$15:$AB$757,4,FALSE)</f>
        <v>-736</v>
      </c>
      <c r="I417" s="91">
        <f t="shared" ca="1" si="80"/>
        <v>3785</v>
      </c>
      <c r="J417" s="91">
        <f ca="1">VLOOKUP(B417,'115+740'!$B$15:$AB$757,13,FALSE)</f>
        <v>-215</v>
      </c>
      <c r="K417" s="89">
        <f>'115+740'!Q418</f>
        <v>0</v>
      </c>
      <c r="L417" s="88">
        <f t="shared" ca="1" si="85"/>
        <v>255</v>
      </c>
      <c r="M417" s="93">
        <f ca="1">VLOOKUP(B417,'115+740'!$B$14:$AB$757,21,FALSE)</f>
        <v>2263</v>
      </c>
      <c r="N417" s="92">
        <f ca="1">VLOOKUP(B417,'115+740'!$B$15:$AB$757,5,FALSE)</f>
        <v>-704</v>
      </c>
      <c r="O417" s="91">
        <f t="shared" ca="1" si="81"/>
        <v>3753</v>
      </c>
      <c r="P417" s="91">
        <f ca="1">VLOOKUP(B417,'115+740'!$B$15:$AB$757,14,FALSE)</f>
        <v>-247</v>
      </c>
      <c r="Q417" s="89">
        <f>'115+740'!R418</f>
        <v>0</v>
      </c>
      <c r="R417" s="88">
        <f t="shared" ca="1" si="86"/>
        <v>237</v>
      </c>
      <c r="S417" s="93">
        <f ca="1">VLOOKUP(B417,'115+740'!$B$14:$AB$757,22,FALSE)</f>
        <v>2276</v>
      </c>
      <c r="T417" s="92">
        <f ca="1">VLOOKUP(B417,'115+740'!$B$15:$AB$757,6,FALSE)</f>
        <v>-687</v>
      </c>
      <c r="U417" s="91">
        <f t="shared" ca="1" si="82"/>
        <v>3736</v>
      </c>
      <c r="V417" s="90">
        <f ca="1">VLOOKUP(B417,'115+740'!$B$15:$AB$757,15,FALSE)</f>
        <v>-264</v>
      </c>
      <c r="W417" s="89">
        <f>'115+740'!S418</f>
        <v>0</v>
      </c>
      <c r="X417" s="88">
        <f t="shared" ca="1" si="87"/>
        <v>224</v>
      </c>
      <c r="Y417" s="87">
        <f t="shared" ca="1" si="88"/>
        <v>0</v>
      </c>
      <c r="Z417" s="86">
        <f t="shared" ca="1" si="89"/>
        <v>0</v>
      </c>
      <c r="AA417" s="85">
        <f t="shared" ca="1" si="90"/>
        <v>2.468</v>
      </c>
      <c r="AB417" s="85">
        <f t="shared" ca="1" si="91"/>
        <v>2.036</v>
      </c>
    </row>
    <row r="418" spans="2:28">
      <c r="B418" s="98">
        <f>'115+740'!B419</f>
        <v>45477</v>
      </c>
      <c r="C418" s="97">
        <f t="shared" si="83"/>
        <v>1</v>
      </c>
      <c r="D418" s="96">
        <f t="shared" si="84"/>
        <v>1069</v>
      </c>
      <c r="E418" s="95">
        <f>VLOOKUP(B418,'115+740'!B419:AB777,3,FALSE)</f>
        <v>1982</v>
      </c>
      <c r="F418" s="92">
        <f t="shared" si="79"/>
        <v>3051</v>
      </c>
      <c r="G418" s="94">
        <f ca="1">VLOOKUP(B418,'115+740'!$B$15:$AB$757,20,FALSE)</f>
        <v>2245</v>
      </c>
      <c r="H418" s="94">
        <f ca="1">VLOOKUP(B418,'115+740'!$B$15:$AB$757,4,FALSE)</f>
        <v>-734</v>
      </c>
      <c r="I418" s="91">
        <f t="shared" ca="1" si="80"/>
        <v>3785</v>
      </c>
      <c r="J418" s="91">
        <f ca="1">VLOOKUP(B418,'115+740'!$B$15:$AB$757,13,FALSE)</f>
        <v>-215</v>
      </c>
      <c r="K418" s="89">
        <f>'115+740'!Q419</f>
        <v>0</v>
      </c>
      <c r="L418" s="88">
        <f t="shared" ca="1" si="85"/>
        <v>255</v>
      </c>
      <c r="M418" s="93">
        <f ca="1">VLOOKUP(B418,'115+740'!$B$14:$AB$757,21,FALSE)</f>
        <v>2263</v>
      </c>
      <c r="N418" s="92">
        <f ca="1">VLOOKUP(B418,'115+740'!$B$15:$AB$757,5,FALSE)</f>
        <v>-702</v>
      </c>
      <c r="O418" s="91">
        <f t="shared" ca="1" si="81"/>
        <v>3753</v>
      </c>
      <c r="P418" s="91">
        <f ca="1">VLOOKUP(B418,'115+740'!$B$15:$AB$757,14,FALSE)</f>
        <v>-247</v>
      </c>
      <c r="Q418" s="89">
        <f>'115+740'!R419</f>
        <v>0</v>
      </c>
      <c r="R418" s="88">
        <f t="shared" ca="1" si="86"/>
        <v>237</v>
      </c>
      <c r="S418" s="93">
        <f ca="1">VLOOKUP(B418,'115+740'!$B$14:$AB$757,22,FALSE)</f>
        <v>2276</v>
      </c>
      <c r="T418" s="92">
        <f ca="1">VLOOKUP(B418,'115+740'!$B$15:$AB$757,6,FALSE)</f>
        <v>-685</v>
      </c>
      <c r="U418" s="91">
        <f t="shared" ca="1" si="82"/>
        <v>3736</v>
      </c>
      <c r="V418" s="90">
        <f ca="1">VLOOKUP(B418,'115+740'!$B$15:$AB$757,15,FALSE)</f>
        <v>-264</v>
      </c>
      <c r="W418" s="89">
        <f>'115+740'!S419</f>
        <v>0</v>
      </c>
      <c r="X418" s="88">
        <f t="shared" ca="1" si="87"/>
        <v>224</v>
      </c>
      <c r="Y418" s="87">
        <f t="shared" ca="1" si="88"/>
        <v>0</v>
      </c>
      <c r="Z418" s="86">
        <f t="shared" ca="1" si="89"/>
        <v>0</v>
      </c>
      <c r="AA418" s="85">
        <f t="shared" ca="1" si="90"/>
        <v>2.468</v>
      </c>
      <c r="AB418" s="85">
        <f t="shared" ca="1" si="91"/>
        <v>2.036</v>
      </c>
    </row>
    <row r="419" spans="2:28">
      <c r="B419" s="98">
        <f>'115+740'!B420</f>
        <v>45478</v>
      </c>
      <c r="C419" s="97">
        <f t="shared" si="83"/>
        <v>1</v>
      </c>
      <c r="D419" s="96">
        <f t="shared" si="84"/>
        <v>1069</v>
      </c>
      <c r="E419" s="95">
        <f>VLOOKUP(B419,'115+740'!B420:AB778,3,FALSE)</f>
        <v>1984</v>
      </c>
      <c r="F419" s="92">
        <f t="shared" si="79"/>
        <v>3053</v>
      </c>
      <c r="G419" s="94">
        <f ca="1">VLOOKUP(B419,'115+740'!$B$15:$AB$757,20,FALSE)</f>
        <v>2245</v>
      </c>
      <c r="H419" s="94">
        <f ca="1">VLOOKUP(B419,'115+740'!$B$15:$AB$757,4,FALSE)</f>
        <v>-732</v>
      </c>
      <c r="I419" s="91">
        <f t="shared" ca="1" si="80"/>
        <v>3785</v>
      </c>
      <c r="J419" s="91">
        <f ca="1">VLOOKUP(B419,'115+740'!$B$15:$AB$757,13,FALSE)</f>
        <v>-215</v>
      </c>
      <c r="K419" s="89">
        <f>'115+740'!Q420</f>
        <v>0</v>
      </c>
      <c r="L419" s="88">
        <f t="shared" ca="1" si="85"/>
        <v>255</v>
      </c>
      <c r="M419" s="93">
        <f ca="1">VLOOKUP(B419,'115+740'!$B$14:$AB$757,21,FALSE)</f>
        <v>2263</v>
      </c>
      <c r="N419" s="92">
        <f ca="1">VLOOKUP(B419,'115+740'!$B$15:$AB$757,5,FALSE)</f>
        <v>-700</v>
      </c>
      <c r="O419" s="91">
        <f t="shared" ca="1" si="81"/>
        <v>3753</v>
      </c>
      <c r="P419" s="91">
        <f ca="1">VLOOKUP(B419,'115+740'!$B$15:$AB$757,14,FALSE)</f>
        <v>-247</v>
      </c>
      <c r="Q419" s="89">
        <f>'115+740'!R420</f>
        <v>0</v>
      </c>
      <c r="R419" s="88">
        <f t="shared" ca="1" si="86"/>
        <v>237</v>
      </c>
      <c r="S419" s="93">
        <f ca="1">VLOOKUP(B419,'115+740'!$B$14:$AB$757,22,FALSE)</f>
        <v>2276</v>
      </c>
      <c r="T419" s="92">
        <f ca="1">VLOOKUP(B419,'115+740'!$B$15:$AB$757,6,FALSE)</f>
        <v>-683</v>
      </c>
      <c r="U419" s="91">
        <f t="shared" ca="1" si="82"/>
        <v>3736</v>
      </c>
      <c r="V419" s="90">
        <f ca="1">VLOOKUP(B419,'115+740'!$B$15:$AB$757,15,FALSE)</f>
        <v>-264</v>
      </c>
      <c r="W419" s="89">
        <f>'115+740'!S420</f>
        <v>0</v>
      </c>
      <c r="X419" s="88">
        <f t="shared" ca="1" si="87"/>
        <v>224</v>
      </c>
      <c r="Y419" s="87">
        <f t="shared" ca="1" si="88"/>
        <v>0</v>
      </c>
      <c r="Z419" s="86">
        <f t="shared" ca="1" si="89"/>
        <v>0</v>
      </c>
      <c r="AA419" s="85">
        <f t="shared" ca="1" si="90"/>
        <v>2.468</v>
      </c>
      <c r="AB419" s="85">
        <f t="shared" ca="1" si="91"/>
        <v>2.036</v>
      </c>
    </row>
    <row r="420" spans="2:28">
      <c r="B420" s="98">
        <f>'115+740'!B421</f>
        <v>45479</v>
      </c>
      <c r="C420" s="97">
        <f t="shared" si="83"/>
        <v>1</v>
      </c>
      <c r="D420" s="96">
        <f t="shared" si="84"/>
        <v>1069</v>
      </c>
      <c r="E420" s="95">
        <f>VLOOKUP(B420,'115+740'!B421:AB779,3,FALSE)</f>
        <v>1986</v>
      </c>
      <c r="F420" s="92">
        <f t="shared" si="79"/>
        <v>3055</v>
      </c>
      <c r="G420" s="94">
        <f ca="1">VLOOKUP(B420,'115+740'!$B$15:$AB$757,20,FALSE)</f>
        <v>2245</v>
      </c>
      <c r="H420" s="94">
        <f ca="1">VLOOKUP(B420,'115+740'!$B$15:$AB$757,4,FALSE)</f>
        <v>-730</v>
      </c>
      <c r="I420" s="91">
        <f t="shared" ca="1" si="80"/>
        <v>3785</v>
      </c>
      <c r="J420" s="91">
        <f ca="1">VLOOKUP(B420,'115+740'!$B$15:$AB$757,13,FALSE)</f>
        <v>-215</v>
      </c>
      <c r="K420" s="89">
        <f>'115+740'!Q421</f>
        <v>0</v>
      </c>
      <c r="L420" s="88">
        <f t="shared" ca="1" si="85"/>
        <v>255</v>
      </c>
      <c r="M420" s="93">
        <f ca="1">VLOOKUP(B420,'115+740'!$B$14:$AB$757,21,FALSE)</f>
        <v>2263</v>
      </c>
      <c r="N420" s="92">
        <f ca="1">VLOOKUP(B420,'115+740'!$B$15:$AB$757,5,FALSE)</f>
        <v>-698</v>
      </c>
      <c r="O420" s="91">
        <f t="shared" ca="1" si="81"/>
        <v>3753</v>
      </c>
      <c r="P420" s="91">
        <f ca="1">VLOOKUP(B420,'115+740'!$B$15:$AB$757,14,FALSE)</f>
        <v>-247</v>
      </c>
      <c r="Q420" s="89">
        <f>'115+740'!R421</f>
        <v>0</v>
      </c>
      <c r="R420" s="88">
        <f t="shared" ca="1" si="86"/>
        <v>237</v>
      </c>
      <c r="S420" s="93">
        <f ca="1">VLOOKUP(B420,'115+740'!$B$14:$AB$757,22,FALSE)</f>
        <v>2276</v>
      </c>
      <c r="T420" s="92">
        <f ca="1">VLOOKUP(B420,'115+740'!$B$15:$AB$757,6,FALSE)</f>
        <v>-681</v>
      </c>
      <c r="U420" s="91">
        <f t="shared" ca="1" si="82"/>
        <v>3736</v>
      </c>
      <c r="V420" s="90">
        <f ca="1">VLOOKUP(B420,'115+740'!$B$15:$AB$757,15,FALSE)</f>
        <v>-264</v>
      </c>
      <c r="W420" s="89">
        <f>'115+740'!S421</f>
        <v>0</v>
      </c>
      <c r="X420" s="88">
        <f t="shared" ca="1" si="87"/>
        <v>224</v>
      </c>
      <c r="Y420" s="87">
        <f t="shared" ca="1" si="88"/>
        <v>0</v>
      </c>
      <c r="Z420" s="86">
        <f t="shared" ca="1" si="89"/>
        <v>0</v>
      </c>
      <c r="AA420" s="85">
        <f t="shared" ca="1" si="90"/>
        <v>2.468</v>
      </c>
      <c r="AB420" s="85">
        <f t="shared" ca="1" si="91"/>
        <v>2.036</v>
      </c>
    </row>
    <row r="421" spans="2:28">
      <c r="B421" s="98">
        <f>'115+740'!B422</f>
        <v>45480</v>
      </c>
      <c r="C421" s="97">
        <f t="shared" si="83"/>
        <v>1</v>
      </c>
      <c r="D421" s="96">
        <f t="shared" si="84"/>
        <v>1069</v>
      </c>
      <c r="E421" s="95">
        <f>VLOOKUP(B421,'115+740'!B422:AB780,3,FALSE)</f>
        <v>1988</v>
      </c>
      <c r="F421" s="92">
        <f t="shared" si="79"/>
        <v>3057</v>
      </c>
      <c r="G421" s="94">
        <f ca="1">VLOOKUP(B421,'115+740'!$B$15:$AB$757,20,FALSE)</f>
        <v>2245</v>
      </c>
      <c r="H421" s="94">
        <f ca="1">VLOOKUP(B421,'115+740'!$B$15:$AB$757,4,FALSE)</f>
        <v>-728</v>
      </c>
      <c r="I421" s="91">
        <f t="shared" ca="1" si="80"/>
        <v>3785</v>
      </c>
      <c r="J421" s="91">
        <f ca="1">VLOOKUP(B421,'115+740'!$B$15:$AB$757,13,FALSE)</f>
        <v>-215</v>
      </c>
      <c r="K421" s="89">
        <f>'115+740'!Q422</f>
        <v>0</v>
      </c>
      <c r="L421" s="88">
        <f t="shared" ca="1" si="85"/>
        <v>255</v>
      </c>
      <c r="M421" s="93">
        <f ca="1">VLOOKUP(B421,'115+740'!$B$14:$AB$757,21,FALSE)</f>
        <v>2263</v>
      </c>
      <c r="N421" s="92">
        <f ca="1">VLOOKUP(B421,'115+740'!$B$15:$AB$757,5,FALSE)</f>
        <v>-696</v>
      </c>
      <c r="O421" s="91">
        <f t="shared" ca="1" si="81"/>
        <v>3753</v>
      </c>
      <c r="P421" s="91">
        <f ca="1">VLOOKUP(B421,'115+740'!$B$15:$AB$757,14,FALSE)</f>
        <v>-247</v>
      </c>
      <c r="Q421" s="89">
        <f>'115+740'!R422</f>
        <v>0</v>
      </c>
      <c r="R421" s="88">
        <f t="shared" ca="1" si="86"/>
        <v>237</v>
      </c>
      <c r="S421" s="93">
        <f ca="1">VLOOKUP(B421,'115+740'!$B$14:$AB$757,22,FALSE)</f>
        <v>2276</v>
      </c>
      <c r="T421" s="92">
        <f ca="1">VLOOKUP(B421,'115+740'!$B$15:$AB$757,6,FALSE)</f>
        <v>-679</v>
      </c>
      <c r="U421" s="91">
        <f t="shared" ca="1" si="82"/>
        <v>3736</v>
      </c>
      <c r="V421" s="90">
        <f ca="1">VLOOKUP(B421,'115+740'!$B$15:$AB$757,15,FALSE)</f>
        <v>-264</v>
      </c>
      <c r="W421" s="89">
        <f>'115+740'!S422</f>
        <v>0</v>
      </c>
      <c r="X421" s="88">
        <f t="shared" ca="1" si="87"/>
        <v>224</v>
      </c>
      <c r="Y421" s="87">
        <f t="shared" ca="1" si="88"/>
        <v>0</v>
      </c>
      <c r="Z421" s="86">
        <f t="shared" ca="1" si="89"/>
        <v>0</v>
      </c>
      <c r="AA421" s="85">
        <f t="shared" ca="1" si="90"/>
        <v>2.468</v>
      </c>
      <c r="AB421" s="85">
        <f t="shared" ca="1" si="91"/>
        <v>2.036</v>
      </c>
    </row>
    <row r="422" spans="2:28">
      <c r="B422" s="98">
        <f>'115+740'!B423</f>
        <v>45481</v>
      </c>
      <c r="C422" s="97">
        <f t="shared" si="83"/>
        <v>1</v>
      </c>
      <c r="D422" s="96">
        <f t="shared" si="84"/>
        <v>1069</v>
      </c>
      <c r="E422" s="95">
        <f>VLOOKUP(B422,'115+740'!B423:AB781,3,FALSE)</f>
        <v>1990</v>
      </c>
      <c r="F422" s="92">
        <f t="shared" si="79"/>
        <v>3059</v>
      </c>
      <c r="G422" s="94">
        <f ca="1">VLOOKUP(B422,'115+740'!$B$15:$AB$757,20,FALSE)</f>
        <v>2245</v>
      </c>
      <c r="H422" s="94">
        <f ca="1">VLOOKUP(B422,'115+740'!$B$15:$AB$757,4,FALSE)</f>
        <v>-726</v>
      </c>
      <c r="I422" s="91">
        <f t="shared" ca="1" si="80"/>
        <v>3785</v>
      </c>
      <c r="J422" s="91">
        <f ca="1">VLOOKUP(B422,'115+740'!$B$15:$AB$757,13,FALSE)</f>
        <v>-215</v>
      </c>
      <c r="K422" s="89">
        <f>'115+740'!Q423</f>
        <v>0</v>
      </c>
      <c r="L422" s="88">
        <f t="shared" ca="1" si="85"/>
        <v>255</v>
      </c>
      <c r="M422" s="93">
        <f ca="1">VLOOKUP(B422,'115+740'!$B$14:$AB$757,21,FALSE)</f>
        <v>2263</v>
      </c>
      <c r="N422" s="92">
        <f ca="1">VLOOKUP(B422,'115+740'!$B$15:$AB$757,5,FALSE)</f>
        <v>-694</v>
      </c>
      <c r="O422" s="91">
        <f t="shared" ca="1" si="81"/>
        <v>3753</v>
      </c>
      <c r="P422" s="91">
        <f ca="1">VLOOKUP(B422,'115+740'!$B$15:$AB$757,14,FALSE)</f>
        <v>-247</v>
      </c>
      <c r="Q422" s="89">
        <f>'115+740'!R423</f>
        <v>0</v>
      </c>
      <c r="R422" s="88">
        <f t="shared" ca="1" si="86"/>
        <v>237</v>
      </c>
      <c r="S422" s="93">
        <f ca="1">VLOOKUP(B422,'115+740'!$B$14:$AB$757,22,FALSE)</f>
        <v>2276</v>
      </c>
      <c r="T422" s="92">
        <f ca="1">VLOOKUP(B422,'115+740'!$B$15:$AB$757,6,FALSE)</f>
        <v>-677</v>
      </c>
      <c r="U422" s="91">
        <f t="shared" ca="1" si="82"/>
        <v>3736</v>
      </c>
      <c r="V422" s="90">
        <f ca="1">VLOOKUP(B422,'115+740'!$B$15:$AB$757,15,FALSE)</f>
        <v>-264</v>
      </c>
      <c r="W422" s="89">
        <f>'115+740'!S423</f>
        <v>0</v>
      </c>
      <c r="X422" s="88">
        <f t="shared" ca="1" si="87"/>
        <v>224</v>
      </c>
      <c r="Y422" s="87">
        <f t="shared" ca="1" si="88"/>
        <v>0</v>
      </c>
      <c r="Z422" s="86">
        <f t="shared" ca="1" si="89"/>
        <v>0</v>
      </c>
      <c r="AA422" s="85">
        <f t="shared" ca="1" si="90"/>
        <v>2.468</v>
      </c>
      <c r="AB422" s="85">
        <f t="shared" ca="1" si="91"/>
        <v>2.036</v>
      </c>
    </row>
    <row r="423" spans="2:28">
      <c r="B423" s="98">
        <f>'115+740'!B424</f>
        <v>45482</v>
      </c>
      <c r="C423" s="97">
        <f t="shared" si="83"/>
        <v>1</v>
      </c>
      <c r="D423" s="96">
        <f t="shared" si="84"/>
        <v>1069</v>
      </c>
      <c r="E423" s="95">
        <f>VLOOKUP(B423,'115+740'!B424:AB782,3,FALSE)</f>
        <v>1992</v>
      </c>
      <c r="F423" s="92">
        <f t="shared" si="79"/>
        <v>3061</v>
      </c>
      <c r="G423" s="94">
        <f ca="1">VLOOKUP(B423,'115+740'!$B$15:$AB$757,20,FALSE)</f>
        <v>2245</v>
      </c>
      <c r="H423" s="94">
        <f ca="1">VLOOKUP(B423,'115+740'!$B$15:$AB$757,4,FALSE)</f>
        <v>-724</v>
      </c>
      <c r="I423" s="91">
        <f t="shared" ca="1" si="80"/>
        <v>3785</v>
      </c>
      <c r="J423" s="91">
        <f ca="1">VLOOKUP(B423,'115+740'!$B$15:$AB$757,13,FALSE)</f>
        <v>-215</v>
      </c>
      <c r="K423" s="89">
        <f>'115+740'!Q424</f>
        <v>0</v>
      </c>
      <c r="L423" s="88">
        <f t="shared" ca="1" si="85"/>
        <v>255</v>
      </c>
      <c r="M423" s="93">
        <f ca="1">VLOOKUP(B423,'115+740'!$B$14:$AB$757,21,FALSE)</f>
        <v>2263</v>
      </c>
      <c r="N423" s="92">
        <f ca="1">VLOOKUP(B423,'115+740'!$B$15:$AB$757,5,FALSE)</f>
        <v>-692</v>
      </c>
      <c r="O423" s="91">
        <f t="shared" ca="1" si="81"/>
        <v>3753</v>
      </c>
      <c r="P423" s="91">
        <f ca="1">VLOOKUP(B423,'115+740'!$B$15:$AB$757,14,FALSE)</f>
        <v>-247</v>
      </c>
      <c r="Q423" s="89">
        <f>'115+740'!R424</f>
        <v>0</v>
      </c>
      <c r="R423" s="88">
        <f t="shared" ca="1" si="86"/>
        <v>237</v>
      </c>
      <c r="S423" s="93">
        <f ca="1">VLOOKUP(B423,'115+740'!$B$14:$AB$757,22,FALSE)</f>
        <v>2276</v>
      </c>
      <c r="T423" s="92">
        <f ca="1">VLOOKUP(B423,'115+740'!$B$15:$AB$757,6,FALSE)</f>
        <v>-675</v>
      </c>
      <c r="U423" s="91">
        <f t="shared" ca="1" si="82"/>
        <v>3736</v>
      </c>
      <c r="V423" s="90">
        <f ca="1">VLOOKUP(B423,'115+740'!$B$15:$AB$757,15,FALSE)</f>
        <v>-264</v>
      </c>
      <c r="W423" s="89">
        <f>'115+740'!S424</f>
        <v>0</v>
      </c>
      <c r="X423" s="88">
        <f t="shared" ca="1" si="87"/>
        <v>224</v>
      </c>
      <c r="Y423" s="87">
        <f t="shared" ca="1" si="88"/>
        <v>0</v>
      </c>
      <c r="Z423" s="86">
        <f t="shared" ca="1" si="89"/>
        <v>0</v>
      </c>
      <c r="AA423" s="85">
        <f t="shared" ca="1" si="90"/>
        <v>2.468</v>
      </c>
      <c r="AB423" s="85">
        <f t="shared" ca="1" si="91"/>
        <v>2.036</v>
      </c>
    </row>
    <row r="424" spans="2:28">
      <c r="B424" s="98">
        <f>'115+740'!B425</f>
        <v>45483</v>
      </c>
      <c r="C424" s="97">
        <f t="shared" si="83"/>
        <v>1</v>
      </c>
      <c r="D424" s="96">
        <f t="shared" si="84"/>
        <v>1069</v>
      </c>
      <c r="E424" s="95">
        <f>VLOOKUP(B424,'115+740'!B425:AB783,3,FALSE)</f>
        <v>1994</v>
      </c>
      <c r="F424" s="92">
        <f t="shared" si="79"/>
        <v>3063</v>
      </c>
      <c r="G424" s="94">
        <f ca="1">VLOOKUP(B424,'115+740'!$B$15:$AB$757,20,FALSE)</f>
        <v>2245</v>
      </c>
      <c r="H424" s="94">
        <f ca="1">VLOOKUP(B424,'115+740'!$B$15:$AB$757,4,FALSE)</f>
        <v>-722</v>
      </c>
      <c r="I424" s="91">
        <f t="shared" ca="1" si="80"/>
        <v>3785</v>
      </c>
      <c r="J424" s="91">
        <f ca="1">VLOOKUP(B424,'115+740'!$B$15:$AB$757,13,FALSE)</f>
        <v>-215</v>
      </c>
      <c r="K424" s="89">
        <f>'115+740'!Q425</f>
        <v>0</v>
      </c>
      <c r="L424" s="88">
        <f t="shared" ca="1" si="85"/>
        <v>255</v>
      </c>
      <c r="M424" s="93">
        <f ca="1">VLOOKUP(B424,'115+740'!$B$14:$AB$757,21,FALSE)</f>
        <v>2263</v>
      </c>
      <c r="N424" s="92">
        <f ca="1">VLOOKUP(B424,'115+740'!$B$15:$AB$757,5,FALSE)</f>
        <v>-690</v>
      </c>
      <c r="O424" s="91">
        <f t="shared" ca="1" si="81"/>
        <v>3753</v>
      </c>
      <c r="P424" s="91">
        <f ca="1">VLOOKUP(B424,'115+740'!$B$15:$AB$757,14,FALSE)</f>
        <v>-247</v>
      </c>
      <c r="Q424" s="89">
        <f>'115+740'!R425</f>
        <v>0</v>
      </c>
      <c r="R424" s="88">
        <f t="shared" ca="1" si="86"/>
        <v>237</v>
      </c>
      <c r="S424" s="93">
        <f ca="1">VLOOKUP(B424,'115+740'!$B$14:$AB$757,22,FALSE)</f>
        <v>2276</v>
      </c>
      <c r="T424" s="92">
        <f ca="1">VLOOKUP(B424,'115+740'!$B$15:$AB$757,6,FALSE)</f>
        <v>-673</v>
      </c>
      <c r="U424" s="91">
        <f t="shared" ca="1" si="82"/>
        <v>3736</v>
      </c>
      <c r="V424" s="90">
        <f ca="1">VLOOKUP(B424,'115+740'!$B$15:$AB$757,15,FALSE)</f>
        <v>-264</v>
      </c>
      <c r="W424" s="89">
        <f>'115+740'!S425</f>
        <v>0</v>
      </c>
      <c r="X424" s="88">
        <f t="shared" ca="1" si="87"/>
        <v>224</v>
      </c>
      <c r="Y424" s="87">
        <f t="shared" ca="1" si="88"/>
        <v>0</v>
      </c>
      <c r="Z424" s="86">
        <f t="shared" ca="1" si="89"/>
        <v>0</v>
      </c>
      <c r="AA424" s="85">
        <f t="shared" ca="1" si="90"/>
        <v>2.468</v>
      </c>
      <c r="AB424" s="85">
        <f t="shared" ca="1" si="91"/>
        <v>2.036</v>
      </c>
    </row>
    <row r="425" spans="2:28">
      <c r="B425" s="98">
        <f>'115+740'!B426</f>
        <v>45484</v>
      </c>
      <c r="C425" s="97">
        <f t="shared" si="83"/>
        <v>1</v>
      </c>
      <c r="D425" s="96">
        <f t="shared" si="84"/>
        <v>1069</v>
      </c>
      <c r="E425" s="95">
        <f>VLOOKUP(B425,'115+740'!B426:AB784,3,FALSE)</f>
        <v>1996</v>
      </c>
      <c r="F425" s="92">
        <f t="shared" si="79"/>
        <v>3065</v>
      </c>
      <c r="G425" s="94">
        <f ca="1">VLOOKUP(B425,'115+740'!$B$15:$AB$757,20,FALSE)</f>
        <v>2245</v>
      </c>
      <c r="H425" s="94">
        <f ca="1">VLOOKUP(B425,'115+740'!$B$15:$AB$757,4,FALSE)</f>
        <v>-720</v>
      </c>
      <c r="I425" s="91">
        <f t="shared" ca="1" si="80"/>
        <v>3785</v>
      </c>
      <c r="J425" s="91">
        <f ca="1">VLOOKUP(B425,'115+740'!$B$15:$AB$757,13,FALSE)</f>
        <v>-215</v>
      </c>
      <c r="K425" s="89">
        <f>'115+740'!Q426</f>
        <v>0</v>
      </c>
      <c r="L425" s="88">
        <f t="shared" ca="1" si="85"/>
        <v>255</v>
      </c>
      <c r="M425" s="93">
        <f ca="1">VLOOKUP(B425,'115+740'!$B$14:$AB$757,21,FALSE)</f>
        <v>2263</v>
      </c>
      <c r="N425" s="92">
        <f ca="1">VLOOKUP(B425,'115+740'!$B$15:$AB$757,5,FALSE)</f>
        <v>-688</v>
      </c>
      <c r="O425" s="91">
        <f t="shared" ca="1" si="81"/>
        <v>3753</v>
      </c>
      <c r="P425" s="91">
        <f ca="1">VLOOKUP(B425,'115+740'!$B$15:$AB$757,14,FALSE)</f>
        <v>-247</v>
      </c>
      <c r="Q425" s="89">
        <f>'115+740'!R426</f>
        <v>0</v>
      </c>
      <c r="R425" s="88">
        <f t="shared" ca="1" si="86"/>
        <v>237</v>
      </c>
      <c r="S425" s="93">
        <f ca="1">VLOOKUP(B425,'115+740'!$B$14:$AB$757,22,FALSE)</f>
        <v>2276</v>
      </c>
      <c r="T425" s="92">
        <f ca="1">VLOOKUP(B425,'115+740'!$B$15:$AB$757,6,FALSE)</f>
        <v>-671</v>
      </c>
      <c r="U425" s="91">
        <f t="shared" ca="1" si="82"/>
        <v>3736</v>
      </c>
      <c r="V425" s="90">
        <f ca="1">VLOOKUP(B425,'115+740'!$B$15:$AB$757,15,FALSE)</f>
        <v>-264</v>
      </c>
      <c r="W425" s="89">
        <f>'115+740'!S426</f>
        <v>0</v>
      </c>
      <c r="X425" s="88">
        <f t="shared" ca="1" si="87"/>
        <v>224</v>
      </c>
      <c r="Y425" s="87">
        <f t="shared" ca="1" si="88"/>
        <v>0</v>
      </c>
      <c r="Z425" s="86">
        <f t="shared" ca="1" si="89"/>
        <v>0</v>
      </c>
      <c r="AA425" s="85">
        <f t="shared" ca="1" si="90"/>
        <v>2.468</v>
      </c>
      <c r="AB425" s="85">
        <f t="shared" ca="1" si="91"/>
        <v>2.036</v>
      </c>
    </row>
    <row r="426" spans="2:28">
      <c r="B426" s="98">
        <f>'115+740'!B427</f>
        <v>45485</v>
      </c>
      <c r="C426" s="97">
        <f t="shared" si="83"/>
        <v>1</v>
      </c>
      <c r="D426" s="96">
        <f t="shared" si="84"/>
        <v>1069</v>
      </c>
      <c r="E426" s="95">
        <f>VLOOKUP(B426,'115+740'!B427:AB785,3,FALSE)</f>
        <v>1998</v>
      </c>
      <c r="F426" s="92">
        <f t="shared" si="79"/>
        <v>3067</v>
      </c>
      <c r="G426" s="94">
        <f ca="1">VLOOKUP(B426,'115+740'!$B$15:$AB$757,20,FALSE)</f>
        <v>2245</v>
      </c>
      <c r="H426" s="94">
        <f ca="1">VLOOKUP(B426,'115+740'!$B$15:$AB$757,4,FALSE)</f>
        <v>-718</v>
      </c>
      <c r="I426" s="91">
        <f t="shared" ca="1" si="80"/>
        <v>3785</v>
      </c>
      <c r="J426" s="91">
        <f ca="1">VLOOKUP(B426,'115+740'!$B$15:$AB$757,13,FALSE)</f>
        <v>-215</v>
      </c>
      <c r="K426" s="89">
        <f>'115+740'!Q427</f>
        <v>0</v>
      </c>
      <c r="L426" s="88">
        <f t="shared" ca="1" si="85"/>
        <v>255</v>
      </c>
      <c r="M426" s="93">
        <f ca="1">VLOOKUP(B426,'115+740'!$B$14:$AB$757,21,FALSE)</f>
        <v>2263</v>
      </c>
      <c r="N426" s="92">
        <f ca="1">VLOOKUP(B426,'115+740'!$B$15:$AB$757,5,FALSE)</f>
        <v>-686</v>
      </c>
      <c r="O426" s="91">
        <f t="shared" ca="1" si="81"/>
        <v>3753</v>
      </c>
      <c r="P426" s="91">
        <f ca="1">VLOOKUP(B426,'115+740'!$B$15:$AB$757,14,FALSE)</f>
        <v>-247</v>
      </c>
      <c r="Q426" s="89">
        <f>'115+740'!R427</f>
        <v>0</v>
      </c>
      <c r="R426" s="88">
        <f t="shared" ca="1" si="86"/>
        <v>237</v>
      </c>
      <c r="S426" s="93">
        <f ca="1">VLOOKUP(B426,'115+740'!$B$14:$AB$757,22,FALSE)</f>
        <v>2276</v>
      </c>
      <c r="T426" s="92">
        <f ca="1">VLOOKUP(B426,'115+740'!$B$15:$AB$757,6,FALSE)</f>
        <v>-669</v>
      </c>
      <c r="U426" s="91">
        <f t="shared" ca="1" si="82"/>
        <v>3736</v>
      </c>
      <c r="V426" s="90">
        <f ca="1">VLOOKUP(B426,'115+740'!$B$15:$AB$757,15,FALSE)</f>
        <v>-264</v>
      </c>
      <c r="W426" s="89">
        <f>'115+740'!S427</f>
        <v>0</v>
      </c>
      <c r="X426" s="88">
        <f t="shared" ca="1" si="87"/>
        <v>224</v>
      </c>
      <c r="Y426" s="87">
        <f t="shared" ca="1" si="88"/>
        <v>0</v>
      </c>
      <c r="Z426" s="86">
        <f t="shared" ca="1" si="89"/>
        <v>0</v>
      </c>
      <c r="AA426" s="85">
        <f t="shared" ca="1" si="90"/>
        <v>2.468</v>
      </c>
      <c r="AB426" s="85">
        <f t="shared" ca="1" si="91"/>
        <v>2.036</v>
      </c>
    </row>
    <row r="427" spans="2:28">
      <c r="B427" s="98">
        <f>'115+740'!B428</f>
        <v>45486</v>
      </c>
      <c r="C427" s="97">
        <f t="shared" si="83"/>
        <v>1</v>
      </c>
      <c r="D427" s="96">
        <f t="shared" si="84"/>
        <v>1069</v>
      </c>
      <c r="E427" s="95">
        <f>VLOOKUP(B427,'115+740'!B428:AB786,3,FALSE)</f>
        <v>2000</v>
      </c>
      <c r="F427" s="92">
        <f t="shared" si="79"/>
        <v>3069</v>
      </c>
      <c r="G427" s="94">
        <f ca="1">VLOOKUP(B427,'115+740'!$B$15:$AB$757,20,FALSE)</f>
        <v>2245</v>
      </c>
      <c r="H427" s="94">
        <f ca="1">VLOOKUP(B427,'115+740'!$B$15:$AB$757,4,FALSE)</f>
        <v>-716</v>
      </c>
      <c r="I427" s="91">
        <f t="shared" ca="1" si="80"/>
        <v>3785</v>
      </c>
      <c r="J427" s="91">
        <f ca="1">VLOOKUP(B427,'115+740'!$B$15:$AB$757,13,FALSE)</f>
        <v>-215</v>
      </c>
      <c r="K427" s="89">
        <f>'115+740'!Q428</f>
        <v>0</v>
      </c>
      <c r="L427" s="88">
        <f t="shared" ca="1" si="85"/>
        <v>255</v>
      </c>
      <c r="M427" s="93">
        <f ca="1">VLOOKUP(B427,'115+740'!$B$14:$AB$757,21,FALSE)</f>
        <v>2263</v>
      </c>
      <c r="N427" s="92">
        <f ca="1">VLOOKUP(B427,'115+740'!$B$15:$AB$757,5,FALSE)</f>
        <v>-684</v>
      </c>
      <c r="O427" s="91">
        <f t="shared" ca="1" si="81"/>
        <v>3753</v>
      </c>
      <c r="P427" s="91">
        <f ca="1">VLOOKUP(B427,'115+740'!$B$15:$AB$757,14,FALSE)</f>
        <v>-247</v>
      </c>
      <c r="Q427" s="89">
        <f>'115+740'!R428</f>
        <v>0</v>
      </c>
      <c r="R427" s="88">
        <f t="shared" ca="1" si="86"/>
        <v>237</v>
      </c>
      <c r="S427" s="93">
        <f ca="1">VLOOKUP(B427,'115+740'!$B$14:$AB$757,22,FALSE)</f>
        <v>2276</v>
      </c>
      <c r="T427" s="92">
        <f ca="1">VLOOKUP(B427,'115+740'!$B$15:$AB$757,6,FALSE)</f>
        <v>-667</v>
      </c>
      <c r="U427" s="91">
        <f t="shared" ca="1" si="82"/>
        <v>3736</v>
      </c>
      <c r="V427" s="90">
        <f ca="1">VLOOKUP(B427,'115+740'!$B$15:$AB$757,15,FALSE)</f>
        <v>-264</v>
      </c>
      <c r="W427" s="89">
        <f>'115+740'!S428</f>
        <v>0</v>
      </c>
      <c r="X427" s="88">
        <f t="shared" ca="1" si="87"/>
        <v>224</v>
      </c>
      <c r="Y427" s="87">
        <f t="shared" ca="1" si="88"/>
        <v>0</v>
      </c>
      <c r="Z427" s="86">
        <f t="shared" ca="1" si="89"/>
        <v>0</v>
      </c>
      <c r="AA427" s="85">
        <f t="shared" ca="1" si="90"/>
        <v>2.468</v>
      </c>
      <c r="AB427" s="85">
        <f t="shared" ca="1" si="91"/>
        <v>2.036</v>
      </c>
    </row>
    <row r="428" spans="2:28">
      <c r="B428" s="98">
        <f>'115+740'!B429</f>
        <v>45487</v>
      </c>
      <c r="C428" s="97">
        <f t="shared" si="83"/>
        <v>1</v>
      </c>
      <c r="D428" s="96">
        <f t="shared" si="84"/>
        <v>1069</v>
      </c>
      <c r="E428" s="95">
        <f>VLOOKUP(B428,'115+740'!B429:AB787,3,FALSE)</f>
        <v>2002</v>
      </c>
      <c r="F428" s="92">
        <f t="shared" si="79"/>
        <v>3071</v>
      </c>
      <c r="G428" s="94">
        <f ca="1">VLOOKUP(B428,'115+740'!$B$15:$AB$757,20,FALSE)</f>
        <v>2245</v>
      </c>
      <c r="H428" s="94">
        <f ca="1">VLOOKUP(B428,'115+740'!$B$15:$AB$757,4,FALSE)</f>
        <v>-714</v>
      </c>
      <c r="I428" s="91">
        <f t="shared" ca="1" si="80"/>
        <v>3785</v>
      </c>
      <c r="J428" s="91">
        <f ca="1">VLOOKUP(B428,'115+740'!$B$15:$AB$757,13,FALSE)</f>
        <v>-215</v>
      </c>
      <c r="K428" s="89">
        <f>'115+740'!Q429</f>
        <v>0</v>
      </c>
      <c r="L428" s="88">
        <f t="shared" ca="1" si="85"/>
        <v>255</v>
      </c>
      <c r="M428" s="93">
        <f ca="1">VLOOKUP(B428,'115+740'!$B$14:$AB$757,21,FALSE)</f>
        <v>2263</v>
      </c>
      <c r="N428" s="92">
        <f ca="1">VLOOKUP(B428,'115+740'!$B$15:$AB$757,5,FALSE)</f>
        <v>-682</v>
      </c>
      <c r="O428" s="91">
        <f t="shared" ca="1" si="81"/>
        <v>3753</v>
      </c>
      <c r="P428" s="91">
        <f ca="1">VLOOKUP(B428,'115+740'!$B$15:$AB$757,14,FALSE)</f>
        <v>-247</v>
      </c>
      <c r="Q428" s="89">
        <f>'115+740'!R429</f>
        <v>0</v>
      </c>
      <c r="R428" s="88">
        <f t="shared" ca="1" si="86"/>
        <v>237</v>
      </c>
      <c r="S428" s="93">
        <f ca="1">VLOOKUP(B428,'115+740'!$B$14:$AB$757,22,FALSE)</f>
        <v>2276</v>
      </c>
      <c r="T428" s="92">
        <f ca="1">VLOOKUP(B428,'115+740'!$B$15:$AB$757,6,FALSE)</f>
        <v>-665</v>
      </c>
      <c r="U428" s="91">
        <f t="shared" ca="1" si="82"/>
        <v>3736</v>
      </c>
      <c r="V428" s="90">
        <f ca="1">VLOOKUP(B428,'115+740'!$B$15:$AB$757,15,FALSE)</f>
        <v>-264</v>
      </c>
      <c r="W428" s="89">
        <f>'115+740'!S429</f>
        <v>0</v>
      </c>
      <c r="X428" s="88">
        <f t="shared" ca="1" si="87"/>
        <v>224</v>
      </c>
      <c r="Y428" s="87">
        <f t="shared" ca="1" si="88"/>
        <v>0</v>
      </c>
      <c r="Z428" s="86">
        <f t="shared" ca="1" si="89"/>
        <v>0</v>
      </c>
      <c r="AA428" s="85">
        <f t="shared" ca="1" si="90"/>
        <v>2.468</v>
      </c>
      <c r="AB428" s="85">
        <f t="shared" ca="1" si="91"/>
        <v>2.036</v>
      </c>
    </row>
    <row r="429" spans="2:28">
      <c r="B429" s="98">
        <f>'115+740'!B430</f>
        <v>45488</v>
      </c>
      <c r="C429" s="97">
        <f t="shared" si="83"/>
        <v>1</v>
      </c>
      <c r="D429" s="96">
        <f t="shared" si="84"/>
        <v>1069</v>
      </c>
      <c r="E429" s="95">
        <f>VLOOKUP(B429,'115+740'!B430:AB788,3,FALSE)</f>
        <v>2004</v>
      </c>
      <c r="F429" s="92">
        <f t="shared" si="79"/>
        <v>3073</v>
      </c>
      <c r="G429" s="94">
        <f ca="1">VLOOKUP(B429,'115+740'!$B$15:$AB$757,20,FALSE)</f>
        <v>2245</v>
      </c>
      <c r="H429" s="94">
        <f ca="1">VLOOKUP(B429,'115+740'!$B$15:$AB$757,4,FALSE)</f>
        <v>-712</v>
      </c>
      <c r="I429" s="91">
        <f t="shared" ca="1" si="80"/>
        <v>3785</v>
      </c>
      <c r="J429" s="91">
        <f ca="1">VLOOKUP(B429,'115+740'!$B$15:$AB$757,13,FALSE)</f>
        <v>-215</v>
      </c>
      <c r="K429" s="89">
        <f>'115+740'!Q430</f>
        <v>0</v>
      </c>
      <c r="L429" s="88">
        <f t="shared" ca="1" si="85"/>
        <v>255</v>
      </c>
      <c r="M429" s="93">
        <f ca="1">VLOOKUP(B429,'115+740'!$B$14:$AB$757,21,FALSE)</f>
        <v>2263</v>
      </c>
      <c r="N429" s="92">
        <f ca="1">VLOOKUP(B429,'115+740'!$B$15:$AB$757,5,FALSE)</f>
        <v>-680</v>
      </c>
      <c r="O429" s="91">
        <f t="shared" ca="1" si="81"/>
        <v>3753</v>
      </c>
      <c r="P429" s="91">
        <f ca="1">VLOOKUP(B429,'115+740'!$B$15:$AB$757,14,FALSE)</f>
        <v>-247</v>
      </c>
      <c r="Q429" s="89">
        <f>'115+740'!R430</f>
        <v>0</v>
      </c>
      <c r="R429" s="88">
        <f t="shared" ca="1" si="86"/>
        <v>237</v>
      </c>
      <c r="S429" s="93">
        <f ca="1">VLOOKUP(B429,'115+740'!$B$14:$AB$757,22,FALSE)</f>
        <v>2276</v>
      </c>
      <c r="T429" s="92">
        <f ca="1">VLOOKUP(B429,'115+740'!$B$15:$AB$757,6,FALSE)</f>
        <v>-663</v>
      </c>
      <c r="U429" s="91">
        <f t="shared" ca="1" si="82"/>
        <v>3736</v>
      </c>
      <c r="V429" s="90">
        <f ca="1">VLOOKUP(B429,'115+740'!$B$15:$AB$757,15,FALSE)</f>
        <v>-264</v>
      </c>
      <c r="W429" s="89">
        <f>'115+740'!S430</f>
        <v>0</v>
      </c>
      <c r="X429" s="88">
        <f t="shared" ca="1" si="87"/>
        <v>224</v>
      </c>
      <c r="Y429" s="87">
        <f t="shared" ca="1" si="88"/>
        <v>0</v>
      </c>
      <c r="Z429" s="86">
        <f t="shared" ca="1" si="89"/>
        <v>0</v>
      </c>
      <c r="AA429" s="85">
        <f t="shared" ca="1" si="90"/>
        <v>2.468</v>
      </c>
      <c r="AB429" s="85">
        <f t="shared" ca="1" si="91"/>
        <v>2.036</v>
      </c>
    </row>
    <row r="430" spans="2:28">
      <c r="B430" s="98">
        <f>'115+740'!B431</f>
        <v>45489</v>
      </c>
      <c r="C430" s="97">
        <f t="shared" si="83"/>
        <v>1</v>
      </c>
      <c r="D430" s="96">
        <f t="shared" si="84"/>
        <v>1069</v>
      </c>
      <c r="E430" s="95">
        <f>VLOOKUP(B430,'115+740'!B431:AB789,3,FALSE)</f>
        <v>2006</v>
      </c>
      <c r="F430" s="92">
        <f t="shared" si="79"/>
        <v>3075</v>
      </c>
      <c r="G430" s="94">
        <f ca="1">VLOOKUP(B430,'115+740'!$B$15:$AB$757,20,FALSE)</f>
        <v>2245</v>
      </c>
      <c r="H430" s="94">
        <f ca="1">VLOOKUP(B430,'115+740'!$B$15:$AB$757,4,FALSE)</f>
        <v>-710</v>
      </c>
      <c r="I430" s="91">
        <f t="shared" ca="1" si="80"/>
        <v>3785</v>
      </c>
      <c r="J430" s="91">
        <f ca="1">VLOOKUP(B430,'115+740'!$B$15:$AB$757,13,FALSE)</f>
        <v>-215</v>
      </c>
      <c r="K430" s="89">
        <f>'115+740'!Q431</f>
        <v>0</v>
      </c>
      <c r="L430" s="88">
        <f t="shared" ca="1" si="85"/>
        <v>255</v>
      </c>
      <c r="M430" s="93">
        <f ca="1">VLOOKUP(B430,'115+740'!$B$14:$AB$757,21,FALSE)</f>
        <v>2263</v>
      </c>
      <c r="N430" s="92">
        <f ca="1">VLOOKUP(B430,'115+740'!$B$15:$AB$757,5,FALSE)</f>
        <v>-678</v>
      </c>
      <c r="O430" s="91">
        <f t="shared" ca="1" si="81"/>
        <v>3753</v>
      </c>
      <c r="P430" s="91">
        <f ca="1">VLOOKUP(B430,'115+740'!$B$15:$AB$757,14,FALSE)</f>
        <v>-247</v>
      </c>
      <c r="Q430" s="89">
        <f>'115+740'!R431</f>
        <v>0</v>
      </c>
      <c r="R430" s="88">
        <f t="shared" ca="1" si="86"/>
        <v>237</v>
      </c>
      <c r="S430" s="93">
        <f ca="1">VLOOKUP(B430,'115+740'!$B$14:$AB$757,22,FALSE)</f>
        <v>2276</v>
      </c>
      <c r="T430" s="92">
        <f ca="1">VLOOKUP(B430,'115+740'!$B$15:$AB$757,6,FALSE)</f>
        <v>-661</v>
      </c>
      <c r="U430" s="91">
        <f t="shared" ca="1" si="82"/>
        <v>3736</v>
      </c>
      <c r="V430" s="90">
        <f ca="1">VLOOKUP(B430,'115+740'!$B$15:$AB$757,15,FALSE)</f>
        <v>-264</v>
      </c>
      <c r="W430" s="89">
        <f>'115+740'!S431</f>
        <v>0</v>
      </c>
      <c r="X430" s="88">
        <f t="shared" ca="1" si="87"/>
        <v>224</v>
      </c>
      <c r="Y430" s="87">
        <f t="shared" ca="1" si="88"/>
        <v>0</v>
      </c>
      <c r="Z430" s="86">
        <f t="shared" ca="1" si="89"/>
        <v>0</v>
      </c>
      <c r="AA430" s="85">
        <f t="shared" ca="1" si="90"/>
        <v>2.468</v>
      </c>
      <c r="AB430" s="85">
        <f t="shared" ca="1" si="91"/>
        <v>2.036</v>
      </c>
    </row>
    <row r="431" spans="2:28">
      <c r="B431" s="98">
        <f>'115+740'!B432</f>
        <v>45490</v>
      </c>
      <c r="C431" s="97">
        <f t="shared" si="83"/>
        <v>1</v>
      </c>
      <c r="D431" s="96">
        <f t="shared" si="84"/>
        <v>1069</v>
      </c>
      <c r="E431" s="95">
        <f>VLOOKUP(B431,'115+740'!B432:AB790,3,FALSE)</f>
        <v>2008</v>
      </c>
      <c r="F431" s="92">
        <f t="shared" si="79"/>
        <v>3077</v>
      </c>
      <c r="G431" s="94">
        <f ca="1">VLOOKUP(B431,'115+740'!$B$15:$AB$757,20,FALSE)</f>
        <v>2245</v>
      </c>
      <c r="H431" s="94">
        <f ca="1">VLOOKUP(B431,'115+740'!$B$15:$AB$757,4,FALSE)</f>
        <v>-708</v>
      </c>
      <c r="I431" s="91">
        <f t="shared" ca="1" si="80"/>
        <v>3785</v>
      </c>
      <c r="J431" s="91">
        <f ca="1">VLOOKUP(B431,'115+740'!$B$15:$AB$757,13,FALSE)</f>
        <v>-215</v>
      </c>
      <c r="K431" s="89">
        <f>'115+740'!Q432</f>
        <v>0</v>
      </c>
      <c r="L431" s="88">
        <f t="shared" ca="1" si="85"/>
        <v>255</v>
      </c>
      <c r="M431" s="93">
        <f ca="1">VLOOKUP(B431,'115+740'!$B$14:$AB$757,21,FALSE)</f>
        <v>2263</v>
      </c>
      <c r="N431" s="92">
        <f ca="1">VLOOKUP(B431,'115+740'!$B$15:$AB$757,5,FALSE)</f>
        <v>-676</v>
      </c>
      <c r="O431" s="91">
        <f t="shared" ca="1" si="81"/>
        <v>3753</v>
      </c>
      <c r="P431" s="91">
        <f ca="1">VLOOKUP(B431,'115+740'!$B$15:$AB$757,14,FALSE)</f>
        <v>-247</v>
      </c>
      <c r="Q431" s="89">
        <f>'115+740'!R432</f>
        <v>0</v>
      </c>
      <c r="R431" s="88">
        <f t="shared" ca="1" si="86"/>
        <v>237</v>
      </c>
      <c r="S431" s="93">
        <f ca="1">VLOOKUP(B431,'115+740'!$B$14:$AB$757,22,FALSE)</f>
        <v>2276</v>
      </c>
      <c r="T431" s="92">
        <f ca="1">VLOOKUP(B431,'115+740'!$B$15:$AB$757,6,FALSE)</f>
        <v>-659</v>
      </c>
      <c r="U431" s="91">
        <f t="shared" ca="1" si="82"/>
        <v>3736</v>
      </c>
      <c r="V431" s="90">
        <f ca="1">VLOOKUP(B431,'115+740'!$B$15:$AB$757,15,FALSE)</f>
        <v>-264</v>
      </c>
      <c r="W431" s="89">
        <f>'115+740'!S432</f>
        <v>0</v>
      </c>
      <c r="X431" s="88">
        <f t="shared" ca="1" si="87"/>
        <v>224</v>
      </c>
      <c r="Y431" s="87">
        <f t="shared" ca="1" si="88"/>
        <v>0</v>
      </c>
      <c r="Z431" s="86">
        <f t="shared" ca="1" si="89"/>
        <v>0</v>
      </c>
      <c r="AA431" s="85">
        <f t="shared" ca="1" si="90"/>
        <v>2.468</v>
      </c>
      <c r="AB431" s="85">
        <f t="shared" ca="1" si="91"/>
        <v>2.036</v>
      </c>
    </row>
    <row r="432" spans="2:28">
      <c r="B432" s="98">
        <f>'115+740'!B433</f>
        <v>45491</v>
      </c>
      <c r="C432" s="97">
        <f t="shared" si="83"/>
        <v>1</v>
      </c>
      <c r="D432" s="96">
        <f t="shared" si="84"/>
        <v>1069</v>
      </c>
      <c r="E432" s="95">
        <f>VLOOKUP(B432,'115+740'!B433:AB791,3,FALSE)</f>
        <v>2010</v>
      </c>
      <c r="F432" s="92">
        <f t="shared" si="79"/>
        <v>3079</v>
      </c>
      <c r="G432" s="94">
        <f ca="1">VLOOKUP(B432,'115+740'!$B$15:$AB$757,20,FALSE)</f>
        <v>2245</v>
      </c>
      <c r="H432" s="94">
        <f ca="1">VLOOKUP(B432,'115+740'!$B$15:$AB$757,4,FALSE)</f>
        <v>-706</v>
      </c>
      <c r="I432" s="91">
        <f t="shared" ca="1" si="80"/>
        <v>3785</v>
      </c>
      <c r="J432" s="91">
        <f ca="1">VLOOKUP(B432,'115+740'!$B$15:$AB$757,13,FALSE)</f>
        <v>-215</v>
      </c>
      <c r="K432" s="89">
        <f>'115+740'!Q433</f>
        <v>0</v>
      </c>
      <c r="L432" s="88">
        <f t="shared" ca="1" si="85"/>
        <v>255</v>
      </c>
      <c r="M432" s="93">
        <f ca="1">VLOOKUP(B432,'115+740'!$B$14:$AB$757,21,FALSE)</f>
        <v>2263</v>
      </c>
      <c r="N432" s="92">
        <f ca="1">VLOOKUP(B432,'115+740'!$B$15:$AB$757,5,FALSE)</f>
        <v>-674</v>
      </c>
      <c r="O432" s="91">
        <f t="shared" ca="1" si="81"/>
        <v>3753</v>
      </c>
      <c r="P432" s="91">
        <f ca="1">VLOOKUP(B432,'115+740'!$B$15:$AB$757,14,FALSE)</f>
        <v>-247</v>
      </c>
      <c r="Q432" s="89">
        <f>'115+740'!R433</f>
        <v>0</v>
      </c>
      <c r="R432" s="88">
        <f t="shared" ca="1" si="86"/>
        <v>237</v>
      </c>
      <c r="S432" s="93">
        <f ca="1">VLOOKUP(B432,'115+740'!$B$14:$AB$757,22,FALSE)</f>
        <v>2276</v>
      </c>
      <c r="T432" s="92">
        <f ca="1">VLOOKUP(B432,'115+740'!$B$15:$AB$757,6,FALSE)</f>
        <v>-657</v>
      </c>
      <c r="U432" s="91">
        <f t="shared" ca="1" si="82"/>
        <v>3736</v>
      </c>
      <c r="V432" s="90">
        <f ca="1">VLOOKUP(B432,'115+740'!$B$15:$AB$757,15,FALSE)</f>
        <v>-264</v>
      </c>
      <c r="W432" s="89">
        <f>'115+740'!S433</f>
        <v>0</v>
      </c>
      <c r="X432" s="88">
        <f t="shared" ca="1" si="87"/>
        <v>224</v>
      </c>
      <c r="Y432" s="87">
        <f t="shared" ca="1" si="88"/>
        <v>0</v>
      </c>
      <c r="Z432" s="86">
        <f t="shared" ca="1" si="89"/>
        <v>0</v>
      </c>
      <c r="AA432" s="85">
        <f t="shared" ca="1" si="90"/>
        <v>2.468</v>
      </c>
      <c r="AB432" s="85">
        <f t="shared" ca="1" si="91"/>
        <v>2.036</v>
      </c>
    </row>
    <row r="433" spans="2:28">
      <c r="B433" s="98">
        <f>'115+740'!B434</f>
        <v>45492</v>
      </c>
      <c r="C433" s="97">
        <f t="shared" si="83"/>
        <v>1</v>
      </c>
      <c r="D433" s="96">
        <f t="shared" si="84"/>
        <v>1069</v>
      </c>
      <c r="E433" s="95">
        <f>VLOOKUP(B433,'115+740'!B434:AB792,3,FALSE)</f>
        <v>2012</v>
      </c>
      <c r="F433" s="92">
        <f t="shared" si="79"/>
        <v>3081</v>
      </c>
      <c r="G433" s="94">
        <f ca="1">VLOOKUP(B433,'115+740'!$B$15:$AB$757,20,FALSE)</f>
        <v>2245</v>
      </c>
      <c r="H433" s="94">
        <f ca="1">VLOOKUP(B433,'115+740'!$B$15:$AB$757,4,FALSE)</f>
        <v>-704</v>
      </c>
      <c r="I433" s="91">
        <f t="shared" ca="1" si="80"/>
        <v>3785</v>
      </c>
      <c r="J433" s="91">
        <f ca="1">VLOOKUP(B433,'115+740'!$B$15:$AB$757,13,FALSE)</f>
        <v>-215</v>
      </c>
      <c r="K433" s="89">
        <f>'115+740'!Q434</f>
        <v>0</v>
      </c>
      <c r="L433" s="88">
        <f t="shared" ca="1" si="85"/>
        <v>255</v>
      </c>
      <c r="M433" s="93">
        <f ca="1">VLOOKUP(B433,'115+740'!$B$14:$AB$757,21,FALSE)</f>
        <v>2263</v>
      </c>
      <c r="N433" s="92">
        <f ca="1">VLOOKUP(B433,'115+740'!$B$15:$AB$757,5,FALSE)</f>
        <v>-672</v>
      </c>
      <c r="O433" s="91">
        <f t="shared" ca="1" si="81"/>
        <v>3753</v>
      </c>
      <c r="P433" s="91">
        <f ca="1">VLOOKUP(B433,'115+740'!$B$15:$AB$757,14,FALSE)</f>
        <v>-247</v>
      </c>
      <c r="Q433" s="89">
        <f>'115+740'!R434</f>
        <v>0</v>
      </c>
      <c r="R433" s="88">
        <f t="shared" ca="1" si="86"/>
        <v>237</v>
      </c>
      <c r="S433" s="93">
        <f ca="1">VLOOKUP(B433,'115+740'!$B$14:$AB$757,22,FALSE)</f>
        <v>2276</v>
      </c>
      <c r="T433" s="92">
        <f ca="1">VLOOKUP(B433,'115+740'!$B$15:$AB$757,6,FALSE)</f>
        <v>-655</v>
      </c>
      <c r="U433" s="91">
        <f t="shared" ca="1" si="82"/>
        <v>3736</v>
      </c>
      <c r="V433" s="90">
        <f ca="1">VLOOKUP(B433,'115+740'!$B$15:$AB$757,15,FALSE)</f>
        <v>-264</v>
      </c>
      <c r="W433" s="89">
        <f>'115+740'!S434</f>
        <v>0</v>
      </c>
      <c r="X433" s="88">
        <f t="shared" ca="1" si="87"/>
        <v>224</v>
      </c>
      <c r="Y433" s="87">
        <f t="shared" ca="1" si="88"/>
        <v>0</v>
      </c>
      <c r="Z433" s="86">
        <f t="shared" ca="1" si="89"/>
        <v>0</v>
      </c>
      <c r="AA433" s="85">
        <f t="shared" ca="1" si="90"/>
        <v>2.468</v>
      </c>
      <c r="AB433" s="85">
        <f t="shared" ca="1" si="91"/>
        <v>2.036</v>
      </c>
    </row>
    <row r="434" spans="2:28">
      <c r="B434" s="98">
        <f>'115+740'!B435</f>
        <v>45493</v>
      </c>
      <c r="C434" s="97">
        <f t="shared" si="83"/>
        <v>1</v>
      </c>
      <c r="D434" s="96">
        <f t="shared" si="84"/>
        <v>1069</v>
      </c>
      <c r="E434" s="95">
        <f>VLOOKUP(B434,'115+740'!B435:AB793,3,FALSE)</f>
        <v>2014</v>
      </c>
      <c r="F434" s="92">
        <f t="shared" si="79"/>
        <v>3083</v>
      </c>
      <c r="G434" s="94">
        <f ca="1">VLOOKUP(B434,'115+740'!$B$15:$AB$757,20,FALSE)</f>
        <v>2245</v>
      </c>
      <c r="H434" s="94">
        <f ca="1">VLOOKUP(B434,'115+740'!$B$15:$AB$757,4,FALSE)</f>
        <v>-702</v>
      </c>
      <c r="I434" s="91">
        <f t="shared" ca="1" si="80"/>
        <v>3785</v>
      </c>
      <c r="J434" s="91">
        <f ca="1">VLOOKUP(B434,'115+740'!$B$15:$AB$757,13,FALSE)</f>
        <v>-215</v>
      </c>
      <c r="K434" s="89">
        <f>'115+740'!Q435</f>
        <v>0</v>
      </c>
      <c r="L434" s="88">
        <f t="shared" ca="1" si="85"/>
        <v>255</v>
      </c>
      <c r="M434" s="93">
        <f ca="1">VLOOKUP(B434,'115+740'!$B$14:$AB$757,21,FALSE)</f>
        <v>2263</v>
      </c>
      <c r="N434" s="92">
        <f ca="1">VLOOKUP(B434,'115+740'!$B$15:$AB$757,5,FALSE)</f>
        <v>-670</v>
      </c>
      <c r="O434" s="91">
        <f t="shared" ca="1" si="81"/>
        <v>3753</v>
      </c>
      <c r="P434" s="91">
        <f ca="1">VLOOKUP(B434,'115+740'!$B$15:$AB$757,14,FALSE)</f>
        <v>-247</v>
      </c>
      <c r="Q434" s="89">
        <f>'115+740'!R435</f>
        <v>0</v>
      </c>
      <c r="R434" s="88">
        <f t="shared" ca="1" si="86"/>
        <v>237</v>
      </c>
      <c r="S434" s="93">
        <f ca="1">VLOOKUP(B434,'115+740'!$B$14:$AB$757,22,FALSE)</f>
        <v>2276</v>
      </c>
      <c r="T434" s="92">
        <f ca="1">VLOOKUP(B434,'115+740'!$B$15:$AB$757,6,FALSE)</f>
        <v>-653</v>
      </c>
      <c r="U434" s="91">
        <f t="shared" ca="1" si="82"/>
        <v>3736</v>
      </c>
      <c r="V434" s="90">
        <f ca="1">VLOOKUP(B434,'115+740'!$B$15:$AB$757,15,FALSE)</f>
        <v>-264</v>
      </c>
      <c r="W434" s="89">
        <f>'115+740'!S435</f>
        <v>0</v>
      </c>
      <c r="X434" s="88">
        <f t="shared" ca="1" si="87"/>
        <v>224</v>
      </c>
      <c r="Y434" s="87">
        <f t="shared" ca="1" si="88"/>
        <v>0</v>
      </c>
      <c r="Z434" s="86">
        <f t="shared" ca="1" si="89"/>
        <v>0</v>
      </c>
      <c r="AA434" s="85">
        <f t="shared" ca="1" si="90"/>
        <v>2.468</v>
      </c>
      <c r="AB434" s="85">
        <f t="shared" ca="1" si="91"/>
        <v>2.036</v>
      </c>
    </row>
    <row r="435" spans="2:28">
      <c r="B435" s="98">
        <f>'115+740'!B436</f>
        <v>45494</v>
      </c>
      <c r="C435" s="97">
        <f t="shared" si="83"/>
        <v>1</v>
      </c>
      <c r="D435" s="96">
        <f t="shared" si="84"/>
        <v>1069</v>
      </c>
      <c r="E435" s="95">
        <f>VLOOKUP(B435,'115+740'!B436:AB794,3,FALSE)</f>
        <v>2016</v>
      </c>
      <c r="F435" s="92">
        <f t="shared" si="79"/>
        <v>3085</v>
      </c>
      <c r="G435" s="94">
        <f ca="1">VLOOKUP(B435,'115+740'!$B$15:$AB$757,20,FALSE)</f>
        <v>2245</v>
      </c>
      <c r="H435" s="94">
        <f ca="1">VLOOKUP(B435,'115+740'!$B$15:$AB$757,4,FALSE)</f>
        <v>-700</v>
      </c>
      <c r="I435" s="91">
        <f t="shared" ca="1" si="80"/>
        <v>3785</v>
      </c>
      <c r="J435" s="91">
        <f ca="1">VLOOKUP(B435,'115+740'!$B$15:$AB$757,13,FALSE)</f>
        <v>-215</v>
      </c>
      <c r="K435" s="89">
        <f>'115+740'!Q436</f>
        <v>0</v>
      </c>
      <c r="L435" s="88">
        <f t="shared" ca="1" si="85"/>
        <v>255</v>
      </c>
      <c r="M435" s="93">
        <f ca="1">VLOOKUP(B435,'115+740'!$B$14:$AB$757,21,FALSE)</f>
        <v>2263</v>
      </c>
      <c r="N435" s="92">
        <f ca="1">VLOOKUP(B435,'115+740'!$B$15:$AB$757,5,FALSE)</f>
        <v>-668</v>
      </c>
      <c r="O435" s="91">
        <f t="shared" ca="1" si="81"/>
        <v>3753</v>
      </c>
      <c r="P435" s="91">
        <f ca="1">VLOOKUP(B435,'115+740'!$B$15:$AB$757,14,FALSE)</f>
        <v>-247</v>
      </c>
      <c r="Q435" s="89">
        <f>'115+740'!R436</f>
        <v>0</v>
      </c>
      <c r="R435" s="88">
        <f t="shared" ca="1" si="86"/>
        <v>237</v>
      </c>
      <c r="S435" s="93">
        <f ca="1">VLOOKUP(B435,'115+740'!$B$14:$AB$757,22,FALSE)</f>
        <v>2276</v>
      </c>
      <c r="T435" s="92">
        <f ca="1">VLOOKUP(B435,'115+740'!$B$15:$AB$757,6,FALSE)</f>
        <v>-651</v>
      </c>
      <c r="U435" s="91">
        <f t="shared" ca="1" si="82"/>
        <v>3736</v>
      </c>
      <c r="V435" s="90">
        <f ca="1">VLOOKUP(B435,'115+740'!$B$15:$AB$757,15,FALSE)</f>
        <v>-264</v>
      </c>
      <c r="W435" s="89">
        <f>'115+740'!S436</f>
        <v>0</v>
      </c>
      <c r="X435" s="88">
        <f t="shared" ca="1" si="87"/>
        <v>224</v>
      </c>
      <c r="Y435" s="87">
        <f t="shared" ca="1" si="88"/>
        <v>0</v>
      </c>
      <c r="Z435" s="86">
        <f t="shared" ca="1" si="89"/>
        <v>0</v>
      </c>
      <c r="AA435" s="85">
        <f t="shared" ca="1" si="90"/>
        <v>2.468</v>
      </c>
      <c r="AB435" s="85">
        <f t="shared" ca="1" si="91"/>
        <v>2.036</v>
      </c>
    </row>
    <row r="436" spans="2:28">
      <c r="B436" s="98">
        <f>'115+740'!B437</f>
        <v>45495</v>
      </c>
      <c r="C436" s="97">
        <f t="shared" si="83"/>
        <v>1</v>
      </c>
      <c r="D436" s="96">
        <f t="shared" si="84"/>
        <v>1069</v>
      </c>
      <c r="E436" s="95">
        <f>VLOOKUP(B436,'115+740'!B437:AB795,3,FALSE)</f>
        <v>2018</v>
      </c>
      <c r="F436" s="92">
        <f t="shared" si="79"/>
        <v>3087</v>
      </c>
      <c r="G436" s="94">
        <f ca="1">VLOOKUP(B436,'115+740'!$B$15:$AB$757,20,FALSE)</f>
        <v>2435</v>
      </c>
      <c r="H436" s="94">
        <f ca="1">VLOOKUP(B436,'115+740'!$B$15:$AB$757,4,FALSE)</f>
        <v>-688</v>
      </c>
      <c r="I436" s="91">
        <f t="shared" ca="1" si="80"/>
        <v>3775</v>
      </c>
      <c r="J436" s="91">
        <f ca="1">VLOOKUP(B436,'115+740'!$B$15:$AB$757,13,FALSE)</f>
        <v>-225</v>
      </c>
      <c r="K436" s="89">
        <f>'115+740'!Q437</f>
        <v>10</v>
      </c>
      <c r="L436" s="88">
        <f t="shared" ca="1" si="85"/>
        <v>265</v>
      </c>
      <c r="M436" s="93">
        <f ca="1">VLOOKUP(B436,'115+740'!$B$14:$AB$757,21,FALSE)</f>
        <v>2453</v>
      </c>
      <c r="N436" s="92">
        <f ca="1">VLOOKUP(B436,'115+740'!$B$15:$AB$757,5,FALSE)</f>
        <v>-656</v>
      </c>
      <c r="O436" s="91">
        <f t="shared" ca="1" si="81"/>
        <v>3743</v>
      </c>
      <c r="P436" s="91">
        <f ca="1">VLOOKUP(B436,'115+740'!$B$15:$AB$757,14,FALSE)</f>
        <v>-257</v>
      </c>
      <c r="Q436" s="89">
        <f>'115+740'!R437</f>
        <v>10</v>
      </c>
      <c r="R436" s="88">
        <f t="shared" ca="1" si="86"/>
        <v>247</v>
      </c>
      <c r="S436" s="93">
        <f ca="1">VLOOKUP(B436,'115+740'!$B$14:$AB$757,22,FALSE)</f>
        <v>2466</v>
      </c>
      <c r="T436" s="92">
        <f ca="1">VLOOKUP(B436,'115+740'!$B$15:$AB$757,6,FALSE)</f>
        <v>-639</v>
      </c>
      <c r="U436" s="91">
        <f t="shared" ca="1" si="82"/>
        <v>3726</v>
      </c>
      <c r="V436" s="90">
        <f ca="1">VLOOKUP(B436,'115+740'!$B$15:$AB$757,15,FALSE)</f>
        <v>-274</v>
      </c>
      <c r="W436" s="89">
        <f>'115+740'!S437</f>
        <v>10</v>
      </c>
      <c r="X436" s="88">
        <f t="shared" ca="1" si="87"/>
        <v>234</v>
      </c>
      <c r="Y436" s="87">
        <f t="shared" ca="1" si="88"/>
        <v>190</v>
      </c>
      <c r="Z436" s="86">
        <f t="shared" ca="1" si="89"/>
        <v>0.19</v>
      </c>
      <c r="AA436" s="85">
        <f t="shared" ca="1" si="90"/>
        <v>2.6579999999999999</v>
      </c>
      <c r="AB436" s="85">
        <f t="shared" ca="1" si="91"/>
        <v>2.2160000000000002</v>
      </c>
    </row>
    <row r="437" spans="2:28">
      <c r="B437" s="98">
        <f>'115+740'!B438</f>
        <v>45496</v>
      </c>
      <c r="C437" s="97">
        <f t="shared" si="83"/>
        <v>1</v>
      </c>
      <c r="D437" s="96">
        <f t="shared" si="84"/>
        <v>1069</v>
      </c>
      <c r="E437" s="95">
        <f>VLOOKUP(B437,'115+740'!B438:AB796,3,FALSE)</f>
        <v>2020</v>
      </c>
      <c r="F437" s="92">
        <f t="shared" si="79"/>
        <v>3089</v>
      </c>
      <c r="G437" s="94">
        <f ca="1">VLOOKUP(B437,'115+740'!$B$15:$AB$757,20,FALSE)</f>
        <v>2427</v>
      </c>
      <c r="H437" s="94">
        <f ca="1">VLOOKUP(B437,'115+740'!$B$15:$AB$757,4,FALSE)</f>
        <v>-678</v>
      </c>
      <c r="I437" s="91">
        <f t="shared" ca="1" si="80"/>
        <v>3767</v>
      </c>
      <c r="J437" s="91">
        <f ca="1">VLOOKUP(B437,'115+740'!$B$15:$AB$757,13,FALSE)</f>
        <v>-233</v>
      </c>
      <c r="K437" s="89">
        <f>'115+740'!Q438</f>
        <v>8</v>
      </c>
      <c r="L437" s="88">
        <f t="shared" ca="1" si="85"/>
        <v>273</v>
      </c>
      <c r="M437" s="93">
        <f ca="1">VLOOKUP(B437,'115+740'!$B$14:$AB$757,21,FALSE)</f>
        <v>2443</v>
      </c>
      <c r="N437" s="92">
        <f ca="1">VLOOKUP(B437,'115+740'!$B$15:$AB$757,5,FALSE)</f>
        <v>-644</v>
      </c>
      <c r="O437" s="91">
        <f t="shared" ca="1" si="81"/>
        <v>3733</v>
      </c>
      <c r="P437" s="91">
        <f ca="1">VLOOKUP(B437,'115+740'!$B$15:$AB$757,14,FALSE)</f>
        <v>-267</v>
      </c>
      <c r="Q437" s="89">
        <f>'115+740'!R438</f>
        <v>10</v>
      </c>
      <c r="R437" s="88">
        <f t="shared" ca="1" si="86"/>
        <v>257</v>
      </c>
      <c r="S437" s="93">
        <f ca="1">VLOOKUP(B437,'115+740'!$B$14:$AB$757,22,FALSE)</f>
        <v>2456</v>
      </c>
      <c r="T437" s="92">
        <f ca="1">VLOOKUP(B437,'115+740'!$B$15:$AB$757,6,FALSE)</f>
        <v>-627</v>
      </c>
      <c r="U437" s="91">
        <f t="shared" ca="1" si="82"/>
        <v>3716</v>
      </c>
      <c r="V437" s="90">
        <f ca="1">VLOOKUP(B437,'115+740'!$B$15:$AB$757,15,FALSE)</f>
        <v>-284</v>
      </c>
      <c r="W437" s="89">
        <f>'115+740'!S438</f>
        <v>10</v>
      </c>
      <c r="X437" s="88">
        <f t="shared" ca="1" si="87"/>
        <v>244</v>
      </c>
      <c r="Y437" s="87">
        <f t="shared" ca="1" si="88"/>
        <v>-10</v>
      </c>
      <c r="Z437" s="86">
        <f t="shared" ca="1" si="89"/>
        <v>0</v>
      </c>
      <c r="AA437" s="85">
        <f t="shared" ca="1" si="90"/>
        <v>2.6579999999999999</v>
      </c>
      <c r="AB437" s="85">
        <f t="shared" ca="1" si="91"/>
        <v>2.1960000000000002</v>
      </c>
    </row>
    <row r="438" spans="2:28">
      <c r="B438" s="98">
        <f>'115+740'!B439</f>
        <v>45497</v>
      </c>
      <c r="C438" s="97">
        <f t="shared" si="83"/>
        <v>1</v>
      </c>
      <c r="D438" s="96">
        <f t="shared" si="84"/>
        <v>1069</v>
      </c>
      <c r="E438" s="95">
        <f>VLOOKUP(B438,'115+740'!B439:AB797,3,FALSE)</f>
        <v>2022</v>
      </c>
      <c r="F438" s="92">
        <f t="shared" si="79"/>
        <v>3091</v>
      </c>
      <c r="G438" s="94">
        <f ca="1">VLOOKUP(B438,'115+740'!$B$15:$AB$757,20,FALSE)</f>
        <v>2421</v>
      </c>
      <c r="H438" s="94">
        <f ca="1">VLOOKUP(B438,'115+740'!$B$15:$AB$757,4,FALSE)</f>
        <v>-670</v>
      </c>
      <c r="I438" s="91">
        <f t="shared" ca="1" si="80"/>
        <v>3761</v>
      </c>
      <c r="J438" s="91">
        <f ca="1">VLOOKUP(B438,'115+740'!$B$15:$AB$757,13,FALSE)</f>
        <v>-239</v>
      </c>
      <c r="K438" s="89">
        <f>'115+740'!Q439</f>
        <v>6</v>
      </c>
      <c r="L438" s="88">
        <f t="shared" ca="1" si="85"/>
        <v>279</v>
      </c>
      <c r="M438" s="93">
        <f ca="1">VLOOKUP(B438,'115+740'!$B$14:$AB$757,21,FALSE)</f>
        <v>2437</v>
      </c>
      <c r="N438" s="92">
        <f ca="1">VLOOKUP(B438,'115+740'!$B$15:$AB$757,5,FALSE)</f>
        <v>-636</v>
      </c>
      <c r="O438" s="91">
        <f t="shared" ca="1" si="81"/>
        <v>3727</v>
      </c>
      <c r="P438" s="91">
        <f ca="1">VLOOKUP(B438,'115+740'!$B$15:$AB$757,14,FALSE)</f>
        <v>-273</v>
      </c>
      <c r="Q438" s="89">
        <f>'115+740'!R439</f>
        <v>6</v>
      </c>
      <c r="R438" s="88">
        <f t="shared" ca="1" si="86"/>
        <v>263</v>
      </c>
      <c r="S438" s="93">
        <f ca="1">VLOOKUP(B438,'115+740'!$B$14:$AB$757,22,FALSE)</f>
        <v>2446</v>
      </c>
      <c r="T438" s="92">
        <f ca="1">VLOOKUP(B438,'115+740'!$B$15:$AB$757,6,FALSE)</f>
        <v>-615</v>
      </c>
      <c r="U438" s="91">
        <f t="shared" ca="1" si="82"/>
        <v>3706</v>
      </c>
      <c r="V438" s="90">
        <f ca="1">VLOOKUP(B438,'115+740'!$B$15:$AB$757,15,FALSE)</f>
        <v>-294</v>
      </c>
      <c r="W438" s="89">
        <f>'115+740'!S439</f>
        <v>10</v>
      </c>
      <c r="X438" s="88">
        <f t="shared" ca="1" si="87"/>
        <v>254</v>
      </c>
      <c r="Y438" s="87">
        <f t="shared" ca="1" si="88"/>
        <v>-10</v>
      </c>
      <c r="Z438" s="86">
        <f t="shared" ca="1" si="89"/>
        <v>0</v>
      </c>
      <c r="AA438" s="85">
        <f t="shared" ca="1" si="90"/>
        <v>2.6579999999999999</v>
      </c>
      <c r="AB438" s="85">
        <f t="shared" ca="1" si="91"/>
        <v>2.1840000000000002</v>
      </c>
    </row>
    <row r="439" spans="2:28">
      <c r="B439" s="98">
        <f>'115+740'!B440</f>
        <v>45498</v>
      </c>
      <c r="C439" s="97">
        <f t="shared" si="83"/>
        <v>1</v>
      </c>
      <c r="D439" s="96">
        <f t="shared" si="84"/>
        <v>1069</v>
      </c>
      <c r="E439" s="95">
        <f>VLOOKUP(B439,'115+740'!B440:AB798,3,FALSE)</f>
        <v>2024</v>
      </c>
      <c r="F439" s="92">
        <f t="shared" si="79"/>
        <v>3093</v>
      </c>
      <c r="G439" s="94">
        <f ca="1">VLOOKUP(B439,'115+740'!$B$15:$AB$757,20,FALSE)</f>
        <v>2415</v>
      </c>
      <c r="H439" s="94">
        <f ca="1">VLOOKUP(B439,'115+740'!$B$15:$AB$757,4,FALSE)</f>
        <v>-662</v>
      </c>
      <c r="I439" s="91">
        <f t="shared" ca="1" si="80"/>
        <v>3755</v>
      </c>
      <c r="J439" s="91">
        <f ca="1">VLOOKUP(B439,'115+740'!$B$15:$AB$757,13,FALSE)</f>
        <v>-245</v>
      </c>
      <c r="K439" s="89">
        <f>'115+740'!Q440</f>
        <v>6</v>
      </c>
      <c r="L439" s="88">
        <f t="shared" ca="1" si="85"/>
        <v>285</v>
      </c>
      <c r="M439" s="93">
        <f ca="1">VLOOKUP(B439,'115+740'!$B$14:$AB$757,21,FALSE)</f>
        <v>2429</v>
      </c>
      <c r="N439" s="92">
        <f ca="1">VLOOKUP(B439,'115+740'!$B$15:$AB$757,5,FALSE)</f>
        <v>-626</v>
      </c>
      <c r="O439" s="91">
        <f t="shared" ca="1" si="81"/>
        <v>3719</v>
      </c>
      <c r="P439" s="91">
        <f ca="1">VLOOKUP(B439,'115+740'!$B$15:$AB$757,14,FALSE)</f>
        <v>-281</v>
      </c>
      <c r="Q439" s="89">
        <f>'115+740'!R440</f>
        <v>8</v>
      </c>
      <c r="R439" s="88">
        <f t="shared" ca="1" si="86"/>
        <v>271</v>
      </c>
      <c r="S439" s="93">
        <f ca="1">VLOOKUP(B439,'115+740'!$B$14:$AB$757,22,FALSE)</f>
        <v>2439</v>
      </c>
      <c r="T439" s="92">
        <f ca="1">VLOOKUP(B439,'115+740'!$B$15:$AB$757,6,FALSE)</f>
        <v>-606</v>
      </c>
      <c r="U439" s="91">
        <f t="shared" ca="1" si="82"/>
        <v>3699</v>
      </c>
      <c r="V439" s="90">
        <f ca="1">VLOOKUP(B439,'115+740'!$B$15:$AB$757,15,FALSE)</f>
        <v>-301</v>
      </c>
      <c r="W439" s="89">
        <f>'115+740'!S440</f>
        <v>7</v>
      </c>
      <c r="X439" s="88">
        <f t="shared" ca="1" si="87"/>
        <v>261</v>
      </c>
      <c r="Y439" s="87">
        <f t="shared" ca="1" si="88"/>
        <v>-7</v>
      </c>
      <c r="Z439" s="86">
        <f t="shared" ca="1" si="89"/>
        <v>0</v>
      </c>
      <c r="AA439" s="85">
        <f t="shared" ca="1" si="90"/>
        <v>2.6579999999999999</v>
      </c>
      <c r="AB439" s="85">
        <f t="shared" ca="1" si="91"/>
        <v>2.1680000000000001</v>
      </c>
    </row>
    <row r="440" spans="2:28">
      <c r="B440" s="98">
        <f>'115+740'!B441</f>
        <v>45499</v>
      </c>
      <c r="C440" s="97">
        <f t="shared" si="83"/>
        <v>1</v>
      </c>
      <c r="D440" s="96">
        <f t="shared" si="84"/>
        <v>1069</v>
      </c>
      <c r="E440" s="95">
        <f>VLOOKUP(B440,'115+740'!B441:AB799,3,FALSE)</f>
        <v>2026</v>
      </c>
      <c r="F440" s="92">
        <f t="shared" si="79"/>
        <v>3095</v>
      </c>
      <c r="G440" s="94">
        <f ca="1">VLOOKUP(B440,'115+740'!$B$15:$AB$757,20,FALSE)</f>
        <v>2705</v>
      </c>
      <c r="H440" s="94">
        <f ca="1">VLOOKUP(B440,'115+740'!$B$15:$AB$757,4,FALSE)</f>
        <v>-650</v>
      </c>
      <c r="I440" s="91">
        <f t="shared" ca="1" si="80"/>
        <v>3745</v>
      </c>
      <c r="J440" s="91">
        <f ca="1">VLOOKUP(B440,'115+740'!$B$15:$AB$757,13,FALSE)</f>
        <v>-255</v>
      </c>
      <c r="K440" s="89">
        <f>'115+740'!Q441</f>
        <v>10</v>
      </c>
      <c r="L440" s="88">
        <f t="shared" ca="1" si="85"/>
        <v>295</v>
      </c>
      <c r="M440" s="93">
        <f ca="1">VLOOKUP(B440,'115+740'!$B$14:$AB$757,21,FALSE)</f>
        <v>2719</v>
      </c>
      <c r="N440" s="92">
        <f ca="1">VLOOKUP(B440,'115+740'!$B$15:$AB$757,5,FALSE)</f>
        <v>-614</v>
      </c>
      <c r="O440" s="91">
        <f t="shared" ca="1" si="81"/>
        <v>3709</v>
      </c>
      <c r="P440" s="91">
        <f ca="1">VLOOKUP(B440,'115+740'!$B$15:$AB$757,14,FALSE)</f>
        <v>-291</v>
      </c>
      <c r="Q440" s="89">
        <f>'115+740'!R441</f>
        <v>10</v>
      </c>
      <c r="R440" s="88">
        <f t="shared" ca="1" si="86"/>
        <v>281</v>
      </c>
      <c r="S440" s="93">
        <f ca="1">VLOOKUP(B440,'115+740'!$B$14:$AB$757,22,FALSE)</f>
        <v>2729</v>
      </c>
      <c r="T440" s="92">
        <f ca="1">VLOOKUP(B440,'115+740'!$B$15:$AB$757,6,FALSE)</f>
        <v>-594</v>
      </c>
      <c r="U440" s="91">
        <f t="shared" ca="1" si="82"/>
        <v>3689</v>
      </c>
      <c r="V440" s="90">
        <f ca="1">VLOOKUP(B440,'115+740'!$B$15:$AB$757,15,FALSE)</f>
        <v>-311</v>
      </c>
      <c r="W440" s="89">
        <f>'115+740'!S441</f>
        <v>10</v>
      </c>
      <c r="X440" s="88">
        <f t="shared" ca="1" si="87"/>
        <v>271</v>
      </c>
      <c r="Y440" s="87">
        <f t="shared" ca="1" si="88"/>
        <v>290</v>
      </c>
      <c r="Z440" s="86">
        <f t="shared" ca="1" si="89"/>
        <v>0.28999999999999998</v>
      </c>
      <c r="AA440" s="85">
        <f t="shared" ca="1" si="90"/>
        <v>2.948</v>
      </c>
      <c r="AB440" s="85">
        <f t="shared" ca="1" si="91"/>
        <v>2.448</v>
      </c>
    </row>
    <row r="441" spans="2:28">
      <c r="B441" s="98">
        <f>'115+740'!B442</f>
        <v>45500</v>
      </c>
      <c r="C441" s="97">
        <f t="shared" si="83"/>
        <v>1</v>
      </c>
      <c r="D441" s="96">
        <f t="shared" si="84"/>
        <v>1069</v>
      </c>
      <c r="E441" s="95">
        <f>VLOOKUP(B441,'115+740'!B442:AB800,3,FALSE)</f>
        <v>2028</v>
      </c>
      <c r="F441" s="92">
        <f t="shared" si="79"/>
        <v>3097</v>
      </c>
      <c r="G441" s="94">
        <f ca="1">VLOOKUP(B441,'115+740'!$B$15:$AB$757,20,FALSE)</f>
        <v>2695</v>
      </c>
      <c r="H441" s="94">
        <f ca="1">VLOOKUP(B441,'115+740'!$B$15:$AB$757,4,FALSE)</f>
        <v>-638</v>
      </c>
      <c r="I441" s="91">
        <f t="shared" ca="1" si="80"/>
        <v>3735</v>
      </c>
      <c r="J441" s="91">
        <f ca="1">VLOOKUP(B441,'115+740'!$B$15:$AB$757,13,FALSE)</f>
        <v>-265</v>
      </c>
      <c r="K441" s="89">
        <f>'115+740'!Q442</f>
        <v>10</v>
      </c>
      <c r="L441" s="88">
        <f t="shared" ca="1" si="85"/>
        <v>305</v>
      </c>
      <c r="M441" s="93">
        <f ca="1">VLOOKUP(B441,'115+740'!$B$14:$AB$757,21,FALSE)</f>
        <v>2710</v>
      </c>
      <c r="N441" s="92">
        <f ca="1">VLOOKUP(B441,'115+740'!$B$15:$AB$757,5,FALSE)</f>
        <v>-603</v>
      </c>
      <c r="O441" s="91">
        <f t="shared" ca="1" si="81"/>
        <v>3700</v>
      </c>
      <c r="P441" s="91">
        <f ca="1">VLOOKUP(B441,'115+740'!$B$15:$AB$757,14,FALSE)</f>
        <v>-300</v>
      </c>
      <c r="Q441" s="89">
        <f>'115+740'!R442</f>
        <v>9</v>
      </c>
      <c r="R441" s="88">
        <f t="shared" ca="1" si="86"/>
        <v>290</v>
      </c>
      <c r="S441" s="93">
        <f ca="1">VLOOKUP(B441,'115+740'!$B$14:$AB$757,22,FALSE)</f>
        <v>2719</v>
      </c>
      <c r="T441" s="92">
        <f ca="1">VLOOKUP(B441,'115+740'!$B$15:$AB$757,6,FALSE)</f>
        <v>-582</v>
      </c>
      <c r="U441" s="91">
        <f t="shared" ca="1" si="82"/>
        <v>3679</v>
      </c>
      <c r="V441" s="90">
        <f ca="1">VLOOKUP(B441,'115+740'!$B$15:$AB$757,15,FALSE)</f>
        <v>-321</v>
      </c>
      <c r="W441" s="89">
        <f>'115+740'!S442</f>
        <v>10</v>
      </c>
      <c r="X441" s="88">
        <f t="shared" ca="1" si="87"/>
        <v>281</v>
      </c>
      <c r="Y441" s="87">
        <f t="shared" ca="1" si="88"/>
        <v>-10</v>
      </c>
      <c r="Z441" s="86">
        <f t="shared" ca="1" si="89"/>
        <v>0</v>
      </c>
      <c r="AA441" s="85">
        <f t="shared" ca="1" si="90"/>
        <v>2.948</v>
      </c>
      <c r="AB441" s="85">
        <f t="shared" ca="1" si="91"/>
        <v>2.4300000000000002</v>
      </c>
    </row>
    <row r="442" spans="2:28">
      <c r="B442" s="98">
        <f>'115+740'!B443</f>
        <v>45501</v>
      </c>
      <c r="C442" s="97">
        <f t="shared" si="83"/>
        <v>1</v>
      </c>
      <c r="D442" s="96">
        <f t="shared" si="84"/>
        <v>1069</v>
      </c>
      <c r="E442" s="95">
        <f>VLOOKUP(B442,'115+740'!B443:AB801,3,FALSE)</f>
        <v>2030</v>
      </c>
      <c r="F442" s="92">
        <f t="shared" si="79"/>
        <v>3099</v>
      </c>
      <c r="G442" s="94">
        <f ca="1">VLOOKUP(B442,'115+740'!$B$15:$AB$757,20,FALSE)</f>
        <v>2691</v>
      </c>
      <c r="H442" s="94">
        <f ca="1">VLOOKUP(B442,'115+740'!$B$15:$AB$757,4,FALSE)</f>
        <v>-632</v>
      </c>
      <c r="I442" s="91">
        <f t="shared" ca="1" si="80"/>
        <v>3731</v>
      </c>
      <c r="J442" s="91">
        <f ca="1">VLOOKUP(B442,'115+740'!$B$15:$AB$757,13,FALSE)</f>
        <v>-269</v>
      </c>
      <c r="K442" s="89">
        <f>'115+740'!Q443</f>
        <v>4</v>
      </c>
      <c r="L442" s="88">
        <f t="shared" ca="1" si="85"/>
        <v>309</v>
      </c>
      <c r="M442" s="93">
        <f ca="1">VLOOKUP(B442,'115+740'!$B$14:$AB$757,21,FALSE)</f>
        <v>2701</v>
      </c>
      <c r="N442" s="92">
        <f ca="1">VLOOKUP(B442,'115+740'!$B$15:$AB$757,5,FALSE)</f>
        <v>-592</v>
      </c>
      <c r="O442" s="91">
        <f t="shared" ca="1" si="81"/>
        <v>3691</v>
      </c>
      <c r="P442" s="91">
        <f ca="1">VLOOKUP(B442,'115+740'!$B$15:$AB$757,14,FALSE)</f>
        <v>-309</v>
      </c>
      <c r="Q442" s="89">
        <f>'115+740'!R443</f>
        <v>9</v>
      </c>
      <c r="R442" s="88">
        <f t="shared" ca="1" si="86"/>
        <v>299</v>
      </c>
      <c r="S442" s="93">
        <f ca="1">VLOOKUP(B442,'115+740'!$B$14:$AB$757,22,FALSE)</f>
        <v>2712</v>
      </c>
      <c r="T442" s="92">
        <f ca="1">VLOOKUP(B442,'115+740'!$B$15:$AB$757,6,FALSE)</f>
        <v>-573</v>
      </c>
      <c r="U442" s="91">
        <f t="shared" ca="1" si="82"/>
        <v>3672</v>
      </c>
      <c r="V442" s="90">
        <f ca="1">VLOOKUP(B442,'115+740'!$B$15:$AB$757,15,FALSE)</f>
        <v>-328</v>
      </c>
      <c r="W442" s="89">
        <f>'115+740'!S443</f>
        <v>7</v>
      </c>
      <c r="X442" s="88">
        <f t="shared" ca="1" si="87"/>
        <v>288</v>
      </c>
      <c r="Y442" s="87">
        <f t="shared" ca="1" si="88"/>
        <v>-7</v>
      </c>
      <c r="Z442" s="86">
        <f t="shared" ca="1" si="89"/>
        <v>0</v>
      </c>
      <c r="AA442" s="85">
        <f t="shared" ca="1" si="90"/>
        <v>2.948</v>
      </c>
      <c r="AB442" s="85">
        <f t="shared" ca="1" si="91"/>
        <v>2.4119999999999999</v>
      </c>
    </row>
    <row r="443" spans="2:28">
      <c r="B443" s="98">
        <f>'115+740'!B444</f>
        <v>45502</v>
      </c>
      <c r="C443" s="97">
        <f t="shared" si="83"/>
        <v>1</v>
      </c>
      <c r="D443" s="96">
        <f t="shared" si="84"/>
        <v>1069</v>
      </c>
      <c r="E443" s="95">
        <f>VLOOKUP(B443,'115+740'!B444:AB802,3,FALSE)</f>
        <v>2032</v>
      </c>
      <c r="F443" s="92">
        <f t="shared" si="79"/>
        <v>3101</v>
      </c>
      <c r="G443" s="94">
        <f ca="1">VLOOKUP(B443,'115+740'!$B$15:$AB$757,20,FALSE)</f>
        <v>2686</v>
      </c>
      <c r="H443" s="94">
        <f ca="1">VLOOKUP(B443,'115+740'!$B$15:$AB$757,4,FALSE)</f>
        <v>-625</v>
      </c>
      <c r="I443" s="91">
        <f t="shared" ca="1" si="80"/>
        <v>3726</v>
      </c>
      <c r="J443" s="91">
        <f ca="1">VLOOKUP(B443,'115+740'!$B$15:$AB$757,13,FALSE)</f>
        <v>-274</v>
      </c>
      <c r="K443" s="89">
        <f>'115+740'!Q444</f>
        <v>5</v>
      </c>
      <c r="L443" s="88">
        <f t="shared" ca="1" si="85"/>
        <v>314</v>
      </c>
      <c r="M443" s="93">
        <f ca="1">VLOOKUP(B443,'115+740'!$B$14:$AB$757,21,FALSE)</f>
        <v>2692</v>
      </c>
      <c r="N443" s="92">
        <f ca="1">VLOOKUP(B443,'115+740'!$B$15:$AB$757,5,FALSE)</f>
        <v>-581</v>
      </c>
      <c r="O443" s="91">
        <f t="shared" ca="1" si="81"/>
        <v>3682</v>
      </c>
      <c r="P443" s="91">
        <f ca="1">VLOOKUP(B443,'115+740'!$B$15:$AB$757,14,FALSE)</f>
        <v>-318</v>
      </c>
      <c r="Q443" s="89">
        <f>'115+740'!R444</f>
        <v>9</v>
      </c>
      <c r="R443" s="88">
        <f t="shared" ca="1" si="86"/>
        <v>308</v>
      </c>
      <c r="S443" s="93">
        <f ca="1">VLOOKUP(B443,'115+740'!$B$14:$AB$757,22,FALSE)</f>
        <v>2705</v>
      </c>
      <c r="T443" s="92">
        <f ca="1">VLOOKUP(B443,'115+740'!$B$15:$AB$757,6,FALSE)</f>
        <v>-564</v>
      </c>
      <c r="U443" s="91">
        <f t="shared" ca="1" si="82"/>
        <v>3665</v>
      </c>
      <c r="V443" s="90">
        <f ca="1">VLOOKUP(B443,'115+740'!$B$15:$AB$757,15,FALSE)</f>
        <v>-335</v>
      </c>
      <c r="W443" s="89">
        <f>'115+740'!S444</f>
        <v>7</v>
      </c>
      <c r="X443" s="88">
        <f t="shared" ca="1" si="87"/>
        <v>295</v>
      </c>
      <c r="Y443" s="87">
        <f t="shared" ca="1" si="88"/>
        <v>-7</v>
      </c>
      <c r="Z443" s="86">
        <f t="shared" ca="1" si="89"/>
        <v>0</v>
      </c>
      <c r="AA443" s="85">
        <f t="shared" ca="1" si="90"/>
        <v>2.948</v>
      </c>
      <c r="AB443" s="85">
        <f t="shared" ca="1" si="91"/>
        <v>2.3940000000000001</v>
      </c>
    </row>
    <row r="444" spans="2:28">
      <c r="B444" s="98">
        <f>'115+740'!B445</f>
        <v>45503</v>
      </c>
      <c r="C444" s="97">
        <f t="shared" si="83"/>
        <v>1</v>
      </c>
      <c r="D444" s="96">
        <f t="shared" si="84"/>
        <v>1069</v>
      </c>
      <c r="E444" s="95">
        <f>VLOOKUP(B444,'115+740'!B445:AB803,3,FALSE)</f>
        <v>2034</v>
      </c>
      <c r="F444" s="92">
        <f t="shared" si="79"/>
        <v>3103</v>
      </c>
      <c r="G444" s="94">
        <f ca="1">VLOOKUP(B444,'115+740'!$B$15:$AB$757,20,FALSE)</f>
        <v>2680</v>
      </c>
      <c r="H444" s="94">
        <f ca="1">VLOOKUP(B444,'115+740'!$B$15:$AB$757,4,FALSE)</f>
        <v>-617</v>
      </c>
      <c r="I444" s="91">
        <f t="shared" ca="1" si="80"/>
        <v>3720</v>
      </c>
      <c r="J444" s="91">
        <f ca="1">VLOOKUP(B444,'115+740'!$B$15:$AB$757,13,FALSE)</f>
        <v>-280</v>
      </c>
      <c r="K444" s="89">
        <f>'115+740'!Q445</f>
        <v>6</v>
      </c>
      <c r="L444" s="88">
        <f t="shared" ca="1" si="85"/>
        <v>320</v>
      </c>
      <c r="M444" s="93">
        <f ca="1">VLOOKUP(B444,'115+740'!$B$14:$AB$757,21,FALSE)</f>
        <v>2684</v>
      </c>
      <c r="N444" s="92">
        <f ca="1">VLOOKUP(B444,'115+740'!$B$15:$AB$757,5,FALSE)</f>
        <v>-571</v>
      </c>
      <c r="O444" s="91">
        <f t="shared" ca="1" si="81"/>
        <v>3674</v>
      </c>
      <c r="P444" s="91">
        <f ca="1">VLOOKUP(B444,'115+740'!$B$15:$AB$757,14,FALSE)</f>
        <v>-326</v>
      </c>
      <c r="Q444" s="89">
        <f>'115+740'!R445</f>
        <v>8</v>
      </c>
      <c r="R444" s="88">
        <f t="shared" ca="1" si="86"/>
        <v>316</v>
      </c>
      <c r="S444" s="93">
        <f ca="1">VLOOKUP(B444,'115+740'!$B$14:$AB$757,22,FALSE)</f>
        <v>2698</v>
      </c>
      <c r="T444" s="92">
        <f ca="1">VLOOKUP(B444,'115+740'!$B$15:$AB$757,6,FALSE)</f>
        <v>-555</v>
      </c>
      <c r="U444" s="91">
        <f t="shared" ca="1" si="82"/>
        <v>3658</v>
      </c>
      <c r="V444" s="90">
        <f ca="1">VLOOKUP(B444,'115+740'!$B$15:$AB$757,15,FALSE)</f>
        <v>-342</v>
      </c>
      <c r="W444" s="89">
        <f>'115+740'!S445</f>
        <v>7</v>
      </c>
      <c r="X444" s="88">
        <f t="shared" ca="1" si="87"/>
        <v>302</v>
      </c>
      <c r="Y444" s="87">
        <f t="shared" ca="1" si="88"/>
        <v>-7</v>
      </c>
      <c r="Z444" s="86">
        <f t="shared" ca="1" si="89"/>
        <v>0</v>
      </c>
      <c r="AA444" s="85">
        <f t="shared" ca="1" si="90"/>
        <v>2.948</v>
      </c>
      <c r="AB444" s="85">
        <f t="shared" ca="1" si="91"/>
        <v>2.3780000000000001</v>
      </c>
    </row>
    <row r="445" spans="2:28">
      <c r="B445" s="98">
        <f>'115+740'!B446</f>
        <v>45504</v>
      </c>
      <c r="C445" s="97">
        <f t="shared" si="83"/>
        <v>1</v>
      </c>
      <c r="D445" s="96">
        <f t="shared" si="84"/>
        <v>1069</v>
      </c>
      <c r="E445" s="95">
        <f>VLOOKUP(B445,'115+740'!B446:AB804,3,FALSE)</f>
        <v>2036</v>
      </c>
      <c r="F445" s="92">
        <f t="shared" si="79"/>
        <v>3105</v>
      </c>
      <c r="G445" s="94">
        <f ca="1">VLOOKUP(B445,'115+740'!$B$15:$AB$757,20,FALSE)</f>
        <v>2970</v>
      </c>
      <c r="H445" s="94">
        <f ca="1">VLOOKUP(B445,'115+740'!$B$15:$AB$757,4,FALSE)</f>
        <v>-605</v>
      </c>
      <c r="I445" s="91">
        <f t="shared" ca="1" si="80"/>
        <v>3710</v>
      </c>
      <c r="J445" s="91">
        <f ca="1">VLOOKUP(B445,'115+740'!$B$15:$AB$757,13,FALSE)</f>
        <v>-290</v>
      </c>
      <c r="K445" s="89">
        <f>'115+740'!Q446</f>
        <v>10</v>
      </c>
      <c r="L445" s="88">
        <f t="shared" ca="1" si="85"/>
        <v>330</v>
      </c>
      <c r="M445" s="93">
        <f ca="1">VLOOKUP(B445,'115+740'!$B$14:$AB$757,21,FALSE)</f>
        <v>2974</v>
      </c>
      <c r="N445" s="92">
        <f ca="1">VLOOKUP(B445,'115+740'!$B$15:$AB$757,5,FALSE)</f>
        <v>-559</v>
      </c>
      <c r="O445" s="91">
        <f t="shared" ca="1" si="81"/>
        <v>3664</v>
      </c>
      <c r="P445" s="91">
        <f ca="1">VLOOKUP(B445,'115+740'!$B$15:$AB$757,14,FALSE)</f>
        <v>-336</v>
      </c>
      <c r="Q445" s="89">
        <f>'115+740'!R446</f>
        <v>10</v>
      </c>
      <c r="R445" s="88">
        <f t="shared" ca="1" si="86"/>
        <v>326</v>
      </c>
      <c r="S445" s="93">
        <f ca="1">VLOOKUP(B445,'115+740'!$B$14:$AB$757,22,FALSE)</f>
        <v>2988</v>
      </c>
      <c r="T445" s="92">
        <f ca="1">VLOOKUP(B445,'115+740'!$B$15:$AB$757,6,FALSE)</f>
        <v>-543</v>
      </c>
      <c r="U445" s="91">
        <f t="shared" ca="1" si="82"/>
        <v>3648</v>
      </c>
      <c r="V445" s="90">
        <f ca="1">VLOOKUP(B445,'115+740'!$B$15:$AB$757,15,FALSE)</f>
        <v>-352</v>
      </c>
      <c r="W445" s="89">
        <f>'115+740'!S446</f>
        <v>10</v>
      </c>
      <c r="X445" s="88">
        <f t="shared" ca="1" si="87"/>
        <v>312</v>
      </c>
      <c r="Y445" s="87">
        <f t="shared" ca="1" si="88"/>
        <v>290</v>
      </c>
      <c r="Z445" s="86">
        <f t="shared" ca="1" si="89"/>
        <v>0.28999999999999998</v>
      </c>
      <c r="AA445" s="85">
        <f t="shared" ca="1" si="90"/>
        <v>3.238</v>
      </c>
      <c r="AB445" s="85">
        <f t="shared" ca="1" si="91"/>
        <v>2.6579999999999999</v>
      </c>
    </row>
    <row r="446" spans="2:28">
      <c r="B446" s="98">
        <f>'115+740'!B447</f>
        <v>45505</v>
      </c>
      <c r="C446" s="97">
        <f t="shared" si="83"/>
        <v>1</v>
      </c>
      <c r="D446" s="96">
        <f t="shared" si="84"/>
        <v>1069</v>
      </c>
      <c r="E446" s="95">
        <f>VLOOKUP(B446,'115+740'!B447:AB805,3,FALSE)</f>
        <v>2038</v>
      </c>
      <c r="F446" s="92">
        <f t="shared" si="79"/>
        <v>3107</v>
      </c>
      <c r="G446" s="94">
        <f ca="1">VLOOKUP(B446,'115+740'!$B$15:$AB$757,20,FALSE)</f>
        <v>2960</v>
      </c>
      <c r="H446" s="94">
        <f ca="1">VLOOKUP(B446,'115+740'!$B$15:$AB$757,4,FALSE)</f>
        <v>-593</v>
      </c>
      <c r="I446" s="91">
        <f t="shared" ca="1" si="80"/>
        <v>3700</v>
      </c>
      <c r="J446" s="91">
        <f ca="1">VLOOKUP(B446,'115+740'!$B$15:$AB$757,13,FALSE)</f>
        <v>-300</v>
      </c>
      <c r="K446" s="89">
        <f>'115+740'!Q447</f>
        <v>10</v>
      </c>
      <c r="L446" s="88">
        <f t="shared" ca="1" si="85"/>
        <v>340</v>
      </c>
      <c r="M446" s="93">
        <f ca="1">VLOOKUP(B446,'115+740'!$B$14:$AB$757,21,FALSE)</f>
        <v>2965</v>
      </c>
      <c r="N446" s="92">
        <f ca="1">VLOOKUP(B446,'115+740'!$B$15:$AB$757,5,FALSE)</f>
        <v>-548</v>
      </c>
      <c r="O446" s="91">
        <f t="shared" ca="1" si="81"/>
        <v>3655</v>
      </c>
      <c r="P446" s="91">
        <f ca="1">VLOOKUP(B446,'115+740'!$B$15:$AB$757,14,FALSE)</f>
        <v>-345</v>
      </c>
      <c r="Q446" s="89">
        <f>'115+740'!R447</f>
        <v>9</v>
      </c>
      <c r="R446" s="88">
        <f t="shared" ca="1" si="86"/>
        <v>335</v>
      </c>
      <c r="S446" s="93">
        <f ca="1">VLOOKUP(B446,'115+740'!$B$14:$AB$757,22,FALSE)</f>
        <v>2978</v>
      </c>
      <c r="T446" s="92">
        <f ca="1">VLOOKUP(B446,'115+740'!$B$15:$AB$757,6,FALSE)</f>
        <v>-531</v>
      </c>
      <c r="U446" s="91">
        <f t="shared" ca="1" si="82"/>
        <v>3638</v>
      </c>
      <c r="V446" s="90">
        <f ca="1">VLOOKUP(B446,'115+740'!$B$15:$AB$757,15,FALSE)</f>
        <v>-362</v>
      </c>
      <c r="W446" s="89">
        <f>'115+740'!S447</f>
        <v>10</v>
      </c>
      <c r="X446" s="88">
        <f t="shared" ca="1" si="87"/>
        <v>322</v>
      </c>
      <c r="Y446" s="87">
        <f t="shared" ca="1" si="88"/>
        <v>-10</v>
      </c>
      <c r="Z446" s="86">
        <f t="shared" ca="1" si="89"/>
        <v>0</v>
      </c>
      <c r="AA446" s="85">
        <f t="shared" ca="1" si="90"/>
        <v>3.238</v>
      </c>
      <c r="AB446" s="85">
        <f t="shared" ca="1" si="91"/>
        <v>2.64</v>
      </c>
    </row>
    <row r="447" spans="2:28">
      <c r="B447" s="98">
        <f>'115+740'!B448</f>
        <v>45506</v>
      </c>
      <c r="C447" s="97">
        <f t="shared" si="83"/>
        <v>1</v>
      </c>
      <c r="D447" s="96">
        <f t="shared" si="84"/>
        <v>1069</v>
      </c>
      <c r="E447" s="95">
        <f>VLOOKUP(B447,'115+740'!B448:AB806,3,FALSE)</f>
        <v>2040</v>
      </c>
      <c r="F447" s="92">
        <f t="shared" si="79"/>
        <v>3109</v>
      </c>
      <c r="G447" s="94">
        <f ca="1">VLOOKUP(B447,'115+740'!$B$15:$AB$757,20,FALSE)</f>
        <v>2956</v>
      </c>
      <c r="H447" s="94">
        <f ca="1">VLOOKUP(B447,'115+740'!$B$15:$AB$757,4,FALSE)</f>
        <v>-587</v>
      </c>
      <c r="I447" s="91">
        <f t="shared" ca="1" si="80"/>
        <v>3696</v>
      </c>
      <c r="J447" s="91">
        <f ca="1">VLOOKUP(B447,'115+740'!$B$15:$AB$757,13,FALSE)</f>
        <v>-304</v>
      </c>
      <c r="K447" s="89">
        <f>'115+740'!Q448</f>
        <v>4</v>
      </c>
      <c r="L447" s="88">
        <f t="shared" ca="1" si="85"/>
        <v>344</v>
      </c>
      <c r="M447" s="93">
        <f ca="1">VLOOKUP(B447,'115+740'!$B$14:$AB$757,21,FALSE)</f>
        <v>2957</v>
      </c>
      <c r="N447" s="92">
        <f ca="1">VLOOKUP(B447,'115+740'!$B$15:$AB$757,5,FALSE)</f>
        <v>-538</v>
      </c>
      <c r="O447" s="91">
        <f t="shared" ca="1" si="81"/>
        <v>3647</v>
      </c>
      <c r="P447" s="91">
        <f ca="1">VLOOKUP(B447,'115+740'!$B$15:$AB$757,14,FALSE)</f>
        <v>-353</v>
      </c>
      <c r="Q447" s="89">
        <f>'115+740'!R448</f>
        <v>8</v>
      </c>
      <c r="R447" s="88">
        <f t="shared" ca="1" si="86"/>
        <v>343</v>
      </c>
      <c r="S447" s="93">
        <f ca="1">VLOOKUP(B447,'115+740'!$B$14:$AB$757,22,FALSE)</f>
        <v>2971</v>
      </c>
      <c r="T447" s="92">
        <f ca="1">VLOOKUP(B447,'115+740'!$B$15:$AB$757,6,FALSE)</f>
        <v>-522</v>
      </c>
      <c r="U447" s="91">
        <f t="shared" ca="1" si="82"/>
        <v>3631</v>
      </c>
      <c r="V447" s="90">
        <f ca="1">VLOOKUP(B447,'115+740'!$B$15:$AB$757,15,FALSE)</f>
        <v>-369</v>
      </c>
      <c r="W447" s="89">
        <f>'115+740'!S448</f>
        <v>7</v>
      </c>
      <c r="X447" s="88">
        <f t="shared" ca="1" si="87"/>
        <v>329</v>
      </c>
      <c r="Y447" s="87">
        <f t="shared" ca="1" si="88"/>
        <v>-7</v>
      </c>
      <c r="Z447" s="86">
        <f t="shared" ca="1" si="89"/>
        <v>0</v>
      </c>
      <c r="AA447" s="85">
        <f t="shared" ca="1" si="90"/>
        <v>3.238</v>
      </c>
      <c r="AB447" s="85">
        <f t="shared" ca="1" si="91"/>
        <v>2.6240000000000001</v>
      </c>
    </row>
    <row r="448" spans="2:28">
      <c r="B448" s="98">
        <f>'115+740'!B449</f>
        <v>45507</v>
      </c>
      <c r="C448" s="97">
        <f t="shared" si="83"/>
        <v>1</v>
      </c>
      <c r="D448" s="96">
        <f t="shared" si="84"/>
        <v>1069</v>
      </c>
      <c r="E448" s="95">
        <f>VLOOKUP(B448,'115+740'!B449:AB807,3,FALSE)</f>
        <v>2042</v>
      </c>
      <c r="F448" s="92">
        <f t="shared" si="79"/>
        <v>3111</v>
      </c>
      <c r="G448" s="94">
        <f ca="1">VLOOKUP(B448,'115+740'!$B$15:$AB$757,20,FALSE)</f>
        <v>2952</v>
      </c>
      <c r="H448" s="94">
        <f ca="1">VLOOKUP(B448,'115+740'!$B$15:$AB$757,4,FALSE)</f>
        <v>-581</v>
      </c>
      <c r="I448" s="91">
        <f t="shared" ca="1" si="80"/>
        <v>3692</v>
      </c>
      <c r="J448" s="91">
        <f ca="1">VLOOKUP(B448,'115+740'!$B$15:$AB$757,13,FALSE)</f>
        <v>-308</v>
      </c>
      <c r="K448" s="89">
        <f>'115+740'!Q449</f>
        <v>4</v>
      </c>
      <c r="L448" s="88">
        <f t="shared" ca="1" si="85"/>
        <v>348</v>
      </c>
      <c r="M448" s="93">
        <f ca="1">VLOOKUP(B448,'115+740'!$B$14:$AB$757,21,FALSE)</f>
        <v>2948</v>
      </c>
      <c r="N448" s="92">
        <f ca="1">VLOOKUP(B448,'115+740'!$B$15:$AB$757,5,FALSE)</f>
        <v>-527</v>
      </c>
      <c r="O448" s="91">
        <f t="shared" ca="1" si="81"/>
        <v>3638</v>
      </c>
      <c r="P448" s="91">
        <f ca="1">VLOOKUP(B448,'115+740'!$B$15:$AB$757,14,FALSE)</f>
        <v>-362</v>
      </c>
      <c r="Q448" s="89">
        <f>'115+740'!R449</f>
        <v>9</v>
      </c>
      <c r="R448" s="88">
        <f t="shared" ca="1" si="86"/>
        <v>352</v>
      </c>
      <c r="S448" s="93">
        <f ca="1">VLOOKUP(B448,'115+740'!$B$14:$AB$757,22,FALSE)</f>
        <v>2964</v>
      </c>
      <c r="T448" s="92">
        <f ca="1">VLOOKUP(B448,'115+740'!$B$15:$AB$757,6,FALSE)</f>
        <v>-513</v>
      </c>
      <c r="U448" s="91">
        <f t="shared" ca="1" si="82"/>
        <v>3624</v>
      </c>
      <c r="V448" s="90">
        <f ca="1">VLOOKUP(B448,'115+740'!$B$15:$AB$757,15,FALSE)</f>
        <v>-376</v>
      </c>
      <c r="W448" s="89">
        <f>'115+740'!S449</f>
        <v>7</v>
      </c>
      <c r="X448" s="88">
        <f t="shared" ca="1" si="87"/>
        <v>336</v>
      </c>
      <c r="Y448" s="87">
        <f t="shared" ca="1" si="88"/>
        <v>-7</v>
      </c>
      <c r="Z448" s="86">
        <f t="shared" ca="1" si="89"/>
        <v>0</v>
      </c>
      <c r="AA448" s="85">
        <f t="shared" ca="1" si="90"/>
        <v>3.238</v>
      </c>
      <c r="AB448" s="85">
        <f t="shared" ca="1" si="91"/>
        <v>2.6059999999999999</v>
      </c>
    </row>
    <row r="449" spans="2:28">
      <c r="B449" s="98">
        <f>'115+740'!B450</f>
        <v>45508</v>
      </c>
      <c r="C449" s="97">
        <f t="shared" si="83"/>
        <v>1</v>
      </c>
      <c r="D449" s="96">
        <f t="shared" si="84"/>
        <v>1069</v>
      </c>
      <c r="E449" s="95">
        <f>VLOOKUP(B449,'115+740'!B450:AB808,3,FALSE)</f>
        <v>2044</v>
      </c>
      <c r="F449" s="92">
        <f t="shared" si="79"/>
        <v>3113</v>
      </c>
      <c r="G449" s="94">
        <f ca="1">VLOOKUP(B449,'115+740'!$B$15:$AB$757,20,FALSE)</f>
        <v>2946</v>
      </c>
      <c r="H449" s="94">
        <f ca="1">VLOOKUP(B449,'115+740'!$B$15:$AB$757,4,FALSE)</f>
        <v>-573</v>
      </c>
      <c r="I449" s="91">
        <f t="shared" ca="1" si="80"/>
        <v>3686</v>
      </c>
      <c r="J449" s="91">
        <f ca="1">VLOOKUP(B449,'115+740'!$B$15:$AB$757,13,FALSE)</f>
        <v>-314</v>
      </c>
      <c r="K449" s="89">
        <f>'115+740'!Q450</f>
        <v>6</v>
      </c>
      <c r="L449" s="88">
        <f t="shared" ca="1" si="85"/>
        <v>354</v>
      </c>
      <c r="M449" s="93">
        <f ca="1">VLOOKUP(B449,'115+740'!$B$14:$AB$757,21,FALSE)</f>
        <v>2940</v>
      </c>
      <c r="N449" s="92">
        <f ca="1">VLOOKUP(B449,'115+740'!$B$15:$AB$757,5,FALSE)</f>
        <v>-517</v>
      </c>
      <c r="O449" s="91">
        <f t="shared" ca="1" si="81"/>
        <v>3630</v>
      </c>
      <c r="P449" s="91">
        <f ca="1">VLOOKUP(B449,'115+740'!$B$15:$AB$757,14,FALSE)</f>
        <v>-370</v>
      </c>
      <c r="Q449" s="89">
        <f>'115+740'!R450</f>
        <v>8</v>
      </c>
      <c r="R449" s="88">
        <f t="shared" ca="1" si="86"/>
        <v>360</v>
      </c>
      <c r="S449" s="93">
        <f ca="1">VLOOKUP(B449,'115+740'!$B$14:$AB$757,22,FALSE)</f>
        <v>2957</v>
      </c>
      <c r="T449" s="92">
        <f ca="1">VLOOKUP(B449,'115+740'!$B$15:$AB$757,6,FALSE)</f>
        <v>-504</v>
      </c>
      <c r="U449" s="91">
        <f t="shared" ca="1" si="82"/>
        <v>3617</v>
      </c>
      <c r="V449" s="90">
        <f ca="1">VLOOKUP(B449,'115+740'!$B$15:$AB$757,15,FALSE)</f>
        <v>-383</v>
      </c>
      <c r="W449" s="89">
        <f>'115+740'!S450</f>
        <v>7</v>
      </c>
      <c r="X449" s="88">
        <f t="shared" ca="1" si="87"/>
        <v>343</v>
      </c>
      <c r="Y449" s="87">
        <f t="shared" ca="1" si="88"/>
        <v>-7</v>
      </c>
      <c r="Z449" s="86">
        <f t="shared" ca="1" si="89"/>
        <v>0</v>
      </c>
      <c r="AA449" s="85">
        <f t="shared" ca="1" si="90"/>
        <v>3.238</v>
      </c>
      <c r="AB449" s="85">
        <f t="shared" ca="1" si="91"/>
        <v>2.59</v>
      </c>
    </row>
    <row r="450" spans="2:28">
      <c r="B450" s="98">
        <f>'115+740'!B451</f>
        <v>45509</v>
      </c>
      <c r="C450" s="97">
        <f t="shared" si="83"/>
        <v>1</v>
      </c>
      <c r="D450" s="96">
        <f t="shared" si="84"/>
        <v>1069</v>
      </c>
      <c r="E450" s="95">
        <f>VLOOKUP(B450,'115+740'!B451:AB809,3,FALSE)</f>
        <v>2046</v>
      </c>
      <c r="F450" s="92">
        <f t="shared" si="79"/>
        <v>3115</v>
      </c>
      <c r="G450" s="94">
        <f ca="1">VLOOKUP(B450,'115+740'!$B$15:$AB$757,20,FALSE)</f>
        <v>3236</v>
      </c>
      <c r="H450" s="94">
        <f ca="1">VLOOKUP(B450,'115+740'!$B$15:$AB$757,4,FALSE)</f>
        <v>-561</v>
      </c>
      <c r="I450" s="91">
        <f t="shared" ca="1" si="80"/>
        <v>3676</v>
      </c>
      <c r="J450" s="91">
        <f ca="1">VLOOKUP(B450,'115+740'!$B$15:$AB$757,13,FALSE)</f>
        <v>-324</v>
      </c>
      <c r="K450" s="89">
        <f>'115+740'!Q451</f>
        <v>10</v>
      </c>
      <c r="L450" s="88">
        <f t="shared" ca="1" si="85"/>
        <v>364</v>
      </c>
      <c r="M450" s="93">
        <f ca="1">VLOOKUP(B450,'115+740'!$B$14:$AB$757,21,FALSE)</f>
        <v>3230</v>
      </c>
      <c r="N450" s="92">
        <f ca="1">VLOOKUP(B450,'115+740'!$B$15:$AB$757,5,FALSE)</f>
        <v>-505</v>
      </c>
      <c r="O450" s="91">
        <f t="shared" ca="1" si="81"/>
        <v>3620</v>
      </c>
      <c r="P450" s="91">
        <f ca="1">VLOOKUP(B450,'115+740'!$B$15:$AB$757,14,FALSE)</f>
        <v>-380</v>
      </c>
      <c r="Q450" s="89">
        <f>'115+740'!R451</f>
        <v>10</v>
      </c>
      <c r="R450" s="88">
        <f t="shared" ca="1" si="86"/>
        <v>370</v>
      </c>
      <c r="S450" s="93">
        <f ca="1">VLOOKUP(B450,'115+740'!$B$14:$AB$757,22,FALSE)</f>
        <v>3247</v>
      </c>
      <c r="T450" s="92">
        <f ca="1">VLOOKUP(B450,'115+740'!$B$15:$AB$757,6,FALSE)</f>
        <v>-492</v>
      </c>
      <c r="U450" s="91">
        <f t="shared" ca="1" si="82"/>
        <v>3607</v>
      </c>
      <c r="V450" s="90">
        <f ca="1">VLOOKUP(B450,'115+740'!$B$15:$AB$757,15,FALSE)</f>
        <v>-393</v>
      </c>
      <c r="W450" s="89">
        <f>'115+740'!S451</f>
        <v>10</v>
      </c>
      <c r="X450" s="88">
        <f t="shared" ca="1" si="87"/>
        <v>353</v>
      </c>
      <c r="Y450" s="87">
        <f t="shared" ca="1" si="88"/>
        <v>290</v>
      </c>
      <c r="Z450" s="86">
        <f t="shared" ca="1" si="89"/>
        <v>0.28999999999999998</v>
      </c>
      <c r="AA450" s="85">
        <f t="shared" ca="1" si="90"/>
        <v>3.528</v>
      </c>
      <c r="AB450" s="85">
        <f t="shared" ca="1" si="91"/>
        <v>2.87</v>
      </c>
    </row>
    <row r="451" spans="2:28">
      <c r="B451" s="98">
        <f>'115+740'!B452</f>
        <v>45510</v>
      </c>
      <c r="C451" s="97">
        <f t="shared" si="83"/>
        <v>1</v>
      </c>
      <c r="D451" s="96">
        <f t="shared" si="84"/>
        <v>1069</v>
      </c>
      <c r="E451" s="95">
        <f>VLOOKUP(B451,'115+740'!B452:AB810,3,FALSE)</f>
        <v>2048</v>
      </c>
      <c r="F451" s="92">
        <f t="shared" si="79"/>
        <v>3117</v>
      </c>
      <c r="G451" s="94">
        <f ca="1">VLOOKUP(B451,'115+740'!$B$15:$AB$757,20,FALSE)</f>
        <v>3229</v>
      </c>
      <c r="H451" s="94">
        <f ca="1">VLOOKUP(B451,'115+740'!$B$15:$AB$757,4,FALSE)</f>
        <v>-552</v>
      </c>
      <c r="I451" s="91">
        <f t="shared" ca="1" si="80"/>
        <v>3669</v>
      </c>
      <c r="J451" s="91">
        <f ca="1">VLOOKUP(B451,'115+740'!$B$15:$AB$757,13,FALSE)</f>
        <v>-331</v>
      </c>
      <c r="K451" s="89">
        <f>'115+740'!Q452</f>
        <v>7</v>
      </c>
      <c r="L451" s="88">
        <f t="shared" ca="1" si="85"/>
        <v>371</v>
      </c>
      <c r="M451" s="93">
        <f ca="1">VLOOKUP(B451,'115+740'!$B$14:$AB$757,21,FALSE)</f>
        <v>3222</v>
      </c>
      <c r="N451" s="92">
        <f ca="1">VLOOKUP(B451,'115+740'!$B$15:$AB$757,5,FALSE)</f>
        <v>-495</v>
      </c>
      <c r="O451" s="91">
        <f t="shared" ca="1" si="81"/>
        <v>3612</v>
      </c>
      <c r="P451" s="91">
        <f ca="1">VLOOKUP(B451,'115+740'!$B$15:$AB$757,14,FALSE)</f>
        <v>-388</v>
      </c>
      <c r="Q451" s="89">
        <f>'115+740'!R452</f>
        <v>8</v>
      </c>
      <c r="R451" s="88">
        <f t="shared" ca="1" si="86"/>
        <v>378</v>
      </c>
      <c r="S451" s="93">
        <f ca="1">VLOOKUP(B451,'115+740'!$B$14:$AB$757,22,FALSE)</f>
        <v>3239</v>
      </c>
      <c r="T451" s="92">
        <f ca="1">VLOOKUP(B451,'115+740'!$B$15:$AB$757,6,FALSE)</f>
        <v>-482</v>
      </c>
      <c r="U451" s="91">
        <f t="shared" ca="1" si="82"/>
        <v>3599</v>
      </c>
      <c r="V451" s="90">
        <f ca="1">VLOOKUP(B451,'115+740'!$B$15:$AB$757,15,FALSE)</f>
        <v>-401</v>
      </c>
      <c r="W451" s="89">
        <f>'115+740'!S452</f>
        <v>8</v>
      </c>
      <c r="X451" s="88">
        <f t="shared" ca="1" si="87"/>
        <v>361</v>
      </c>
      <c r="Y451" s="87">
        <f t="shared" ca="1" si="88"/>
        <v>-8</v>
      </c>
      <c r="Z451" s="86">
        <f t="shared" ca="1" si="89"/>
        <v>0</v>
      </c>
      <c r="AA451" s="85">
        <f t="shared" ca="1" si="90"/>
        <v>3.528</v>
      </c>
      <c r="AB451" s="85">
        <f t="shared" ca="1" si="91"/>
        <v>2.8540000000000001</v>
      </c>
    </row>
    <row r="452" spans="2:28">
      <c r="B452" s="98">
        <f>'115+740'!B453</f>
        <v>45511</v>
      </c>
      <c r="C452" s="97">
        <f t="shared" si="83"/>
        <v>1</v>
      </c>
      <c r="D452" s="96">
        <f t="shared" si="84"/>
        <v>1069</v>
      </c>
      <c r="E452" s="95">
        <f>VLOOKUP(B452,'115+740'!B453:AB811,3,FALSE)</f>
        <v>2050</v>
      </c>
      <c r="F452" s="92">
        <f t="shared" si="79"/>
        <v>3119</v>
      </c>
      <c r="G452" s="94">
        <f ca="1">VLOOKUP(B452,'115+740'!$B$15:$AB$757,20,FALSE)</f>
        <v>3221</v>
      </c>
      <c r="H452" s="94">
        <f ca="1">VLOOKUP(B452,'115+740'!$B$15:$AB$757,4,FALSE)</f>
        <v>-542</v>
      </c>
      <c r="I452" s="91">
        <f t="shared" ca="1" si="80"/>
        <v>3661</v>
      </c>
      <c r="J452" s="91">
        <f ca="1">VLOOKUP(B452,'115+740'!$B$15:$AB$757,13,FALSE)</f>
        <v>-339</v>
      </c>
      <c r="K452" s="89">
        <f>'115+740'!Q453</f>
        <v>8</v>
      </c>
      <c r="L452" s="88">
        <f t="shared" ca="1" si="85"/>
        <v>379</v>
      </c>
      <c r="M452" s="93">
        <f ca="1">VLOOKUP(B452,'115+740'!$B$14:$AB$757,21,FALSE)</f>
        <v>3213</v>
      </c>
      <c r="N452" s="92">
        <f ca="1">VLOOKUP(B452,'115+740'!$B$15:$AB$757,5,FALSE)</f>
        <v>-484</v>
      </c>
      <c r="O452" s="91">
        <f t="shared" ca="1" si="81"/>
        <v>3603</v>
      </c>
      <c r="P452" s="91">
        <f ca="1">VLOOKUP(B452,'115+740'!$B$15:$AB$757,14,FALSE)</f>
        <v>-397</v>
      </c>
      <c r="Q452" s="89">
        <f>'115+740'!R453</f>
        <v>9</v>
      </c>
      <c r="R452" s="88">
        <f t="shared" ca="1" si="86"/>
        <v>387</v>
      </c>
      <c r="S452" s="93">
        <f ca="1">VLOOKUP(B452,'115+740'!$B$14:$AB$757,22,FALSE)</f>
        <v>3231</v>
      </c>
      <c r="T452" s="92">
        <f ca="1">VLOOKUP(B452,'115+740'!$B$15:$AB$757,6,FALSE)</f>
        <v>-472</v>
      </c>
      <c r="U452" s="91">
        <f t="shared" ca="1" si="82"/>
        <v>3591</v>
      </c>
      <c r="V452" s="90">
        <f ca="1">VLOOKUP(B452,'115+740'!$B$15:$AB$757,15,FALSE)</f>
        <v>-409</v>
      </c>
      <c r="W452" s="89">
        <f>'115+740'!S453</f>
        <v>8</v>
      </c>
      <c r="X452" s="88">
        <f t="shared" ca="1" si="87"/>
        <v>369</v>
      </c>
      <c r="Y452" s="87">
        <f t="shared" ca="1" si="88"/>
        <v>-8</v>
      </c>
      <c r="Z452" s="86">
        <f t="shared" ca="1" si="89"/>
        <v>0</v>
      </c>
      <c r="AA452" s="85">
        <f t="shared" ca="1" si="90"/>
        <v>3.528</v>
      </c>
      <c r="AB452" s="85">
        <f t="shared" ca="1" si="91"/>
        <v>2.8359999999999999</v>
      </c>
    </row>
    <row r="453" spans="2:28">
      <c r="B453" s="98">
        <f>'115+740'!B454</f>
        <v>45512</v>
      </c>
      <c r="C453" s="97">
        <f t="shared" si="83"/>
        <v>1</v>
      </c>
      <c r="D453" s="96">
        <f t="shared" si="84"/>
        <v>1069</v>
      </c>
      <c r="E453" s="95">
        <f>VLOOKUP(B453,'115+740'!B454:AB812,3,FALSE)</f>
        <v>2052</v>
      </c>
      <c r="F453" s="92">
        <f t="shared" si="79"/>
        <v>3121</v>
      </c>
      <c r="G453" s="94">
        <f ca="1">VLOOKUP(B453,'115+740'!$B$15:$AB$757,20,FALSE)</f>
        <v>3212</v>
      </c>
      <c r="H453" s="94">
        <f ca="1">VLOOKUP(B453,'115+740'!$B$15:$AB$757,4,FALSE)</f>
        <v>-531</v>
      </c>
      <c r="I453" s="91">
        <f t="shared" ca="1" si="80"/>
        <v>3652</v>
      </c>
      <c r="J453" s="91">
        <f ca="1">VLOOKUP(B453,'115+740'!$B$15:$AB$757,13,FALSE)</f>
        <v>-348</v>
      </c>
      <c r="K453" s="89">
        <f>'115+740'!Q454</f>
        <v>9</v>
      </c>
      <c r="L453" s="88">
        <f t="shared" ca="1" si="85"/>
        <v>388</v>
      </c>
      <c r="M453" s="93">
        <f ca="1">VLOOKUP(B453,'115+740'!$B$14:$AB$757,21,FALSE)</f>
        <v>3205</v>
      </c>
      <c r="N453" s="92">
        <f ca="1">VLOOKUP(B453,'115+740'!$B$15:$AB$757,5,FALSE)</f>
        <v>-474</v>
      </c>
      <c r="O453" s="91">
        <f t="shared" ca="1" si="81"/>
        <v>3595</v>
      </c>
      <c r="P453" s="91">
        <f ca="1">VLOOKUP(B453,'115+740'!$B$15:$AB$757,14,FALSE)</f>
        <v>-405</v>
      </c>
      <c r="Q453" s="89">
        <f>'115+740'!R454</f>
        <v>8</v>
      </c>
      <c r="R453" s="88">
        <f t="shared" ca="1" si="86"/>
        <v>395</v>
      </c>
      <c r="S453" s="93">
        <f ca="1">VLOOKUP(B453,'115+740'!$B$14:$AB$757,22,FALSE)</f>
        <v>3222</v>
      </c>
      <c r="T453" s="92">
        <f ca="1">VLOOKUP(B453,'115+740'!$B$15:$AB$757,6,FALSE)</f>
        <v>-461</v>
      </c>
      <c r="U453" s="91">
        <f t="shared" ca="1" si="82"/>
        <v>3582</v>
      </c>
      <c r="V453" s="90">
        <f ca="1">VLOOKUP(B453,'115+740'!$B$15:$AB$757,15,FALSE)</f>
        <v>-418</v>
      </c>
      <c r="W453" s="89">
        <f>'115+740'!S454</f>
        <v>9</v>
      </c>
      <c r="X453" s="88">
        <f t="shared" ca="1" si="87"/>
        <v>378</v>
      </c>
      <c r="Y453" s="87">
        <f t="shared" ca="1" si="88"/>
        <v>-9</v>
      </c>
      <c r="Z453" s="86">
        <f t="shared" ca="1" si="89"/>
        <v>0</v>
      </c>
      <c r="AA453" s="85">
        <f t="shared" ca="1" si="90"/>
        <v>3.528</v>
      </c>
      <c r="AB453" s="85">
        <f t="shared" ca="1" si="91"/>
        <v>2.82</v>
      </c>
    </row>
    <row r="454" spans="2:28">
      <c r="B454" s="98">
        <f>'115+740'!B455</f>
        <v>45513</v>
      </c>
      <c r="C454" s="97">
        <f t="shared" si="83"/>
        <v>1</v>
      </c>
      <c r="D454" s="96">
        <f t="shared" si="84"/>
        <v>1069</v>
      </c>
      <c r="E454" s="95">
        <f>VLOOKUP(B454,'115+740'!B455:AB813,3,FALSE)</f>
        <v>2054</v>
      </c>
      <c r="F454" s="92">
        <f t="shared" si="79"/>
        <v>3123</v>
      </c>
      <c r="G454" s="94">
        <f ca="1">VLOOKUP(B454,'115+740'!$B$15:$AB$757,20,FALSE)</f>
        <v>3502</v>
      </c>
      <c r="H454" s="94">
        <f ca="1">VLOOKUP(B454,'115+740'!$B$15:$AB$757,4,FALSE)</f>
        <v>-519</v>
      </c>
      <c r="I454" s="91">
        <f t="shared" ca="1" si="80"/>
        <v>3642</v>
      </c>
      <c r="J454" s="91">
        <f ca="1">VLOOKUP(B454,'115+740'!$B$15:$AB$757,13,FALSE)</f>
        <v>-358</v>
      </c>
      <c r="K454" s="89">
        <f>'115+740'!Q455</f>
        <v>10</v>
      </c>
      <c r="L454" s="88">
        <f t="shared" ca="1" si="85"/>
        <v>398</v>
      </c>
      <c r="M454" s="93">
        <f ca="1">VLOOKUP(B454,'115+740'!$B$14:$AB$757,21,FALSE)</f>
        <v>3496</v>
      </c>
      <c r="N454" s="92">
        <f ca="1">VLOOKUP(B454,'115+740'!$B$15:$AB$757,5,FALSE)</f>
        <v>-463</v>
      </c>
      <c r="O454" s="91">
        <f t="shared" ca="1" si="81"/>
        <v>3586</v>
      </c>
      <c r="P454" s="91">
        <f ca="1">VLOOKUP(B454,'115+740'!$B$15:$AB$757,14,FALSE)</f>
        <v>-414</v>
      </c>
      <c r="Q454" s="89">
        <f>'115+740'!R455</f>
        <v>9</v>
      </c>
      <c r="R454" s="88">
        <f t="shared" ca="1" si="86"/>
        <v>404</v>
      </c>
      <c r="S454" s="93">
        <f ca="1">VLOOKUP(B454,'115+740'!$B$14:$AB$757,22,FALSE)</f>
        <v>3512</v>
      </c>
      <c r="T454" s="92">
        <f ca="1">VLOOKUP(B454,'115+740'!$B$15:$AB$757,6,FALSE)</f>
        <v>-449</v>
      </c>
      <c r="U454" s="91">
        <f t="shared" ca="1" si="82"/>
        <v>3572</v>
      </c>
      <c r="V454" s="90">
        <f ca="1">VLOOKUP(B454,'115+740'!$B$15:$AB$757,15,FALSE)</f>
        <v>-428</v>
      </c>
      <c r="W454" s="89">
        <f>'115+740'!S455</f>
        <v>10</v>
      </c>
      <c r="X454" s="88">
        <f t="shared" ca="1" si="87"/>
        <v>388</v>
      </c>
      <c r="Y454" s="87">
        <f t="shared" ca="1" si="88"/>
        <v>290</v>
      </c>
      <c r="Z454" s="86">
        <f t="shared" ca="1" si="89"/>
        <v>0.28999999999999998</v>
      </c>
      <c r="AA454" s="85">
        <f t="shared" ca="1" si="90"/>
        <v>3.8180000000000001</v>
      </c>
      <c r="AB454" s="85">
        <f t="shared" ca="1" si="91"/>
        <v>3.1019999999999999</v>
      </c>
    </row>
    <row r="455" spans="2:28">
      <c r="B455" s="98">
        <f>'115+740'!B456</f>
        <v>45514</v>
      </c>
      <c r="C455" s="97">
        <f t="shared" si="83"/>
        <v>1</v>
      </c>
      <c r="D455" s="96">
        <f t="shared" si="84"/>
        <v>1069</v>
      </c>
      <c r="E455" s="95">
        <f>VLOOKUP(B455,'115+740'!B456:AB814,3,FALSE)</f>
        <v>2056</v>
      </c>
      <c r="F455" s="92">
        <f t="shared" si="79"/>
        <v>3125</v>
      </c>
      <c r="G455" s="94">
        <f ca="1">VLOOKUP(B455,'115+740'!$B$15:$AB$757,20,FALSE)</f>
        <v>3493</v>
      </c>
      <c r="H455" s="94">
        <f ca="1">VLOOKUP(B455,'115+740'!$B$15:$AB$757,4,FALSE)</f>
        <v>-508</v>
      </c>
      <c r="I455" s="91">
        <f t="shared" ca="1" si="80"/>
        <v>3633</v>
      </c>
      <c r="J455" s="91">
        <f ca="1">VLOOKUP(B455,'115+740'!$B$15:$AB$757,13,FALSE)</f>
        <v>-367</v>
      </c>
      <c r="K455" s="89">
        <f>'115+740'!Q456</f>
        <v>9</v>
      </c>
      <c r="L455" s="88">
        <f t="shared" ca="1" si="85"/>
        <v>407</v>
      </c>
      <c r="M455" s="93">
        <f ca="1">VLOOKUP(B455,'115+740'!$B$14:$AB$757,21,FALSE)</f>
        <v>3488</v>
      </c>
      <c r="N455" s="92">
        <f ca="1">VLOOKUP(B455,'115+740'!$B$15:$AB$757,5,FALSE)</f>
        <v>-453</v>
      </c>
      <c r="O455" s="91">
        <f t="shared" ca="1" si="81"/>
        <v>3578</v>
      </c>
      <c r="P455" s="91">
        <f ca="1">VLOOKUP(B455,'115+740'!$B$15:$AB$757,14,FALSE)</f>
        <v>-422</v>
      </c>
      <c r="Q455" s="89">
        <f>'115+740'!R456</f>
        <v>8</v>
      </c>
      <c r="R455" s="88">
        <f t="shared" ca="1" si="86"/>
        <v>412</v>
      </c>
      <c r="S455" s="93">
        <f ca="1">VLOOKUP(B455,'115+740'!$B$14:$AB$757,22,FALSE)</f>
        <v>3503</v>
      </c>
      <c r="T455" s="92">
        <f ca="1">VLOOKUP(B455,'115+740'!$B$15:$AB$757,6,FALSE)</f>
        <v>-438</v>
      </c>
      <c r="U455" s="91">
        <f t="shared" ca="1" si="82"/>
        <v>3563</v>
      </c>
      <c r="V455" s="90">
        <f ca="1">VLOOKUP(B455,'115+740'!$B$15:$AB$757,15,FALSE)</f>
        <v>-437</v>
      </c>
      <c r="W455" s="89">
        <f>'115+740'!S456</f>
        <v>9</v>
      </c>
      <c r="X455" s="88">
        <f t="shared" ca="1" si="87"/>
        <v>397</v>
      </c>
      <c r="Y455" s="87">
        <f t="shared" ca="1" si="88"/>
        <v>-9</v>
      </c>
      <c r="Z455" s="86">
        <f t="shared" ca="1" si="89"/>
        <v>0</v>
      </c>
      <c r="AA455" s="85">
        <f t="shared" ca="1" si="90"/>
        <v>3.8180000000000001</v>
      </c>
      <c r="AB455" s="85">
        <f t="shared" ca="1" si="91"/>
        <v>3.0859999999999999</v>
      </c>
    </row>
    <row r="456" spans="2:28">
      <c r="B456" s="98">
        <f>'115+740'!B457</f>
        <v>45515</v>
      </c>
      <c r="C456" s="97">
        <f t="shared" si="83"/>
        <v>1</v>
      </c>
      <c r="D456" s="96">
        <f t="shared" si="84"/>
        <v>1069</v>
      </c>
      <c r="E456" s="95">
        <f>VLOOKUP(B456,'115+740'!B457:AB815,3,FALSE)</f>
        <v>2058</v>
      </c>
      <c r="F456" s="92">
        <f t="shared" si="79"/>
        <v>3127</v>
      </c>
      <c r="G456" s="94">
        <f ca="1">VLOOKUP(B456,'115+740'!$B$15:$AB$757,20,FALSE)</f>
        <v>3485</v>
      </c>
      <c r="H456" s="94">
        <f ca="1">VLOOKUP(B456,'115+740'!$B$15:$AB$757,4,FALSE)</f>
        <v>-498</v>
      </c>
      <c r="I456" s="91">
        <f t="shared" ca="1" si="80"/>
        <v>3625</v>
      </c>
      <c r="J456" s="91">
        <f ca="1">VLOOKUP(B456,'115+740'!$B$15:$AB$757,13,FALSE)</f>
        <v>-375</v>
      </c>
      <c r="K456" s="89">
        <f>'115+740'!Q457</f>
        <v>8</v>
      </c>
      <c r="L456" s="88">
        <f t="shared" ca="1" si="85"/>
        <v>415</v>
      </c>
      <c r="M456" s="93">
        <f ca="1">VLOOKUP(B456,'115+740'!$B$14:$AB$757,21,FALSE)</f>
        <v>3479</v>
      </c>
      <c r="N456" s="92">
        <f ca="1">VLOOKUP(B456,'115+740'!$B$15:$AB$757,5,FALSE)</f>
        <v>-442</v>
      </c>
      <c r="O456" s="91">
        <f t="shared" ca="1" si="81"/>
        <v>3569</v>
      </c>
      <c r="P456" s="91">
        <f ca="1">VLOOKUP(B456,'115+740'!$B$15:$AB$757,14,FALSE)</f>
        <v>-431</v>
      </c>
      <c r="Q456" s="89">
        <f>'115+740'!R457</f>
        <v>9</v>
      </c>
      <c r="R456" s="88">
        <f t="shared" ca="1" si="86"/>
        <v>421</v>
      </c>
      <c r="S456" s="93">
        <f ca="1">VLOOKUP(B456,'115+740'!$B$14:$AB$757,22,FALSE)</f>
        <v>3495</v>
      </c>
      <c r="T456" s="92">
        <f ca="1">VLOOKUP(B456,'115+740'!$B$15:$AB$757,6,FALSE)</f>
        <v>-428</v>
      </c>
      <c r="U456" s="91">
        <f t="shared" ca="1" si="82"/>
        <v>3555</v>
      </c>
      <c r="V456" s="90">
        <f ca="1">VLOOKUP(B456,'115+740'!$B$15:$AB$757,15,FALSE)</f>
        <v>-445</v>
      </c>
      <c r="W456" s="89">
        <f>'115+740'!S457</f>
        <v>8</v>
      </c>
      <c r="X456" s="88">
        <f t="shared" ca="1" si="87"/>
        <v>405</v>
      </c>
      <c r="Y456" s="87">
        <f t="shared" ca="1" si="88"/>
        <v>-8</v>
      </c>
      <c r="Z456" s="86">
        <f t="shared" ca="1" si="89"/>
        <v>0</v>
      </c>
      <c r="AA456" s="85">
        <f t="shared" ca="1" si="90"/>
        <v>3.8180000000000001</v>
      </c>
      <c r="AB456" s="85">
        <f t="shared" ca="1" si="91"/>
        <v>3.0680000000000001</v>
      </c>
    </row>
    <row r="457" spans="2:28">
      <c r="B457" s="98">
        <f>'115+740'!B458</f>
        <v>45516</v>
      </c>
      <c r="C457" s="97">
        <f t="shared" si="83"/>
        <v>1</v>
      </c>
      <c r="D457" s="96">
        <f t="shared" si="84"/>
        <v>1069</v>
      </c>
      <c r="E457" s="95">
        <f>VLOOKUP(B457,'115+740'!B458:AB816,3,FALSE)</f>
        <v>2060</v>
      </c>
      <c r="F457" s="92">
        <f t="shared" si="79"/>
        <v>3129</v>
      </c>
      <c r="G457" s="94">
        <f ca="1">VLOOKUP(B457,'115+740'!$B$15:$AB$757,20,FALSE)</f>
        <v>3476</v>
      </c>
      <c r="H457" s="94">
        <f ca="1">VLOOKUP(B457,'115+740'!$B$15:$AB$757,4,FALSE)</f>
        <v>-487</v>
      </c>
      <c r="I457" s="91">
        <f t="shared" ca="1" si="80"/>
        <v>3616</v>
      </c>
      <c r="J457" s="91">
        <f ca="1">VLOOKUP(B457,'115+740'!$B$15:$AB$757,13,FALSE)</f>
        <v>-384</v>
      </c>
      <c r="K457" s="89">
        <f>'115+740'!Q458</f>
        <v>9</v>
      </c>
      <c r="L457" s="88">
        <f t="shared" ca="1" si="85"/>
        <v>424</v>
      </c>
      <c r="M457" s="93">
        <f ca="1">VLOOKUP(B457,'115+740'!$B$14:$AB$757,21,FALSE)</f>
        <v>3471</v>
      </c>
      <c r="N457" s="92">
        <f ca="1">VLOOKUP(B457,'115+740'!$B$15:$AB$757,5,FALSE)</f>
        <v>-432</v>
      </c>
      <c r="O457" s="91">
        <f t="shared" ca="1" si="81"/>
        <v>3561</v>
      </c>
      <c r="P457" s="91">
        <f ca="1">VLOOKUP(B457,'115+740'!$B$15:$AB$757,14,FALSE)</f>
        <v>-439</v>
      </c>
      <c r="Q457" s="89">
        <f>'115+740'!R458</f>
        <v>8</v>
      </c>
      <c r="R457" s="88">
        <f t="shared" ca="1" si="86"/>
        <v>429</v>
      </c>
      <c r="S457" s="93">
        <f ca="1">VLOOKUP(B457,'115+740'!$B$14:$AB$757,22,FALSE)</f>
        <v>3486</v>
      </c>
      <c r="T457" s="92">
        <f ca="1">VLOOKUP(B457,'115+740'!$B$15:$AB$757,6,FALSE)</f>
        <v>-417</v>
      </c>
      <c r="U457" s="91">
        <f t="shared" ca="1" si="82"/>
        <v>3546</v>
      </c>
      <c r="V457" s="90">
        <f ca="1">VLOOKUP(B457,'115+740'!$B$15:$AB$757,15,FALSE)</f>
        <v>-454</v>
      </c>
      <c r="W457" s="89">
        <f>'115+740'!S458</f>
        <v>9</v>
      </c>
      <c r="X457" s="88">
        <f t="shared" ca="1" si="87"/>
        <v>414</v>
      </c>
      <c r="Y457" s="87">
        <f t="shared" ca="1" si="88"/>
        <v>-9</v>
      </c>
      <c r="Z457" s="86">
        <f t="shared" ca="1" si="89"/>
        <v>0</v>
      </c>
      <c r="AA457" s="85">
        <f t="shared" ca="1" si="90"/>
        <v>3.8180000000000001</v>
      </c>
      <c r="AB457" s="85">
        <f t="shared" ca="1" si="91"/>
        <v>3.052</v>
      </c>
    </row>
    <row r="458" spans="2:28">
      <c r="B458" s="98">
        <f>'115+740'!B459</f>
        <v>45517</v>
      </c>
      <c r="C458" s="97">
        <f t="shared" si="83"/>
        <v>1</v>
      </c>
      <c r="D458" s="96">
        <f t="shared" si="84"/>
        <v>1069</v>
      </c>
      <c r="E458" s="95">
        <f>VLOOKUP(B458,'115+740'!B459:AB817,3,FALSE)</f>
        <v>2062</v>
      </c>
      <c r="F458" s="92">
        <f t="shared" si="79"/>
        <v>3131</v>
      </c>
      <c r="G458" s="94">
        <f ca="1">VLOOKUP(B458,'115+740'!$B$15:$AB$757,20,FALSE)</f>
        <v>3468</v>
      </c>
      <c r="H458" s="94">
        <f ca="1">VLOOKUP(B458,'115+740'!$B$15:$AB$757,4,FALSE)</f>
        <v>-477</v>
      </c>
      <c r="I458" s="91">
        <f t="shared" ca="1" si="80"/>
        <v>3608</v>
      </c>
      <c r="J458" s="91">
        <f ca="1">VLOOKUP(B458,'115+740'!$B$15:$AB$757,13,FALSE)</f>
        <v>-392</v>
      </c>
      <c r="K458" s="89">
        <f>'115+740'!Q459</f>
        <v>8</v>
      </c>
      <c r="L458" s="88">
        <f t="shared" ca="1" si="85"/>
        <v>432</v>
      </c>
      <c r="M458" s="93">
        <f ca="1">VLOOKUP(B458,'115+740'!$B$14:$AB$757,21,FALSE)</f>
        <v>3464</v>
      </c>
      <c r="N458" s="92">
        <f ca="1">VLOOKUP(B458,'115+740'!$B$15:$AB$757,5,FALSE)</f>
        <v>-423</v>
      </c>
      <c r="O458" s="91">
        <f t="shared" ca="1" si="81"/>
        <v>3554</v>
      </c>
      <c r="P458" s="91">
        <f ca="1">VLOOKUP(B458,'115+740'!$B$15:$AB$757,14,FALSE)</f>
        <v>-446</v>
      </c>
      <c r="Q458" s="89">
        <f>'115+740'!R459</f>
        <v>7</v>
      </c>
      <c r="R458" s="88">
        <f t="shared" ca="1" si="86"/>
        <v>436</v>
      </c>
      <c r="S458" s="93">
        <f ca="1">VLOOKUP(B458,'115+740'!$B$14:$AB$757,22,FALSE)</f>
        <v>3478</v>
      </c>
      <c r="T458" s="92">
        <f ca="1">VLOOKUP(B458,'115+740'!$B$15:$AB$757,6,FALSE)</f>
        <v>-407</v>
      </c>
      <c r="U458" s="91">
        <f t="shared" ca="1" si="82"/>
        <v>3538</v>
      </c>
      <c r="V458" s="90">
        <f ca="1">VLOOKUP(B458,'115+740'!$B$15:$AB$757,15,FALSE)</f>
        <v>-462</v>
      </c>
      <c r="W458" s="89">
        <f>'115+740'!S459</f>
        <v>8</v>
      </c>
      <c r="X458" s="88">
        <f t="shared" ca="1" si="87"/>
        <v>422</v>
      </c>
      <c r="Y458" s="87">
        <f t="shared" ca="1" si="88"/>
        <v>-8</v>
      </c>
      <c r="Z458" s="86">
        <f t="shared" ca="1" si="89"/>
        <v>0</v>
      </c>
      <c r="AA458" s="85">
        <f t="shared" ca="1" si="90"/>
        <v>3.8180000000000001</v>
      </c>
      <c r="AB458" s="85">
        <f t="shared" ca="1" si="91"/>
        <v>3.0379999999999998</v>
      </c>
    </row>
    <row r="459" spans="2:28">
      <c r="B459" s="98">
        <f>'115+740'!B460</f>
        <v>45518</v>
      </c>
      <c r="C459" s="97">
        <f t="shared" si="83"/>
        <v>1</v>
      </c>
      <c r="D459" s="96">
        <f t="shared" si="84"/>
        <v>1069</v>
      </c>
      <c r="E459" s="95">
        <f>VLOOKUP(B459,'115+740'!B460:AB818,3,FALSE)</f>
        <v>2064</v>
      </c>
      <c r="F459" s="92">
        <f t="shared" si="79"/>
        <v>3133</v>
      </c>
      <c r="G459" s="94">
        <f ca="1">VLOOKUP(B459,'115+740'!$B$15:$AB$757,20,FALSE)</f>
        <v>3759</v>
      </c>
      <c r="H459" s="94">
        <f ca="1">VLOOKUP(B459,'115+740'!$B$15:$AB$757,4,FALSE)</f>
        <v>-466</v>
      </c>
      <c r="I459" s="91">
        <f t="shared" ca="1" si="80"/>
        <v>3599</v>
      </c>
      <c r="J459" s="91">
        <f ca="1">VLOOKUP(B459,'115+740'!$B$15:$AB$757,13,FALSE)</f>
        <v>-401</v>
      </c>
      <c r="K459" s="89">
        <f>'115+740'!Q460</f>
        <v>9</v>
      </c>
      <c r="L459" s="88">
        <f t="shared" ca="1" si="85"/>
        <v>441</v>
      </c>
      <c r="M459" s="93">
        <f ca="1">VLOOKUP(B459,'115+740'!$B$14:$AB$757,21,FALSE)</f>
        <v>3755</v>
      </c>
      <c r="N459" s="92">
        <f ca="1">VLOOKUP(B459,'115+740'!$B$15:$AB$757,5,FALSE)</f>
        <v>-412</v>
      </c>
      <c r="O459" s="91">
        <f t="shared" ca="1" si="81"/>
        <v>3545</v>
      </c>
      <c r="P459" s="91">
        <f ca="1">VLOOKUP(B459,'115+740'!$B$15:$AB$757,14,FALSE)</f>
        <v>-455</v>
      </c>
      <c r="Q459" s="89">
        <f>'115+740'!R460</f>
        <v>9</v>
      </c>
      <c r="R459" s="88">
        <f t="shared" ca="1" si="86"/>
        <v>445</v>
      </c>
      <c r="S459" s="93">
        <f ca="1">VLOOKUP(B459,'115+740'!$B$14:$AB$757,22,FALSE)</f>
        <v>3769</v>
      </c>
      <c r="T459" s="92">
        <f ca="1">VLOOKUP(B459,'115+740'!$B$15:$AB$757,6,FALSE)</f>
        <v>-396</v>
      </c>
      <c r="U459" s="91">
        <f t="shared" ca="1" si="82"/>
        <v>3529</v>
      </c>
      <c r="V459" s="90">
        <f ca="1">VLOOKUP(B459,'115+740'!$B$15:$AB$757,15,FALSE)</f>
        <v>-471</v>
      </c>
      <c r="W459" s="89">
        <f>'115+740'!S460</f>
        <v>9</v>
      </c>
      <c r="X459" s="88">
        <f t="shared" ca="1" si="87"/>
        <v>431</v>
      </c>
      <c r="Y459" s="87">
        <f t="shared" ca="1" si="88"/>
        <v>291</v>
      </c>
      <c r="Z459" s="86">
        <f t="shared" ca="1" si="89"/>
        <v>0.29099999999999998</v>
      </c>
      <c r="AA459" s="85">
        <f t="shared" ca="1" si="90"/>
        <v>4.109</v>
      </c>
      <c r="AB459" s="85">
        <f t="shared" ca="1" si="91"/>
        <v>3.32</v>
      </c>
    </row>
    <row r="460" spans="2:28">
      <c r="B460" s="98">
        <f>'115+740'!B461</f>
        <v>45519</v>
      </c>
      <c r="C460" s="97">
        <f t="shared" si="83"/>
        <v>1</v>
      </c>
      <c r="D460" s="96">
        <f t="shared" si="84"/>
        <v>1069</v>
      </c>
      <c r="E460" s="95">
        <f>VLOOKUP(B460,'115+740'!B461:AB819,3,FALSE)</f>
        <v>2066</v>
      </c>
      <c r="F460" s="92">
        <f t="shared" si="79"/>
        <v>3135</v>
      </c>
      <c r="G460" s="94">
        <f ca="1">VLOOKUP(B460,'115+740'!$B$15:$AB$757,20,FALSE)</f>
        <v>3750</v>
      </c>
      <c r="H460" s="94">
        <f ca="1">VLOOKUP(B460,'115+740'!$B$15:$AB$757,4,FALSE)</f>
        <v>-455</v>
      </c>
      <c r="I460" s="91">
        <f t="shared" ca="1" si="80"/>
        <v>3590</v>
      </c>
      <c r="J460" s="91">
        <f ca="1">VLOOKUP(B460,'115+740'!$B$15:$AB$757,13,FALSE)</f>
        <v>-410</v>
      </c>
      <c r="K460" s="89">
        <f>'115+740'!Q461</f>
        <v>9</v>
      </c>
      <c r="L460" s="88">
        <f t="shared" ca="1" si="85"/>
        <v>450</v>
      </c>
      <c r="M460" s="93">
        <f ca="1">VLOOKUP(B460,'115+740'!$B$14:$AB$757,21,FALSE)</f>
        <v>3747</v>
      </c>
      <c r="N460" s="92">
        <f ca="1">VLOOKUP(B460,'115+740'!$B$15:$AB$757,5,FALSE)</f>
        <v>-402</v>
      </c>
      <c r="O460" s="91">
        <f t="shared" ca="1" si="81"/>
        <v>3537</v>
      </c>
      <c r="P460" s="91">
        <f ca="1">VLOOKUP(B460,'115+740'!$B$15:$AB$757,14,FALSE)</f>
        <v>-463</v>
      </c>
      <c r="Q460" s="89">
        <f>'115+740'!R461</f>
        <v>8</v>
      </c>
      <c r="R460" s="88">
        <f t="shared" ca="1" si="86"/>
        <v>453</v>
      </c>
      <c r="S460" s="93">
        <f ca="1">VLOOKUP(B460,'115+740'!$B$14:$AB$757,22,FALSE)</f>
        <v>3761</v>
      </c>
      <c r="T460" s="92">
        <f ca="1">VLOOKUP(B460,'115+740'!$B$15:$AB$757,6,FALSE)</f>
        <v>-386</v>
      </c>
      <c r="U460" s="91">
        <f t="shared" ca="1" si="82"/>
        <v>3521</v>
      </c>
      <c r="V460" s="90">
        <f ca="1">VLOOKUP(B460,'115+740'!$B$15:$AB$757,15,FALSE)</f>
        <v>-479</v>
      </c>
      <c r="W460" s="89">
        <f>'115+740'!S461</f>
        <v>8</v>
      </c>
      <c r="X460" s="88">
        <f t="shared" ca="1" si="87"/>
        <v>439</v>
      </c>
      <c r="Y460" s="87">
        <f t="shared" ca="1" si="88"/>
        <v>-8</v>
      </c>
      <c r="Z460" s="86">
        <f t="shared" ca="1" si="89"/>
        <v>0</v>
      </c>
      <c r="AA460" s="85">
        <f t="shared" ca="1" si="90"/>
        <v>4.109</v>
      </c>
      <c r="AB460" s="85">
        <f t="shared" ca="1" si="91"/>
        <v>3.3039999999999998</v>
      </c>
    </row>
    <row r="461" spans="2:28">
      <c r="B461" s="98">
        <f>'115+740'!B462</f>
        <v>45520</v>
      </c>
      <c r="C461" s="97">
        <f t="shared" si="83"/>
        <v>1</v>
      </c>
      <c r="D461" s="96">
        <f t="shared" si="84"/>
        <v>1069</v>
      </c>
      <c r="E461" s="95">
        <f>VLOOKUP(B461,'115+740'!B462:AB820,3,FALSE)</f>
        <v>2068</v>
      </c>
      <c r="F461" s="92">
        <f t="shared" ref="F461:F524" si="92">D461+E461</f>
        <v>3137</v>
      </c>
      <c r="G461" s="94">
        <f ca="1">VLOOKUP(B461,'115+740'!$B$15:$AB$757,20,FALSE)</f>
        <v>3742</v>
      </c>
      <c r="H461" s="94">
        <f ca="1">VLOOKUP(B461,'115+740'!$B$15:$AB$757,4,FALSE)</f>
        <v>-445</v>
      </c>
      <c r="I461" s="91">
        <f t="shared" ref="I461:I524" ca="1" si="93">F461-H461</f>
        <v>3582</v>
      </c>
      <c r="J461" s="91">
        <f ca="1">VLOOKUP(B461,'115+740'!$B$15:$AB$757,13,FALSE)</f>
        <v>-418</v>
      </c>
      <c r="K461" s="89">
        <f>'115+740'!Q462</f>
        <v>8</v>
      </c>
      <c r="L461" s="88">
        <f t="shared" ca="1" si="85"/>
        <v>458</v>
      </c>
      <c r="M461" s="93">
        <f ca="1">VLOOKUP(B461,'115+740'!$B$14:$AB$757,21,FALSE)</f>
        <v>3740</v>
      </c>
      <c r="N461" s="92">
        <f ca="1">VLOOKUP(B461,'115+740'!$B$15:$AB$757,5,FALSE)</f>
        <v>-393</v>
      </c>
      <c r="O461" s="91">
        <f t="shared" ref="O461:O524" ca="1" si="94">F461-N461</f>
        <v>3530</v>
      </c>
      <c r="P461" s="91">
        <f ca="1">VLOOKUP(B461,'115+740'!$B$15:$AB$757,14,FALSE)</f>
        <v>-470</v>
      </c>
      <c r="Q461" s="89">
        <f>'115+740'!R462</f>
        <v>7</v>
      </c>
      <c r="R461" s="88">
        <f t="shared" ca="1" si="86"/>
        <v>460</v>
      </c>
      <c r="S461" s="93">
        <f ca="1">VLOOKUP(B461,'115+740'!$B$14:$AB$757,22,FALSE)</f>
        <v>3754</v>
      </c>
      <c r="T461" s="92">
        <f ca="1">VLOOKUP(B461,'115+740'!$B$15:$AB$757,6,FALSE)</f>
        <v>-377</v>
      </c>
      <c r="U461" s="91">
        <f t="shared" ref="U461:U524" ca="1" si="95">F461-T461</f>
        <v>3514</v>
      </c>
      <c r="V461" s="90">
        <f ca="1">VLOOKUP(B461,'115+740'!$B$15:$AB$757,15,FALSE)</f>
        <v>-486</v>
      </c>
      <c r="W461" s="89">
        <f>'115+740'!S462</f>
        <v>7</v>
      </c>
      <c r="X461" s="88">
        <f t="shared" ca="1" si="87"/>
        <v>446</v>
      </c>
      <c r="Y461" s="87">
        <f t="shared" ca="1" si="88"/>
        <v>-7</v>
      </c>
      <c r="Z461" s="86">
        <f t="shared" ca="1" si="89"/>
        <v>0</v>
      </c>
      <c r="AA461" s="85">
        <f t="shared" ca="1" si="90"/>
        <v>4.109</v>
      </c>
      <c r="AB461" s="85">
        <f t="shared" ca="1" si="91"/>
        <v>3.29</v>
      </c>
    </row>
    <row r="462" spans="2:28">
      <c r="B462" s="98">
        <f>'115+740'!B463</f>
        <v>45521</v>
      </c>
      <c r="C462" s="97">
        <f t="shared" ref="C462:C525" si="96">B462-B461</f>
        <v>1</v>
      </c>
      <c r="D462" s="96">
        <f t="shared" ref="D462:D525" si="97">D461</f>
        <v>1069</v>
      </c>
      <c r="E462" s="95">
        <f>VLOOKUP(B462,'115+740'!B463:AB821,3,FALSE)</f>
        <v>2070</v>
      </c>
      <c r="F462" s="92">
        <f t="shared" si="92"/>
        <v>3139</v>
      </c>
      <c r="G462" s="94">
        <f ca="1">VLOOKUP(B462,'115+740'!$B$15:$AB$757,20,FALSE)</f>
        <v>3735</v>
      </c>
      <c r="H462" s="94">
        <f ca="1">VLOOKUP(B462,'115+740'!$B$15:$AB$757,4,FALSE)</f>
        <v>-436</v>
      </c>
      <c r="I462" s="91">
        <f t="shared" ca="1" si="93"/>
        <v>3575</v>
      </c>
      <c r="J462" s="91">
        <f ca="1">VLOOKUP(B462,'115+740'!$B$15:$AB$757,13,FALSE)</f>
        <v>-425</v>
      </c>
      <c r="K462" s="89">
        <f>'115+740'!Q463</f>
        <v>7</v>
      </c>
      <c r="L462" s="88">
        <f t="shared" ref="L462:L525" ca="1" si="98">+K462+L461</f>
        <v>465</v>
      </c>
      <c r="M462" s="93">
        <f ca="1">VLOOKUP(B462,'115+740'!$B$14:$AB$757,21,FALSE)</f>
        <v>3731</v>
      </c>
      <c r="N462" s="92">
        <f ca="1">VLOOKUP(B462,'115+740'!$B$15:$AB$757,5,FALSE)</f>
        <v>-382</v>
      </c>
      <c r="O462" s="91">
        <f t="shared" ca="1" si="94"/>
        <v>3521</v>
      </c>
      <c r="P462" s="91">
        <f ca="1">VLOOKUP(B462,'115+740'!$B$15:$AB$757,14,FALSE)</f>
        <v>-479</v>
      </c>
      <c r="Q462" s="89">
        <f>'115+740'!R463</f>
        <v>9</v>
      </c>
      <c r="R462" s="88">
        <f t="shared" ref="R462:R525" ca="1" si="99">+Q462+R461</f>
        <v>469</v>
      </c>
      <c r="S462" s="93">
        <f ca="1">VLOOKUP(B462,'115+740'!$B$14:$AB$757,22,FALSE)</f>
        <v>3745</v>
      </c>
      <c r="T462" s="92">
        <f ca="1">VLOOKUP(B462,'115+740'!$B$15:$AB$757,6,FALSE)</f>
        <v>-366</v>
      </c>
      <c r="U462" s="91">
        <f t="shared" ca="1" si="95"/>
        <v>3505</v>
      </c>
      <c r="V462" s="90">
        <f ca="1">VLOOKUP(B462,'115+740'!$B$15:$AB$757,15,FALSE)</f>
        <v>-495</v>
      </c>
      <c r="W462" s="89">
        <f>'115+740'!S463</f>
        <v>9</v>
      </c>
      <c r="X462" s="88">
        <f t="shared" ref="X462:X525" ca="1" si="100">+W462+X461</f>
        <v>455</v>
      </c>
      <c r="Y462" s="87">
        <f t="shared" ref="Y462:Y525" ca="1" si="101">S462-S461</f>
        <v>-9</v>
      </c>
      <c r="Z462" s="86">
        <f t="shared" ref="Z462:Z525" ca="1" si="102">IF(Y462&gt;0,Y462,0)/1000</f>
        <v>0</v>
      </c>
      <c r="AA462" s="85">
        <f t="shared" ref="AA462:AA525" ca="1" si="103">AA461+Z462</f>
        <v>4.109</v>
      </c>
      <c r="AB462" s="85">
        <f t="shared" ref="AB462:AB525" ca="1" si="104">(M462-$M$13-R462)/1000</f>
        <v>3.2719999999999998</v>
      </c>
    </row>
    <row r="463" spans="2:28">
      <c r="B463" s="98">
        <f>'115+740'!B464</f>
        <v>45522</v>
      </c>
      <c r="C463" s="97">
        <f t="shared" si="96"/>
        <v>1</v>
      </c>
      <c r="D463" s="96">
        <f t="shared" si="97"/>
        <v>1069</v>
      </c>
      <c r="E463" s="95">
        <f>VLOOKUP(B463,'115+740'!B464:AB822,3,FALSE)</f>
        <v>2072</v>
      </c>
      <c r="F463" s="92">
        <f t="shared" si="92"/>
        <v>3141</v>
      </c>
      <c r="G463" s="94">
        <f ca="1">VLOOKUP(B463,'115+740'!$B$15:$AB$757,20,FALSE)</f>
        <v>3726</v>
      </c>
      <c r="H463" s="94">
        <f ca="1">VLOOKUP(B463,'115+740'!$B$15:$AB$757,4,FALSE)</f>
        <v>-425</v>
      </c>
      <c r="I463" s="91">
        <f t="shared" ca="1" si="93"/>
        <v>3566</v>
      </c>
      <c r="J463" s="91">
        <f ca="1">VLOOKUP(B463,'115+740'!$B$15:$AB$757,13,FALSE)</f>
        <v>-434</v>
      </c>
      <c r="K463" s="89">
        <f>'115+740'!Q464</f>
        <v>9</v>
      </c>
      <c r="L463" s="88">
        <f t="shared" ca="1" si="98"/>
        <v>474</v>
      </c>
      <c r="M463" s="93">
        <f ca="1">VLOOKUP(B463,'115+740'!$B$14:$AB$757,21,FALSE)</f>
        <v>3723</v>
      </c>
      <c r="N463" s="92">
        <f ca="1">VLOOKUP(B463,'115+740'!$B$15:$AB$757,5,FALSE)</f>
        <v>-372</v>
      </c>
      <c r="O463" s="91">
        <f t="shared" ca="1" si="94"/>
        <v>3513</v>
      </c>
      <c r="P463" s="91">
        <f ca="1">VLOOKUP(B463,'115+740'!$B$15:$AB$757,14,FALSE)</f>
        <v>-487</v>
      </c>
      <c r="Q463" s="89">
        <f>'115+740'!R464</f>
        <v>8</v>
      </c>
      <c r="R463" s="88">
        <f t="shared" ca="1" si="99"/>
        <v>477</v>
      </c>
      <c r="S463" s="93">
        <f ca="1">VLOOKUP(B463,'115+740'!$B$14:$AB$757,22,FALSE)</f>
        <v>3739</v>
      </c>
      <c r="T463" s="92">
        <f ca="1">VLOOKUP(B463,'115+740'!$B$15:$AB$757,6,FALSE)</f>
        <v>-358</v>
      </c>
      <c r="U463" s="91">
        <f t="shared" ca="1" si="95"/>
        <v>3499</v>
      </c>
      <c r="V463" s="90">
        <f ca="1">VLOOKUP(B463,'115+740'!$B$15:$AB$757,15,FALSE)</f>
        <v>-501</v>
      </c>
      <c r="W463" s="89">
        <f>'115+740'!S464</f>
        <v>6</v>
      </c>
      <c r="X463" s="88">
        <f t="shared" ca="1" si="100"/>
        <v>461</v>
      </c>
      <c r="Y463" s="87">
        <f t="shared" ca="1" si="101"/>
        <v>-6</v>
      </c>
      <c r="Z463" s="86">
        <f t="shared" ca="1" si="102"/>
        <v>0</v>
      </c>
      <c r="AA463" s="85">
        <f t="shared" ca="1" si="103"/>
        <v>4.109</v>
      </c>
      <c r="AB463" s="85">
        <f t="shared" ca="1" si="104"/>
        <v>3.2559999999999998</v>
      </c>
    </row>
    <row r="464" spans="2:28">
      <c r="B464" s="98">
        <f>'115+740'!B465</f>
        <v>45523</v>
      </c>
      <c r="C464" s="97">
        <f t="shared" si="96"/>
        <v>1</v>
      </c>
      <c r="D464" s="96">
        <f t="shared" si="97"/>
        <v>1069</v>
      </c>
      <c r="E464" s="95">
        <f>VLOOKUP(B464,'115+740'!B465:AB823,3,FALSE)</f>
        <v>2074</v>
      </c>
      <c r="F464" s="92">
        <f t="shared" si="92"/>
        <v>3143</v>
      </c>
      <c r="G464" s="94">
        <f ca="1">VLOOKUP(B464,'115+740'!$B$15:$AB$757,20,FALSE)</f>
        <v>3718</v>
      </c>
      <c r="H464" s="94">
        <f ca="1">VLOOKUP(B464,'115+740'!$B$15:$AB$757,4,FALSE)</f>
        <v>-415</v>
      </c>
      <c r="I464" s="91">
        <f t="shared" ca="1" si="93"/>
        <v>3558</v>
      </c>
      <c r="J464" s="91">
        <f ca="1">VLOOKUP(B464,'115+740'!$B$15:$AB$757,13,FALSE)</f>
        <v>-442</v>
      </c>
      <c r="K464" s="89">
        <f>'115+740'!Q465</f>
        <v>8</v>
      </c>
      <c r="L464" s="88">
        <f t="shared" ca="1" si="98"/>
        <v>482</v>
      </c>
      <c r="M464" s="93">
        <f ca="1">VLOOKUP(B464,'115+740'!$B$14:$AB$757,21,FALSE)</f>
        <v>3714</v>
      </c>
      <c r="N464" s="92">
        <f ca="1">VLOOKUP(B464,'115+740'!$B$15:$AB$757,5,FALSE)</f>
        <v>-361</v>
      </c>
      <c r="O464" s="91">
        <f t="shared" ca="1" si="94"/>
        <v>3504</v>
      </c>
      <c r="P464" s="91">
        <f ca="1">VLOOKUP(B464,'115+740'!$B$15:$AB$757,14,FALSE)</f>
        <v>-496</v>
      </c>
      <c r="Q464" s="89">
        <f>'115+740'!R465</f>
        <v>9</v>
      </c>
      <c r="R464" s="88">
        <f t="shared" ca="1" si="99"/>
        <v>486</v>
      </c>
      <c r="S464" s="93">
        <f ca="1">VLOOKUP(B464,'115+740'!$B$14:$AB$757,22,FALSE)</f>
        <v>3730</v>
      </c>
      <c r="T464" s="92">
        <f ca="1">VLOOKUP(B464,'115+740'!$B$15:$AB$757,6,FALSE)</f>
        <v>-347</v>
      </c>
      <c r="U464" s="91">
        <f t="shared" ca="1" si="95"/>
        <v>3490</v>
      </c>
      <c r="V464" s="90">
        <f ca="1">VLOOKUP(B464,'115+740'!$B$15:$AB$757,15,FALSE)</f>
        <v>-510</v>
      </c>
      <c r="W464" s="89">
        <f>'115+740'!S465</f>
        <v>9</v>
      </c>
      <c r="X464" s="88">
        <f t="shared" ca="1" si="100"/>
        <v>470</v>
      </c>
      <c r="Y464" s="87">
        <f t="shared" ca="1" si="101"/>
        <v>-9</v>
      </c>
      <c r="Z464" s="86">
        <f t="shared" ca="1" si="102"/>
        <v>0</v>
      </c>
      <c r="AA464" s="85">
        <f t="shared" ca="1" si="103"/>
        <v>4.109</v>
      </c>
      <c r="AB464" s="85">
        <f t="shared" ca="1" si="104"/>
        <v>3.238</v>
      </c>
    </row>
    <row r="465" spans="2:28">
      <c r="B465" s="98">
        <f>'115+740'!B466</f>
        <v>45524</v>
      </c>
      <c r="C465" s="97">
        <f t="shared" si="96"/>
        <v>1</v>
      </c>
      <c r="D465" s="96">
        <f t="shared" si="97"/>
        <v>1069</v>
      </c>
      <c r="E465" s="95">
        <f>VLOOKUP(B465,'115+740'!B466:AB824,3,FALSE)</f>
        <v>2076</v>
      </c>
      <c r="F465" s="92">
        <f t="shared" si="92"/>
        <v>3145</v>
      </c>
      <c r="G465" s="94">
        <f ca="1">VLOOKUP(B465,'115+740'!$B$15:$AB$757,20,FALSE)</f>
        <v>3709</v>
      </c>
      <c r="H465" s="94">
        <f ca="1">VLOOKUP(B465,'115+740'!$B$15:$AB$757,4,FALSE)</f>
        <v>-404</v>
      </c>
      <c r="I465" s="91">
        <f t="shared" ca="1" si="93"/>
        <v>3549</v>
      </c>
      <c r="J465" s="91">
        <f ca="1">VLOOKUP(B465,'115+740'!$B$15:$AB$757,13,FALSE)</f>
        <v>-451</v>
      </c>
      <c r="K465" s="89">
        <f>'115+740'!Q466</f>
        <v>9</v>
      </c>
      <c r="L465" s="88">
        <f t="shared" ca="1" si="98"/>
        <v>491</v>
      </c>
      <c r="M465" s="93">
        <f ca="1">VLOOKUP(B465,'115+740'!$B$14:$AB$757,21,FALSE)</f>
        <v>3706</v>
      </c>
      <c r="N465" s="92">
        <f ca="1">VLOOKUP(B465,'115+740'!$B$15:$AB$757,5,FALSE)</f>
        <v>-351</v>
      </c>
      <c r="O465" s="91">
        <f t="shared" ca="1" si="94"/>
        <v>3496</v>
      </c>
      <c r="P465" s="91">
        <f ca="1">VLOOKUP(B465,'115+740'!$B$15:$AB$757,14,FALSE)</f>
        <v>-504</v>
      </c>
      <c r="Q465" s="89">
        <f>'115+740'!R466</f>
        <v>8</v>
      </c>
      <c r="R465" s="88">
        <f t="shared" ca="1" si="99"/>
        <v>494</v>
      </c>
      <c r="S465" s="93">
        <f ca="1">VLOOKUP(B465,'115+740'!$B$14:$AB$757,22,FALSE)</f>
        <v>3724</v>
      </c>
      <c r="T465" s="92">
        <f ca="1">VLOOKUP(B465,'115+740'!$B$15:$AB$757,6,FALSE)</f>
        <v>-339</v>
      </c>
      <c r="U465" s="91">
        <f t="shared" ca="1" si="95"/>
        <v>3484</v>
      </c>
      <c r="V465" s="90">
        <f ca="1">VLOOKUP(B465,'115+740'!$B$15:$AB$757,15,FALSE)</f>
        <v>-516</v>
      </c>
      <c r="W465" s="89">
        <f>'115+740'!S466</f>
        <v>6</v>
      </c>
      <c r="X465" s="88">
        <f t="shared" ca="1" si="100"/>
        <v>476</v>
      </c>
      <c r="Y465" s="87">
        <f t="shared" ca="1" si="101"/>
        <v>-6</v>
      </c>
      <c r="Z465" s="86">
        <f t="shared" ca="1" si="102"/>
        <v>0</v>
      </c>
      <c r="AA465" s="85">
        <f t="shared" ca="1" si="103"/>
        <v>4.109</v>
      </c>
      <c r="AB465" s="85">
        <f t="shared" ca="1" si="104"/>
        <v>3.222</v>
      </c>
    </row>
    <row r="466" spans="2:28">
      <c r="B466" s="98">
        <f>'115+740'!B467</f>
        <v>45525</v>
      </c>
      <c r="C466" s="97">
        <f t="shared" si="96"/>
        <v>1</v>
      </c>
      <c r="D466" s="96">
        <f t="shared" si="97"/>
        <v>1069</v>
      </c>
      <c r="E466" s="95">
        <f>VLOOKUP(B466,'115+740'!B467:AB825,3,FALSE)</f>
        <v>2078</v>
      </c>
      <c r="F466" s="92">
        <f t="shared" si="92"/>
        <v>3147</v>
      </c>
      <c r="G466" s="94">
        <f ca="1">VLOOKUP(B466,'115+740'!$B$15:$AB$757,20,FALSE)</f>
        <v>3701</v>
      </c>
      <c r="H466" s="94">
        <f ca="1">VLOOKUP(B466,'115+740'!$B$15:$AB$757,4,FALSE)</f>
        <v>-394</v>
      </c>
      <c r="I466" s="91">
        <f t="shared" ca="1" si="93"/>
        <v>3541</v>
      </c>
      <c r="J466" s="91">
        <f ca="1">VLOOKUP(B466,'115+740'!$B$15:$AB$757,13,FALSE)</f>
        <v>-459</v>
      </c>
      <c r="K466" s="89">
        <f>'115+740'!Q467</f>
        <v>8</v>
      </c>
      <c r="L466" s="88">
        <f t="shared" ca="1" si="98"/>
        <v>499</v>
      </c>
      <c r="M466" s="93">
        <f ca="1">VLOOKUP(B466,'115+740'!$B$14:$AB$757,21,FALSE)</f>
        <v>3698</v>
      </c>
      <c r="N466" s="92">
        <f ca="1">VLOOKUP(B466,'115+740'!$B$15:$AB$757,5,FALSE)</f>
        <v>-341</v>
      </c>
      <c r="O466" s="91">
        <f t="shared" ca="1" si="94"/>
        <v>3488</v>
      </c>
      <c r="P466" s="91">
        <f ca="1">VLOOKUP(B466,'115+740'!$B$15:$AB$757,14,FALSE)</f>
        <v>-512</v>
      </c>
      <c r="Q466" s="89">
        <f>'115+740'!R467</f>
        <v>8</v>
      </c>
      <c r="R466" s="88">
        <f t="shared" ca="1" si="99"/>
        <v>502</v>
      </c>
      <c r="S466" s="93">
        <f ca="1">VLOOKUP(B466,'115+740'!$B$14:$AB$757,22,FALSE)</f>
        <v>3717</v>
      </c>
      <c r="T466" s="92">
        <f ca="1">VLOOKUP(B466,'115+740'!$B$15:$AB$757,6,FALSE)</f>
        <v>-330</v>
      </c>
      <c r="U466" s="91">
        <f t="shared" ca="1" si="95"/>
        <v>3477</v>
      </c>
      <c r="V466" s="90">
        <f ca="1">VLOOKUP(B466,'115+740'!$B$15:$AB$757,15,FALSE)</f>
        <v>-523</v>
      </c>
      <c r="W466" s="89">
        <f>'115+740'!S467</f>
        <v>7</v>
      </c>
      <c r="X466" s="88">
        <f t="shared" ca="1" si="100"/>
        <v>483</v>
      </c>
      <c r="Y466" s="87">
        <f t="shared" ca="1" si="101"/>
        <v>-7</v>
      </c>
      <c r="Z466" s="86">
        <f t="shared" ca="1" si="102"/>
        <v>0</v>
      </c>
      <c r="AA466" s="85">
        <f t="shared" ca="1" si="103"/>
        <v>4.109</v>
      </c>
      <c r="AB466" s="85">
        <f t="shared" ca="1" si="104"/>
        <v>3.206</v>
      </c>
    </row>
    <row r="467" spans="2:28">
      <c r="B467" s="98">
        <f>'115+740'!B468</f>
        <v>45526</v>
      </c>
      <c r="C467" s="97">
        <f t="shared" si="96"/>
        <v>1</v>
      </c>
      <c r="D467" s="96">
        <f t="shared" si="97"/>
        <v>1069</v>
      </c>
      <c r="E467" s="95">
        <f>VLOOKUP(B467,'115+740'!B468:AB826,3,FALSE)</f>
        <v>2080</v>
      </c>
      <c r="F467" s="92">
        <f t="shared" si="92"/>
        <v>3149</v>
      </c>
      <c r="G467" s="94">
        <f ca="1">VLOOKUP(B467,'115+740'!$B$15:$AB$757,20,FALSE)</f>
        <v>3694</v>
      </c>
      <c r="H467" s="94">
        <f ca="1">VLOOKUP(B467,'115+740'!$B$15:$AB$757,4,FALSE)</f>
        <v>-385</v>
      </c>
      <c r="I467" s="91">
        <f t="shared" ca="1" si="93"/>
        <v>3534</v>
      </c>
      <c r="J467" s="91">
        <f ca="1">VLOOKUP(B467,'115+740'!$B$15:$AB$757,13,FALSE)</f>
        <v>-466</v>
      </c>
      <c r="K467" s="89">
        <f>'115+740'!Q468</f>
        <v>7</v>
      </c>
      <c r="L467" s="88">
        <f t="shared" ca="1" si="98"/>
        <v>506</v>
      </c>
      <c r="M467" s="93">
        <f ca="1">VLOOKUP(B467,'115+740'!$B$14:$AB$757,21,FALSE)</f>
        <v>3689</v>
      </c>
      <c r="N467" s="92">
        <f ca="1">VLOOKUP(B467,'115+740'!$B$15:$AB$757,5,FALSE)</f>
        <v>-330</v>
      </c>
      <c r="O467" s="91">
        <f t="shared" ca="1" si="94"/>
        <v>3479</v>
      </c>
      <c r="P467" s="91">
        <f ca="1">VLOOKUP(B467,'115+740'!$B$15:$AB$757,14,FALSE)</f>
        <v>-521</v>
      </c>
      <c r="Q467" s="89">
        <f>'115+740'!R468</f>
        <v>9</v>
      </c>
      <c r="R467" s="88">
        <f t="shared" ca="1" si="99"/>
        <v>511</v>
      </c>
      <c r="S467" s="93">
        <f ca="1">VLOOKUP(B467,'115+740'!$B$14:$AB$757,22,FALSE)</f>
        <v>3708</v>
      </c>
      <c r="T467" s="92">
        <f ca="1">VLOOKUP(B467,'115+740'!$B$15:$AB$757,6,FALSE)</f>
        <v>-319</v>
      </c>
      <c r="U467" s="91">
        <f t="shared" ca="1" si="95"/>
        <v>3468</v>
      </c>
      <c r="V467" s="90">
        <f ca="1">VLOOKUP(B467,'115+740'!$B$15:$AB$757,15,FALSE)</f>
        <v>-532</v>
      </c>
      <c r="W467" s="89">
        <f>'115+740'!S468</f>
        <v>9</v>
      </c>
      <c r="X467" s="88">
        <f t="shared" ca="1" si="100"/>
        <v>492</v>
      </c>
      <c r="Y467" s="87">
        <f t="shared" ca="1" si="101"/>
        <v>-9</v>
      </c>
      <c r="Z467" s="86">
        <f t="shared" ca="1" si="102"/>
        <v>0</v>
      </c>
      <c r="AA467" s="85">
        <f t="shared" ca="1" si="103"/>
        <v>4.109</v>
      </c>
      <c r="AB467" s="85">
        <f t="shared" ca="1" si="104"/>
        <v>3.1880000000000002</v>
      </c>
    </row>
    <row r="468" spans="2:28">
      <c r="B468" s="98">
        <f>'115+740'!B469</f>
        <v>45527</v>
      </c>
      <c r="C468" s="97">
        <f t="shared" si="96"/>
        <v>1</v>
      </c>
      <c r="D468" s="96">
        <f t="shared" si="97"/>
        <v>1069</v>
      </c>
      <c r="E468" s="95">
        <f>VLOOKUP(B468,'115+740'!B469:AB827,3,FALSE)</f>
        <v>2082</v>
      </c>
      <c r="F468" s="92">
        <f t="shared" si="92"/>
        <v>3151</v>
      </c>
      <c r="G468" s="94">
        <f ca="1">VLOOKUP(B468,'115+740'!$B$15:$AB$757,20,FALSE)</f>
        <v>3687</v>
      </c>
      <c r="H468" s="94">
        <f ca="1">VLOOKUP(B468,'115+740'!$B$15:$AB$757,4,FALSE)</f>
        <v>-376</v>
      </c>
      <c r="I468" s="91">
        <f t="shared" ca="1" si="93"/>
        <v>3527</v>
      </c>
      <c r="J468" s="91">
        <f ca="1">VLOOKUP(B468,'115+740'!$B$15:$AB$757,13,FALSE)</f>
        <v>-473</v>
      </c>
      <c r="K468" s="89">
        <f>'115+740'!Q469</f>
        <v>7</v>
      </c>
      <c r="L468" s="88">
        <f t="shared" ca="1" si="98"/>
        <v>513</v>
      </c>
      <c r="M468" s="93">
        <f ca="1">VLOOKUP(B468,'115+740'!$B$14:$AB$757,21,FALSE)</f>
        <v>3681</v>
      </c>
      <c r="N468" s="92">
        <f ca="1">VLOOKUP(B468,'115+740'!$B$15:$AB$757,5,FALSE)</f>
        <v>-320</v>
      </c>
      <c r="O468" s="91">
        <f t="shared" ca="1" si="94"/>
        <v>3471</v>
      </c>
      <c r="P468" s="91">
        <f ca="1">VLOOKUP(B468,'115+740'!$B$15:$AB$757,14,FALSE)</f>
        <v>-529</v>
      </c>
      <c r="Q468" s="89">
        <f>'115+740'!R469</f>
        <v>8</v>
      </c>
      <c r="R468" s="88">
        <f t="shared" ca="1" si="99"/>
        <v>519</v>
      </c>
      <c r="S468" s="93">
        <f ca="1">VLOOKUP(B468,'115+740'!$B$14:$AB$757,22,FALSE)</f>
        <v>3703</v>
      </c>
      <c r="T468" s="92">
        <f ca="1">VLOOKUP(B468,'115+740'!$B$15:$AB$757,6,FALSE)</f>
        <v>-312</v>
      </c>
      <c r="U468" s="91">
        <f t="shared" ca="1" si="95"/>
        <v>3463</v>
      </c>
      <c r="V468" s="90">
        <f ca="1">VLOOKUP(B468,'115+740'!$B$15:$AB$757,15,FALSE)</f>
        <v>-537</v>
      </c>
      <c r="W468" s="89">
        <f>'115+740'!S469</f>
        <v>5</v>
      </c>
      <c r="X468" s="88">
        <f t="shared" ca="1" si="100"/>
        <v>497</v>
      </c>
      <c r="Y468" s="87">
        <f t="shared" ca="1" si="101"/>
        <v>-5</v>
      </c>
      <c r="Z468" s="86">
        <f t="shared" ca="1" si="102"/>
        <v>0</v>
      </c>
      <c r="AA468" s="85">
        <f t="shared" ca="1" si="103"/>
        <v>4.109</v>
      </c>
      <c r="AB468" s="85">
        <f t="shared" ca="1" si="104"/>
        <v>3.1720000000000002</v>
      </c>
    </row>
    <row r="469" spans="2:28">
      <c r="B469" s="98">
        <f>'115+740'!B470</f>
        <v>45528</v>
      </c>
      <c r="C469" s="97">
        <f t="shared" si="96"/>
        <v>1</v>
      </c>
      <c r="D469" s="96">
        <f t="shared" si="97"/>
        <v>1069</v>
      </c>
      <c r="E469" s="95">
        <f>VLOOKUP(B469,'115+740'!B470:AB828,3,FALSE)</f>
        <v>2084</v>
      </c>
      <c r="F469" s="92">
        <f t="shared" si="92"/>
        <v>3153</v>
      </c>
      <c r="G469" s="94">
        <f ca="1">VLOOKUP(B469,'115+740'!$B$15:$AB$757,20,FALSE)</f>
        <v>3681</v>
      </c>
      <c r="H469" s="94">
        <f ca="1">VLOOKUP(B469,'115+740'!$B$15:$AB$757,4,FALSE)</f>
        <v>-368</v>
      </c>
      <c r="I469" s="91">
        <f t="shared" ca="1" si="93"/>
        <v>3521</v>
      </c>
      <c r="J469" s="91">
        <f ca="1">VLOOKUP(B469,'115+740'!$B$15:$AB$757,13,FALSE)</f>
        <v>-479</v>
      </c>
      <c r="K469" s="89">
        <f>'115+740'!Q470</f>
        <v>6</v>
      </c>
      <c r="L469" s="88">
        <f t="shared" ca="1" si="98"/>
        <v>519</v>
      </c>
      <c r="M469" s="93">
        <f ca="1">VLOOKUP(B469,'115+740'!$B$14:$AB$757,21,FALSE)</f>
        <v>3674</v>
      </c>
      <c r="N469" s="92">
        <f ca="1">VLOOKUP(B469,'115+740'!$B$15:$AB$757,5,FALSE)</f>
        <v>-311</v>
      </c>
      <c r="O469" s="91">
        <f t="shared" ca="1" si="94"/>
        <v>3464</v>
      </c>
      <c r="P469" s="91">
        <f ca="1">VLOOKUP(B469,'115+740'!$B$15:$AB$757,14,FALSE)</f>
        <v>-536</v>
      </c>
      <c r="Q469" s="89">
        <f>'115+740'!R470</f>
        <v>7</v>
      </c>
      <c r="R469" s="88">
        <f t="shared" ca="1" si="99"/>
        <v>526</v>
      </c>
      <c r="S469" s="93">
        <f ca="1">VLOOKUP(B469,'115+740'!$B$14:$AB$757,22,FALSE)</f>
        <v>3696</v>
      </c>
      <c r="T469" s="92">
        <f ca="1">VLOOKUP(B469,'115+740'!$B$15:$AB$757,6,FALSE)</f>
        <v>-303</v>
      </c>
      <c r="U469" s="91">
        <f t="shared" ca="1" si="95"/>
        <v>3456</v>
      </c>
      <c r="V469" s="90">
        <f ca="1">VLOOKUP(B469,'115+740'!$B$15:$AB$757,15,FALSE)</f>
        <v>-544</v>
      </c>
      <c r="W469" s="89">
        <f>'115+740'!S470</f>
        <v>7</v>
      </c>
      <c r="X469" s="88">
        <f t="shared" ca="1" si="100"/>
        <v>504</v>
      </c>
      <c r="Y469" s="87">
        <f t="shared" ca="1" si="101"/>
        <v>-7</v>
      </c>
      <c r="Z469" s="86">
        <f t="shared" ca="1" si="102"/>
        <v>0</v>
      </c>
      <c r="AA469" s="85">
        <f t="shared" ca="1" si="103"/>
        <v>4.109</v>
      </c>
      <c r="AB469" s="85">
        <f t="shared" ca="1" si="104"/>
        <v>3.1579999999999999</v>
      </c>
    </row>
    <row r="470" spans="2:28">
      <c r="B470" s="98">
        <f>'115+740'!B471</f>
        <v>45529</v>
      </c>
      <c r="C470" s="97">
        <f t="shared" si="96"/>
        <v>1</v>
      </c>
      <c r="D470" s="96">
        <f t="shared" si="97"/>
        <v>1069</v>
      </c>
      <c r="E470" s="95">
        <f>VLOOKUP(B470,'115+740'!B471:AB829,3,FALSE)</f>
        <v>2086</v>
      </c>
      <c r="F470" s="92">
        <f t="shared" si="92"/>
        <v>3155</v>
      </c>
      <c r="G470" s="94">
        <f ca="1">VLOOKUP(B470,'115+740'!$B$15:$AB$757,20,FALSE)</f>
        <v>3675</v>
      </c>
      <c r="H470" s="94">
        <f ca="1">VLOOKUP(B470,'115+740'!$B$15:$AB$757,4,FALSE)</f>
        <v>-360</v>
      </c>
      <c r="I470" s="91">
        <f t="shared" ca="1" si="93"/>
        <v>3515</v>
      </c>
      <c r="J470" s="91">
        <f ca="1">VLOOKUP(B470,'115+740'!$B$15:$AB$757,13,FALSE)</f>
        <v>-485</v>
      </c>
      <c r="K470" s="89">
        <f>'115+740'!Q471</f>
        <v>6</v>
      </c>
      <c r="L470" s="88">
        <f t="shared" ca="1" si="98"/>
        <v>525</v>
      </c>
      <c r="M470" s="93">
        <f ca="1">VLOOKUP(B470,'115+740'!$B$14:$AB$757,21,FALSE)</f>
        <v>3667</v>
      </c>
      <c r="N470" s="92">
        <f ca="1">VLOOKUP(B470,'115+740'!$B$15:$AB$757,5,FALSE)</f>
        <v>-302</v>
      </c>
      <c r="O470" s="91">
        <f t="shared" ca="1" si="94"/>
        <v>3457</v>
      </c>
      <c r="P470" s="91">
        <f ca="1">VLOOKUP(B470,'115+740'!$B$15:$AB$757,14,FALSE)</f>
        <v>-543</v>
      </c>
      <c r="Q470" s="89">
        <f>'115+740'!R471</f>
        <v>7</v>
      </c>
      <c r="R470" s="88">
        <f t="shared" ca="1" si="99"/>
        <v>533</v>
      </c>
      <c r="S470" s="93">
        <f ca="1">VLOOKUP(B470,'115+740'!$B$14:$AB$757,22,FALSE)</f>
        <v>3687</v>
      </c>
      <c r="T470" s="92">
        <f ca="1">VLOOKUP(B470,'115+740'!$B$15:$AB$757,6,FALSE)</f>
        <v>-292</v>
      </c>
      <c r="U470" s="91">
        <f t="shared" ca="1" si="95"/>
        <v>3447</v>
      </c>
      <c r="V470" s="90">
        <f ca="1">VLOOKUP(B470,'115+740'!$B$15:$AB$757,15,FALSE)</f>
        <v>-553</v>
      </c>
      <c r="W470" s="89">
        <f>'115+740'!S471</f>
        <v>9</v>
      </c>
      <c r="X470" s="88">
        <f t="shared" ca="1" si="100"/>
        <v>513</v>
      </c>
      <c r="Y470" s="87">
        <f t="shared" ca="1" si="101"/>
        <v>-9</v>
      </c>
      <c r="Z470" s="86">
        <f t="shared" ca="1" si="102"/>
        <v>0</v>
      </c>
      <c r="AA470" s="85">
        <f t="shared" ca="1" si="103"/>
        <v>4.109</v>
      </c>
      <c r="AB470" s="85">
        <f t="shared" ca="1" si="104"/>
        <v>3.1440000000000001</v>
      </c>
    </row>
    <row r="471" spans="2:28">
      <c r="B471" s="98">
        <f>'115+740'!B472</f>
        <v>45530</v>
      </c>
      <c r="C471" s="97">
        <f t="shared" si="96"/>
        <v>1</v>
      </c>
      <c r="D471" s="96">
        <f t="shared" si="97"/>
        <v>1069</v>
      </c>
      <c r="E471" s="95">
        <f>VLOOKUP(B471,'115+740'!B472:AB830,3,FALSE)</f>
        <v>2088</v>
      </c>
      <c r="F471" s="92">
        <f t="shared" si="92"/>
        <v>3157</v>
      </c>
      <c r="G471" s="94">
        <f ca="1">VLOOKUP(B471,'115+740'!$B$15:$AB$757,20,FALSE)</f>
        <v>3667</v>
      </c>
      <c r="H471" s="94">
        <f ca="1">VLOOKUP(B471,'115+740'!$B$15:$AB$757,4,FALSE)</f>
        <v>-350</v>
      </c>
      <c r="I471" s="91">
        <f t="shared" ca="1" si="93"/>
        <v>3507</v>
      </c>
      <c r="J471" s="91">
        <f ca="1">VLOOKUP(B471,'115+740'!$B$15:$AB$757,13,FALSE)</f>
        <v>-493</v>
      </c>
      <c r="K471" s="89">
        <f>'115+740'!Q472</f>
        <v>8</v>
      </c>
      <c r="L471" s="88">
        <f t="shared" ca="1" si="98"/>
        <v>533</v>
      </c>
      <c r="M471" s="93">
        <f ca="1">VLOOKUP(B471,'115+740'!$B$14:$AB$757,21,FALSE)</f>
        <v>3658</v>
      </c>
      <c r="N471" s="92">
        <f ca="1">VLOOKUP(B471,'115+740'!$B$15:$AB$757,5,FALSE)</f>
        <v>-291</v>
      </c>
      <c r="O471" s="91">
        <f t="shared" ca="1" si="94"/>
        <v>3448</v>
      </c>
      <c r="P471" s="91">
        <f ca="1">VLOOKUP(B471,'115+740'!$B$15:$AB$757,14,FALSE)</f>
        <v>-552</v>
      </c>
      <c r="Q471" s="89">
        <f>'115+740'!R472</f>
        <v>9</v>
      </c>
      <c r="R471" s="88">
        <f t="shared" ca="1" si="99"/>
        <v>542</v>
      </c>
      <c r="S471" s="93">
        <f ca="1">VLOOKUP(B471,'115+740'!$B$14:$AB$757,22,FALSE)</f>
        <v>3681</v>
      </c>
      <c r="T471" s="92">
        <f ca="1">VLOOKUP(B471,'115+740'!$B$15:$AB$757,6,FALSE)</f>
        <v>-284</v>
      </c>
      <c r="U471" s="91">
        <f t="shared" ca="1" si="95"/>
        <v>3441</v>
      </c>
      <c r="V471" s="90">
        <f ca="1">VLOOKUP(B471,'115+740'!$B$15:$AB$757,15,FALSE)</f>
        <v>-559</v>
      </c>
      <c r="W471" s="89">
        <f>'115+740'!S472</f>
        <v>6</v>
      </c>
      <c r="X471" s="88">
        <f t="shared" ca="1" si="100"/>
        <v>519</v>
      </c>
      <c r="Y471" s="87">
        <f t="shared" ca="1" si="101"/>
        <v>-6</v>
      </c>
      <c r="Z471" s="86">
        <f t="shared" ca="1" si="102"/>
        <v>0</v>
      </c>
      <c r="AA471" s="85">
        <f t="shared" ca="1" si="103"/>
        <v>4.109</v>
      </c>
      <c r="AB471" s="85">
        <f t="shared" ca="1" si="104"/>
        <v>3.1259999999999999</v>
      </c>
    </row>
    <row r="472" spans="2:28">
      <c r="B472" s="98">
        <f>'115+740'!B473</f>
        <v>45531</v>
      </c>
      <c r="C472" s="97">
        <f t="shared" si="96"/>
        <v>1</v>
      </c>
      <c r="D472" s="96">
        <f t="shared" si="97"/>
        <v>1069</v>
      </c>
      <c r="E472" s="95">
        <f>VLOOKUP(B472,'115+740'!B473:AB831,3,FALSE)</f>
        <v>2090</v>
      </c>
      <c r="F472" s="92">
        <f t="shared" si="92"/>
        <v>3159</v>
      </c>
      <c r="G472" s="94">
        <f ca="1">VLOOKUP(B472,'115+740'!$B$15:$AB$757,20,FALSE)</f>
        <v>3660</v>
      </c>
      <c r="H472" s="94">
        <f ca="1">VLOOKUP(B472,'115+740'!$B$15:$AB$757,4,FALSE)</f>
        <v>-341</v>
      </c>
      <c r="I472" s="91">
        <f t="shared" ca="1" si="93"/>
        <v>3500</v>
      </c>
      <c r="J472" s="91">
        <f ca="1">VLOOKUP(B472,'115+740'!$B$15:$AB$757,13,FALSE)</f>
        <v>-500</v>
      </c>
      <c r="K472" s="89">
        <f>'115+740'!Q473</f>
        <v>7</v>
      </c>
      <c r="L472" s="88">
        <f t="shared" ca="1" si="98"/>
        <v>540</v>
      </c>
      <c r="M472" s="93">
        <f ca="1">VLOOKUP(B472,'115+740'!$B$14:$AB$757,21,FALSE)</f>
        <v>3649</v>
      </c>
      <c r="N472" s="92">
        <f ca="1">VLOOKUP(B472,'115+740'!$B$15:$AB$757,5,FALSE)</f>
        <v>-280</v>
      </c>
      <c r="O472" s="91">
        <f t="shared" ca="1" si="94"/>
        <v>3439</v>
      </c>
      <c r="P472" s="91">
        <f ca="1">VLOOKUP(B472,'115+740'!$B$15:$AB$757,14,FALSE)</f>
        <v>-561</v>
      </c>
      <c r="Q472" s="89">
        <f>'115+740'!R473</f>
        <v>9</v>
      </c>
      <c r="R472" s="88">
        <f t="shared" ca="1" si="99"/>
        <v>551</v>
      </c>
      <c r="S472" s="93">
        <f ca="1">VLOOKUP(B472,'115+740'!$B$14:$AB$757,22,FALSE)</f>
        <v>3674</v>
      </c>
      <c r="T472" s="92">
        <f ca="1">VLOOKUP(B472,'115+740'!$B$15:$AB$757,6,FALSE)</f>
        <v>-275</v>
      </c>
      <c r="U472" s="91">
        <f t="shared" ca="1" si="95"/>
        <v>3434</v>
      </c>
      <c r="V472" s="90">
        <f ca="1">VLOOKUP(B472,'115+740'!$B$15:$AB$757,15,FALSE)</f>
        <v>-566</v>
      </c>
      <c r="W472" s="89">
        <f>'115+740'!S473</f>
        <v>7</v>
      </c>
      <c r="X472" s="88">
        <f t="shared" ca="1" si="100"/>
        <v>526</v>
      </c>
      <c r="Y472" s="87">
        <f t="shared" ca="1" si="101"/>
        <v>-7</v>
      </c>
      <c r="Z472" s="86">
        <f t="shared" ca="1" si="102"/>
        <v>0</v>
      </c>
      <c r="AA472" s="85">
        <f t="shared" ca="1" si="103"/>
        <v>4.109</v>
      </c>
      <c r="AB472" s="85">
        <f t="shared" ca="1" si="104"/>
        <v>3.1080000000000001</v>
      </c>
    </row>
    <row r="473" spans="2:28">
      <c r="B473" s="98">
        <f>'115+740'!B474</f>
        <v>45532</v>
      </c>
      <c r="C473" s="97">
        <f t="shared" si="96"/>
        <v>1</v>
      </c>
      <c r="D473" s="96">
        <f t="shared" si="97"/>
        <v>1069</v>
      </c>
      <c r="E473" s="95">
        <f>VLOOKUP(B473,'115+740'!B474:AB832,3,FALSE)</f>
        <v>2092</v>
      </c>
      <c r="F473" s="92">
        <f t="shared" si="92"/>
        <v>3161</v>
      </c>
      <c r="G473" s="94">
        <f ca="1">VLOOKUP(B473,'115+740'!$B$15:$AB$757,20,FALSE)</f>
        <v>3651</v>
      </c>
      <c r="H473" s="94">
        <f ca="1">VLOOKUP(B473,'115+740'!$B$15:$AB$757,4,FALSE)</f>
        <v>-330</v>
      </c>
      <c r="I473" s="91">
        <f t="shared" ca="1" si="93"/>
        <v>3491</v>
      </c>
      <c r="J473" s="91">
        <f ca="1">VLOOKUP(B473,'115+740'!$B$15:$AB$757,13,FALSE)</f>
        <v>-509</v>
      </c>
      <c r="K473" s="89">
        <f>'115+740'!Q474</f>
        <v>9</v>
      </c>
      <c r="L473" s="88">
        <f t="shared" ca="1" si="98"/>
        <v>549</v>
      </c>
      <c r="M473" s="93">
        <f ca="1">VLOOKUP(B473,'115+740'!$B$14:$AB$757,21,FALSE)</f>
        <v>3640</v>
      </c>
      <c r="N473" s="92">
        <f ca="1">VLOOKUP(B473,'115+740'!$B$15:$AB$757,5,FALSE)</f>
        <v>-269</v>
      </c>
      <c r="O473" s="91">
        <f t="shared" ca="1" si="94"/>
        <v>3430</v>
      </c>
      <c r="P473" s="91">
        <f ca="1">VLOOKUP(B473,'115+740'!$B$15:$AB$757,14,FALSE)</f>
        <v>-570</v>
      </c>
      <c r="Q473" s="89">
        <f>'115+740'!R474</f>
        <v>9</v>
      </c>
      <c r="R473" s="88">
        <f t="shared" ca="1" si="99"/>
        <v>560</v>
      </c>
      <c r="S473" s="93">
        <f ca="1">VLOOKUP(B473,'115+740'!$B$14:$AB$757,22,FALSE)</f>
        <v>3667</v>
      </c>
      <c r="T473" s="92">
        <f ca="1">VLOOKUP(B473,'115+740'!$B$15:$AB$757,6,FALSE)</f>
        <v>-266</v>
      </c>
      <c r="U473" s="91">
        <f t="shared" ca="1" si="95"/>
        <v>3427</v>
      </c>
      <c r="V473" s="90">
        <f ca="1">VLOOKUP(B473,'115+740'!$B$15:$AB$757,15,FALSE)</f>
        <v>-573</v>
      </c>
      <c r="W473" s="89">
        <f>'115+740'!S474</f>
        <v>7</v>
      </c>
      <c r="X473" s="88">
        <f t="shared" ca="1" si="100"/>
        <v>533</v>
      </c>
      <c r="Y473" s="87">
        <f t="shared" ca="1" si="101"/>
        <v>-7</v>
      </c>
      <c r="Z473" s="86">
        <f t="shared" ca="1" si="102"/>
        <v>0</v>
      </c>
      <c r="AA473" s="85">
        <f t="shared" ca="1" si="103"/>
        <v>4.109</v>
      </c>
      <c r="AB473" s="85">
        <f t="shared" ca="1" si="104"/>
        <v>3.09</v>
      </c>
    </row>
    <row r="474" spans="2:28">
      <c r="B474" s="98">
        <f>'115+740'!B475</f>
        <v>45533</v>
      </c>
      <c r="C474" s="97">
        <f t="shared" si="96"/>
        <v>1</v>
      </c>
      <c r="D474" s="96">
        <f t="shared" si="97"/>
        <v>1069</v>
      </c>
      <c r="E474" s="95">
        <f>VLOOKUP(B474,'115+740'!B475:AB833,3,FALSE)</f>
        <v>2094</v>
      </c>
      <c r="F474" s="92">
        <f t="shared" si="92"/>
        <v>3163</v>
      </c>
      <c r="G474" s="94">
        <f ca="1">VLOOKUP(B474,'115+740'!$B$15:$AB$757,20,FALSE)</f>
        <v>3643</v>
      </c>
      <c r="H474" s="94">
        <f ca="1">VLOOKUP(B474,'115+740'!$B$15:$AB$757,4,FALSE)</f>
        <v>-320</v>
      </c>
      <c r="I474" s="91">
        <f t="shared" ca="1" si="93"/>
        <v>3483</v>
      </c>
      <c r="J474" s="91">
        <f ca="1">VLOOKUP(B474,'115+740'!$B$15:$AB$757,13,FALSE)</f>
        <v>-517</v>
      </c>
      <c r="K474" s="89">
        <f>'115+740'!Q475</f>
        <v>8</v>
      </c>
      <c r="L474" s="88">
        <f t="shared" ca="1" si="98"/>
        <v>557</v>
      </c>
      <c r="M474" s="93">
        <f ca="1">VLOOKUP(B474,'115+740'!$B$14:$AB$757,21,FALSE)</f>
        <v>3632</v>
      </c>
      <c r="N474" s="92">
        <f ca="1">VLOOKUP(B474,'115+740'!$B$15:$AB$757,5,FALSE)</f>
        <v>-259</v>
      </c>
      <c r="O474" s="91">
        <f t="shared" ca="1" si="94"/>
        <v>3422</v>
      </c>
      <c r="P474" s="91">
        <f ca="1">VLOOKUP(B474,'115+740'!$B$15:$AB$757,14,FALSE)</f>
        <v>-578</v>
      </c>
      <c r="Q474" s="89">
        <f>'115+740'!R475</f>
        <v>8</v>
      </c>
      <c r="R474" s="88">
        <f t="shared" ca="1" si="99"/>
        <v>568</v>
      </c>
      <c r="S474" s="93">
        <f ca="1">VLOOKUP(B474,'115+740'!$B$14:$AB$757,22,FALSE)</f>
        <v>3661</v>
      </c>
      <c r="T474" s="92">
        <f ca="1">VLOOKUP(B474,'115+740'!$B$15:$AB$757,6,FALSE)</f>
        <v>-258</v>
      </c>
      <c r="U474" s="91">
        <f t="shared" ca="1" si="95"/>
        <v>3421</v>
      </c>
      <c r="V474" s="90">
        <f ca="1">VLOOKUP(B474,'115+740'!$B$15:$AB$757,15,FALSE)</f>
        <v>-579</v>
      </c>
      <c r="W474" s="89">
        <f>'115+740'!S475</f>
        <v>6</v>
      </c>
      <c r="X474" s="88">
        <f t="shared" ca="1" si="100"/>
        <v>539</v>
      </c>
      <c r="Y474" s="87">
        <f t="shared" ca="1" si="101"/>
        <v>-6</v>
      </c>
      <c r="Z474" s="86">
        <f t="shared" ca="1" si="102"/>
        <v>0</v>
      </c>
      <c r="AA474" s="85">
        <f t="shared" ca="1" si="103"/>
        <v>4.109</v>
      </c>
      <c r="AB474" s="85">
        <f t="shared" ca="1" si="104"/>
        <v>3.0739999999999998</v>
      </c>
    </row>
    <row r="475" spans="2:28">
      <c r="B475" s="98">
        <f>'115+740'!B476</f>
        <v>45534</v>
      </c>
      <c r="C475" s="97">
        <f t="shared" si="96"/>
        <v>1</v>
      </c>
      <c r="D475" s="96">
        <f t="shared" si="97"/>
        <v>1069</v>
      </c>
      <c r="E475" s="95">
        <f>VLOOKUP(B475,'115+740'!B476:AB834,3,FALSE)</f>
        <v>2096</v>
      </c>
      <c r="F475" s="92">
        <f t="shared" si="92"/>
        <v>3165</v>
      </c>
      <c r="G475" s="94">
        <f ca="1">VLOOKUP(B475,'115+740'!$B$15:$AB$757,20,FALSE)</f>
        <v>3634</v>
      </c>
      <c r="H475" s="94">
        <f ca="1">VLOOKUP(B475,'115+740'!$B$15:$AB$757,4,FALSE)</f>
        <v>-309</v>
      </c>
      <c r="I475" s="91">
        <f t="shared" ca="1" si="93"/>
        <v>3474</v>
      </c>
      <c r="J475" s="91">
        <f ca="1">VLOOKUP(B475,'115+740'!$B$15:$AB$757,13,FALSE)</f>
        <v>-526</v>
      </c>
      <c r="K475" s="89">
        <f>'115+740'!Q476</f>
        <v>9</v>
      </c>
      <c r="L475" s="88">
        <f t="shared" ca="1" si="98"/>
        <v>566</v>
      </c>
      <c r="M475" s="93">
        <f ca="1">VLOOKUP(B475,'115+740'!$B$14:$AB$757,21,FALSE)</f>
        <v>3625</v>
      </c>
      <c r="N475" s="92">
        <f ca="1">VLOOKUP(B475,'115+740'!$B$15:$AB$757,5,FALSE)</f>
        <v>-250</v>
      </c>
      <c r="O475" s="91">
        <f t="shared" ca="1" si="94"/>
        <v>3415</v>
      </c>
      <c r="P475" s="91">
        <f ca="1">VLOOKUP(B475,'115+740'!$B$15:$AB$757,14,FALSE)</f>
        <v>-585</v>
      </c>
      <c r="Q475" s="89">
        <f>'115+740'!R476</f>
        <v>7</v>
      </c>
      <c r="R475" s="88">
        <f t="shared" ca="1" si="99"/>
        <v>575</v>
      </c>
      <c r="S475" s="93">
        <f ca="1">VLOOKUP(B475,'115+740'!$B$14:$AB$757,22,FALSE)</f>
        <v>3655</v>
      </c>
      <c r="T475" s="92">
        <f ca="1">VLOOKUP(B475,'115+740'!$B$15:$AB$757,6,FALSE)</f>
        <v>-250</v>
      </c>
      <c r="U475" s="91">
        <f t="shared" ca="1" si="95"/>
        <v>3415</v>
      </c>
      <c r="V475" s="90">
        <f ca="1">VLOOKUP(B475,'115+740'!$B$15:$AB$757,15,FALSE)</f>
        <v>-585</v>
      </c>
      <c r="W475" s="89">
        <f>'115+740'!S476</f>
        <v>6</v>
      </c>
      <c r="X475" s="88">
        <f t="shared" ca="1" si="100"/>
        <v>545</v>
      </c>
      <c r="Y475" s="87">
        <f t="shared" ca="1" si="101"/>
        <v>-6</v>
      </c>
      <c r="Z475" s="86">
        <f t="shared" ca="1" si="102"/>
        <v>0</v>
      </c>
      <c r="AA475" s="85">
        <f t="shared" ca="1" si="103"/>
        <v>4.109</v>
      </c>
      <c r="AB475" s="85">
        <f t="shared" ca="1" si="104"/>
        <v>3.06</v>
      </c>
    </row>
    <row r="476" spans="2:28">
      <c r="B476" s="98">
        <f>'115+740'!B477</f>
        <v>45535</v>
      </c>
      <c r="C476" s="97">
        <f t="shared" si="96"/>
        <v>1</v>
      </c>
      <c r="D476" s="96">
        <f t="shared" si="97"/>
        <v>1069</v>
      </c>
      <c r="E476" s="95">
        <f>VLOOKUP(B476,'115+740'!B477:AB835,3,FALSE)</f>
        <v>2098</v>
      </c>
      <c r="F476" s="92">
        <f t="shared" si="92"/>
        <v>3167</v>
      </c>
      <c r="G476" s="94">
        <f ca="1">VLOOKUP(B476,'115+740'!$B$15:$AB$757,20,FALSE)</f>
        <v>3626</v>
      </c>
      <c r="H476" s="94">
        <f ca="1">VLOOKUP(B476,'115+740'!$B$15:$AB$757,4,FALSE)</f>
        <v>-299</v>
      </c>
      <c r="I476" s="91">
        <f t="shared" ca="1" si="93"/>
        <v>3466</v>
      </c>
      <c r="J476" s="91">
        <f ca="1">VLOOKUP(B476,'115+740'!$B$15:$AB$757,13,FALSE)</f>
        <v>-534</v>
      </c>
      <c r="K476" s="89">
        <f>'115+740'!Q477</f>
        <v>8</v>
      </c>
      <c r="L476" s="88">
        <f t="shared" ca="1" si="98"/>
        <v>574</v>
      </c>
      <c r="M476" s="93">
        <f ca="1">VLOOKUP(B476,'115+740'!$B$14:$AB$757,21,FALSE)</f>
        <v>3617</v>
      </c>
      <c r="N476" s="92">
        <f ca="1">VLOOKUP(B476,'115+740'!$B$15:$AB$757,5,FALSE)</f>
        <v>-240</v>
      </c>
      <c r="O476" s="91">
        <f t="shared" ca="1" si="94"/>
        <v>3407</v>
      </c>
      <c r="P476" s="91">
        <f ca="1">VLOOKUP(B476,'115+740'!$B$15:$AB$757,14,FALSE)</f>
        <v>-593</v>
      </c>
      <c r="Q476" s="89">
        <f>'115+740'!R477</f>
        <v>8</v>
      </c>
      <c r="R476" s="88">
        <f t="shared" ca="1" si="99"/>
        <v>583</v>
      </c>
      <c r="S476" s="93">
        <f ca="1">VLOOKUP(B476,'115+740'!$B$14:$AB$757,22,FALSE)</f>
        <v>3647</v>
      </c>
      <c r="T476" s="92">
        <f ca="1">VLOOKUP(B476,'115+740'!$B$15:$AB$757,6,FALSE)</f>
        <v>-240</v>
      </c>
      <c r="U476" s="91">
        <f t="shared" ca="1" si="95"/>
        <v>3407</v>
      </c>
      <c r="V476" s="90">
        <f ca="1">VLOOKUP(B476,'115+740'!$B$15:$AB$757,15,FALSE)</f>
        <v>-593</v>
      </c>
      <c r="W476" s="89">
        <f>'115+740'!S477</f>
        <v>8</v>
      </c>
      <c r="X476" s="88">
        <f t="shared" ca="1" si="100"/>
        <v>553</v>
      </c>
      <c r="Y476" s="87">
        <f t="shared" ca="1" si="101"/>
        <v>-8</v>
      </c>
      <c r="Z476" s="86">
        <f t="shared" ca="1" si="102"/>
        <v>0</v>
      </c>
      <c r="AA476" s="85">
        <f t="shared" ca="1" si="103"/>
        <v>4.109</v>
      </c>
      <c r="AB476" s="85">
        <f t="shared" ca="1" si="104"/>
        <v>3.044</v>
      </c>
    </row>
    <row r="477" spans="2:28">
      <c r="B477" s="98">
        <f>'115+740'!B478</f>
        <v>45536</v>
      </c>
      <c r="C477" s="97">
        <f t="shared" si="96"/>
        <v>1</v>
      </c>
      <c r="D477" s="96">
        <f t="shared" si="97"/>
        <v>1069</v>
      </c>
      <c r="E477" s="95">
        <f>VLOOKUP(B477,'115+740'!B478:AB836,3,FALSE)</f>
        <v>2100</v>
      </c>
      <c r="F477" s="92">
        <f t="shared" si="92"/>
        <v>3169</v>
      </c>
      <c r="G477" s="94">
        <f ca="1">VLOOKUP(B477,'115+740'!$B$15:$AB$757,20,FALSE)</f>
        <v>3619</v>
      </c>
      <c r="H477" s="94">
        <f ca="1">VLOOKUP(B477,'115+740'!$B$15:$AB$757,4,FALSE)</f>
        <v>-290</v>
      </c>
      <c r="I477" s="91">
        <f t="shared" ca="1" si="93"/>
        <v>3459</v>
      </c>
      <c r="J477" s="91">
        <f ca="1">VLOOKUP(B477,'115+740'!$B$15:$AB$757,13,FALSE)</f>
        <v>-541</v>
      </c>
      <c r="K477" s="89">
        <f>'115+740'!Q478</f>
        <v>7</v>
      </c>
      <c r="L477" s="88">
        <f t="shared" ca="1" si="98"/>
        <v>581</v>
      </c>
      <c r="M477" s="93">
        <f ca="1">VLOOKUP(B477,'115+740'!$B$14:$AB$757,21,FALSE)</f>
        <v>3608</v>
      </c>
      <c r="N477" s="92">
        <f ca="1">VLOOKUP(B477,'115+740'!$B$15:$AB$757,5,FALSE)</f>
        <v>-229</v>
      </c>
      <c r="O477" s="91">
        <f t="shared" ca="1" si="94"/>
        <v>3398</v>
      </c>
      <c r="P477" s="91">
        <f ca="1">VLOOKUP(B477,'115+740'!$B$15:$AB$757,14,FALSE)</f>
        <v>-602</v>
      </c>
      <c r="Q477" s="89">
        <f>'115+740'!R478</f>
        <v>9</v>
      </c>
      <c r="R477" s="88">
        <f t="shared" ca="1" si="99"/>
        <v>592</v>
      </c>
      <c r="S477" s="93">
        <f ca="1">VLOOKUP(B477,'115+740'!$B$14:$AB$757,22,FALSE)</f>
        <v>3640</v>
      </c>
      <c r="T477" s="92">
        <f ca="1">VLOOKUP(B477,'115+740'!$B$15:$AB$757,6,FALSE)</f>
        <v>-231</v>
      </c>
      <c r="U477" s="91">
        <f t="shared" ca="1" si="95"/>
        <v>3400</v>
      </c>
      <c r="V477" s="90">
        <f ca="1">VLOOKUP(B477,'115+740'!$B$15:$AB$757,15,FALSE)</f>
        <v>-600</v>
      </c>
      <c r="W477" s="89">
        <f>'115+740'!S478</f>
        <v>7</v>
      </c>
      <c r="X477" s="88">
        <f t="shared" ca="1" si="100"/>
        <v>560</v>
      </c>
      <c r="Y477" s="87">
        <f t="shared" ca="1" si="101"/>
        <v>-7</v>
      </c>
      <c r="Z477" s="86">
        <f t="shared" ca="1" si="102"/>
        <v>0</v>
      </c>
      <c r="AA477" s="85">
        <f t="shared" ca="1" si="103"/>
        <v>4.109</v>
      </c>
      <c r="AB477" s="85">
        <f t="shared" ca="1" si="104"/>
        <v>3.0259999999999998</v>
      </c>
    </row>
    <row r="478" spans="2:28">
      <c r="B478" s="98">
        <f>'115+740'!B479</f>
        <v>45537</v>
      </c>
      <c r="C478" s="97">
        <f t="shared" si="96"/>
        <v>1</v>
      </c>
      <c r="D478" s="96">
        <f t="shared" si="97"/>
        <v>1069</v>
      </c>
      <c r="E478" s="95">
        <f>VLOOKUP(B478,'115+740'!B479:AB837,3,FALSE)</f>
        <v>2102</v>
      </c>
      <c r="F478" s="92">
        <f t="shared" si="92"/>
        <v>3171</v>
      </c>
      <c r="G478" s="94">
        <f ca="1">VLOOKUP(B478,'115+740'!$B$15:$AB$757,20,FALSE)</f>
        <v>3610</v>
      </c>
      <c r="H478" s="94">
        <f ca="1">VLOOKUP(B478,'115+740'!$B$15:$AB$757,4,FALSE)</f>
        <v>-279</v>
      </c>
      <c r="I478" s="91">
        <f t="shared" ca="1" si="93"/>
        <v>3450</v>
      </c>
      <c r="J478" s="91">
        <f ca="1">VLOOKUP(B478,'115+740'!$B$15:$AB$757,13,FALSE)</f>
        <v>-550</v>
      </c>
      <c r="K478" s="89">
        <f>'115+740'!Q479</f>
        <v>9</v>
      </c>
      <c r="L478" s="88">
        <f t="shared" ca="1" si="98"/>
        <v>590</v>
      </c>
      <c r="M478" s="93">
        <f ca="1">VLOOKUP(B478,'115+740'!$B$14:$AB$757,21,FALSE)</f>
        <v>3600</v>
      </c>
      <c r="N478" s="92">
        <f ca="1">VLOOKUP(B478,'115+740'!$B$15:$AB$757,5,FALSE)</f>
        <v>-219</v>
      </c>
      <c r="O478" s="91">
        <f t="shared" ca="1" si="94"/>
        <v>3390</v>
      </c>
      <c r="P478" s="91">
        <f ca="1">VLOOKUP(B478,'115+740'!$B$15:$AB$757,14,FALSE)</f>
        <v>-610</v>
      </c>
      <c r="Q478" s="89">
        <f>'115+740'!R479</f>
        <v>8</v>
      </c>
      <c r="R478" s="88">
        <f t="shared" ca="1" si="99"/>
        <v>600</v>
      </c>
      <c r="S478" s="93">
        <f ca="1">VLOOKUP(B478,'115+740'!$B$14:$AB$757,22,FALSE)</f>
        <v>3631</v>
      </c>
      <c r="T478" s="92">
        <f ca="1">VLOOKUP(B478,'115+740'!$B$15:$AB$757,6,FALSE)</f>
        <v>-220</v>
      </c>
      <c r="U478" s="91">
        <f t="shared" ca="1" si="95"/>
        <v>3391</v>
      </c>
      <c r="V478" s="90">
        <f ca="1">VLOOKUP(B478,'115+740'!$B$15:$AB$757,15,FALSE)</f>
        <v>-609</v>
      </c>
      <c r="W478" s="89">
        <f>'115+740'!S479</f>
        <v>9</v>
      </c>
      <c r="X478" s="88">
        <f t="shared" ca="1" si="100"/>
        <v>569</v>
      </c>
      <c r="Y478" s="87">
        <f t="shared" ca="1" si="101"/>
        <v>-9</v>
      </c>
      <c r="Z478" s="86">
        <f t="shared" ca="1" si="102"/>
        <v>0</v>
      </c>
      <c r="AA478" s="85">
        <f t="shared" ca="1" si="103"/>
        <v>4.109</v>
      </c>
      <c r="AB478" s="85">
        <f t="shared" ca="1" si="104"/>
        <v>3.01</v>
      </c>
    </row>
    <row r="479" spans="2:28">
      <c r="B479" s="98">
        <f>'115+740'!B480</f>
        <v>45538</v>
      </c>
      <c r="C479" s="97">
        <f t="shared" si="96"/>
        <v>1</v>
      </c>
      <c r="D479" s="96">
        <f t="shared" si="97"/>
        <v>1069</v>
      </c>
      <c r="E479" s="95">
        <f>VLOOKUP(B479,'115+740'!B480:AB838,3,FALSE)</f>
        <v>2104</v>
      </c>
      <c r="F479" s="92">
        <f t="shared" si="92"/>
        <v>3173</v>
      </c>
      <c r="G479" s="94">
        <f ca="1">VLOOKUP(B479,'115+740'!$B$15:$AB$757,20,FALSE)</f>
        <v>3602</v>
      </c>
      <c r="H479" s="94">
        <f ca="1">VLOOKUP(B479,'115+740'!$B$15:$AB$757,4,FALSE)</f>
        <v>-269</v>
      </c>
      <c r="I479" s="91">
        <f t="shared" ca="1" si="93"/>
        <v>3442</v>
      </c>
      <c r="J479" s="91">
        <f ca="1">VLOOKUP(B479,'115+740'!$B$15:$AB$757,13,FALSE)</f>
        <v>-558</v>
      </c>
      <c r="K479" s="89">
        <f>'115+740'!Q480</f>
        <v>8</v>
      </c>
      <c r="L479" s="88">
        <f t="shared" ca="1" si="98"/>
        <v>598</v>
      </c>
      <c r="M479" s="93">
        <f ca="1">VLOOKUP(B479,'115+740'!$B$14:$AB$757,21,FALSE)</f>
        <v>3593</v>
      </c>
      <c r="N479" s="92">
        <f ca="1">VLOOKUP(B479,'115+740'!$B$15:$AB$757,5,FALSE)</f>
        <v>-210</v>
      </c>
      <c r="O479" s="91">
        <f t="shared" ca="1" si="94"/>
        <v>3383</v>
      </c>
      <c r="P479" s="91">
        <f ca="1">VLOOKUP(B479,'115+740'!$B$15:$AB$757,14,FALSE)</f>
        <v>-617</v>
      </c>
      <c r="Q479" s="89">
        <f>'115+740'!R480</f>
        <v>7</v>
      </c>
      <c r="R479" s="88">
        <f t="shared" ca="1" si="99"/>
        <v>607</v>
      </c>
      <c r="S479" s="93">
        <f ca="1">VLOOKUP(B479,'115+740'!$B$14:$AB$757,22,FALSE)</f>
        <v>3629</v>
      </c>
      <c r="T479" s="92">
        <f ca="1">VLOOKUP(B479,'115+740'!$B$15:$AB$757,6,FALSE)</f>
        <v>-216</v>
      </c>
      <c r="U479" s="91">
        <f t="shared" ca="1" si="95"/>
        <v>3389</v>
      </c>
      <c r="V479" s="90">
        <f ca="1">VLOOKUP(B479,'115+740'!$B$15:$AB$757,15,FALSE)</f>
        <v>-611</v>
      </c>
      <c r="W479" s="89">
        <f>'115+740'!S480</f>
        <v>2</v>
      </c>
      <c r="X479" s="88">
        <f t="shared" ca="1" si="100"/>
        <v>571</v>
      </c>
      <c r="Y479" s="87">
        <f t="shared" ca="1" si="101"/>
        <v>-2</v>
      </c>
      <c r="Z479" s="86">
        <f t="shared" ca="1" si="102"/>
        <v>0</v>
      </c>
      <c r="AA479" s="85">
        <f t="shared" ca="1" si="103"/>
        <v>4.109</v>
      </c>
      <c r="AB479" s="85">
        <f t="shared" ca="1" si="104"/>
        <v>2.996</v>
      </c>
    </row>
    <row r="480" spans="2:28">
      <c r="B480" s="98">
        <f>'115+740'!B481</f>
        <v>45539</v>
      </c>
      <c r="C480" s="97">
        <f t="shared" si="96"/>
        <v>1</v>
      </c>
      <c r="D480" s="96">
        <f t="shared" si="97"/>
        <v>1069</v>
      </c>
      <c r="E480" s="95">
        <f>VLOOKUP(B480,'115+740'!B481:AB839,3,FALSE)</f>
        <v>2106</v>
      </c>
      <c r="F480" s="92">
        <f t="shared" si="92"/>
        <v>3175</v>
      </c>
      <c r="G480" s="94">
        <f ca="1">VLOOKUP(B480,'115+740'!$B$15:$AB$757,20,FALSE)</f>
        <v>3593</v>
      </c>
      <c r="H480" s="94">
        <f ca="1">VLOOKUP(B480,'115+740'!$B$15:$AB$757,4,FALSE)</f>
        <v>-258</v>
      </c>
      <c r="I480" s="91">
        <f t="shared" ca="1" si="93"/>
        <v>3433</v>
      </c>
      <c r="J480" s="91">
        <f ca="1">VLOOKUP(B480,'115+740'!$B$15:$AB$757,13,FALSE)</f>
        <v>-567</v>
      </c>
      <c r="K480" s="89">
        <f>'115+740'!Q481</f>
        <v>9</v>
      </c>
      <c r="L480" s="88">
        <f t="shared" ca="1" si="98"/>
        <v>607</v>
      </c>
      <c r="M480" s="93">
        <f ca="1">VLOOKUP(B480,'115+740'!$B$14:$AB$757,21,FALSE)</f>
        <v>3584</v>
      </c>
      <c r="N480" s="92">
        <f ca="1">VLOOKUP(B480,'115+740'!$B$15:$AB$757,5,FALSE)</f>
        <v>-199</v>
      </c>
      <c r="O480" s="91">
        <f t="shared" ca="1" si="94"/>
        <v>3374</v>
      </c>
      <c r="P480" s="91">
        <f ca="1">VLOOKUP(B480,'115+740'!$B$15:$AB$757,14,FALSE)</f>
        <v>-626</v>
      </c>
      <c r="Q480" s="89">
        <f>'115+740'!R481</f>
        <v>9</v>
      </c>
      <c r="R480" s="88">
        <f t="shared" ca="1" si="99"/>
        <v>616</v>
      </c>
      <c r="S480" s="93">
        <f ca="1">VLOOKUP(B480,'115+740'!$B$14:$AB$757,22,FALSE)</f>
        <v>3620</v>
      </c>
      <c r="T480" s="92">
        <f ca="1">VLOOKUP(B480,'115+740'!$B$15:$AB$757,6,FALSE)</f>
        <v>-205</v>
      </c>
      <c r="U480" s="91">
        <f t="shared" ca="1" si="95"/>
        <v>3380</v>
      </c>
      <c r="V480" s="90">
        <f ca="1">VLOOKUP(B480,'115+740'!$B$15:$AB$757,15,FALSE)</f>
        <v>-620</v>
      </c>
      <c r="W480" s="89">
        <f>'115+740'!S481</f>
        <v>9</v>
      </c>
      <c r="X480" s="88">
        <f t="shared" ca="1" si="100"/>
        <v>580</v>
      </c>
      <c r="Y480" s="87">
        <f t="shared" ca="1" si="101"/>
        <v>-9</v>
      </c>
      <c r="Z480" s="86">
        <f t="shared" ca="1" si="102"/>
        <v>0</v>
      </c>
      <c r="AA480" s="85">
        <f t="shared" ca="1" si="103"/>
        <v>4.109</v>
      </c>
      <c r="AB480" s="85">
        <f t="shared" ca="1" si="104"/>
        <v>2.9780000000000002</v>
      </c>
    </row>
    <row r="481" spans="2:28">
      <c r="B481" s="98">
        <f>'115+740'!B482</f>
        <v>45540</v>
      </c>
      <c r="C481" s="97">
        <f t="shared" si="96"/>
        <v>1</v>
      </c>
      <c r="D481" s="96">
        <f t="shared" si="97"/>
        <v>1069</v>
      </c>
      <c r="E481" s="95">
        <f>VLOOKUP(B481,'115+740'!B482:AB840,3,FALSE)</f>
        <v>2108</v>
      </c>
      <c r="F481" s="92">
        <f t="shared" si="92"/>
        <v>3177</v>
      </c>
      <c r="G481" s="94">
        <f ca="1">VLOOKUP(B481,'115+740'!$B$15:$AB$757,20,FALSE)</f>
        <v>3585</v>
      </c>
      <c r="H481" s="94">
        <f ca="1">VLOOKUP(B481,'115+740'!$B$15:$AB$757,4,FALSE)</f>
        <v>-248</v>
      </c>
      <c r="I481" s="91">
        <f t="shared" ca="1" si="93"/>
        <v>3425</v>
      </c>
      <c r="J481" s="91">
        <f ca="1">VLOOKUP(B481,'115+740'!$B$15:$AB$757,13,FALSE)</f>
        <v>-575</v>
      </c>
      <c r="K481" s="89">
        <f>'115+740'!Q482</f>
        <v>8</v>
      </c>
      <c r="L481" s="88">
        <f t="shared" ca="1" si="98"/>
        <v>615</v>
      </c>
      <c r="M481" s="93">
        <f ca="1">VLOOKUP(B481,'115+740'!$B$14:$AB$757,21,FALSE)</f>
        <v>3576</v>
      </c>
      <c r="N481" s="92">
        <f ca="1">VLOOKUP(B481,'115+740'!$B$15:$AB$757,5,FALSE)</f>
        <v>-189</v>
      </c>
      <c r="O481" s="91">
        <f t="shared" ca="1" si="94"/>
        <v>3366</v>
      </c>
      <c r="P481" s="91">
        <f ca="1">VLOOKUP(B481,'115+740'!$B$15:$AB$757,14,FALSE)</f>
        <v>-634</v>
      </c>
      <c r="Q481" s="89">
        <f>'115+740'!R482</f>
        <v>8</v>
      </c>
      <c r="R481" s="88">
        <f t="shared" ca="1" si="99"/>
        <v>624</v>
      </c>
      <c r="S481" s="93">
        <f ca="1">VLOOKUP(B481,'115+740'!$B$14:$AB$757,22,FALSE)</f>
        <v>3612</v>
      </c>
      <c r="T481" s="92">
        <f ca="1">VLOOKUP(B481,'115+740'!$B$15:$AB$757,6,FALSE)</f>
        <v>-195</v>
      </c>
      <c r="U481" s="91">
        <f t="shared" ca="1" si="95"/>
        <v>3372</v>
      </c>
      <c r="V481" s="90">
        <f ca="1">VLOOKUP(B481,'115+740'!$B$15:$AB$757,15,FALSE)</f>
        <v>-628</v>
      </c>
      <c r="W481" s="89">
        <f>'115+740'!S482</f>
        <v>8</v>
      </c>
      <c r="X481" s="88">
        <f t="shared" ca="1" si="100"/>
        <v>588</v>
      </c>
      <c r="Y481" s="87">
        <f t="shared" ca="1" si="101"/>
        <v>-8</v>
      </c>
      <c r="Z481" s="86">
        <f t="shared" ca="1" si="102"/>
        <v>0</v>
      </c>
      <c r="AA481" s="85">
        <f t="shared" ca="1" si="103"/>
        <v>4.109</v>
      </c>
      <c r="AB481" s="85">
        <f t="shared" ca="1" si="104"/>
        <v>2.9620000000000002</v>
      </c>
    </row>
    <row r="482" spans="2:28">
      <c r="B482" s="98">
        <f>'115+740'!B483</f>
        <v>45541</v>
      </c>
      <c r="C482" s="97">
        <f t="shared" si="96"/>
        <v>1</v>
      </c>
      <c r="D482" s="96">
        <f t="shared" si="97"/>
        <v>1069</v>
      </c>
      <c r="E482" s="95">
        <f>VLOOKUP(B482,'115+740'!B483:AB841,3,FALSE)</f>
        <v>2110</v>
      </c>
      <c r="F482" s="92">
        <f t="shared" si="92"/>
        <v>3179</v>
      </c>
      <c r="G482" s="94">
        <f ca="1">VLOOKUP(B482,'115+740'!$B$15:$AB$757,20,FALSE)</f>
        <v>3578</v>
      </c>
      <c r="H482" s="94">
        <f ca="1">VLOOKUP(B482,'115+740'!$B$15:$AB$757,4,FALSE)</f>
        <v>-239</v>
      </c>
      <c r="I482" s="91">
        <f t="shared" ca="1" si="93"/>
        <v>3418</v>
      </c>
      <c r="J482" s="91">
        <f ca="1">VLOOKUP(B482,'115+740'!$B$15:$AB$757,13,FALSE)</f>
        <v>-582</v>
      </c>
      <c r="K482" s="89">
        <f>'115+740'!Q483</f>
        <v>7</v>
      </c>
      <c r="L482" s="88">
        <f t="shared" ca="1" si="98"/>
        <v>622</v>
      </c>
      <c r="M482" s="93">
        <f ca="1">VLOOKUP(B482,'115+740'!$B$14:$AB$757,21,FALSE)</f>
        <v>3567</v>
      </c>
      <c r="N482" s="92">
        <f ca="1">VLOOKUP(B482,'115+740'!$B$15:$AB$757,5,FALSE)</f>
        <v>-178</v>
      </c>
      <c r="O482" s="91">
        <f t="shared" ca="1" si="94"/>
        <v>3357</v>
      </c>
      <c r="P482" s="91">
        <f ca="1">VLOOKUP(B482,'115+740'!$B$15:$AB$757,14,FALSE)</f>
        <v>-643</v>
      </c>
      <c r="Q482" s="89">
        <f>'115+740'!R483</f>
        <v>9</v>
      </c>
      <c r="R482" s="88">
        <f t="shared" ca="1" si="99"/>
        <v>633</v>
      </c>
      <c r="S482" s="93">
        <f ca="1">VLOOKUP(B482,'115+740'!$B$14:$AB$757,22,FALSE)</f>
        <v>3605</v>
      </c>
      <c r="T482" s="92">
        <f ca="1">VLOOKUP(B482,'115+740'!$B$15:$AB$757,6,FALSE)</f>
        <v>-186</v>
      </c>
      <c r="U482" s="91">
        <f t="shared" ca="1" si="95"/>
        <v>3365</v>
      </c>
      <c r="V482" s="90">
        <f ca="1">VLOOKUP(B482,'115+740'!$B$15:$AB$757,15,FALSE)</f>
        <v>-635</v>
      </c>
      <c r="W482" s="89">
        <f>'115+740'!S483</f>
        <v>7</v>
      </c>
      <c r="X482" s="88">
        <f t="shared" ca="1" si="100"/>
        <v>595</v>
      </c>
      <c r="Y482" s="87">
        <f t="shared" ca="1" si="101"/>
        <v>-7</v>
      </c>
      <c r="Z482" s="86">
        <f t="shared" ca="1" si="102"/>
        <v>0</v>
      </c>
      <c r="AA482" s="85">
        <f t="shared" ca="1" si="103"/>
        <v>4.109</v>
      </c>
      <c r="AB482" s="85">
        <f t="shared" ca="1" si="104"/>
        <v>2.944</v>
      </c>
    </row>
    <row r="483" spans="2:28">
      <c r="B483" s="98">
        <f>'115+740'!B484</f>
        <v>45542</v>
      </c>
      <c r="C483" s="97">
        <f t="shared" si="96"/>
        <v>1</v>
      </c>
      <c r="D483" s="96">
        <f t="shared" si="97"/>
        <v>1069</v>
      </c>
      <c r="E483" s="95">
        <f>VLOOKUP(B483,'115+740'!B484:AB842,3,FALSE)</f>
        <v>2112</v>
      </c>
      <c r="F483" s="92">
        <f t="shared" si="92"/>
        <v>3181</v>
      </c>
      <c r="G483" s="94">
        <f ca="1">VLOOKUP(B483,'115+740'!$B$15:$AB$757,20,FALSE)</f>
        <v>3574</v>
      </c>
      <c r="H483" s="94">
        <f ca="1">VLOOKUP(B483,'115+740'!$B$15:$AB$757,4,FALSE)</f>
        <v>-233</v>
      </c>
      <c r="I483" s="91">
        <f t="shared" ca="1" si="93"/>
        <v>3414</v>
      </c>
      <c r="J483" s="91">
        <f ca="1">VLOOKUP(B483,'115+740'!$B$15:$AB$757,13,FALSE)</f>
        <v>-586</v>
      </c>
      <c r="K483" s="89">
        <f>'115+740'!Q484</f>
        <v>4</v>
      </c>
      <c r="L483" s="88">
        <f t="shared" ca="1" si="98"/>
        <v>626</v>
      </c>
      <c r="M483" s="93">
        <f ca="1">VLOOKUP(B483,'115+740'!$B$14:$AB$757,21,FALSE)</f>
        <v>3559</v>
      </c>
      <c r="N483" s="92">
        <f ca="1">VLOOKUP(B483,'115+740'!$B$15:$AB$757,5,FALSE)</f>
        <v>-168</v>
      </c>
      <c r="O483" s="91">
        <f t="shared" ca="1" si="94"/>
        <v>3349</v>
      </c>
      <c r="P483" s="91">
        <f ca="1">VLOOKUP(B483,'115+740'!$B$15:$AB$757,14,FALSE)</f>
        <v>-651</v>
      </c>
      <c r="Q483" s="89">
        <f>'115+740'!R484</f>
        <v>8</v>
      </c>
      <c r="R483" s="88">
        <f t="shared" ca="1" si="99"/>
        <v>641</v>
      </c>
      <c r="S483" s="93">
        <f ca="1">VLOOKUP(B483,'115+740'!$B$14:$AB$757,22,FALSE)</f>
        <v>3598</v>
      </c>
      <c r="T483" s="92">
        <f ca="1">VLOOKUP(B483,'115+740'!$B$15:$AB$757,6,FALSE)</f>
        <v>-177</v>
      </c>
      <c r="U483" s="91">
        <f t="shared" ca="1" si="95"/>
        <v>3358</v>
      </c>
      <c r="V483" s="90">
        <f ca="1">VLOOKUP(B483,'115+740'!$B$15:$AB$757,15,FALSE)</f>
        <v>-642</v>
      </c>
      <c r="W483" s="89">
        <f>'115+740'!S484</f>
        <v>7</v>
      </c>
      <c r="X483" s="88">
        <f t="shared" ca="1" si="100"/>
        <v>602</v>
      </c>
      <c r="Y483" s="87">
        <f t="shared" ca="1" si="101"/>
        <v>-7</v>
      </c>
      <c r="Z483" s="86">
        <f t="shared" ca="1" si="102"/>
        <v>0</v>
      </c>
      <c r="AA483" s="85">
        <f t="shared" ca="1" si="103"/>
        <v>4.109</v>
      </c>
      <c r="AB483" s="85">
        <f t="shared" ca="1" si="104"/>
        <v>2.9279999999999999</v>
      </c>
    </row>
    <row r="484" spans="2:28">
      <c r="B484" s="98">
        <f>'115+740'!B485</f>
        <v>45543</v>
      </c>
      <c r="C484" s="97">
        <f t="shared" si="96"/>
        <v>1</v>
      </c>
      <c r="D484" s="96">
        <f t="shared" si="97"/>
        <v>1069</v>
      </c>
      <c r="E484" s="95">
        <f>VLOOKUP(B484,'115+740'!B485:AB843,3,FALSE)</f>
        <v>2114</v>
      </c>
      <c r="F484" s="92">
        <f t="shared" si="92"/>
        <v>3183</v>
      </c>
      <c r="G484" s="94">
        <f ca="1">VLOOKUP(B484,'115+740'!$B$15:$AB$757,20,FALSE)</f>
        <v>3571</v>
      </c>
      <c r="H484" s="94">
        <f ca="1">VLOOKUP(B484,'115+740'!$B$15:$AB$757,4,FALSE)</f>
        <v>-228</v>
      </c>
      <c r="I484" s="91">
        <f t="shared" ca="1" si="93"/>
        <v>3411</v>
      </c>
      <c r="J484" s="91">
        <f ca="1">VLOOKUP(B484,'115+740'!$B$15:$AB$757,13,FALSE)</f>
        <v>-589</v>
      </c>
      <c r="K484" s="89">
        <f>'115+740'!Q485</f>
        <v>3</v>
      </c>
      <c r="L484" s="88">
        <f t="shared" ca="1" si="98"/>
        <v>629</v>
      </c>
      <c r="M484" s="93">
        <f ca="1">VLOOKUP(B484,'115+740'!$B$14:$AB$757,21,FALSE)</f>
        <v>3552</v>
      </c>
      <c r="N484" s="92">
        <f ca="1">VLOOKUP(B484,'115+740'!$B$15:$AB$757,5,FALSE)</f>
        <v>-159</v>
      </c>
      <c r="O484" s="91">
        <f t="shared" ca="1" si="94"/>
        <v>3342</v>
      </c>
      <c r="P484" s="91">
        <f ca="1">VLOOKUP(B484,'115+740'!$B$15:$AB$757,14,FALSE)</f>
        <v>-658</v>
      </c>
      <c r="Q484" s="89">
        <f>'115+740'!R485</f>
        <v>7</v>
      </c>
      <c r="R484" s="88">
        <f t="shared" ca="1" si="99"/>
        <v>648</v>
      </c>
      <c r="S484" s="93">
        <f ca="1">VLOOKUP(B484,'115+740'!$B$14:$AB$757,22,FALSE)</f>
        <v>3592</v>
      </c>
      <c r="T484" s="92">
        <f ca="1">VLOOKUP(B484,'115+740'!$B$15:$AB$757,6,FALSE)</f>
        <v>-169</v>
      </c>
      <c r="U484" s="91">
        <f t="shared" ca="1" si="95"/>
        <v>3352</v>
      </c>
      <c r="V484" s="90">
        <f ca="1">VLOOKUP(B484,'115+740'!$B$15:$AB$757,15,FALSE)</f>
        <v>-648</v>
      </c>
      <c r="W484" s="89">
        <f>'115+740'!S485</f>
        <v>6</v>
      </c>
      <c r="X484" s="88">
        <f t="shared" ca="1" si="100"/>
        <v>608</v>
      </c>
      <c r="Y484" s="87">
        <f t="shared" ca="1" si="101"/>
        <v>-6</v>
      </c>
      <c r="Z484" s="86">
        <f t="shared" ca="1" si="102"/>
        <v>0</v>
      </c>
      <c r="AA484" s="85">
        <f t="shared" ca="1" si="103"/>
        <v>4.109</v>
      </c>
      <c r="AB484" s="85">
        <f t="shared" ca="1" si="104"/>
        <v>2.9140000000000001</v>
      </c>
    </row>
    <row r="485" spans="2:28">
      <c r="B485" s="98">
        <f>'115+740'!B486</f>
        <v>45544</v>
      </c>
      <c r="C485" s="97">
        <f t="shared" si="96"/>
        <v>1</v>
      </c>
      <c r="D485" s="96">
        <f t="shared" si="97"/>
        <v>1069</v>
      </c>
      <c r="E485" s="95">
        <f>VLOOKUP(B485,'115+740'!B486:AB844,3,FALSE)</f>
        <v>2116</v>
      </c>
      <c r="F485" s="92">
        <f t="shared" si="92"/>
        <v>3185</v>
      </c>
      <c r="G485" s="94">
        <f ca="1">VLOOKUP(B485,'115+740'!$B$15:$AB$757,20,FALSE)</f>
        <v>3569</v>
      </c>
      <c r="H485" s="94">
        <f ca="1">VLOOKUP(B485,'115+740'!$B$15:$AB$757,4,FALSE)</f>
        <v>-224</v>
      </c>
      <c r="I485" s="91">
        <f t="shared" ca="1" si="93"/>
        <v>3409</v>
      </c>
      <c r="J485" s="91">
        <f ca="1">VLOOKUP(B485,'115+740'!$B$15:$AB$757,13,FALSE)</f>
        <v>-591</v>
      </c>
      <c r="K485" s="89">
        <f>'115+740'!Q486</f>
        <v>2</v>
      </c>
      <c r="L485" s="88">
        <f t="shared" ca="1" si="98"/>
        <v>631</v>
      </c>
      <c r="M485" s="93">
        <f ca="1">VLOOKUP(B485,'115+740'!$B$14:$AB$757,21,FALSE)</f>
        <v>3548</v>
      </c>
      <c r="N485" s="92">
        <f ca="1">VLOOKUP(B485,'115+740'!$B$15:$AB$757,5,FALSE)</f>
        <v>-153</v>
      </c>
      <c r="O485" s="91">
        <f t="shared" ca="1" si="94"/>
        <v>3338</v>
      </c>
      <c r="P485" s="91">
        <f ca="1">VLOOKUP(B485,'115+740'!$B$15:$AB$757,14,FALSE)</f>
        <v>-662</v>
      </c>
      <c r="Q485" s="89">
        <f>'115+740'!R486</f>
        <v>4</v>
      </c>
      <c r="R485" s="88">
        <f t="shared" ca="1" si="99"/>
        <v>652</v>
      </c>
      <c r="S485" s="93">
        <f ca="1">VLOOKUP(B485,'115+740'!$B$14:$AB$757,22,FALSE)</f>
        <v>3586</v>
      </c>
      <c r="T485" s="92">
        <f ca="1">VLOOKUP(B485,'115+740'!$B$15:$AB$757,6,FALSE)</f>
        <v>-161</v>
      </c>
      <c r="U485" s="91">
        <f t="shared" ca="1" si="95"/>
        <v>3346</v>
      </c>
      <c r="V485" s="90">
        <f ca="1">VLOOKUP(B485,'115+740'!$B$15:$AB$757,15,FALSE)</f>
        <v>-654</v>
      </c>
      <c r="W485" s="89">
        <f>'115+740'!S486</f>
        <v>6</v>
      </c>
      <c r="X485" s="88">
        <f t="shared" ca="1" si="100"/>
        <v>614</v>
      </c>
      <c r="Y485" s="87">
        <f t="shared" ca="1" si="101"/>
        <v>-6</v>
      </c>
      <c r="Z485" s="86">
        <f t="shared" ca="1" si="102"/>
        <v>0</v>
      </c>
      <c r="AA485" s="85">
        <f t="shared" ca="1" si="103"/>
        <v>4.109</v>
      </c>
      <c r="AB485" s="85">
        <f t="shared" ca="1" si="104"/>
        <v>2.9060000000000001</v>
      </c>
    </row>
    <row r="486" spans="2:28">
      <c r="B486" s="98">
        <f>'115+740'!B487</f>
        <v>45545</v>
      </c>
      <c r="C486" s="97">
        <f t="shared" si="96"/>
        <v>1</v>
      </c>
      <c r="D486" s="96">
        <f t="shared" si="97"/>
        <v>1069</v>
      </c>
      <c r="E486" s="95">
        <f>VLOOKUP(B486,'115+740'!B487:AB845,3,FALSE)</f>
        <v>2118</v>
      </c>
      <c r="F486" s="92">
        <f t="shared" si="92"/>
        <v>3187</v>
      </c>
      <c r="G486" s="94">
        <f ca="1">VLOOKUP(B486,'115+740'!$B$15:$AB$757,20,FALSE)</f>
        <v>3567</v>
      </c>
      <c r="H486" s="94">
        <f ca="1">VLOOKUP(B486,'115+740'!$B$15:$AB$757,4,FALSE)</f>
        <v>-220</v>
      </c>
      <c r="I486" s="91">
        <f t="shared" ca="1" si="93"/>
        <v>3407</v>
      </c>
      <c r="J486" s="91">
        <f ca="1">VLOOKUP(B486,'115+740'!$B$15:$AB$757,13,FALSE)</f>
        <v>-593</v>
      </c>
      <c r="K486" s="89">
        <f>'115+740'!Q487</f>
        <v>2</v>
      </c>
      <c r="L486" s="88">
        <f t="shared" ca="1" si="98"/>
        <v>633</v>
      </c>
      <c r="M486" s="93">
        <f ca="1">VLOOKUP(B486,'115+740'!$B$14:$AB$757,21,FALSE)</f>
        <v>3545</v>
      </c>
      <c r="N486" s="92">
        <f ca="1">VLOOKUP(B486,'115+740'!$B$15:$AB$757,5,FALSE)</f>
        <v>-148</v>
      </c>
      <c r="O486" s="91">
        <f t="shared" ca="1" si="94"/>
        <v>3335</v>
      </c>
      <c r="P486" s="91">
        <f ca="1">VLOOKUP(B486,'115+740'!$B$15:$AB$757,14,FALSE)</f>
        <v>-665</v>
      </c>
      <c r="Q486" s="89">
        <f>'115+740'!R487</f>
        <v>3</v>
      </c>
      <c r="R486" s="88">
        <f t="shared" ca="1" si="99"/>
        <v>655</v>
      </c>
      <c r="S486" s="93">
        <f ca="1">VLOOKUP(B486,'115+740'!$B$14:$AB$757,22,FALSE)</f>
        <v>3578</v>
      </c>
      <c r="T486" s="92">
        <f ca="1">VLOOKUP(B486,'115+740'!$B$15:$AB$757,6,FALSE)</f>
        <v>-151</v>
      </c>
      <c r="U486" s="91">
        <f t="shared" ca="1" si="95"/>
        <v>3338</v>
      </c>
      <c r="V486" s="90">
        <f ca="1">VLOOKUP(B486,'115+740'!$B$15:$AB$757,15,FALSE)</f>
        <v>-662</v>
      </c>
      <c r="W486" s="89">
        <f>'115+740'!S487</f>
        <v>8</v>
      </c>
      <c r="X486" s="88">
        <f t="shared" ca="1" si="100"/>
        <v>622</v>
      </c>
      <c r="Y486" s="87">
        <f t="shared" ca="1" si="101"/>
        <v>-8</v>
      </c>
      <c r="Z486" s="86">
        <f t="shared" ca="1" si="102"/>
        <v>0</v>
      </c>
      <c r="AA486" s="85">
        <f t="shared" ca="1" si="103"/>
        <v>4.109</v>
      </c>
      <c r="AB486" s="85">
        <f t="shared" ca="1" si="104"/>
        <v>2.9</v>
      </c>
    </row>
    <row r="487" spans="2:28">
      <c r="B487" s="98">
        <f>'115+740'!B488</f>
        <v>45546</v>
      </c>
      <c r="C487" s="97">
        <f t="shared" si="96"/>
        <v>1</v>
      </c>
      <c r="D487" s="96">
        <f t="shared" si="97"/>
        <v>1069</v>
      </c>
      <c r="E487" s="95">
        <f>VLOOKUP(B487,'115+740'!B488:AB846,3,FALSE)</f>
        <v>2120</v>
      </c>
      <c r="F487" s="92">
        <f t="shared" si="92"/>
        <v>3189</v>
      </c>
      <c r="G487" s="94">
        <f ca="1">VLOOKUP(B487,'115+740'!$B$15:$AB$757,20,FALSE)</f>
        <v>3566</v>
      </c>
      <c r="H487" s="94">
        <f ca="1">VLOOKUP(B487,'115+740'!$B$15:$AB$757,4,FALSE)</f>
        <v>-217</v>
      </c>
      <c r="I487" s="91">
        <f t="shared" ca="1" si="93"/>
        <v>3406</v>
      </c>
      <c r="J487" s="91">
        <f ca="1">VLOOKUP(B487,'115+740'!$B$15:$AB$757,13,FALSE)</f>
        <v>-594</v>
      </c>
      <c r="K487" s="89">
        <f>'115+740'!Q488</f>
        <v>1</v>
      </c>
      <c r="L487" s="88">
        <f t="shared" ca="1" si="98"/>
        <v>634</v>
      </c>
      <c r="M487" s="93">
        <f ca="1">VLOOKUP(B487,'115+740'!$B$14:$AB$757,21,FALSE)</f>
        <v>3543</v>
      </c>
      <c r="N487" s="92">
        <f ca="1">VLOOKUP(B487,'115+740'!$B$15:$AB$757,5,FALSE)</f>
        <v>-144</v>
      </c>
      <c r="O487" s="91">
        <f t="shared" ca="1" si="94"/>
        <v>3333</v>
      </c>
      <c r="P487" s="91">
        <f ca="1">VLOOKUP(B487,'115+740'!$B$15:$AB$757,14,FALSE)</f>
        <v>-667</v>
      </c>
      <c r="Q487" s="89">
        <f>'115+740'!R488</f>
        <v>2</v>
      </c>
      <c r="R487" s="88">
        <f t="shared" ca="1" si="99"/>
        <v>657</v>
      </c>
      <c r="S487" s="93">
        <f ca="1">VLOOKUP(B487,'115+740'!$B$14:$AB$757,22,FALSE)</f>
        <v>3571</v>
      </c>
      <c r="T487" s="92">
        <f ca="1">VLOOKUP(B487,'115+740'!$B$15:$AB$757,6,FALSE)</f>
        <v>-142</v>
      </c>
      <c r="U487" s="91">
        <f t="shared" ca="1" si="95"/>
        <v>3331</v>
      </c>
      <c r="V487" s="90">
        <f ca="1">VLOOKUP(B487,'115+740'!$B$15:$AB$757,15,FALSE)</f>
        <v>-669</v>
      </c>
      <c r="W487" s="89">
        <f>'115+740'!S488</f>
        <v>7</v>
      </c>
      <c r="X487" s="88">
        <f t="shared" ca="1" si="100"/>
        <v>629</v>
      </c>
      <c r="Y487" s="87">
        <f t="shared" ca="1" si="101"/>
        <v>-7</v>
      </c>
      <c r="Z487" s="86">
        <f t="shared" ca="1" si="102"/>
        <v>0</v>
      </c>
      <c r="AA487" s="85">
        <f t="shared" ca="1" si="103"/>
        <v>4.109</v>
      </c>
      <c r="AB487" s="85">
        <f t="shared" ca="1" si="104"/>
        <v>2.8959999999999999</v>
      </c>
    </row>
    <row r="488" spans="2:28">
      <c r="B488" s="98">
        <f>'115+740'!B489</f>
        <v>45547</v>
      </c>
      <c r="C488" s="97">
        <f t="shared" si="96"/>
        <v>1</v>
      </c>
      <c r="D488" s="96">
        <f t="shared" si="97"/>
        <v>1069</v>
      </c>
      <c r="E488" s="95">
        <f>VLOOKUP(B488,'115+740'!B489:AB847,3,FALSE)</f>
        <v>2122</v>
      </c>
      <c r="F488" s="92">
        <f t="shared" si="92"/>
        <v>3191</v>
      </c>
      <c r="G488" s="94">
        <f ca="1">VLOOKUP(B488,'115+740'!$B$15:$AB$757,20,FALSE)</f>
        <v>3563</v>
      </c>
      <c r="H488" s="94">
        <f ca="1">VLOOKUP(B488,'115+740'!$B$15:$AB$757,4,FALSE)</f>
        <v>-212</v>
      </c>
      <c r="I488" s="91">
        <f t="shared" ca="1" si="93"/>
        <v>3403</v>
      </c>
      <c r="J488" s="91">
        <f ca="1">VLOOKUP(B488,'115+740'!$B$15:$AB$757,13,FALSE)</f>
        <v>-597</v>
      </c>
      <c r="K488" s="89">
        <f>'115+740'!Q489</f>
        <v>3</v>
      </c>
      <c r="L488" s="88">
        <f t="shared" ca="1" si="98"/>
        <v>637</v>
      </c>
      <c r="M488" s="93">
        <f ca="1">VLOOKUP(B488,'115+740'!$B$14:$AB$757,21,FALSE)</f>
        <v>3541</v>
      </c>
      <c r="N488" s="92">
        <f ca="1">VLOOKUP(B488,'115+740'!$B$15:$AB$757,5,FALSE)</f>
        <v>-140</v>
      </c>
      <c r="O488" s="91">
        <f t="shared" ca="1" si="94"/>
        <v>3331</v>
      </c>
      <c r="P488" s="91">
        <f ca="1">VLOOKUP(B488,'115+740'!$B$15:$AB$757,14,FALSE)</f>
        <v>-669</v>
      </c>
      <c r="Q488" s="89">
        <f>'115+740'!R489</f>
        <v>2</v>
      </c>
      <c r="R488" s="88">
        <f t="shared" ca="1" si="99"/>
        <v>659</v>
      </c>
      <c r="S488" s="93">
        <f ca="1">VLOOKUP(B488,'115+740'!$B$14:$AB$757,22,FALSE)</f>
        <v>3562</v>
      </c>
      <c r="T488" s="92">
        <f ca="1">VLOOKUP(B488,'115+740'!$B$15:$AB$757,6,FALSE)</f>
        <v>-131</v>
      </c>
      <c r="U488" s="91">
        <f t="shared" ca="1" si="95"/>
        <v>3322</v>
      </c>
      <c r="V488" s="90">
        <f ca="1">VLOOKUP(B488,'115+740'!$B$15:$AB$757,15,FALSE)</f>
        <v>-678</v>
      </c>
      <c r="W488" s="89">
        <f>'115+740'!S489</f>
        <v>9</v>
      </c>
      <c r="X488" s="88">
        <f t="shared" ca="1" si="100"/>
        <v>638</v>
      </c>
      <c r="Y488" s="87">
        <f t="shared" ca="1" si="101"/>
        <v>-9</v>
      </c>
      <c r="Z488" s="86">
        <f t="shared" ca="1" si="102"/>
        <v>0</v>
      </c>
      <c r="AA488" s="85">
        <f t="shared" ca="1" si="103"/>
        <v>4.109</v>
      </c>
      <c r="AB488" s="85">
        <f t="shared" ca="1" si="104"/>
        <v>2.8919999999999999</v>
      </c>
    </row>
    <row r="489" spans="2:28">
      <c r="B489" s="98">
        <f>'115+740'!B490</f>
        <v>45548</v>
      </c>
      <c r="C489" s="97">
        <f t="shared" si="96"/>
        <v>1</v>
      </c>
      <c r="D489" s="96">
        <f t="shared" si="97"/>
        <v>1069</v>
      </c>
      <c r="E489" s="95">
        <f>VLOOKUP(B489,'115+740'!B490:AB848,3,FALSE)</f>
        <v>2124</v>
      </c>
      <c r="F489" s="92">
        <f t="shared" si="92"/>
        <v>3193</v>
      </c>
      <c r="G489" s="94">
        <f ca="1">VLOOKUP(B489,'115+740'!$B$15:$AB$757,20,FALSE)</f>
        <v>3561</v>
      </c>
      <c r="H489" s="94">
        <f ca="1">VLOOKUP(B489,'115+740'!$B$15:$AB$757,4,FALSE)</f>
        <v>-208</v>
      </c>
      <c r="I489" s="91">
        <f t="shared" ca="1" si="93"/>
        <v>3401</v>
      </c>
      <c r="J489" s="91">
        <f ca="1">VLOOKUP(B489,'115+740'!$B$15:$AB$757,13,FALSE)</f>
        <v>-599</v>
      </c>
      <c r="K489" s="89">
        <f>'115+740'!Q490</f>
        <v>2</v>
      </c>
      <c r="L489" s="88">
        <f t="shared" ca="1" si="98"/>
        <v>639</v>
      </c>
      <c r="M489" s="93">
        <f ca="1">VLOOKUP(B489,'115+740'!$B$14:$AB$757,21,FALSE)</f>
        <v>3539</v>
      </c>
      <c r="N489" s="92">
        <f ca="1">VLOOKUP(B489,'115+740'!$B$15:$AB$757,5,FALSE)</f>
        <v>-136</v>
      </c>
      <c r="O489" s="91">
        <f t="shared" ca="1" si="94"/>
        <v>3329</v>
      </c>
      <c r="P489" s="91">
        <f ca="1">VLOOKUP(B489,'115+740'!$B$15:$AB$757,14,FALSE)</f>
        <v>-671</v>
      </c>
      <c r="Q489" s="89">
        <f>'115+740'!R490</f>
        <v>2</v>
      </c>
      <c r="R489" s="88">
        <f t="shared" ca="1" si="99"/>
        <v>661</v>
      </c>
      <c r="S489" s="93">
        <f ca="1">VLOOKUP(B489,'115+740'!$B$14:$AB$757,22,FALSE)</f>
        <v>3562</v>
      </c>
      <c r="T489" s="92">
        <f ca="1">VLOOKUP(B489,'115+740'!$B$15:$AB$757,6,FALSE)</f>
        <v>-129</v>
      </c>
      <c r="U489" s="91">
        <f t="shared" ca="1" si="95"/>
        <v>3322</v>
      </c>
      <c r="V489" s="90">
        <f ca="1">VLOOKUP(B489,'115+740'!$B$15:$AB$757,15,FALSE)</f>
        <v>-678</v>
      </c>
      <c r="W489" s="89">
        <f>'115+740'!S490</f>
        <v>0</v>
      </c>
      <c r="X489" s="88">
        <f t="shared" ca="1" si="100"/>
        <v>638</v>
      </c>
      <c r="Y489" s="87">
        <f t="shared" ca="1" si="101"/>
        <v>0</v>
      </c>
      <c r="Z489" s="86">
        <f t="shared" ca="1" si="102"/>
        <v>0</v>
      </c>
      <c r="AA489" s="85">
        <f t="shared" ca="1" si="103"/>
        <v>4.109</v>
      </c>
      <c r="AB489" s="85">
        <f t="shared" ca="1" si="104"/>
        <v>2.8879999999999999</v>
      </c>
    </row>
    <row r="490" spans="2:28">
      <c r="B490" s="98">
        <f>'115+740'!B491</f>
        <v>45549</v>
      </c>
      <c r="C490" s="97">
        <f t="shared" si="96"/>
        <v>1</v>
      </c>
      <c r="D490" s="96">
        <f t="shared" si="97"/>
        <v>1069</v>
      </c>
      <c r="E490" s="95">
        <f>VLOOKUP(B490,'115+740'!B491:AB849,3,FALSE)</f>
        <v>2126</v>
      </c>
      <c r="F490" s="92">
        <f t="shared" si="92"/>
        <v>3195</v>
      </c>
      <c r="G490" s="94">
        <f ca="1">VLOOKUP(B490,'115+740'!$B$15:$AB$757,20,FALSE)</f>
        <v>3558</v>
      </c>
      <c r="H490" s="94">
        <f ca="1">VLOOKUP(B490,'115+740'!$B$15:$AB$757,4,FALSE)</f>
        <v>-203</v>
      </c>
      <c r="I490" s="91">
        <f t="shared" ca="1" si="93"/>
        <v>3398</v>
      </c>
      <c r="J490" s="91">
        <f ca="1">VLOOKUP(B490,'115+740'!$B$15:$AB$757,13,FALSE)</f>
        <v>-602</v>
      </c>
      <c r="K490" s="89">
        <f>'115+740'!Q491</f>
        <v>3</v>
      </c>
      <c r="L490" s="88">
        <f t="shared" ca="1" si="98"/>
        <v>642</v>
      </c>
      <c r="M490" s="93">
        <f ca="1">VLOOKUP(B490,'115+740'!$B$14:$AB$757,21,FALSE)</f>
        <v>3531</v>
      </c>
      <c r="N490" s="92">
        <f ca="1">VLOOKUP(B490,'115+740'!$B$15:$AB$757,5,FALSE)</f>
        <v>-126</v>
      </c>
      <c r="O490" s="91">
        <f t="shared" ca="1" si="94"/>
        <v>3321</v>
      </c>
      <c r="P490" s="91">
        <f ca="1">VLOOKUP(B490,'115+740'!$B$15:$AB$757,14,FALSE)</f>
        <v>-679</v>
      </c>
      <c r="Q490" s="89">
        <f>'115+740'!R491</f>
        <v>8</v>
      </c>
      <c r="R490" s="88">
        <f t="shared" ca="1" si="99"/>
        <v>669</v>
      </c>
      <c r="S490" s="93">
        <f ca="1">VLOOKUP(B490,'115+740'!$B$14:$AB$757,22,FALSE)</f>
        <v>3562</v>
      </c>
      <c r="T490" s="92">
        <f ca="1">VLOOKUP(B490,'115+740'!$B$15:$AB$757,6,FALSE)</f>
        <v>-127</v>
      </c>
      <c r="U490" s="91">
        <f t="shared" ca="1" si="95"/>
        <v>3322</v>
      </c>
      <c r="V490" s="90">
        <f ca="1">VLOOKUP(B490,'115+740'!$B$15:$AB$757,15,FALSE)</f>
        <v>-678</v>
      </c>
      <c r="W490" s="89">
        <f>'115+740'!S491</f>
        <v>0</v>
      </c>
      <c r="X490" s="88">
        <f t="shared" ca="1" si="100"/>
        <v>638</v>
      </c>
      <c r="Y490" s="87">
        <f t="shared" ca="1" si="101"/>
        <v>0</v>
      </c>
      <c r="Z490" s="86">
        <f t="shared" ca="1" si="102"/>
        <v>0</v>
      </c>
      <c r="AA490" s="85">
        <f t="shared" ca="1" si="103"/>
        <v>4.109</v>
      </c>
      <c r="AB490" s="85">
        <f t="shared" ca="1" si="104"/>
        <v>2.8719999999999999</v>
      </c>
    </row>
    <row r="491" spans="2:28">
      <c r="B491" s="98">
        <f>'115+740'!B492</f>
        <v>45550</v>
      </c>
      <c r="C491" s="97">
        <f t="shared" si="96"/>
        <v>1</v>
      </c>
      <c r="D491" s="96">
        <f t="shared" si="97"/>
        <v>1069</v>
      </c>
      <c r="E491" s="95">
        <f>VLOOKUP(B491,'115+740'!B492:AB850,3,FALSE)</f>
        <v>2128</v>
      </c>
      <c r="F491" s="92">
        <f t="shared" si="92"/>
        <v>3197</v>
      </c>
      <c r="G491" s="94">
        <f ca="1">VLOOKUP(B491,'115+740'!$B$15:$AB$757,20,FALSE)</f>
        <v>3556</v>
      </c>
      <c r="H491" s="94">
        <f ca="1">VLOOKUP(B491,'115+740'!$B$15:$AB$757,4,FALSE)</f>
        <v>-199</v>
      </c>
      <c r="I491" s="91">
        <f t="shared" ca="1" si="93"/>
        <v>3396</v>
      </c>
      <c r="J491" s="91">
        <f ca="1">VLOOKUP(B491,'115+740'!$B$15:$AB$757,13,FALSE)</f>
        <v>-604</v>
      </c>
      <c r="K491" s="89">
        <f>'115+740'!Q492</f>
        <v>2</v>
      </c>
      <c r="L491" s="88">
        <f t="shared" ca="1" si="98"/>
        <v>644</v>
      </c>
      <c r="M491" s="93">
        <f ca="1">VLOOKUP(B491,'115+740'!$B$14:$AB$757,21,FALSE)</f>
        <v>3522</v>
      </c>
      <c r="N491" s="92">
        <f ca="1">VLOOKUP(B491,'115+740'!$B$15:$AB$757,5,FALSE)</f>
        <v>-115</v>
      </c>
      <c r="O491" s="91">
        <f t="shared" ca="1" si="94"/>
        <v>3312</v>
      </c>
      <c r="P491" s="91">
        <f ca="1">VLOOKUP(B491,'115+740'!$B$15:$AB$757,14,FALSE)</f>
        <v>-688</v>
      </c>
      <c r="Q491" s="89">
        <f>'115+740'!R492</f>
        <v>9</v>
      </c>
      <c r="R491" s="88">
        <f t="shared" ca="1" si="99"/>
        <v>678</v>
      </c>
      <c r="S491" s="93">
        <f ca="1">VLOOKUP(B491,'115+740'!$B$14:$AB$757,22,FALSE)</f>
        <v>3562</v>
      </c>
      <c r="T491" s="92">
        <f ca="1">VLOOKUP(B491,'115+740'!$B$15:$AB$757,6,FALSE)</f>
        <v>-125</v>
      </c>
      <c r="U491" s="91">
        <f t="shared" ca="1" si="95"/>
        <v>3322</v>
      </c>
      <c r="V491" s="90">
        <f ca="1">VLOOKUP(B491,'115+740'!$B$15:$AB$757,15,FALSE)</f>
        <v>-678</v>
      </c>
      <c r="W491" s="89">
        <f>'115+740'!S492</f>
        <v>0</v>
      </c>
      <c r="X491" s="88">
        <f t="shared" ca="1" si="100"/>
        <v>638</v>
      </c>
      <c r="Y491" s="87">
        <f t="shared" ca="1" si="101"/>
        <v>0</v>
      </c>
      <c r="Z491" s="86">
        <f t="shared" ca="1" si="102"/>
        <v>0</v>
      </c>
      <c r="AA491" s="85">
        <f t="shared" ca="1" si="103"/>
        <v>4.109</v>
      </c>
      <c r="AB491" s="85">
        <f t="shared" ca="1" si="104"/>
        <v>2.8540000000000001</v>
      </c>
    </row>
    <row r="492" spans="2:28">
      <c r="B492" s="98">
        <f>'115+740'!B493</f>
        <v>45551</v>
      </c>
      <c r="C492" s="97">
        <f t="shared" si="96"/>
        <v>1</v>
      </c>
      <c r="D492" s="96">
        <f t="shared" si="97"/>
        <v>1069</v>
      </c>
      <c r="E492" s="95">
        <f>VLOOKUP(B492,'115+740'!B493:AB851,3,FALSE)</f>
        <v>2130</v>
      </c>
      <c r="F492" s="92">
        <f t="shared" si="92"/>
        <v>3199</v>
      </c>
      <c r="G492" s="94">
        <f ca="1">VLOOKUP(B492,'115+740'!$B$15:$AB$757,20,FALSE)</f>
        <v>3555</v>
      </c>
      <c r="H492" s="94">
        <f ca="1">VLOOKUP(B492,'115+740'!$B$15:$AB$757,4,FALSE)</f>
        <v>-196</v>
      </c>
      <c r="I492" s="91">
        <f t="shared" ca="1" si="93"/>
        <v>3395</v>
      </c>
      <c r="J492" s="91">
        <f ca="1">VLOOKUP(B492,'115+740'!$B$15:$AB$757,13,FALSE)</f>
        <v>-605</v>
      </c>
      <c r="K492" s="89">
        <f>'115+740'!Q493</f>
        <v>1</v>
      </c>
      <c r="L492" s="88">
        <f t="shared" ca="1" si="98"/>
        <v>645</v>
      </c>
      <c r="M492" s="93">
        <f ca="1">VLOOKUP(B492,'115+740'!$B$14:$AB$757,21,FALSE)</f>
        <v>3514</v>
      </c>
      <c r="N492" s="92">
        <f ca="1">VLOOKUP(B492,'115+740'!$B$15:$AB$757,5,FALSE)</f>
        <v>-105</v>
      </c>
      <c r="O492" s="91">
        <f t="shared" ca="1" si="94"/>
        <v>3304</v>
      </c>
      <c r="P492" s="91">
        <f ca="1">VLOOKUP(B492,'115+740'!$B$15:$AB$757,14,FALSE)</f>
        <v>-696</v>
      </c>
      <c r="Q492" s="89">
        <f>'115+740'!R493</f>
        <v>8</v>
      </c>
      <c r="R492" s="88">
        <f t="shared" ca="1" si="99"/>
        <v>686</v>
      </c>
      <c r="S492" s="93">
        <f ca="1">VLOOKUP(B492,'115+740'!$B$14:$AB$757,22,FALSE)</f>
        <v>3560</v>
      </c>
      <c r="T492" s="92">
        <f ca="1">VLOOKUP(B492,'115+740'!$B$15:$AB$757,6,FALSE)</f>
        <v>-121</v>
      </c>
      <c r="U492" s="91">
        <f t="shared" ca="1" si="95"/>
        <v>3320</v>
      </c>
      <c r="V492" s="90">
        <f ca="1">VLOOKUP(B492,'115+740'!$B$15:$AB$757,15,FALSE)</f>
        <v>-680</v>
      </c>
      <c r="W492" s="89">
        <f>'115+740'!S493</f>
        <v>2</v>
      </c>
      <c r="X492" s="88">
        <f t="shared" ca="1" si="100"/>
        <v>640</v>
      </c>
      <c r="Y492" s="87">
        <f t="shared" ca="1" si="101"/>
        <v>-2</v>
      </c>
      <c r="Z492" s="86">
        <f t="shared" ca="1" si="102"/>
        <v>0</v>
      </c>
      <c r="AA492" s="85">
        <f t="shared" ca="1" si="103"/>
        <v>4.109</v>
      </c>
      <c r="AB492" s="85">
        <f t="shared" ca="1" si="104"/>
        <v>2.8380000000000001</v>
      </c>
    </row>
    <row r="493" spans="2:28">
      <c r="B493" s="98">
        <f>'115+740'!B494</f>
        <v>45552</v>
      </c>
      <c r="C493" s="97">
        <f t="shared" si="96"/>
        <v>1</v>
      </c>
      <c r="D493" s="96">
        <f t="shared" si="97"/>
        <v>1069</v>
      </c>
      <c r="E493" s="95">
        <f>VLOOKUP(B493,'115+740'!B494:AB852,3,FALSE)</f>
        <v>2132</v>
      </c>
      <c r="F493" s="92">
        <f t="shared" si="92"/>
        <v>3201</v>
      </c>
      <c r="G493" s="94">
        <f ca="1">VLOOKUP(B493,'115+740'!$B$15:$AB$757,20,FALSE)</f>
        <v>3553</v>
      </c>
      <c r="H493" s="94">
        <f ca="1">VLOOKUP(B493,'115+740'!$B$15:$AB$757,4,FALSE)</f>
        <v>-192</v>
      </c>
      <c r="I493" s="91">
        <f t="shared" ca="1" si="93"/>
        <v>3393</v>
      </c>
      <c r="J493" s="91">
        <f ca="1">VLOOKUP(B493,'115+740'!$B$15:$AB$757,13,FALSE)</f>
        <v>-607</v>
      </c>
      <c r="K493" s="89">
        <f>'115+740'!Q494</f>
        <v>2</v>
      </c>
      <c r="L493" s="88">
        <f t="shared" ca="1" si="98"/>
        <v>647</v>
      </c>
      <c r="M493" s="93">
        <f ca="1">VLOOKUP(B493,'115+740'!$B$14:$AB$757,21,FALSE)</f>
        <v>3507</v>
      </c>
      <c r="N493" s="92">
        <f ca="1">VLOOKUP(B493,'115+740'!$B$15:$AB$757,5,FALSE)</f>
        <v>-96</v>
      </c>
      <c r="O493" s="91">
        <f t="shared" ca="1" si="94"/>
        <v>3297</v>
      </c>
      <c r="P493" s="91">
        <f ca="1">VLOOKUP(B493,'115+740'!$B$15:$AB$757,14,FALSE)</f>
        <v>-703</v>
      </c>
      <c r="Q493" s="89">
        <f>'115+740'!R494</f>
        <v>7</v>
      </c>
      <c r="R493" s="88">
        <f t="shared" ca="1" si="99"/>
        <v>693</v>
      </c>
      <c r="S493" s="93">
        <f ca="1">VLOOKUP(B493,'115+740'!$B$14:$AB$757,22,FALSE)</f>
        <v>3560</v>
      </c>
      <c r="T493" s="92">
        <f ca="1">VLOOKUP(B493,'115+740'!$B$15:$AB$757,6,FALSE)</f>
        <v>-119</v>
      </c>
      <c r="U493" s="91">
        <f t="shared" ca="1" si="95"/>
        <v>3320</v>
      </c>
      <c r="V493" s="90">
        <f ca="1">VLOOKUP(B493,'115+740'!$B$15:$AB$757,15,FALSE)</f>
        <v>-680</v>
      </c>
      <c r="W493" s="89">
        <f>'115+740'!S494</f>
        <v>0</v>
      </c>
      <c r="X493" s="88">
        <f t="shared" ca="1" si="100"/>
        <v>640</v>
      </c>
      <c r="Y493" s="87">
        <f t="shared" ca="1" si="101"/>
        <v>0</v>
      </c>
      <c r="Z493" s="86">
        <f t="shared" ca="1" si="102"/>
        <v>0</v>
      </c>
      <c r="AA493" s="85">
        <f t="shared" ca="1" si="103"/>
        <v>4.109</v>
      </c>
      <c r="AB493" s="85">
        <f t="shared" ca="1" si="104"/>
        <v>2.8239999999999998</v>
      </c>
    </row>
    <row r="494" spans="2:28">
      <c r="B494" s="98">
        <f>'115+740'!B495</f>
        <v>45553</v>
      </c>
      <c r="C494" s="97">
        <f t="shared" si="96"/>
        <v>1</v>
      </c>
      <c r="D494" s="96">
        <f t="shared" si="97"/>
        <v>1069</v>
      </c>
      <c r="E494" s="95">
        <f>VLOOKUP(B494,'115+740'!B495:AB853,3,FALSE)</f>
        <v>2134</v>
      </c>
      <c r="F494" s="92">
        <f t="shared" si="92"/>
        <v>3203</v>
      </c>
      <c r="G494" s="94">
        <f ca="1">VLOOKUP(B494,'115+740'!$B$15:$AB$757,20,FALSE)</f>
        <v>3551</v>
      </c>
      <c r="H494" s="94">
        <f ca="1">VLOOKUP(B494,'115+740'!$B$15:$AB$757,4,FALSE)</f>
        <v>-188</v>
      </c>
      <c r="I494" s="91">
        <f t="shared" ca="1" si="93"/>
        <v>3391</v>
      </c>
      <c r="J494" s="91">
        <f ca="1">VLOOKUP(B494,'115+740'!$B$15:$AB$757,13,FALSE)</f>
        <v>-609</v>
      </c>
      <c r="K494" s="89">
        <f>'115+740'!Q495</f>
        <v>2</v>
      </c>
      <c r="L494" s="88">
        <f t="shared" ca="1" si="98"/>
        <v>649</v>
      </c>
      <c r="M494" s="93">
        <f ca="1">VLOOKUP(B494,'115+740'!$B$14:$AB$757,21,FALSE)</f>
        <v>3498</v>
      </c>
      <c r="N494" s="92">
        <f ca="1">VLOOKUP(B494,'115+740'!$B$15:$AB$757,5,FALSE)</f>
        <v>-85</v>
      </c>
      <c r="O494" s="91">
        <f t="shared" ca="1" si="94"/>
        <v>3288</v>
      </c>
      <c r="P494" s="91">
        <f ca="1">VLOOKUP(B494,'115+740'!$B$15:$AB$757,14,FALSE)</f>
        <v>-712</v>
      </c>
      <c r="Q494" s="89">
        <f>'115+740'!R495</f>
        <v>9</v>
      </c>
      <c r="R494" s="88">
        <f t="shared" ca="1" si="99"/>
        <v>702</v>
      </c>
      <c r="S494" s="93">
        <f ca="1">VLOOKUP(B494,'115+740'!$B$14:$AB$757,22,FALSE)</f>
        <v>3560</v>
      </c>
      <c r="T494" s="92">
        <f ca="1">VLOOKUP(B494,'115+740'!$B$15:$AB$757,6,FALSE)</f>
        <v>-117</v>
      </c>
      <c r="U494" s="91">
        <f t="shared" ca="1" si="95"/>
        <v>3320</v>
      </c>
      <c r="V494" s="90">
        <f ca="1">VLOOKUP(B494,'115+740'!$B$15:$AB$757,15,FALSE)</f>
        <v>-680</v>
      </c>
      <c r="W494" s="89">
        <f>'115+740'!S495</f>
        <v>0</v>
      </c>
      <c r="X494" s="88">
        <f t="shared" ca="1" si="100"/>
        <v>640</v>
      </c>
      <c r="Y494" s="87">
        <f t="shared" ca="1" si="101"/>
        <v>0</v>
      </c>
      <c r="Z494" s="86">
        <f t="shared" ca="1" si="102"/>
        <v>0</v>
      </c>
      <c r="AA494" s="85">
        <f t="shared" ca="1" si="103"/>
        <v>4.109</v>
      </c>
      <c r="AB494" s="85">
        <f t="shared" ca="1" si="104"/>
        <v>2.806</v>
      </c>
    </row>
    <row r="495" spans="2:28">
      <c r="B495" s="98">
        <f>'115+740'!B496</f>
        <v>45554</v>
      </c>
      <c r="C495" s="97">
        <f t="shared" si="96"/>
        <v>1</v>
      </c>
      <c r="D495" s="96">
        <f t="shared" si="97"/>
        <v>1069</v>
      </c>
      <c r="E495" s="95">
        <f>VLOOKUP(B495,'115+740'!B496:AB854,3,FALSE)</f>
        <v>2136</v>
      </c>
      <c r="F495" s="92">
        <f t="shared" si="92"/>
        <v>3205</v>
      </c>
      <c r="G495" s="94">
        <f ca="1">VLOOKUP(B495,'115+740'!$B$15:$AB$757,20,FALSE)</f>
        <v>3549</v>
      </c>
      <c r="H495" s="94">
        <f ca="1">VLOOKUP(B495,'115+740'!$B$15:$AB$757,4,FALSE)</f>
        <v>-184</v>
      </c>
      <c r="I495" s="91">
        <f t="shared" ca="1" si="93"/>
        <v>3389</v>
      </c>
      <c r="J495" s="91">
        <f ca="1">VLOOKUP(B495,'115+740'!$B$15:$AB$757,13,FALSE)</f>
        <v>-611</v>
      </c>
      <c r="K495" s="89">
        <f>'115+740'!Q496</f>
        <v>2</v>
      </c>
      <c r="L495" s="88">
        <f t="shared" ca="1" si="98"/>
        <v>651</v>
      </c>
      <c r="M495" s="93">
        <f ca="1">VLOOKUP(B495,'115+740'!$B$14:$AB$757,21,FALSE)</f>
        <v>3490</v>
      </c>
      <c r="N495" s="92">
        <f ca="1">VLOOKUP(B495,'115+740'!$B$15:$AB$757,5,FALSE)</f>
        <v>-75</v>
      </c>
      <c r="O495" s="91">
        <f t="shared" ca="1" si="94"/>
        <v>3280</v>
      </c>
      <c r="P495" s="91">
        <f ca="1">VLOOKUP(B495,'115+740'!$B$15:$AB$757,14,FALSE)</f>
        <v>-720</v>
      </c>
      <c r="Q495" s="89">
        <f>'115+740'!R496</f>
        <v>8</v>
      </c>
      <c r="R495" s="88">
        <f t="shared" ca="1" si="99"/>
        <v>710</v>
      </c>
      <c r="S495" s="93">
        <f ca="1">VLOOKUP(B495,'115+740'!$B$14:$AB$757,22,FALSE)</f>
        <v>3560</v>
      </c>
      <c r="T495" s="92">
        <f ca="1">VLOOKUP(B495,'115+740'!$B$15:$AB$757,6,FALSE)</f>
        <v>-115</v>
      </c>
      <c r="U495" s="91">
        <f t="shared" ca="1" si="95"/>
        <v>3320</v>
      </c>
      <c r="V495" s="90">
        <f ca="1">VLOOKUP(B495,'115+740'!$B$15:$AB$757,15,FALSE)</f>
        <v>-680</v>
      </c>
      <c r="W495" s="89">
        <f>'115+740'!S496</f>
        <v>0</v>
      </c>
      <c r="X495" s="88">
        <f t="shared" ca="1" si="100"/>
        <v>640</v>
      </c>
      <c r="Y495" s="87">
        <f t="shared" ca="1" si="101"/>
        <v>0</v>
      </c>
      <c r="Z495" s="86">
        <f t="shared" ca="1" si="102"/>
        <v>0</v>
      </c>
      <c r="AA495" s="85">
        <f t="shared" ca="1" si="103"/>
        <v>4.109</v>
      </c>
      <c r="AB495" s="85">
        <f t="shared" ca="1" si="104"/>
        <v>2.79</v>
      </c>
    </row>
    <row r="496" spans="2:28">
      <c r="B496" s="98">
        <f>'115+740'!B497</f>
        <v>45555</v>
      </c>
      <c r="C496" s="97">
        <f t="shared" si="96"/>
        <v>1</v>
      </c>
      <c r="D496" s="96">
        <f t="shared" si="97"/>
        <v>1069</v>
      </c>
      <c r="E496" s="95">
        <f>VLOOKUP(B496,'115+740'!B497:AB855,3,FALSE)</f>
        <v>2138</v>
      </c>
      <c r="F496" s="92">
        <f t="shared" si="92"/>
        <v>3207</v>
      </c>
      <c r="G496" s="94">
        <f ca="1">VLOOKUP(B496,'115+740'!$B$15:$AB$757,20,FALSE)</f>
        <v>3547</v>
      </c>
      <c r="H496" s="94">
        <f ca="1">VLOOKUP(B496,'115+740'!$B$15:$AB$757,4,FALSE)</f>
        <v>-180</v>
      </c>
      <c r="I496" s="91">
        <f t="shared" ca="1" si="93"/>
        <v>3387</v>
      </c>
      <c r="J496" s="91">
        <f ca="1">VLOOKUP(B496,'115+740'!$B$15:$AB$757,13,FALSE)</f>
        <v>-613</v>
      </c>
      <c r="K496" s="89">
        <f>'115+740'!Q497</f>
        <v>2</v>
      </c>
      <c r="L496" s="88">
        <f t="shared" ca="1" si="98"/>
        <v>653</v>
      </c>
      <c r="M496" s="93">
        <f ca="1">VLOOKUP(B496,'115+740'!$B$14:$AB$757,21,FALSE)</f>
        <v>3481</v>
      </c>
      <c r="N496" s="92">
        <f ca="1">VLOOKUP(B496,'115+740'!$B$15:$AB$757,5,FALSE)</f>
        <v>-64</v>
      </c>
      <c r="O496" s="91">
        <f t="shared" ca="1" si="94"/>
        <v>3271</v>
      </c>
      <c r="P496" s="91">
        <f ca="1">VLOOKUP(B496,'115+740'!$B$15:$AB$757,14,FALSE)</f>
        <v>-729</v>
      </c>
      <c r="Q496" s="89">
        <f>'115+740'!R497</f>
        <v>9</v>
      </c>
      <c r="R496" s="88">
        <f t="shared" ca="1" si="99"/>
        <v>719</v>
      </c>
      <c r="S496" s="93">
        <f ca="1">VLOOKUP(B496,'115+740'!$B$14:$AB$757,22,FALSE)</f>
        <v>3560</v>
      </c>
      <c r="T496" s="92">
        <f ca="1">VLOOKUP(B496,'115+740'!$B$15:$AB$757,6,FALSE)</f>
        <v>-113</v>
      </c>
      <c r="U496" s="91">
        <f t="shared" ca="1" si="95"/>
        <v>3320</v>
      </c>
      <c r="V496" s="90">
        <f ca="1">VLOOKUP(B496,'115+740'!$B$15:$AB$757,15,FALSE)</f>
        <v>-680</v>
      </c>
      <c r="W496" s="89">
        <f>'115+740'!S497</f>
        <v>0</v>
      </c>
      <c r="X496" s="88">
        <f t="shared" ca="1" si="100"/>
        <v>640</v>
      </c>
      <c r="Y496" s="87">
        <f t="shared" ca="1" si="101"/>
        <v>0</v>
      </c>
      <c r="Z496" s="86">
        <f t="shared" ca="1" si="102"/>
        <v>0</v>
      </c>
      <c r="AA496" s="85">
        <f t="shared" ca="1" si="103"/>
        <v>4.109</v>
      </c>
      <c r="AB496" s="85">
        <f t="shared" ca="1" si="104"/>
        <v>2.7719999999999998</v>
      </c>
    </row>
    <row r="497" spans="2:28">
      <c r="B497" s="98">
        <f>'115+740'!B498</f>
        <v>45556</v>
      </c>
      <c r="C497" s="97">
        <f t="shared" si="96"/>
        <v>1</v>
      </c>
      <c r="D497" s="96">
        <f t="shared" si="97"/>
        <v>1069</v>
      </c>
      <c r="E497" s="95">
        <f>VLOOKUP(B497,'115+740'!B498:AB856,3,FALSE)</f>
        <v>2140</v>
      </c>
      <c r="F497" s="92">
        <f t="shared" si="92"/>
        <v>3209</v>
      </c>
      <c r="G497" s="94">
        <f ca="1">VLOOKUP(B497,'115+740'!$B$15:$AB$757,20,FALSE)</f>
        <v>3547</v>
      </c>
      <c r="H497" s="94">
        <f ca="1">VLOOKUP(B497,'115+740'!$B$15:$AB$757,4,FALSE)</f>
        <v>-178</v>
      </c>
      <c r="I497" s="91">
        <f t="shared" ca="1" si="93"/>
        <v>3387</v>
      </c>
      <c r="J497" s="91">
        <f ca="1">VLOOKUP(B497,'115+740'!$B$15:$AB$757,13,FALSE)</f>
        <v>-613</v>
      </c>
      <c r="K497" s="89">
        <f>'115+740'!Q498</f>
        <v>0</v>
      </c>
      <c r="L497" s="88">
        <f t="shared" ca="1" si="98"/>
        <v>653</v>
      </c>
      <c r="M497" s="93">
        <f ca="1">VLOOKUP(B497,'115+740'!$B$14:$AB$757,21,FALSE)</f>
        <v>3473</v>
      </c>
      <c r="N497" s="92">
        <f ca="1">VLOOKUP(B497,'115+740'!$B$15:$AB$757,5,FALSE)</f>
        <v>-54</v>
      </c>
      <c r="O497" s="91">
        <f t="shared" ca="1" si="94"/>
        <v>3263</v>
      </c>
      <c r="P497" s="91">
        <f ca="1">VLOOKUP(B497,'115+740'!$B$15:$AB$757,14,FALSE)</f>
        <v>-737</v>
      </c>
      <c r="Q497" s="89">
        <f>'115+740'!R498</f>
        <v>8</v>
      </c>
      <c r="R497" s="88">
        <f t="shared" ca="1" si="99"/>
        <v>727</v>
      </c>
      <c r="S497" s="93">
        <f ca="1">VLOOKUP(B497,'115+740'!$B$14:$AB$757,22,FALSE)</f>
        <v>3560</v>
      </c>
      <c r="T497" s="92">
        <f ca="1">VLOOKUP(B497,'115+740'!$B$15:$AB$757,6,FALSE)</f>
        <v>-111</v>
      </c>
      <c r="U497" s="91">
        <f t="shared" ca="1" si="95"/>
        <v>3320</v>
      </c>
      <c r="V497" s="90">
        <f ca="1">VLOOKUP(B497,'115+740'!$B$15:$AB$757,15,FALSE)</f>
        <v>-680</v>
      </c>
      <c r="W497" s="89">
        <f>'115+740'!S498</f>
        <v>0</v>
      </c>
      <c r="X497" s="88">
        <f t="shared" ca="1" si="100"/>
        <v>640</v>
      </c>
      <c r="Y497" s="87">
        <f t="shared" ca="1" si="101"/>
        <v>0</v>
      </c>
      <c r="Z497" s="86">
        <f t="shared" ca="1" si="102"/>
        <v>0</v>
      </c>
      <c r="AA497" s="85">
        <f t="shared" ca="1" si="103"/>
        <v>4.109</v>
      </c>
      <c r="AB497" s="85">
        <f t="shared" ca="1" si="104"/>
        <v>2.7559999999999998</v>
      </c>
    </row>
    <row r="498" spans="2:28">
      <c r="B498" s="98">
        <f>'115+740'!B499</f>
        <v>45557</v>
      </c>
      <c r="C498" s="97">
        <f t="shared" si="96"/>
        <v>1</v>
      </c>
      <c r="D498" s="96">
        <f t="shared" si="97"/>
        <v>1069</v>
      </c>
      <c r="E498" s="95">
        <f>VLOOKUP(B498,'115+740'!B499:AB857,3,FALSE)</f>
        <v>2142</v>
      </c>
      <c r="F498" s="92">
        <f t="shared" si="92"/>
        <v>3211</v>
      </c>
      <c r="G498" s="94">
        <f ca="1">VLOOKUP(B498,'115+740'!$B$15:$AB$757,20,FALSE)</f>
        <v>3545</v>
      </c>
      <c r="H498" s="94">
        <f ca="1">VLOOKUP(B498,'115+740'!$B$15:$AB$757,4,FALSE)</f>
        <v>-174</v>
      </c>
      <c r="I498" s="91">
        <f t="shared" ca="1" si="93"/>
        <v>3385</v>
      </c>
      <c r="J498" s="91">
        <f ca="1">VLOOKUP(B498,'115+740'!$B$15:$AB$757,13,FALSE)</f>
        <v>-615</v>
      </c>
      <c r="K498" s="89">
        <f>'115+740'!Q499</f>
        <v>2</v>
      </c>
      <c r="L498" s="88">
        <f t="shared" ca="1" si="98"/>
        <v>655</v>
      </c>
      <c r="M498" s="93">
        <f ca="1">VLOOKUP(B498,'115+740'!$B$14:$AB$757,21,FALSE)</f>
        <v>3466</v>
      </c>
      <c r="N498" s="92">
        <f ca="1">VLOOKUP(B498,'115+740'!$B$15:$AB$757,5,FALSE)</f>
        <v>-45</v>
      </c>
      <c r="O498" s="91">
        <f t="shared" ca="1" si="94"/>
        <v>3256</v>
      </c>
      <c r="P498" s="91">
        <f ca="1">VLOOKUP(B498,'115+740'!$B$15:$AB$757,14,FALSE)</f>
        <v>-744</v>
      </c>
      <c r="Q498" s="89">
        <f>'115+740'!R499</f>
        <v>7</v>
      </c>
      <c r="R498" s="88">
        <f t="shared" ca="1" si="99"/>
        <v>734</v>
      </c>
      <c r="S498" s="93">
        <f ca="1">VLOOKUP(B498,'115+740'!$B$14:$AB$757,22,FALSE)</f>
        <v>3560</v>
      </c>
      <c r="T498" s="92">
        <f ca="1">VLOOKUP(B498,'115+740'!$B$15:$AB$757,6,FALSE)</f>
        <v>-109</v>
      </c>
      <c r="U498" s="91">
        <f t="shared" ca="1" si="95"/>
        <v>3320</v>
      </c>
      <c r="V498" s="90">
        <f ca="1">VLOOKUP(B498,'115+740'!$B$15:$AB$757,15,FALSE)</f>
        <v>-680</v>
      </c>
      <c r="W498" s="89">
        <f>'115+740'!S499</f>
        <v>0</v>
      </c>
      <c r="X498" s="88">
        <f t="shared" ca="1" si="100"/>
        <v>640</v>
      </c>
      <c r="Y498" s="87">
        <f t="shared" ca="1" si="101"/>
        <v>0</v>
      </c>
      <c r="Z498" s="86">
        <f t="shared" ca="1" si="102"/>
        <v>0</v>
      </c>
      <c r="AA498" s="85">
        <f t="shared" ca="1" si="103"/>
        <v>4.109</v>
      </c>
      <c r="AB498" s="85">
        <f t="shared" ca="1" si="104"/>
        <v>2.742</v>
      </c>
    </row>
    <row r="499" spans="2:28">
      <c r="B499" s="98">
        <f>'115+740'!B500</f>
        <v>45558</v>
      </c>
      <c r="C499" s="97">
        <f t="shared" si="96"/>
        <v>1</v>
      </c>
      <c r="D499" s="96">
        <f t="shared" si="97"/>
        <v>1069</v>
      </c>
      <c r="E499" s="95">
        <f>VLOOKUP(B499,'115+740'!B500:AB858,3,FALSE)</f>
        <v>2144</v>
      </c>
      <c r="F499" s="92">
        <f t="shared" si="92"/>
        <v>3213</v>
      </c>
      <c r="G499" s="94">
        <f ca="1">VLOOKUP(B499,'115+740'!$B$15:$AB$757,20,FALSE)</f>
        <v>3545</v>
      </c>
      <c r="H499" s="94">
        <f ca="1">VLOOKUP(B499,'115+740'!$B$15:$AB$757,4,FALSE)</f>
        <v>-172</v>
      </c>
      <c r="I499" s="91">
        <f t="shared" ca="1" si="93"/>
        <v>3385</v>
      </c>
      <c r="J499" s="91">
        <f ca="1">VLOOKUP(B499,'115+740'!$B$15:$AB$757,13,FALSE)</f>
        <v>-615</v>
      </c>
      <c r="K499" s="89">
        <f>'115+740'!Q500</f>
        <v>0</v>
      </c>
      <c r="L499" s="88">
        <f t="shared" ca="1" si="98"/>
        <v>655</v>
      </c>
      <c r="M499" s="93">
        <f ca="1">VLOOKUP(B499,'115+740'!$B$14:$AB$757,21,FALSE)</f>
        <v>3462</v>
      </c>
      <c r="N499" s="92">
        <f ca="1">VLOOKUP(B499,'115+740'!$B$15:$AB$757,5,FALSE)</f>
        <v>-39</v>
      </c>
      <c r="O499" s="91">
        <f t="shared" ca="1" si="94"/>
        <v>3252</v>
      </c>
      <c r="P499" s="91">
        <f ca="1">VLOOKUP(B499,'115+740'!$B$15:$AB$757,14,FALSE)</f>
        <v>-748</v>
      </c>
      <c r="Q499" s="89">
        <f>'115+740'!R500</f>
        <v>4</v>
      </c>
      <c r="R499" s="88">
        <f t="shared" ca="1" si="99"/>
        <v>738</v>
      </c>
      <c r="S499" s="93">
        <f ca="1">VLOOKUP(B499,'115+740'!$B$14:$AB$757,22,FALSE)</f>
        <v>3559</v>
      </c>
      <c r="T499" s="92">
        <f ca="1">VLOOKUP(B499,'115+740'!$B$15:$AB$757,6,FALSE)</f>
        <v>-106</v>
      </c>
      <c r="U499" s="91">
        <f t="shared" ca="1" si="95"/>
        <v>3319</v>
      </c>
      <c r="V499" s="90">
        <f ca="1">VLOOKUP(B499,'115+740'!$B$15:$AB$757,15,FALSE)</f>
        <v>-681</v>
      </c>
      <c r="W499" s="89">
        <f>'115+740'!S500</f>
        <v>1</v>
      </c>
      <c r="X499" s="88">
        <f t="shared" ca="1" si="100"/>
        <v>641</v>
      </c>
      <c r="Y499" s="87">
        <f t="shared" ca="1" si="101"/>
        <v>-1</v>
      </c>
      <c r="Z499" s="86">
        <f t="shared" ca="1" si="102"/>
        <v>0</v>
      </c>
      <c r="AA499" s="85">
        <f t="shared" ca="1" si="103"/>
        <v>4.109</v>
      </c>
      <c r="AB499" s="85">
        <f t="shared" ca="1" si="104"/>
        <v>2.734</v>
      </c>
    </row>
    <row r="500" spans="2:28">
      <c r="B500" s="98">
        <f>'115+740'!B501</f>
        <v>45559</v>
      </c>
      <c r="C500" s="97">
        <f t="shared" si="96"/>
        <v>1</v>
      </c>
      <c r="D500" s="96">
        <f t="shared" si="97"/>
        <v>1069</v>
      </c>
      <c r="E500" s="95">
        <f>VLOOKUP(B500,'115+740'!B501:AB859,3,FALSE)</f>
        <v>2146</v>
      </c>
      <c r="F500" s="92">
        <f t="shared" si="92"/>
        <v>3215</v>
      </c>
      <c r="G500" s="94">
        <f ca="1">VLOOKUP(B500,'115+740'!$B$15:$AB$757,20,FALSE)</f>
        <v>3543</v>
      </c>
      <c r="H500" s="94">
        <f ca="1">VLOOKUP(B500,'115+740'!$B$15:$AB$757,4,FALSE)</f>
        <v>-168</v>
      </c>
      <c r="I500" s="91">
        <f t="shared" ca="1" si="93"/>
        <v>3383</v>
      </c>
      <c r="J500" s="91">
        <f ca="1">VLOOKUP(B500,'115+740'!$B$15:$AB$757,13,FALSE)</f>
        <v>-617</v>
      </c>
      <c r="K500" s="89">
        <f>'115+740'!Q501</f>
        <v>2</v>
      </c>
      <c r="L500" s="88">
        <f t="shared" ca="1" si="98"/>
        <v>657</v>
      </c>
      <c r="M500" s="93">
        <f ca="1">VLOOKUP(B500,'115+740'!$B$14:$AB$757,21,FALSE)</f>
        <v>3459</v>
      </c>
      <c r="N500" s="92">
        <f ca="1">VLOOKUP(B500,'115+740'!$B$15:$AB$757,5,FALSE)</f>
        <v>-34</v>
      </c>
      <c r="O500" s="91">
        <f t="shared" ca="1" si="94"/>
        <v>3249</v>
      </c>
      <c r="P500" s="91">
        <f ca="1">VLOOKUP(B500,'115+740'!$B$15:$AB$757,14,FALSE)</f>
        <v>-751</v>
      </c>
      <c r="Q500" s="89">
        <f>'115+740'!R501</f>
        <v>3</v>
      </c>
      <c r="R500" s="88">
        <f t="shared" ca="1" si="99"/>
        <v>741</v>
      </c>
      <c r="S500" s="93">
        <f ca="1">VLOOKUP(B500,'115+740'!$B$14:$AB$757,22,FALSE)</f>
        <v>3559</v>
      </c>
      <c r="T500" s="92">
        <f ca="1">VLOOKUP(B500,'115+740'!$B$15:$AB$757,6,FALSE)</f>
        <v>-104</v>
      </c>
      <c r="U500" s="91">
        <f t="shared" ca="1" si="95"/>
        <v>3319</v>
      </c>
      <c r="V500" s="90">
        <f ca="1">VLOOKUP(B500,'115+740'!$B$15:$AB$757,15,FALSE)</f>
        <v>-681</v>
      </c>
      <c r="W500" s="89">
        <f>'115+740'!S501</f>
        <v>0</v>
      </c>
      <c r="X500" s="88">
        <f t="shared" ca="1" si="100"/>
        <v>641</v>
      </c>
      <c r="Y500" s="87">
        <f t="shared" ca="1" si="101"/>
        <v>0</v>
      </c>
      <c r="Z500" s="86">
        <f t="shared" ca="1" si="102"/>
        <v>0</v>
      </c>
      <c r="AA500" s="85">
        <f t="shared" ca="1" si="103"/>
        <v>4.109</v>
      </c>
      <c r="AB500" s="85">
        <f t="shared" ca="1" si="104"/>
        <v>2.7280000000000002</v>
      </c>
    </row>
    <row r="501" spans="2:28">
      <c r="B501" s="98">
        <f>'115+740'!B502</f>
        <v>45560</v>
      </c>
      <c r="C501" s="97">
        <f t="shared" si="96"/>
        <v>1</v>
      </c>
      <c r="D501" s="96">
        <f t="shared" si="97"/>
        <v>1069</v>
      </c>
      <c r="E501" s="95">
        <f>VLOOKUP(B501,'115+740'!B502:AB860,3,FALSE)</f>
        <v>2148</v>
      </c>
      <c r="F501" s="92">
        <f t="shared" si="92"/>
        <v>3217</v>
      </c>
      <c r="G501" s="94">
        <f ca="1">VLOOKUP(B501,'115+740'!$B$15:$AB$757,20,FALSE)</f>
        <v>3543</v>
      </c>
      <c r="H501" s="94">
        <f ca="1">VLOOKUP(B501,'115+740'!$B$15:$AB$757,4,FALSE)</f>
        <v>-166</v>
      </c>
      <c r="I501" s="91">
        <f t="shared" ca="1" si="93"/>
        <v>3383</v>
      </c>
      <c r="J501" s="91">
        <f ca="1">VLOOKUP(B501,'115+740'!$B$15:$AB$757,13,FALSE)</f>
        <v>-617</v>
      </c>
      <c r="K501" s="89">
        <f>'115+740'!Q502</f>
        <v>0</v>
      </c>
      <c r="L501" s="88">
        <f t="shared" ca="1" si="98"/>
        <v>657</v>
      </c>
      <c r="M501" s="93">
        <f ca="1">VLOOKUP(B501,'115+740'!$B$14:$AB$757,21,FALSE)</f>
        <v>3457</v>
      </c>
      <c r="N501" s="92">
        <f ca="1">VLOOKUP(B501,'115+740'!$B$15:$AB$757,5,FALSE)</f>
        <v>-30</v>
      </c>
      <c r="O501" s="91">
        <f t="shared" ca="1" si="94"/>
        <v>3247</v>
      </c>
      <c r="P501" s="91">
        <f ca="1">VLOOKUP(B501,'115+740'!$B$15:$AB$757,14,FALSE)</f>
        <v>-753</v>
      </c>
      <c r="Q501" s="89">
        <f>'115+740'!R502</f>
        <v>2</v>
      </c>
      <c r="R501" s="88">
        <f t="shared" ca="1" si="99"/>
        <v>743</v>
      </c>
      <c r="S501" s="93">
        <f ca="1">VLOOKUP(B501,'115+740'!$B$14:$AB$757,22,FALSE)</f>
        <v>3559</v>
      </c>
      <c r="T501" s="92">
        <f ca="1">VLOOKUP(B501,'115+740'!$B$15:$AB$757,6,FALSE)</f>
        <v>-102</v>
      </c>
      <c r="U501" s="91">
        <f t="shared" ca="1" si="95"/>
        <v>3319</v>
      </c>
      <c r="V501" s="90">
        <f ca="1">VLOOKUP(B501,'115+740'!$B$15:$AB$757,15,FALSE)</f>
        <v>-681</v>
      </c>
      <c r="W501" s="89">
        <f>'115+740'!S502</f>
        <v>0</v>
      </c>
      <c r="X501" s="88">
        <f t="shared" ca="1" si="100"/>
        <v>641</v>
      </c>
      <c r="Y501" s="87">
        <f t="shared" ca="1" si="101"/>
        <v>0</v>
      </c>
      <c r="Z501" s="86">
        <f t="shared" ca="1" si="102"/>
        <v>0</v>
      </c>
      <c r="AA501" s="85">
        <f t="shared" ca="1" si="103"/>
        <v>4.109</v>
      </c>
      <c r="AB501" s="85">
        <f t="shared" ca="1" si="104"/>
        <v>2.7240000000000002</v>
      </c>
    </row>
    <row r="502" spans="2:28">
      <c r="B502" s="98">
        <f>'115+740'!B503</f>
        <v>45561</v>
      </c>
      <c r="C502" s="97">
        <f t="shared" si="96"/>
        <v>1</v>
      </c>
      <c r="D502" s="96">
        <f t="shared" si="97"/>
        <v>1069</v>
      </c>
      <c r="E502" s="95">
        <f>VLOOKUP(B502,'115+740'!B503:AB861,3,FALSE)</f>
        <v>2150</v>
      </c>
      <c r="F502" s="92">
        <f t="shared" si="92"/>
        <v>3219</v>
      </c>
      <c r="G502" s="94">
        <f ca="1">VLOOKUP(B502,'115+740'!$B$15:$AB$757,20,FALSE)</f>
        <v>3542</v>
      </c>
      <c r="H502" s="94">
        <f ca="1">VLOOKUP(B502,'115+740'!$B$15:$AB$757,4,FALSE)</f>
        <v>-163</v>
      </c>
      <c r="I502" s="91">
        <f t="shared" ca="1" si="93"/>
        <v>3382</v>
      </c>
      <c r="J502" s="91">
        <f ca="1">VLOOKUP(B502,'115+740'!$B$15:$AB$757,13,FALSE)</f>
        <v>-618</v>
      </c>
      <c r="K502" s="89">
        <f>'115+740'!Q503</f>
        <v>1</v>
      </c>
      <c r="L502" s="88">
        <f t="shared" ca="1" si="98"/>
        <v>658</v>
      </c>
      <c r="M502" s="93">
        <f ca="1">VLOOKUP(B502,'115+740'!$B$14:$AB$757,21,FALSE)</f>
        <v>3455</v>
      </c>
      <c r="N502" s="92">
        <f ca="1">VLOOKUP(B502,'115+740'!$B$15:$AB$757,5,FALSE)</f>
        <v>-26</v>
      </c>
      <c r="O502" s="91">
        <f t="shared" ca="1" si="94"/>
        <v>3245</v>
      </c>
      <c r="P502" s="91">
        <f ca="1">VLOOKUP(B502,'115+740'!$B$15:$AB$757,14,FALSE)</f>
        <v>-755</v>
      </c>
      <c r="Q502" s="89">
        <f>'115+740'!R503</f>
        <v>2</v>
      </c>
      <c r="R502" s="88">
        <f t="shared" ca="1" si="99"/>
        <v>745</v>
      </c>
      <c r="S502" s="93">
        <f ca="1">VLOOKUP(B502,'115+740'!$B$14:$AB$757,22,FALSE)</f>
        <v>3559</v>
      </c>
      <c r="T502" s="92">
        <f ca="1">VLOOKUP(B502,'115+740'!$B$15:$AB$757,6,FALSE)</f>
        <v>-100</v>
      </c>
      <c r="U502" s="91">
        <f t="shared" ca="1" si="95"/>
        <v>3319</v>
      </c>
      <c r="V502" s="90">
        <f ca="1">VLOOKUP(B502,'115+740'!$B$15:$AB$757,15,FALSE)</f>
        <v>-681</v>
      </c>
      <c r="W502" s="89">
        <f>'115+740'!S503</f>
        <v>0</v>
      </c>
      <c r="X502" s="88">
        <f t="shared" ca="1" si="100"/>
        <v>641</v>
      </c>
      <c r="Y502" s="87">
        <f t="shared" ca="1" si="101"/>
        <v>0</v>
      </c>
      <c r="Z502" s="86">
        <f t="shared" ca="1" si="102"/>
        <v>0</v>
      </c>
      <c r="AA502" s="85">
        <f t="shared" ca="1" si="103"/>
        <v>4.109</v>
      </c>
      <c r="AB502" s="85">
        <f t="shared" ca="1" si="104"/>
        <v>2.72</v>
      </c>
    </row>
    <row r="503" spans="2:28">
      <c r="B503" s="98">
        <f>'115+740'!B504</f>
        <v>45562</v>
      </c>
      <c r="C503" s="97">
        <f t="shared" si="96"/>
        <v>1</v>
      </c>
      <c r="D503" s="96">
        <f t="shared" si="97"/>
        <v>1069</v>
      </c>
      <c r="E503" s="95">
        <f>VLOOKUP(B503,'115+740'!B504:AB862,3,FALSE)</f>
        <v>2152</v>
      </c>
      <c r="F503" s="92">
        <f t="shared" si="92"/>
        <v>3221</v>
      </c>
      <c r="G503" s="94">
        <f ca="1">VLOOKUP(B503,'115+740'!$B$15:$AB$757,20,FALSE)</f>
        <v>3542</v>
      </c>
      <c r="H503" s="94">
        <f ca="1">VLOOKUP(B503,'115+740'!$B$15:$AB$757,4,FALSE)</f>
        <v>-161</v>
      </c>
      <c r="I503" s="91">
        <f t="shared" ca="1" si="93"/>
        <v>3382</v>
      </c>
      <c r="J503" s="91">
        <f ca="1">VLOOKUP(B503,'115+740'!$B$15:$AB$757,13,FALSE)</f>
        <v>-618</v>
      </c>
      <c r="K503" s="89">
        <f>'115+740'!Q504</f>
        <v>0</v>
      </c>
      <c r="L503" s="88">
        <f t="shared" ca="1" si="98"/>
        <v>658</v>
      </c>
      <c r="M503" s="93">
        <f ca="1">VLOOKUP(B503,'115+740'!$B$14:$AB$757,21,FALSE)</f>
        <v>3452</v>
      </c>
      <c r="N503" s="92">
        <f ca="1">VLOOKUP(B503,'115+740'!$B$15:$AB$757,5,FALSE)</f>
        <v>-21</v>
      </c>
      <c r="O503" s="91">
        <f t="shared" ca="1" si="94"/>
        <v>3242</v>
      </c>
      <c r="P503" s="91">
        <f ca="1">VLOOKUP(B503,'115+740'!$B$15:$AB$757,14,FALSE)</f>
        <v>-758</v>
      </c>
      <c r="Q503" s="89">
        <f>'115+740'!R504</f>
        <v>3</v>
      </c>
      <c r="R503" s="88">
        <f t="shared" ca="1" si="99"/>
        <v>748</v>
      </c>
      <c r="S503" s="93">
        <f ca="1">VLOOKUP(B503,'115+740'!$B$14:$AB$757,22,FALSE)</f>
        <v>3559</v>
      </c>
      <c r="T503" s="92">
        <f ca="1">VLOOKUP(B503,'115+740'!$B$15:$AB$757,6,FALSE)</f>
        <v>-98</v>
      </c>
      <c r="U503" s="91">
        <f t="shared" ca="1" si="95"/>
        <v>3319</v>
      </c>
      <c r="V503" s="90">
        <f ca="1">VLOOKUP(B503,'115+740'!$B$15:$AB$757,15,FALSE)</f>
        <v>-681</v>
      </c>
      <c r="W503" s="89">
        <f>'115+740'!S504</f>
        <v>0</v>
      </c>
      <c r="X503" s="88">
        <f t="shared" ca="1" si="100"/>
        <v>641</v>
      </c>
      <c r="Y503" s="87">
        <f t="shared" ca="1" si="101"/>
        <v>0</v>
      </c>
      <c r="Z503" s="86">
        <f t="shared" ca="1" si="102"/>
        <v>0</v>
      </c>
      <c r="AA503" s="85">
        <f t="shared" ca="1" si="103"/>
        <v>4.109</v>
      </c>
      <c r="AB503" s="85">
        <f t="shared" ca="1" si="104"/>
        <v>2.714</v>
      </c>
    </row>
    <row r="504" spans="2:28">
      <c r="B504" s="98">
        <f>'115+740'!B505</f>
        <v>45563</v>
      </c>
      <c r="C504" s="97">
        <f t="shared" si="96"/>
        <v>1</v>
      </c>
      <c r="D504" s="96">
        <f t="shared" si="97"/>
        <v>1069</v>
      </c>
      <c r="E504" s="95">
        <f>VLOOKUP(B504,'115+740'!B505:AB863,3,FALSE)</f>
        <v>2154</v>
      </c>
      <c r="F504" s="92">
        <f t="shared" si="92"/>
        <v>3223</v>
      </c>
      <c r="G504" s="94">
        <f ca="1">VLOOKUP(B504,'115+740'!$B$15:$AB$757,20,FALSE)</f>
        <v>3542</v>
      </c>
      <c r="H504" s="94">
        <f ca="1">VLOOKUP(B504,'115+740'!$B$15:$AB$757,4,FALSE)</f>
        <v>-159</v>
      </c>
      <c r="I504" s="91">
        <f t="shared" ca="1" si="93"/>
        <v>3382</v>
      </c>
      <c r="J504" s="91">
        <f ca="1">VLOOKUP(B504,'115+740'!$B$15:$AB$757,13,FALSE)</f>
        <v>-618</v>
      </c>
      <c r="K504" s="89">
        <f>'115+740'!Q505</f>
        <v>0</v>
      </c>
      <c r="L504" s="88">
        <f t="shared" ca="1" si="98"/>
        <v>658</v>
      </c>
      <c r="M504" s="93">
        <f ca="1">VLOOKUP(B504,'115+740'!$B$14:$AB$757,21,FALSE)</f>
        <v>3450</v>
      </c>
      <c r="N504" s="92">
        <f ca="1">VLOOKUP(B504,'115+740'!$B$15:$AB$757,5,FALSE)</f>
        <v>-17</v>
      </c>
      <c r="O504" s="91">
        <f t="shared" ca="1" si="94"/>
        <v>3240</v>
      </c>
      <c r="P504" s="91">
        <f ca="1">VLOOKUP(B504,'115+740'!$B$15:$AB$757,14,FALSE)</f>
        <v>-760</v>
      </c>
      <c r="Q504" s="89">
        <f>'115+740'!R505</f>
        <v>2</v>
      </c>
      <c r="R504" s="88">
        <f t="shared" ca="1" si="99"/>
        <v>750</v>
      </c>
      <c r="S504" s="93">
        <f ca="1">VLOOKUP(B504,'115+740'!$B$14:$AB$757,22,FALSE)</f>
        <v>3559</v>
      </c>
      <c r="T504" s="92">
        <f ca="1">VLOOKUP(B504,'115+740'!$B$15:$AB$757,6,FALSE)</f>
        <v>-96</v>
      </c>
      <c r="U504" s="91">
        <f t="shared" ca="1" si="95"/>
        <v>3319</v>
      </c>
      <c r="V504" s="90">
        <f ca="1">VLOOKUP(B504,'115+740'!$B$15:$AB$757,15,FALSE)</f>
        <v>-681</v>
      </c>
      <c r="W504" s="89">
        <f>'115+740'!S505</f>
        <v>0</v>
      </c>
      <c r="X504" s="88">
        <f t="shared" ca="1" si="100"/>
        <v>641</v>
      </c>
      <c r="Y504" s="87">
        <f t="shared" ca="1" si="101"/>
        <v>0</v>
      </c>
      <c r="Z504" s="86">
        <f t="shared" ca="1" si="102"/>
        <v>0</v>
      </c>
      <c r="AA504" s="85">
        <f t="shared" ca="1" si="103"/>
        <v>4.109</v>
      </c>
      <c r="AB504" s="85">
        <f t="shared" ca="1" si="104"/>
        <v>2.71</v>
      </c>
    </row>
    <row r="505" spans="2:28">
      <c r="B505" s="98">
        <f>'115+740'!B506</f>
        <v>45564</v>
      </c>
      <c r="C505" s="97">
        <f t="shared" si="96"/>
        <v>1</v>
      </c>
      <c r="D505" s="96">
        <f t="shared" si="97"/>
        <v>1069</v>
      </c>
      <c r="E505" s="95">
        <f>VLOOKUP(B505,'115+740'!B506:AB864,3,FALSE)</f>
        <v>2156</v>
      </c>
      <c r="F505" s="92">
        <f t="shared" si="92"/>
        <v>3225</v>
      </c>
      <c r="G505" s="94">
        <f ca="1">VLOOKUP(B505,'115+740'!$B$15:$AB$757,20,FALSE)</f>
        <v>3542</v>
      </c>
      <c r="H505" s="94">
        <f ca="1">VLOOKUP(B505,'115+740'!$B$15:$AB$757,4,FALSE)</f>
        <v>-157</v>
      </c>
      <c r="I505" s="91">
        <f t="shared" ca="1" si="93"/>
        <v>3382</v>
      </c>
      <c r="J505" s="91">
        <f ca="1">VLOOKUP(B505,'115+740'!$B$15:$AB$757,13,FALSE)</f>
        <v>-618</v>
      </c>
      <c r="K505" s="89">
        <f>'115+740'!Q506</f>
        <v>0</v>
      </c>
      <c r="L505" s="88">
        <f t="shared" ca="1" si="98"/>
        <v>658</v>
      </c>
      <c r="M505" s="93">
        <f ca="1">VLOOKUP(B505,'115+740'!$B$14:$AB$757,21,FALSE)</f>
        <v>3447</v>
      </c>
      <c r="N505" s="92">
        <f ca="1">VLOOKUP(B505,'115+740'!$B$15:$AB$757,5,FALSE)</f>
        <v>-12</v>
      </c>
      <c r="O505" s="91">
        <f t="shared" ca="1" si="94"/>
        <v>3237</v>
      </c>
      <c r="P505" s="91">
        <f ca="1">VLOOKUP(B505,'115+740'!$B$15:$AB$757,14,FALSE)</f>
        <v>-763</v>
      </c>
      <c r="Q505" s="89">
        <f>'115+740'!R506</f>
        <v>3</v>
      </c>
      <c r="R505" s="88">
        <f t="shared" ca="1" si="99"/>
        <v>753</v>
      </c>
      <c r="S505" s="93">
        <f ca="1">VLOOKUP(B505,'115+740'!$B$14:$AB$757,22,FALSE)</f>
        <v>3559</v>
      </c>
      <c r="T505" s="92">
        <f ca="1">VLOOKUP(B505,'115+740'!$B$15:$AB$757,6,FALSE)</f>
        <v>-94</v>
      </c>
      <c r="U505" s="91">
        <f t="shared" ca="1" si="95"/>
        <v>3319</v>
      </c>
      <c r="V505" s="90">
        <f ca="1">VLOOKUP(B505,'115+740'!$B$15:$AB$757,15,FALSE)</f>
        <v>-681</v>
      </c>
      <c r="W505" s="89">
        <f>'115+740'!S506</f>
        <v>0</v>
      </c>
      <c r="X505" s="88">
        <f t="shared" ca="1" si="100"/>
        <v>641</v>
      </c>
      <c r="Y505" s="87">
        <f t="shared" ca="1" si="101"/>
        <v>0</v>
      </c>
      <c r="Z505" s="86">
        <f t="shared" ca="1" si="102"/>
        <v>0</v>
      </c>
      <c r="AA505" s="85">
        <f t="shared" ca="1" si="103"/>
        <v>4.109</v>
      </c>
      <c r="AB505" s="85">
        <f t="shared" ca="1" si="104"/>
        <v>2.7040000000000002</v>
      </c>
    </row>
    <row r="506" spans="2:28">
      <c r="B506" s="98">
        <f>'115+740'!B507</f>
        <v>45565</v>
      </c>
      <c r="C506" s="97">
        <f t="shared" si="96"/>
        <v>1</v>
      </c>
      <c r="D506" s="96">
        <f t="shared" si="97"/>
        <v>1069</v>
      </c>
      <c r="E506" s="95">
        <f>VLOOKUP(B506,'115+740'!B507:AB865,3,FALSE)</f>
        <v>2158</v>
      </c>
      <c r="F506" s="92">
        <f t="shared" si="92"/>
        <v>3227</v>
      </c>
      <c r="G506" s="94">
        <f ca="1">VLOOKUP(B506,'115+740'!$B$15:$AB$757,20,FALSE)</f>
        <v>3540</v>
      </c>
      <c r="H506" s="94">
        <f ca="1">VLOOKUP(B506,'115+740'!$B$15:$AB$757,4,FALSE)</f>
        <v>-153</v>
      </c>
      <c r="I506" s="91">
        <f t="shared" ca="1" si="93"/>
        <v>3380</v>
      </c>
      <c r="J506" s="91">
        <f ca="1">VLOOKUP(B506,'115+740'!$B$15:$AB$757,13,FALSE)</f>
        <v>-620</v>
      </c>
      <c r="K506" s="89">
        <f>'115+740'!Q507</f>
        <v>2</v>
      </c>
      <c r="L506" s="88">
        <f t="shared" ca="1" si="98"/>
        <v>660</v>
      </c>
      <c r="M506" s="93">
        <f ca="1">VLOOKUP(B506,'115+740'!$B$14:$AB$757,21,FALSE)</f>
        <v>3445</v>
      </c>
      <c r="N506" s="92">
        <f ca="1">VLOOKUP(B506,'115+740'!$B$15:$AB$757,5,FALSE)</f>
        <v>-8</v>
      </c>
      <c r="O506" s="91">
        <f t="shared" ca="1" si="94"/>
        <v>3235</v>
      </c>
      <c r="P506" s="91">
        <f ca="1">VLOOKUP(B506,'115+740'!$B$15:$AB$757,14,FALSE)</f>
        <v>-765</v>
      </c>
      <c r="Q506" s="89">
        <f>'115+740'!R507</f>
        <v>2</v>
      </c>
      <c r="R506" s="88">
        <f t="shared" ca="1" si="99"/>
        <v>755</v>
      </c>
      <c r="S506" s="93">
        <f ca="1">VLOOKUP(B506,'115+740'!$B$14:$AB$757,22,FALSE)</f>
        <v>3559</v>
      </c>
      <c r="T506" s="92">
        <f ca="1">VLOOKUP(B506,'115+740'!$B$15:$AB$757,6,FALSE)</f>
        <v>-92</v>
      </c>
      <c r="U506" s="91">
        <f t="shared" ca="1" si="95"/>
        <v>3319</v>
      </c>
      <c r="V506" s="90">
        <f ca="1">VLOOKUP(B506,'115+740'!$B$15:$AB$757,15,FALSE)</f>
        <v>-681</v>
      </c>
      <c r="W506" s="89">
        <f>'115+740'!S507</f>
        <v>0</v>
      </c>
      <c r="X506" s="88">
        <f t="shared" ca="1" si="100"/>
        <v>641</v>
      </c>
      <c r="Y506" s="87">
        <f t="shared" ca="1" si="101"/>
        <v>0</v>
      </c>
      <c r="Z506" s="86">
        <f t="shared" ca="1" si="102"/>
        <v>0</v>
      </c>
      <c r="AA506" s="85">
        <f t="shared" ca="1" si="103"/>
        <v>4.109</v>
      </c>
      <c r="AB506" s="85">
        <f t="shared" ca="1" si="104"/>
        <v>2.7</v>
      </c>
    </row>
    <row r="507" spans="2:28">
      <c r="B507" s="98">
        <f>'115+740'!B508</f>
        <v>45566</v>
      </c>
      <c r="C507" s="97">
        <f t="shared" si="96"/>
        <v>1</v>
      </c>
      <c r="D507" s="96">
        <f t="shared" si="97"/>
        <v>1069</v>
      </c>
      <c r="E507" s="95">
        <f>VLOOKUP(B507,'115+740'!B508:AB866,3,FALSE)</f>
        <v>2160</v>
      </c>
      <c r="F507" s="92">
        <f t="shared" si="92"/>
        <v>3229</v>
      </c>
      <c r="G507" s="94">
        <f ca="1">VLOOKUP(B507,'115+740'!$B$15:$AB$757,20,FALSE)</f>
        <v>3540</v>
      </c>
      <c r="H507" s="94">
        <f ca="1">VLOOKUP(B507,'115+740'!$B$15:$AB$757,4,FALSE)</f>
        <v>-151</v>
      </c>
      <c r="I507" s="91">
        <f t="shared" ca="1" si="93"/>
        <v>3380</v>
      </c>
      <c r="J507" s="91">
        <f ca="1">VLOOKUP(B507,'115+740'!$B$15:$AB$757,13,FALSE)</f>
        <v>-620</v>
      </c>
      <c r="K507" s="89">
        <f>'115+740'!Q508</f>
        <v>0</v>
      </c>
      <c r="L507" s="88">
        <f t="shared" ca="1" si="98"/>
        <v>660</v>
      </c>
      <c r="M507" s="93">
        <f ca="1">VLOOKUP(B507,'115+740'!$B$14:$AB$757,21,FALSE)</f>
        <v>3444</v>
      </c>
      <c r="N507" s="92">
        <f ca="1">VLOOKUP(B507,'115+740'!$B$15:$AB$757,5,FALSE)</f>
        <v>-5</v>
      </c>
      <c r="O507" s="91">
        <f t="shared" ca="1" si="94"/>
        <v>3234</v>
      </c>
      <c r="P507" s="91">
        <f ca="1">VLOOKUP(B507,'115+740'!$B$15:$AB$757,14,FALSE)</f>
        <v>-766</v>
      </c>
      <c r="Q507" s="89">
        <f>'115+740'!R508</f>
        <v>1</v>
      </c>
      <c r="R507" s="88">
        <f t="shared" ca="1" si="99"/>
        <v>756</v>
      </c>
      <c r="S507" s="93">
        <f ca="1">VLOOKUP(B507,'115+740'!$B$14:$AB$757,22,FALSE)</f>
        <v>3558</v>
      </c>
      <c r="T507" s="92">
        <f ca="1">VLOOKUP(B507,'115+740'!$B$15:$AB$757,6,FALSE)</f>
        <v>-89</v>
      </c>
      <c r="U507" s="91">
        <f t="shared" ca="1" si="95"/>
        <v>3318</v>
      </c>
      <c r="V507" s="90">
        <f ca="1">VLOOKUP(B507,'115+740'!$B$15:$AB$757,15,FALSE)</f>
        <v>-682</v>
      </c>
      <c r="W507" s="89">
        <f>'115+740'!S508</f>
        <v>1</v>
      </c>
      <c r="X507" s="88">
        <f t="shared" ca="1" si="100"/>
        <v>642</v>
      </c>
      <c r="Y507" s="87">
        <f t="shared" ca="1" si="101"/>
        <v>-1</v>
      </c>
      <c r="Z507" s="86">
        <f t="shared" ca="1" si="102"/>
        <v>0</v>
      </c>
      <c r="AA507" s="85">
        <f t="shared" ca="1" si="103"/>
        <v>4.109</v>
      </c>
      <c r="AB507" s="85">
        <f t="shared" ca="1" si="104"/>
        <v>2.698</v>
      </c>
    </row>
    <row r="508" spans="2:28">
      <c r="B508" s="98">
        <f>'115+740'!B509</f>
        <v>45567</v>
      </c>
      <c r="C508" s="97">
        <f t="shared" si="96"/>
        <v>1</v>
      </c>
      <c r="D508" s="96">
        <f t="shared" si="97"/>
        <v>1069</v>
      </c>
      <c r="E508" s="95">
        <f>VLOOKUP(B508,'115+740'!B509:AB867,3,FALSE)</f>
        <v>2162</v>
      </c>
      <c r="F508" s="92">
        <f t="shared" si="92"/>
        <v>3231</v>
      </c>
      <c r="G508" s="94">
        <f ca="1">VLOOKUP(B508,'115+740'!$B$15:$AB$757,20,FALSE)</f>
        <v>3540</v>
      </c>
      <c r="H508" s="94">
        <f ca="1">VLOOKUP(B508,'115+740'!$B$15:$AB$757,4,FALSE)</f>
        <v>-149</v>
      </c>
      <c r="I508" s="91">
        <f t="shared" ca="1" si="93"/>
        <v>3380</v>
      </c>
      <c r="J508" s="91">
        <f ca="1">VLOOKUP(B508,'115+740'!$B$15:$AB$757,13,FALSE)</f>
        <v>-620</v>
      </c>
      <c r="K508" s="89">
        <f>'115+740'!Q509</f>
        <v>0</v>
      </c>
      <c r="L508" s="88">
        <f t="shared" ca="1" si="98"/>
        <v>660</v>
      </c>
      <c r="M508" s="93">
        <f ca="1">VLOOKUP(B508,'115+740'!$B$14:$AB$757,21,FALSE)</f>
        <v>3442</v>
      </c>
      <c r="N508" s="92">
        <f ca="1">VLOOKUP(B508,'115+740'!$B$15:$AB$757,5,FALSE)</f>
        <v>-1</v>
      </c>
      <c r="O508" s="91">
        <f t="shared" ca="1" si="94"/>
        <v>3232</v>
      </c>
      <c r="P508" s="91">
        <f ca="1">VLOOKUP(B508,'115+740'!$B$15:$AB$757,14,FALSE)</f>
        <v>-768</v>
      </c>
      <c r="Q508" s="89">
        <f>'115+740'!R509</f>
        <v>2</v>
      </c>
      <c r="R508" s="88">
        <f t="shared" ca="1" si="99"/>
        <v>758</v>
      </c>
      <c r="S508" s="93">
        <f ca="1">VLOOKUP(B508,'115+740'!$B$14:$AB$757,22,FALSE)</f>
        <v>3558</v>
      </c>
      <c r="T508" s="92">
        <f ca="1">VLOOKUP(B508,'115+740'!$B$15:$AB$757,6,FALSE)</f>
        <v>-87</v>
      </c>
      <c r="U508" s="91">
        <f t="shared" ca="1" si="95"/>
        <v>3318</v>
      </c>
      <c r="V508" s="90">
        <f ca="1">VLOOKUP(B508,'115+740'!$B$15:$AB$757,15,FALSE)</f>
        <v>-682</v>
      </c>
      <c r="W508" s="89">
        <f>'115+740'!S509</f>
        <v>0</v>
      </c>
      <c r="X508" s="88">
        <f t="shared" ca="1" si="100"/>
        <v>642</v>
      </c>
      <c r="Y508" s="87">
        <f t="shared" ca="1" si="101"/>
        <v>0</v>
      </c>
      <c r="Z508" s="86">
        <f t="shared" ca="1" si="102"/>
        <v>0</v>
      </c>
      <c r="AA508" s="85">
        <f t="shared" ca="1" si="103"/>
        <v>4.109</v>
      </c>
      <c r="AB508" s="85">
        <f t="shared" ca="1" si="104"/>
        <v>2.694</v>
      </c>
    </row>
    <row r="509" spans="2:28">
      <c r="B509" s="98">
        <f>'115+740'!B510</f>
        <v>45568</v>
      </c>
      <c r="C509" s="97">
        <f t="shared" si="96"/>
        <v>1</v>
      </c>
      <c r="D509" s="96">
        <f t="shared" si="97"/>
        <v>1069</v>
      </c>
      <c r="E509" s="95">
        <f>VLOOKUP(B509,'115+740'!B510:AB868,3,FALSE)</f>
        <v>2164</v>
      </c>
      <c r="F509" s="92">
        <f t="shared" si="92"/>
        <v>3233</v>
      </c>
      <c r="G509" s="94">
        <f ca="1">VLOOKUP(B509,'115+740'!$B$15:$AB$757,20,FALSE)</f>
        <v>3540</v>
      </c>
      <c r="H509" s="94">
        <f ca="1">VLOOKUP(B509,'115+740'!$B$15:$AB$757,4,FALSE)</f>
        <v>-147</v>
      </c>
      <c r="I509" s="91">
        <f t="shared" ca="1" si="93"/>
        <v>3380</v>
      </c>
      <c r="J509" s="91">
        <f ca="1">VLOOKUP(B509,'115+740'!$B$15:$AB$757,13,FALSE)</f>
        <v>-620</v>
      </c>
      <c r="K509" s="89">
        <f>'115+740'!Q510</f>
        <v>0</v>
      </c>
      <c r="L509" s="88">
        <f t="shared" ca="1" si="98"/>
        <v>660</v>
      </c>
      <c r="M509" s="93">
        <f ca="1">VLOOKUP(B509,'115+740'!$B$14:$AB$757,21,FALSE)</f>
        <v>3435</v>
      </c>
      <c r="N509" s="92">
        <f ca="1">VLOOKUP(B509,'115+740'!$B$15:$AB$757,5,FALSE)</f>
        <v>8</v>
      </c>
      <c r="O509" s="91">
        <f t="shared" ca="1" si="94"/>
        <v>3225</v>
      </c>
      <c r="P509" s="91">
        <f ca="1">VLOOKUP(B509,'115+740'!$B$15:$AB$757,14,FALSE)</f>
        <v>-775</v>
      </c>
      <c r="Q509" s="89">
        <f>'115+740'!R510</f>
        <v>7</v>
      </c>
      <c r="R509" s="88">
        <f t="shared" ca="1" si="99"/>
        <v>765</v>
      </c>
      <c r="S509" s="93">
        <f ca="1">VLOOKUP(B509,'115+740'!$B$14:$AB$757,22,FALSE)</f>
        <v>3558</v>
      </c>
      <c r="T509" s="92">
        <f ca="1">VLOOKUP(B509,'115+740'!$B$15:$AB$757,6,FALSE)</f>
        <v>-85</v>
      </c>
      <c r="U509" s="91">
        <f t="shared" ca="1" si="95"/>
        <v>3318</v>
      </c>
      <c r="V509" s="90">
        <f ca="1">VLOOKUP(B509,'115+740'!$B$15:$AB$757,15,FALSE)</f>
        <v>-682</v>
      </c>
      <c r="W509" s="89">
        <f>'115+740'!S510</f>
        <v>0</v>
      </c>
      <c r="X509" s="88">
        <f t="shared" ca="1" si="100"/>
        <v>642</v>
      </c>
      <c r="Y509" s="87">
        <f t="shared" ca="1" si="101"/>
        <v>0</v>
      </c>
      <c r="Z509" s="86">
        <f t="shared" ca="1" si="102"/>
        <v>0</v>
      </c>
      <c r="AA509" s="85">
        <f t="shared" ca="1" si="103"/>
        <v>4.109</v>
      </c>
      <c r="AB509" s="85">
        <f t="shared" ca="1" si="104"/>
        <v>2.68</v>
      </c>
    </row>
    <row r="510" spans="2:28">
      <c r="B510" s="98">
        <f>'115+740'!B511</f>
        <v>45569</v>
      </c>
      <c r="C510" s="97">
        <f t="shared" si="96"/>
        <v>1</v>
      </c>
      <c r="D510" s="96">
        <f t="shared" si="97"/>
        <v>1069</v>
      </c>
      <c r="E510" s="95">
        <f>VLOOKUP(B510,'115+740'!B511:AB869,3,FALSE)</f>
        <v>2166</v>
      </c>
      <c r="F510" s="92">
        <f t="shared" si="92"/>
        <v>3235</v>
      </c>
      <c r="G510" s="94">
        <f ca="1">VLOOKUP(B510,'115+740'!$B$15:$AB$757,20,FALSE)</f>
        <v>3540</v>
      </c>
      <c r="H510" s="94">
        <f ca="1">VLOOKUP(B510,'115+740'!$B$15:$AB$757,4,FALSE)</f>
        <v>-145</v>
      </c>
      <c r="I510" s="91">
        <f t="shared" ca="1" si="93"/>
        <v>3380</v>
      </c>
      <c r="J510" s="91">
        <f ca="1">VLOOKUP(B510,'115+740'!$B$15:$AB$757,13,FALSE)</f>
        <v>-620</v>
      </c>
      <c r="K510" s="89">
        <f>'115+740'!Q511</f>
        <v>0</v>
      </c>
      <c r="L510" s="88">
        <f t="shared" ca="1" si="98"/>
        <v>660</v>
      </c>
      <c r="M510" s="93">
        <f ca="1">VLOOKUP(B510,'115+740'!$B$14:$AB$757,21,FALSE)</f>
        <v>3433</v>
      </c>
      <c r="N510" s="92">
        <f ca="1">VLOOKUP(B510,'115+740'!$B$15:$AB$757,5,FALSE)</f>
        <v>12</v>
      </c>
      <c r="O510" s="91">
        <f t="shared" ca="1" si="94"/>
        <v>3223</v>
      </c>
      <c r="P510" s="91">
        <f ca="1">VLOOKUP(B510,'115+740'!$B$15:$AB$757,14,FALSE)</f>
        <v>-777</v>
      </c>
      <c r="Q510" s="89">
        <f>'115+740'!R511</f>
        <v>2</v>
      </c>
      <c r="R510" s="88">
        <f t="shared" ca="1" si="99"/>
        <v>767</v>
      </c>
      <c r="S510" s="93">
        <f ca="1">VLOOKUP(B510,'115+740'!$B$14:$AB$757,22,FALSE)</f>
        <v>3558</v>
      </c>
      <c r="T510" s="92">
        <f ca="1">VLOOKUP(B510,'115+740'!$B$15:$AB$757,6,FALSE)</f>
        <v>-83</v>
      </c>
      <c r="U510" s="91">
        <f t="shared" ca="1" si="95"/>
        <v>3318</v>
      </c>
      <c r="V510" s="90">
        <f ca="1">VLOOKUP(B510,'115+740'!$B$15:$AB$757,15,FALSE)</f>
        <v>-682</v>
      </c>
      <c r="W510" s="89">
        <f>'115+740'!S511</f>
        <v>0</v>
      </c>
      <c r="X510" s="88">
        <f t="shared" ca="1" si="100"/>
        <v>642</v>
      </c>
      <c r="Y510" s="87">
        <f t="shared" ca="1" si="101"/>
        <v>0</v>
      </c>
      <c r="Z510" s="86">
        <f t="shared" ca="1" si="102"/>
        <v>0</v>
      </c>
      <c r="AA510" s="85">
        <f t="shared" ca="1" si="103"/>
        <v>4.109</v>
      </c>
      <c r="AB510" s="85">
        <f t="shared" ca="1" si="104"/>
        <v>2.6760000000000002</v>
      </c>
    </row>
    <row r="511" spans="2:28">
      <c r="B511" s="98">
        <f>'115+740'!B512</f>
        <v>45570</v>
      </c>
      <c r="C511" s="97">
        <f t="shared" si="96"/>
        <v>1</v>
      </c>
      <c r="D511" s="96">
        <f t="shared" si="97"/>
        <v>1069</v>
      </c>
      <c r="E511" s="95">
        <f>VLOOKUP(B511,'115+740'!B512:AB870,3,FALSE)</f>
        <v>2168</v>
      </c>
      <c r="F511" s="92">
        <f t="shared" si="92"/>
        <v>3237</v>
      </c>
      <c r="G511" s="94">
        <f ca="1">VLOOKUP(B511,'115+740'!$B$15:$AB$757,20,FALSE)</f>
        <v>3539</v>
      </c>
      <c r="H511" s="94">
        <f ca="1">VLOOKUP(B511,'115+740'!$B$15:$AB$757,4,FALSE)</f>
        <v>-142</v>
      </c>
      <c r="I511" s="91">
        <f t="shared" ca="1" si="93"/>
        <v>3379</v>
      </c>
      <c r="J511" s="91">
        <f ca="1">VLOOKUP(B511,'115+740'!$B$15:$AB$757,13,FALSE)</f>
        <v>-621</v>
      </c>
      <c r="K511" s="89">
        <f>'115+740'!Q512</f>
        <v>1</v>
      </c>
      <c r="L511" s="88">
        <f t="shared" ca="1" si="98"/>
        <v>661</v>
      </c>
      <c r="M511" s="93">
        <f ca="1">VLOOKUP(B511,'115+740'!$B$14:$AB$757,21,FALSE)</f>
        <v>3427</v>
      </c>
      <c r="N511" s="92">
        <f ca="1">VLOOKUP(B511,'115+740'!$B$15:$AB$757,5,FALSE)</f>
        <v>20</v>
      </c>
      <c r="O511" s="91">
        <f t="shared" ca="1" si="94"/>
        <v>3217</v>
      </c>
      <c r="P511" s="91">
        <f ca="1">VLOOKUP(B511,'115+740'!$B$15:$AB$757,14,FALSE)</f>
        <v>-783</v>
      </c>
      <c r="Q511" s="89">
        <f>'115+740'!R512</f>
        <v>6</v>
      </c>
      <c r="R511" s="88">
        <f t="shared" ca="1" si="99"/>
        <v>773</v>
      </c>
      <c r="S511" s="93">
        <f ca="1">VLOOKUP(B511,'115+740'!$B$14:$AB$757,22,FALSE)</f>
        <v>3556</v>
      </c>
      <c r="T511" s="92">
        <f ca="1">VLOOKUP(B511,'115+740'!$B$15:$AB$757,6,FALSE)</f>
        <v>-79</v>
      </c>
      <c r="U511" s="91">
        <f t="shared" ca="1" si="95"/>
        <v>3316</v>
      </c>
      <c r="V511" s="90">
        <f ca="1">VLOOKUP(B511,'115+740'!$B$15:$AB$757,15,FALSE)</f>
        <v>-684</v>
      </c>
      <c r="W511" s="89">
        <f>'115+740'!S512</f>
        <v>2</v>
      </c>
      <c r="X511" s="88">
        <f t="shared" ca="1" si="100"/>
        <v>644</v>
      </c>
      <c r="Y511" s="87">
        <f t="shared" ca="1" si="101"/>
        <v>-2</v>
      </c>
      <c r="Z511" s="86">
        <f t="shared" ca="1" si="102"/>
        <v>0</v>
      </c>
      <c r="AA511" s="85">
        <f t="shared" ca="1" si="103"/>
        <v>4.109</v>
      </c>
      <c r="AB511" s="85">
        <f t="shared" ca="1" si="104"/>
        <v>2.6640000000000001</v>
      </c>
    </row>
    <row r="512" spans="2:28">
      <c r="B512" s="98">
        <f>'115+740'!B513</f>
        <v>45571</v>
      </c>
      <c r="C512" s="97">
        <f t="shared" si="96"/>
        <v>1</v>
      </c>
      <c r="D512" s="96">
        <f t="shared" si="97"/>
        <v>1069</v>
      </c>
      <c r="E512" s="95">
        <f>VLOOKUP(B512,'115+740'!B513:AB871,3,FALSE)</f>
        <v>2170</v>
      </c>
      <c r="F512" s="92">
        <f t="shared" si="92"/>
        <v>3239</v>
      </c>
      <c r="G512" s="94">
        <f ca="1">VLOOKUP(B512,'115+740'!$B$15:$AB$757,20,FALSE)</f>
        <v>3539</v>
      </c>
      <c r="H512" s="94">
        <f ca="1">VLOOKUP(B512,'115+740'!$B$15:$AB$757,4,FALSE)</f>
        <v>-140</v>
      </c>
      <c r="I512" s="91">
        <f t="shared" ca="1" si="93"/>
        <v>3379</v>
      </c>
      <c r="J512" s="91">
        <f ca="1">VLOOKUP(B512,'115+740'!$B$15:$AB$757,13,FALSE)</f>
        <v>-621</v>
      </c>
      <c r="K512" s="89">
        <f>'115+740'!Q513</f>
        <v>0</v>
      </c>
      <c r="L512" s="88">
        <f t="shared" ca="1" si="98"/>
        <v>661</v>
      </c>
      <c r="M512" s="93">
        <f ca="1">VLOOKUP(B512,'115+740'!$B$14:$AB$757,21,FALSE)</f>
        <v>3421</v>
      </c>
      <c r="N512" s="92">
        <f ca="1">VLOOKUP(B512,'115+740'!$B$15:$AB$757,5,FALSE)</f>
        <v>28</v>
      </c>
      <c r="O512" s="91">
        <f t="shared" ca="1" si="94"/>
        <v>3211</v>
      </c>
      <c r="P512" s="91">
        <f ca="1">VLOOKUP(B512,'115+740'!$B$15:$AB$757,14,FALSE)</f>
        <v>-789</v>
      </c>
      <c r="Q512" s="89">
        <f>'115+740'!R513</f>
        <v>6</v>
      </c>
      <c r="R512" s="88">
        <f t="shared" ca="1" si="99"/>
        <v>779</v>
      </c>
      <c r="S512" s="93">
        <f ca="1">VLOOKUP(B512,'115+740'!$B$14:$AB$757,22,FALSE)</f>
        <v>3556</v>
      </c>
      <c r="T512" s="92">
        <f ca="1">VLOOKUP(B512,'115+740'!$B$15:$AB$757,6,FALSE)</f>
        <v>-77</v>
      </c>
      <c r="U512" s="91">
        <f t="shared" ca="1" si="95"/>
        <v>3316</v>
      </c>
      <c r="V512" s="90">
        <f ca="1">VLOOKUP(B512,'115+740'!$B$15:$AB$757,15,FALSE)</f>
        <v>-684</v>
      </c>
      <c r="W512" s="89">
        <f>'115+740'!S513</f>
        <v>0</v>
      </c>
      <c r="X512" s="88">
        <f t="shared" ca="1" si="100"/>
        <v>644</v>
      </c>
      <c r="Y512" s="87">
        <f t="shared" ca="1" si="101"/>
        <v>0</v>
      </c>
      <c r="Z512" s="86">
        <f t="shared" ca="1" si="102"/>
        <v>0</v>
      </c>
      <c r="AA512" s="85">
        <f t="shared" ca="1" si="103"/>
        <v>4.109</v>
      </c>
      <c r="AB512" s="85">
        <f t="shared" ca="1" si="104"/>
        <v>2.6520000000000001</v>
      </c>
    </row>
    <row r="513" spans="2:28">
      <c r="B513" s="98">
        <f>'115+740'!B514</f>
        <v>45572</v>
      </c>
      <c r="C513" s="97">
        <f t="shared" si="96"/>
        <v>1</v>
      </c>
      <c r="D513" s="96">
        <f t="shared" si="97"/>
        <v>1069</v>
      </c>
      <c r="E513" s="95">
        <f>VLOOKUP(B513,'115+740'!B514:AB872,3,FALSE)</f>
        <v>2172</v>
      </c>
      <c r="F513" s="92">
        <f t="shared" si="92"/>
        <v>3241</v>
      </c>
      <c r="G513" s="94">
        <f ca="1">VLOOKUP(B513,'115+740'!$B$15:$AB$757,20,FALSE)</f>
        <v>3537</v>
      </c>
      <c r="H513" s="94">
        <f ca="1">VLOOKUP(B513,'115+740'!$B$15:$AB$757,4,FALSE)</f>
        <v>-136</v>
      </c>
      <c r="I513" s="91">
        <f t="shared" ca="1" si="93"/>
        <v>3377</v>
      </c>
      <c r="J513" s="91">
        <f ca="1">VLOOKUP(B513,'115+740'!$B$15:$AB$757,13,FALSE)</f>
        <v>-623</v>
      </c>
      <c r="K513" s="89">
        <f>'115+740'!Q514</f>
        <v>2</v>
      </c>
      <c r="L513" s="88">
        <f t="shared" ca="1" si="98"/>
        <v>663</v>
      </c>
      <c r="M513" s="93">
        <f ca="1">VLOOKUP(B513,'115+740'!$B$14:$AB$757,21,FALSE)</f>
        <v>3413</v>
      </c>
      <c r="N513" s="92">
        <f ca="1">VLOOKUP(B513,'115+740'!$B$15:$AB$757,5,FALSE)</f>
        <v>38</v>
      </c>
      <c r="O513" s="91">
        <f t="shared" ca="1" si="94"/>
        <v>3203</v>
      </c>
      <c r="P513" s="91">
        <f ca="1">VLOOKUP(B513,'115+740'!$B$15:$AB$757,14,FALSE)</f>
        <v>-797</v>
      </c>
      <c r="Q513" s="89">
        <f>'115+740'!R514</f>
        <v>8</v>
      </c>
      <c r="R513" s="88">
        <f t="shared" ca="1" si="99"/>
        <v>787</v>
      </c>
      <c r="S513" s="93">
        <f ca="1">VLOOKUP(B513,'115+740'!$B$14:$AB$757,22,FALSE)</f>
        <v>3556</v>
      </c>
      <c r="T513" s="92">
        <f ca="1">VLOOKUP(B513,'115+740'!$B$15:$AB$757,6,FALSE)</f>
        <v>-75</v>
      </c>
      <c r="U513" s="91">
        <f t="shared" ca="1" si="95"/>
        <v>3316</v>
      </c>
      <c r="V513" s="90">
        <f ca="1">VLOOKUP(B513,'115+740'!$B$15:$AB$757,15,FALSE)</f>
        <v>-684</v>
      </c>
      <c r="W513" s="89">
        <f>'115+740'!S514</f>
        <v>0</v>
      </c>
      <c r="X513" s="88">
        <f t="shared" ca="1" si="100"/>
        <v>644</v>
      </c>
      <c r="Y513" s="87">
        <f t="shared" ca="1" si="101"/>
        <v>0</v>
      </c>
      <c r="Z513" s="86">
        <f t="shared" ca="1" si="102"/>
        <v>0</v>
      </c>
      <c r="AA513" s="85">
        <f t="shared" ca="1" si="103"/>
        <v>4.109</v>
      </c>
      <c r="AB513" s="85">
        <f t="shared" ca="1" si="104"/>
        <v>2.6360000000000001</v>
      </c>
    </row>
    <row r="514" spans="2:28">
      <c r="B514" s="98">
        <f>'115+740'!B515</f>
        <v>45573</v>
      </c>
      <c r="C514" s="97">
        <f t="shared" si="96"/>
        <v>1</v>
      </c>
      <c r="D514" s="96">
        <f t="shared" si="97"/>
        <v>1069</v>
      </c>
      <c r="E514" s="95">
        <f>VLOOKUP(B514,'115+740'!B515:AB873,3,FALSE)</f>
        <v>2174</v>
      </c>
      <c r="F514" s="92">
        <f t="shared" si="92"/>
        <v>3243</v>
      </c>
      <c r="G514" s="94">
        <f ca="1">VLOOKUP(B514,'115+740'!$B$15:$AB$757,20,FALSE)</f>
        <v>3537</v>
      </c>
      <c r="H514" s="94">
        <f ca="1">VLOOKUP(B514,'115+740'!$B$15:$AB$757,4,FALSE)</f>
        <v>-134</v>
      </c>
      <c r="I514" s="91">
        <f t="shared" ca="1" si="93"/>
        <v>3377</v>
      </c>
      <c r="J514" s="91">
        <f ca="1">VLOOKUP(B514,'115+740'!$B$15:$AB$757,13,FALSE)</f>
        <v>-623</v>
      </c>
      <c r="K514" s="89">
        <f>'115+740'!Q515</f>
        <v>0</v>
      </c>
      <c r="L514" s="88">
        <f t="shared" ca="1" si="98"/>
        <v>663</v>
      </c>
      <c r="M514" s="93">
        <f ca="1">VLOOKUP(B514,'115+740'!$B$14:$AB$757,21,FALSE)</f>
        <v>3406</v>
      </c>
      <c r="N514" s="92">
        <f ca="1">VLOOKUP(B514,'115+740'!$B$15:$AB$757,5,FALSE)</f>
        <v>47</v>
      </c>
      <c r="O514" s="91">
        <f t="shared" ca="1" si="94"/>
        <v>3196</v>
      </c>
      <c r="P514" s="91">
        <f ca="1">VLOOKUP(B514,'115+740'!$B$15:$AB$757,14,FALSE)</f>
        <v>-804</v>
      </c>
      <c r="Q514" s="89">
        <f>'115+740'!R515</f>
        <v>7</v>
      </c>
      <c r="R514" s="88">
        <f t="shared" ca="1" si="99"/>
        <v>794</v>
      </c>
      <c r="S514" s="93">
        <f ca="1">VLOOKUP(B514,'115+740'!$B$14:$AB$757,22,FALSE)</f>
        <v>3556</v>
      </c>
      <c r="T514" s="92">
        <f ca="1">VLOOKUP(B514,'115+740'!$B$15:$AB$757,6,FALSE)</f>
        <v>-73</v>
      </c>
      <c r="U514" s="91">
        <f t="shared" ca="1" si="95"/>
        <v>3316</v>
      </c>
      <c r="V514" s="90">
        <f ca="1">VLOOKUP(B514,'115+740'!$B$15:$AB$757,15,FALSE)</f>
        <v>-684</v>
      </c>
      <c r="W514" s="89">
        <f>'115+740'!S515</f>
        <v>0</v>
      </c>
      <c r="X514" s="88">
        <f t="shared" ca="1" si="100"/>
        <v>644</v>
      </c>
      <c r="Y514" s="87">
        <f t="shared" ca="1" si="101"/>
        <v>0</v>
      </c>
      <c r="Z514" s="86">
        <f t="shared" ca="1" si="102"/>
        <v>0</v>
      </c>
      <c r="AA514" s="85">
        <f t="shared" ca="1" si="103"/>
        <v>4.109</v>
      </c>
      <c r="AB514" s="85">
        <f t="shared" ca="1" si="104"/>
        <v>2.6219999999999999</v>
      </c>
    </row>
    <row r="515" spans="2:28">
      <c r="B515" s="98">
        <f>'115+740'!B516</f>
        <v>45574</v>
      </c>
      <c r="C515" s="97">
        <f t="shared" si="96"/>
        <v>1</v>
      </c>
      <c r="D515" s="96">
        <f t="shared" si="97"/>
        <v>1069</v>
      </c>
      <c r="E515" s="95">
        <f>VLOOKUP(B515,'115+740'!B516:AB874,3,FALSE)</f>
        <v>2176</v>
      </c>
      <c r="F515" s="92">
        <f t="shared" si="92"/>
        <v>3245</v>
      </c>
      <c r="G515" s="94">
        <f ca="1">VLOOKUP(B515,'115+740'!$B$15:$AB$757,20,FALSE)</f>
        <v>3537</v>
      </c>
      <c r="H515" s="94">
        <f ca="1">VLOOKUP(B515,'115+740'!$B$15:$AB$757,4,FALSE)</f>
        <v>-132</v>
      </c>
      <c r="I515" s="91">
        <f t="shared" ca="1" si="93"/>
        <v>3377</v>
      </c>
      <c r="J515" s="91">
        <f ca="1">VLOOKUP(B515,'115+740'!$B$15:$AB$757,13,FALSE)</f>
        <v>-623</v>
      </c>
      <c r="K515" s="89">
        <f>'115+740'!Q516</f>
        <v>0</v>
      </c>
      <c r="L515" s="88">
        <f t="shared" ca="1" si="98"/>
        <v>663</v>
      </c>
      <c r="M515" s="93">
        <f ca="1">VLOOKUP(B515,'115+740'!$B$14:$AB$757,21,FALSE)</f>
        <v>3397</v>
      </c>
      <c r="N515" s="92">
        <f ca="1">VLOOKUP(B515,'115+740'!$B$15:$AB$757,5,FALSE)</f>
        <v>58</v>
      </c>
      <c r="O515" s="91">
        <f t="shared" ca="1" si="94"/>
        <v>3187</v>
      </c>
      <c r="P515" s="91">
        <f ca="1">VLOOKUP(B515,'115+740'!$B$15:$AB$757,14,FALSE)</f>
        <v>-813</v>
      </c>
      <c r="Q515" s="89">
        <f>'115+740'!R516</f>
        <v>9</v>
      </c>
      <c r="R515" s="88">
        <f t="shared" ca="1" si="99"/>
        <v>803</v>
      </c>
      <c r="S515" s="93">
        <f ca="1">VLOOKUP(B515,'115+740'!$B$14:$AB$757,22,FALSE)</f>
        <v>3556</v>
      </c>
      <c r="T515" s="92">
        <f ca="1">VLOOKUP(B515,'115+740'!$B$15:$AB$757,6,FALSE)</f>
        <v>-71</v>
      </c>
      <c r="U515" s="91">
        <f t="shared" ca="1" si="95"/>
        <v>3316</v>
      </c>
      <c r="V515" s="90">
        <f ca="1">VLOOKUP(B515,'115+740'!$B$15:$AB$757,15,FALSE)</f>
        <v>-684</v>
      </c>
      <c r="W515" s="89">
        <f>'115+740'!S516</f>
        <v>0</v>
      </c>
      <c r="X515" s="88">
        <f t="shared" ca="1" si="100"/>
        <v>644</v>
      </c>
      <c r="Y515" s="87">
        <f t="shared" ca="1" si="101"/>
        <v>0</v>
      </c>
      <c r="Z515" s="86">
        <f t="shared" ca="1" si="102"/>
        <v>0</v>
      </c>
      <c r="AA515" s="85">
        <f t="shared" ca="1" si="103"/>
        <v>4.109</v>
      </c>
      <c r="AB515" s="85">
        <f t="shared" ca="1" si="104"/>
        <v>2.6040000000000001</v>
      </c>
    </row>
    <row r="516" spans="2:28">
      <c r="B516" s="98">
        <f>'115+740'!B517</f>
        <v>45575</v>
      </c>
      <c r="C516" s="97">
        <f t="shared" si="96"/>
        <v>1</v>
      </c>
      <c r="D516" s="96">
        <f t="shared" si="97"/>
        <v>1069</v>
      </c>
      <c r="E516" s="95">
        <f>VLOOKUP(B516,'115+740'!B517:AB875,3,FALSE)</f>
        <v>2178</v>
      </c>
      <c r="F516" s="92">
        <f t="shared" si="92"/>
        <v>3247</v>
      </c>
      <c r="G516" s="94">
        <f ca="1">VLOOKUP(B516,'115+740'!$B$15:$AB$757,20,FALSE)</f>
        <v>3535</v>
      </c>
      <c r="H516" s="94">
        <f ca="1">VLOOKUP(B516,'115+740'!$B$15:$AB$757,4,FALSE)</f>
        <v>-128</v>
      </c>
      <c r="I516" s="91">
        <f t="shared" ca="1" si="93"/>
        <v>3375</v>
      </c>
      <c r="J516" s="91">
        <f ca="1">VLOOKUP(B516,'115+740'!$B$15:$AB$757,13,FALSE)</f>
        <v>-625</v>
      </c>
      <c r="K516" s="89">
        <f>'115+740'!Q517</f>
        <v>2</v>
      </c>
      <c r="L516" s="88">
        <f t="shared" ca="1" si="98"/>
        <v>665</v>
      </c>
      <c r="M516" s="93">
        <f ca="1">VLOOKUP(B516,'115+740'!$B$14:$AB$757,21,FALSE)</f>
        <v>3389</v>
      </c>
      <c r="N516" s="92">
        <f ca="1">VLOOKUP(B516,'115+740'!$B$15:$AB$757,5,FALSE)</f>
        <v>68</v>
      </c>
      <c r="O516" s="91">
        <f t="shared" ca="1" si="94"/>
        <v>3179</v>
      </c>
      <c r="P516" s="91">
        <f ca="1">VLOOKUP(B516,'115+740'!$B$15:$AB$757,14,FALSE)</f>
        <v>-821</v>
      </c>
      <c r="Q516" s="89">
        <f>'115+740'!R517</f>
        <v>8</v>
      </c>
      <c r="R516" s="88">
        <f t="shared" ca="1" si="99"/>
        <v>811</v>
      </c>
      <c r="S516" s="93">
        <f ca="1">VLOOKUP(B516,'115+740'!$B$14:$AB$757,22,FALSE)</f>
        <v>3555</v>
      </c>
      <c r="T516" s="92">
        <f ca="1">VLOOKUP(B516,'115+740'!$B$15:$AB$757,6,FALSE)</f>
        <v>-68</v>
      </c>
      <c r="U516" s="91">
        <f t="shared" ca="1" si="95"/>
        <v>3315</v>
      </c>
      <c r="V516" s="90">
        <f ca="1">VLOOKUP(B516,'115+740'!$B$15:$AB$757,15,FALSE)</f>
        <v>-685</v>
      </c>
      <c r="W516" s="89">
        <f>'115+740'!S517</f>
        <v>1</v>
      </c>
      <c r="X516" s="88">
        <f t="shared" ca="1" si="100"/>
        <v>645</v>
      </c>
      <c r="Y516" s="87">
        <f t="shared" ca="1" si="101"/>
        <v>-1</v>
      </c>
      <c r="Z516" s="86">
        <f t="shared" ca="1" si="102"/>
        <v>0</v>
      </c>
      <c r="AA516" s="85">
        <f t="shared" ca="1" si="103"/>
        <v>4.109</v>
      </c>
      <c r="AB516" s="85">
        <f t="shared" ca="1" si="104"/>
        <v>2.5880000000000001</v>
      </c>
    </row>
    <row r="517" spans="2:28">
      <c r="B517" s="98">
        <f>'115+740'!B518</f>
        <v>45576</v>
      </c>
      <c r="C517" s="97">
        <f t="shared" si="96"/>
        <v>1</v>
      </c>
      <c r="D517" s="96">
        <f t="shared" si="97"/>
        <v>1069</v>
      </c>
      <c r="E517" s="95">
        <f>VLOOKUP(B517,'115+740'!B518:AB876,3,FALSE)</f>
        <v>2180</v>
      </c>
      <c r="F517" s="92">
        <f t="shared" si="92"/>
        <v>3249</v>
      </c>
      <c r="G517" s="94">
        <f ca="1">VLOOKUP(B517,'115+740'!$B$15:$AB$757,20,FALSE)</f>
        <v>3535</v>
      </c>
      <c r="H517" s="94">
        <f ca="1">VLOOKUP(B517,'115+740'!$B$15:$AB$757,4,FALSE)</f>
        <v>-126</v>
      </c>
      <c r="I517" s="91">
        <f t="shared" ca="1" si="93"/>
        <v>3375</v>
      </c>
      <c r="J517" s="91">
        <f ca="1">VLOOKUP(B517,'115+740'!$B$15:$AB$757,13,FALSE)</f>
        <v>-625</v>
      </c>
      <c r="K517" s="89">
        <f>'115+740'!Q518</f>
        <v>0</v>
      </c>
      <c r="L517" s="88">
        <f t="shared" ca="1" si="98"/>
        <v>665</v>
      </c>
      <c r="M517" s="93">
        <f ca="1">VLOOKUP(B517,'115+740'!$B$14:$AB$757,21,FALSE)</f>
        <v>3380</v>
      </c>
      <c r="N517" s="92">
        <f ca="1">VLOOKUP(B517,'115+740'!$B$15:$AB$757,5,FALSE)</f>
        <v>79</v>
      </c>
      <c r="O517" s="91">
        <f t="shared" ca="1" si="94"/>
        <v>3170</v>
      </c>
      <c r="P517" s="91">
        <f ca="1">VLOOKUP(B517,'115+740'!$B$15:$AB$757,14,FALSE)</f>
        <v>-830</v>
      </c>
      <c r="Q517" s="89">
        <f>'115+740'!R518</f>
        <v>9</v>
      </c>
      <c r="R517" s="88">
        <f t="shared" ca="1" si="99"/>
        <v>820</v>
      </c>
      <c r="S517" s="93">
        <f ca="1">VLOOKUP(B517,'115+740'!$B$14:$AB$757,22,FALSE)</f>
        <v>3555</v>
      </c>
      <c r="T517" s="92">
        <f ca="1">VLOOKUP(B517,'115+740'!$B$15:$AB$757,6,FALSE)</f>
        <v>-66</v>
      </c>
      <c r="U517" s="91">
        <f t="shared" ca="1" si="95"/>
        <v>3315</v>
      </c>
      <c r="V517" s="90">
        <f ca="1">VLOOKUP(B517,'115+740'!$B$15:$AB$757,15,FALSE)</f>
        <v>-685</v>
      </c>
      <c r="W517" s="89">
        <f>'115+740'!S518</f>
        <v>0</v>
      </c>
      <c r="X517" s="88">
        <f t="shared" ca="1" si="100"/>
        <v>645</v>
      </c>
      <c r="Y517" s="87">
        <f t="shared" ca="1" si="101"/>
        <v>0</v>
      </c>
      <c r="Z517" s="86">
        <f t="shared" ca="1" si="102"/>
        <v>0</v>
      </c>
      <c r="AA517" s="85">
        <f t="shared" ca="1" si="103"/>
        <v>4.109</v>
      </c>
      <c r="AB517" s="85">
        <f t="shared" ca="1" si="104"/>
        <v>2.57</v>
      </c>
    </row>
    <row r="518" spans="2:28">
      <c r="B518" s="98">
        <f>'115+740'!B519</f>
        <v>45577</v>
      </c>
      <c r="C518" s="97">
        <f t="shared" si="96"/>
        <v>1</v>
      </c>
      <c r="D518" s="96">
        <f t="shared" si="97"/>
        <v>1069</v>
      </c>
      <c r="E518" s="95">
        <f>VLOOKUP(B518,'115+740'!B519:AB877,3,FALSE)</f>
        <v>2182</v>
      </c>
      <c r="F518" s="92">
        <f t="shared" si="92"/>
        <v>3251</v>
      </c>
      <c r="G518" s="94">
        <f ca="1">VLOOKUP(B518,'115+740'!$B$15:$AB$757,20,FALSE)</f>
        <v>3535</v>
      </c>
      <c r="H518" s="94">
        <f ca="1">VLOOKUP(B518,'115+740'!$B$15:$AB$757,4,FALSE)</f>
        <v>-124</v>
      </c>
      <c r="I518" s="91">
        <f t="shared" ca="1" si="93"/>
        <v>3375</v>
      </c>
      <c r="J518" s="91">
        <f ca="1">VLOOKUP(B518,'115+740'!$B$15:$AB$757,13,FALSE)</f>
        <v>-625</v>
      </c>
      <c r="K518" s="89">
        <f>'115+740'!Q519</f>
        <v>0</v>
      </c>
      <c r="L518" s="88">
        <f t="shared" ca="1" si="98"/>
        <v>665</v>
      </c>
      <c r="M518" s="93">
        <f ca="1">VLOOKUP(B518,'115+740'!$B$14:$AB$757,21,FALSE)</f>
        <v>3371</v>
      </c>
      <c r="N518" s="92">
        <f ca="1">VLOOKUP(B518,'115+740'!$B$15:$AB$757,5,FALSE)</f>
        <v>90</v>
      </c>
      <c r="O518" s="91">
        <f t="shared" ca="1" si="94"/>
        <v>3161</v>
      </c>
      <c r="P518" s="91">
        <f ca="1">VLOOKUP(B518,'115+740'!$B$15:$AB$757,14,FALSE)</f>
        <v>-839</v>
      </c>
      <c r="Q518" s="89">
        <f>'115+740'!R519</f>
        <v>9</v>
      </c>
      <c r="R518" s="88">
        <f t="shared" ca="1" si="99"/>
        <v>829</v>
      </c>
      <c r="S518" s="93">
        <f ca="1">VLOOKUP(B518,'115+740'!$B$14:$AB$757,22,FALSE)</f>
        <v>3555</v>
      </c>
      <c r="T518" s="92">
        <f ca="1">VLOOKUP(B518,'115+740'!$B$15:$AB$757,6,FALSE)</f>
        <v>-64</v>
      </c>
      <c r="U518" s="91">
        <f t="shared" ca="1" si="95"/>
        <v>3315</v>
      </c>
      <c r="V518" s="90">
        <f ca="1">VLOOKUP(B518,'115+740'!$B$15:$AB$757,15,FALSE)</f>
        <v>-685</v>
      </c>
      <c r="W518" s="89">
        <f>'115+740'!S519</f>
        <v>0</v>
      </c>
      <c r="X518" s="88">
        <f t="shared" ca="1" si="100"/>
        <v>645</v>
      </c>
      <c r="Y518" s="87">
        <f t="shared" ca="1" si="101"/>
        <v>0</v>
      </c>
      <c r="Z518" s="86">
        <f t="shared" ca="1" si="102"/>
        <v>0</v>
      </c>
      <c r="AA518" s="85">
        <f t="shared" ca="1" si="103"/>
        <v>4.109</v>
      </c>
      <c r="AB518" s="85">
        <f t="shared" ca="1" si="104"/>
        <v>2.552</v>
      </c>
    </row>
    <row r="519" spans="2:28">
      <c r="B519" s="98">
        <f>'115+740'!B520</f>
        <v>45578</v>
      </c>
      <c r="C519" s="97">
        <f t="shared" si="96"/>
        <v>1</v>
      </c>
      <c r="D519" s="96">
        <f t="shared" si="97"/>
        <v>1069</v>
      </c>
      <c r="E519" s="95">
        <f>VLOOKUP(B519,'115+740'!B520:AB878,3,FALSE)</f>
        <v>2184</v>
      </c>
      <c r="F519" s="92">
        <f t="shared" si="92"/>
        <v>3253</v>
      </c>
      <c r="G519" s="94">
        <f ca="1">VLOOKUP(B519,'115+740'!$B$15:$AB$757,20,FALSE)</f>
        <v>3534</v>
      </c>
      <c r="H519" s="94">
        <f ca="1">VLOOKUP(B519,'115+740'!$B$15:$AB$757,4,FALSE)</f>
        <v>-121</v>
      </c>
      <c r="I519" s="91">
        <f t="shared" ca="1" si="93"/>
        <v>3374</v>
      </c>
      <c r="J519" s="91">
        <f ca="1">VLOOKUP(B519,'115+740'!$B$15:$AB$757,13,FALSE)</f>
        <v>-626</v>
      </c>
      <c r="K519" s="89">
        <f>'115+740'!Q520</f>
        <v>1</v>
      </c>
      <c r="L519" s="88">
        <f t="shared" ca="1" si="98"/>
        <v>666</v>
      </c>
      <c r="M519" s="93">
        <f ca="1">VLOOKUP(B519,'115+740'!$B$14:$AB$757,21,FALSE)</f>
        <v>3363</v>
      </c>
      <c r="N519" s="92">
        <f ca="1">VLOOKUP(B519,'115+740'!$B$15:$AB$757,5,FALSE)</f>
        <v>100</v>
      </c>
      <c r="O519" s="91">
        <f t="shared" ca="1" si="94"/>
        <v>3153</v>
      </c>
      <c r="P519" s="91">
        <f ca="1">VLOOKUP(B519,'115+740'!$B$15:$AB$757,14,FALSE)</f>
        <v>-847</v>
      </c>
      <c r="Q519" s="89">
        <f>'115+740'!R520</f>
        <v>8</v>
      </c>
      <c r="R519" s="88">
        <f t="shared" ca="1" si="99"/>
        <v>837</v>
      </c>
      <c r="S519" s="93">
        <f ca="1">VLOOKUP(B519,'115+740'!$B$14:$AB$757,22,FALSE)</f>
        <v>3555</v>
      </c>
      <c r="T519" s="92">
        <f ca="1">VLOOKUP(B519,'115+740'!$B$15:$AB$757,6,FALSE)</f>
        <v>-62</v>
      </c>
      <c r="U519" s="91">
        <f t="shared" ca="1" si="95"/>
        <v>3315</v>
      </c>
      <c r="V519" s="90">
        <f ca="1">VLOOKUP(B519,'115+740'!$B$15:$AB$757,15,FALSE)</f>
        <v>-685</v>
      </c>
      <c r="W519" s="89">
        <f>'115+740'!S520</f>
        <v>0</v>
      </c>
      <c r="X519" s="88">
        <f t="shared" ca="1" si="100"/>
        <v>645</v>
      </c>
      <c r="Y519" s="87">
        <f t="shared" ca="1" si="101"/>
        <v>0</v>
      </c>
      <c r="Z519" s="86">
        <f t="shared" ca="1" si="102"/>
        <v>0</v>
      </c>
      <c r="AA519" s="85">
        <f t="shared" ca="1" si="103"/>
        <v>4.109</v>
      </c>
      <c r="AB519" s="85">
        <f t="shared" ca="1" si="104"/>
        <v>2.536</v>
      </c>
    </row>
    <row r="520" spans="2:28">
      <c r="B520" s="98">
        <f>'115+740'!B521</f>
        <v>45579</v>
      </c>
      <c r="C520" s="97">
        <f t="shared" si="96"/>
        <v>1</v>
      </c>
      <c r="D520" s="96">
        <f t="shared" si="97"/>
        <v>1069</v>
      </c>
      <c r="E520" s="95">
        <f>VLOOKUP(B520,'115+740'!B521:AB879,3,FALSE)</f>
        <v>2186</v>
      </c>
      <c r="F520" s="92">
        <f t="shared" si="92"/>
        <v>3255</v>
      </c>
      <c r="G520" s="94">
        <f ca="1">VLOOKUP(B520,'115+740'!$B$15:$AB$757,20,FALSE)</f>
        <v>3534</v>
      </c>
      <c r="H520" s="94">
        <f ca="1">VLOOKUP(B520,'115+740'!$B$15:$AB$757,4,FALSE)</f>
        <v>-119</v>
      </c>
      <c r="I520" s="91">
        <f t="shared" ca="1" si="93"/>
        <v>3374</v>
      </c>
      <c r="J520" s="91">
        <f ca="1">VLOOKUP(B520,'115+740'!$B$15:$AB$757,13,FALSE)</f>
        <v>-626</v>
      </c>
      <c r="K520" s="89">
        <f>'115+740'!Q521</f>
        <v>0</v>
      </c>
      <c r="L520" s="88">
        <f t="shared" ca="1" si="98"/>
        <v>666</v>
      </c>
      <c r="M520" s="93">
        <f ca="1">VLOOKUP(B520,'115+740'!$B$14:$AB$757,21,FALSE)</f>
        <v>3354</v>
      </c>
      <c r="N520" s="92">
        <f ca="1">VLOOKUP(B520,'115+740'!$B$15:$AB$757,5,FALSE)</f>
        <v>111</v>
      </c>
      <c r="O520" s="91">
        <f t="shared" ca="1" si="94"/>
        <v>3144</v>
      </c>
      <c r="P520" s="91">
        <f ca="1">VLOOKUP(B520,'115+740'!$B$15:$AB$757,14,FALSE)</f>
        <v>-856</v>
      </c>
      <c r="Q520" s="89">
        <f>'115+740'!R521</f>
        <v>9</v>
      </c>
      <c r="R520" s="88">
        <f t="shared" ca="1" si="99"/>
        <v>846</v>
      </c>
      <c r="S520" s="93">
        <f ca="1">VLOOKUP(B520,'115+740'!$B$14:$AB$757,22,FALSE)</f>
        <v>3554</v>
      </c>
      <c r="T520" s="92">
        <f ca="1">VLOOKUP(B520,'115+740'!$B$15:$AB$757,6,FALSE)</f>
        <v>-59</v>
      </c>
      <c r="U520" s="91">
        <f t="shared" ca="1" si="95"/>
        <v>3314</v>
      </c>
      <c r="V520" s="90">
        <f ca="1">VLOOKUP(B520,'115+740'!$B$15:$AB$757,15,FALSE)</f>
        <v>-686</v>
      </c>
      <c r="W520" s="89">
        <f>'115+740'!S521</f>
        <v>1</v>
      </c>
      <c r="X520" s="88">
        <f t="shared" ca="1" si="100"/>
        <v>646</v>
      </c>
      <c r="Y520" s="87">
        <f t="shared" ca="1" si="101"/>
        <v>-1</v>
      </c>
      <c r="Z520" s="86">
        <f t="shared" ca="1" si="102"/>
        <v>0</v>
      </c>
      <c r="AA520" s="85">
        <f t="shared" ca="1" si="103"/>
        <v>4.109</v>
      </c>
      <c r="AB520" s="85">
        <f t="shared" ca="1" si="104"/>
        <v>2.5179999999999998</v>
      </c>
    </row>
    <row r="521" spans="2:28">
      <c r="B521" s="98">
        <f>'115+740'!B522</f>
        <v>45580</v>
      </c>
      <c r="C521" s="97">
        <f t="shared" si="96"/>
        <v>1</v>
      </c>
      <c r="D521" s="96">
        <f t="shared" si="97"/>
        <v>1069</v>
      </c>
      <c r="E521" s="95">
        <f>VLOOKUP(B521,'115+740'!B522:AB880,3,FALSE)</f>
        <v>2188</v>
      </c>
      <c r="F521" s="92">
        <f t="shared" si="92"/>
        <v>3257</v>
      </c>
      <c r="G521" s="94">
        <f ca="1">VLOOKUP(B521,'115+740'!$B$15:$AB$757,20,FALSE)</f>
        <v>3526</v>
      </c>
      <c r="H521" s="94">
        <f ca="1">VLOOKUP(B521,'115+740'!$B$15:$AB$757,4,FALSE)</f>
        <v>-109</v>
      </c>
      <c r="I521" s="91">
        <f t="shared" ca="1" si="93"/>
        <v>3366</v>
      </c>
      <c r="J521" s="91">
        <f ca="1">VLOOKUP(B521,'115+740'!$B$15:$AB$757,13,FALSE)</f>
        <v>-634</v>
      </c>
      <c r="K521" s="89">
        <f>'115+740'!Q522</f>
        <v>8</v>
      </c>
      <c r="L521" s="88">
        <f t="shared" ca="1" si="98"/>
        <v>674</v>
      </c>
      <c r="M521" s="93">
        <f ca="1">VLOOKUP(B521,'115+740'!$B$14:$AB$757,21,FALSE)</f>
        <v>3349</v>
      </c>
      <c r="N521" s="92">
        <f ca="1">VLOOKUP(B521,'115+740'!$B$15:$AB$757,5,FALSE)</f>
        <v>118</v>
      </c>
      <c r="O521" s="91">
        <f t="shared" ca="1" si="94"/>
        <v>3139</v>
      </c>
      <c r="P521" s="91">
        <f ca="1">VLOOKUP(B521,'115+740'!$B$15:$AB$757,14,FALSE)</f>
        <v>-861</v>
      </c>
      <c r="Q521" s="89">
        <f>'115+740'!R522</f>
        <v>5</v>
      </c>
      <c r="R521" s="88">
        <f t="shared" ca="1" si="99"/>
        <v>851</v>
      </c>
      <c r="S521" s="93">
        <f ca="1">VLOOKUP(B521,'115+740'!$B$14:$AB$757,22,FALSE)</f>
        <v>3554</v>
      </c>
      <c r="T521" s="92">
        <f ca="1">VLOOKUP(B521,'115+740'!$B$15:$AB$757,6,FALSE)</f>
        <v>-57</v>
      </c>
      <c r="U521" s="91">
        <f t="shared" ca="1" si="95"/>
        <v>3314</v>
      </c>
      <c r="V521" s="90">
        <f ca="1">VLOOKUP(B521,'115+740'!$B$15:$AB$757,15,FALSE)</f>
        <v>-686</v>
      </c>
      <c r="W521" s="89">
        <f>'115+740'!S522</f>
        <v>0</v>
      </c>
      <c r="X521" s="88">
        <f t="shared" ca="1" si="100"/>
        <v>646</v>
      </c>
      <c r="Y521" s="87">
        <f t="shared" ca="1" si="101"/>
        <v>0</v>
      </c>
      <c r="Z521" s="86">
        <f t="shared" ca="1" si="102"/>
        <v>0</v>
      </c>
      <c r="AA521" s="85">
        <f t="shared" ca="1" si="103"/>
        <v>4.109</v>
      </c>
      <c r="AB521" s="85">
        <f t="shared" ca="1" si="104"/>
        <v>2.508</v>
      </c>
    </row>
    <row r="522" spans="2:28">
      <c r="B522" s="98">
        <f>'115+740'!B523</f>
        <v>45581</v>
      </c>
      <c r="C522" s="97">
        <f t="shared" si="96"/>
        <v>1</v>
      </c>
      <c r="D522" s="96">
        <f t="shared" si="97"/>
        <v>1069</v>
      </c>
      <c r="E522" s="95">
        <f>VLOOKUP(B522,'115+740'!B523:AB881,3,FALSE)</f>
        <v>2190</v>
      </c>
      <c r="F522" s="92">
        <f t="shared" si="92"/>
        <v>3259</v>
      </c>
      <c r="G522" s="94">
        <f ca="1">VLOOKUP(B522,'115+740'!$B$15:$AB$757,20,FALSE)</f>
        <v>3519</v>
      </c>
      <c r="H522" s="94">
        <f ca="1">VLOOKUP(B522,'115+740'!$B$15:$AB$757,4,FALSE)</f>
        <v>-100</v>
      </c>
      <c r="I522" s="91">
        <f t="shared" ca="1" si="93"/>
        <v>3359</v>
      </c>
      <c r="J522" s="91">
        <f ca="1">VLOOKUP(B522,'115+740'!$B$15:$AB$757,13,FALSE)</f>
        <v>-641</v>
      </c>
      <c r="K522" s="89">
        <f>'115+740'!Q523</f>
        <v>7</v>
      </c>
      <c r="L522" s="88">
        <f t="shared" ca="1" si="98"/>
        <v>681</v>
      </c>
      <c r="M522" s="93">
        <f ca="1">VLOOKUP(B522,'115+740'!$B$14:$AB$757,21,FALSE)</f>
        <v>3342</v>
      </c>
      <c r="N522" s="92">
        <f ca="1">VLOOKUP(B522,'115+740'!$B$15:$AB$757,5,FALSE)</f>
        <v>127</v>
      </c>
      <c r="O522" s="91">
        <f t="shared" ca="1" si="94"/>
        <v>3132</v>
      </c>
      <c r="P522" s="91">
        <f ca="1">VLOOKUP(B522,'115+740'!$B$15:$AB$757,14,FALSE)</f>
        <v>-868</v>
      </c>
      <c r="Q522" s="89">
        <f>'115+740'!R523</f>
        <v>7</v>
      </c>
      <c r="R522" s="88">
        <f t="shared" ca="1" si="99"/>
        <v>858</v>
      </c>
      <c r="S522" s="93">
        <f ca="1">VLOOKUP(B522,'115+740'!$B$14:$AB$757,22,FALSE)</f>
        <v>3554</v>
      </c>
      <c r="T522" s="92">
        <f ca="1">VLOOKUP(B522,'115+740'!$B$15:$AB$757,6,FALSE)</f>
        <v>-55</v>
      </c>
      <c r="U522" s="91">
        <f t="shared" ca="1" si="95"/>
        <v>3314</v>
      </c>
      <c r="V522" s="90">
        <f ca="1">VLOOKUP(B522,'115+740'!$B$15:$AB$757,15,FALSE)</f>
        <v>-686</v>
      </c>
      <c r="W522" s="89">
        <f>'115+740'!S523</f>
        <v>0</v>
      </c>
      <c r="X522" s="88">
        <f t="shared" ca="1" si="100"/>
        <v>646</v>
      </c>
      <c r="Y522" s="87">
        <f t="shared" ca="1" si="101"/>
        <v>0</v>
      </c>
      <c r="Z522" s="86">
        <f t="shared" ca="1" si="102"/>
        <v>0</v>
      </c>
      <c r="AA522" s="85">
        <f t="shared" ca="1" si="103"/>
        <v>4.109</v>
      </c>
      <c r="AB522" s="85">
        <f t="shared" ca="1" si="104"/>
        <v>2.4940000000000002</v>
      </c>
    </row>
    <row r="523" spans="2:28">
      <c r="B523" s="98">
        <f>'115+740'!B524</f>
        <v>45582</v>
      </c>
      <c r="C523" s="97">
        <f t="shared" si="96"/>
        <v>1</v>
      </c>
      <c r="D523" s="96">
        <f t="shared" si="97"/>
        <v>1069</v>
      </c>
      <c r="E523" s="95">
        <f>VLOOKUP(B523,'115+740'!B524:AB882,3,FALSE)</f>
        <v>2192</v>
      </c>
      <c r="F523" s="92">
        <f t="shared" si="92"/>
        <v>3261</v>
      </c>
      <c r="G523" s="94">
        <f ca="1">VLOOKUP(B523,'115+740'!$B$15:$AB$757,20,FALSE)</f>
        <v>3515</v>
      </c>
      <c r="H523" s="94">
        <f ca="1">VLOOKUP(B523,'115+740'!$B$15:$AB$757,4,FALSE)</f>
        <v>-94</v>
      </c>
      <c r="I523" s="91">
        <f t="shared" ca="1" si="93"/>
        <v>3355</v>
      </c>
      <c r="J523" s="91">
        <f ca="1">VLOOKUP(B523,'115+740'!$B$15:$AB$757,13,FALSE)</f>
        <v>-645</v>
      </c>
      <c r="K523" s="89">
        <f>'115+740'!Q524</f>
        <v>4</v>
      </c>
      <c r="L523" s="88">
        <f t="shared" ca="1" si="98"/>
        <v>685</v>
      </c>
      <c r="M523" s="93">
        <f ca="1">VLOOKUP(B523,'115+740'!$B$14:$AB$757,21,FALSE)</f>
        <v>3335</v>
      </c>
      <c r="N523" s="92">
        <f ca="1">VLOOKUP(B523,'115+740'!$B$15:$AB$757,5,FALSE)</f>
        <v>136</v>
      </c>
      <c r="O523" s="91">
        <f t="shared" ca="1" si="94"/>
        <v>3125</v>
      </c>
      <c r="P523" s="91">
        <f ca="1">VLOOKUP(B523,'115+740'!$B$15:$AB$757,14,FALSE)</f>
        <v>-875</v>
      </c>
      <c r="Q523" s="89">
        <f>'115+740'!R524</f>
        <v>7</v>
      </c>
      <c r="R523" s="88">
        <f t="shared" ca="1" si="99"/>
        <v>865</v>
      </c>
      <c r="S523" s="93">
        <f ca="1">VLOOKUP(B523,'115+740'!$B$14:$AB$757,22,FALSE)</f>
        <v>3554</v>
      </c>
      <c r="T523" s="92">
        <f ca="1">VLOOKUP(B523,'115+740'!$B$15:$AB$757,6,FALSE)</f>
        <v>-53</v>
      </c>
      <c r="U523" s="91">
        <f t="shared" ca="1" si="95"/>
        <v>3314</v>
      </c>
      <c r="V523" s="90">
        <f ca="1">VLOOKUP(B523,'115+740'!$B$15:$AB$757,15,FALSE)</f>
        <v>-686</v>
      </c>
      <c r="W523" s="89">
        <f>'115+740'!S524</f>
        <v>0</v>
      </c>
      <c r="X523" s="88">
        <f t="shared" ca="1" si="100"/>
        <v>646</v>
      </c>
      <c r="Y523" s="87">
        <f t="shared" ca="1" si="101"/>
        <v>0</v>
      </c>
      <c r="Z523" s="86">
        <f t="shared" ca="1" si="102"/>
        <v>0</v>
      </c>
      <c r="AA523" s="85">
        <f t="shared" ca="1" si="103"/>
        <v>4.109</v>
      </c>
      <c r="AB523" s="85">
        <f t="shared" ca="1" si="104"/>
        <v>2.48</v>
      </c>
    </row>
    <row r="524" spans="2:28">
      <c r="B524" s="98">
        <f>'115+740'!B525</f>
        <v>45583</v>
      </c>
      <c r="C524" s="97">
        <f t="shared" si="96"/>
        <v>1</v>
      </c>
      <c r="D524" s="96">
        <f t="shared" si="97"/>
        <v>1069</v>
      </c>
      <c r="E524" s="95">
        <f>VLOOKUP(B524,'115+740'!B525:AB883,3,FALSE)</f>
        <v>2194</v>
      </c>
      <c r="F524" s="92">
        <f t="shared" si="92"/>
        <v>3263</v>
      </c>
      <c r="G524" s="94">
        <f ca="1">VLOOKUP(B524,'115+740'!$B$15:$AB$757,20,FALSE)</f>
        <v>3512</v>
      </c>
      <c r="H524" s="94">
        <f ca="1">VLOOKUP(B524,'115+740'!$B$15:$AB$757,4,FALSE)</f>
        <v>-89</v>
      </c>
      <c r="I524" s="91">
        <f t="shared" ca="1" si="93"/>
        <v>3352</v>
      </c>
      <c r="J524" s="91">
        <f ca="1">VLOOKUP(B524,'115+740'!$B$15:$AB$757,13,FALSE)</f>
        <v>-648</v>
      </c>
      <c r="K524" s="89">
        <f>'115+740'!Q525</f>
        <v>3</v>
      </c>
      <c r="L524" s="88">
        <f t="shared" ca="1" si="98"/>
        <v>688</v>
      </c>
      <c r="M524" s="93">
        <f ca="1">VLOOKUP(B524,'115+740'!$B$14:$AB$757,21,FALSE)</f>
        <v>3329</v>
      </c>
      <c r="N524" s="92">
        <f ca="1">VLOOKUP(B524,'115+740'!$B$15:$AB$757,5,FALSE)</f>
        <v>144</v>
      </c>
      <c r="O524" s="91">
        <f t="shared" ca="1" si="94"/>
        <v>3119</v>
      </c>
      <c r="P524" s="91">
        <f ca="1">VLOOKUP(B524,'115+740'!$B$15:$AB$757,14,FALSE)</f>
        <v>-881</v>
      </c>
      <c r="Q524" s="89">
        <f>'115+740'!R525</f>
        <v>6</v>
      </c>
      <c r="R524" s="88">
        <f t="shared" ca="1" si="99"/>
        <v>871</v>
      </c>
      <c r="S524" s="93">
        <f ca="1">VLOOKUP(B524,'115+740'!$B$14:$AB$757,22,FALSE)</f>
        <v>3554</v>
      </c>
      <c r="T524" s="92">
        <f ca="1">VLOOKUP(B524,'115+740'!$B$15:$AB$757,6,FALSE)</f>
        <v>-51</v>
      </c>
      <c r="U524" s="91">
        <f t="shared" ca="1" si="95"/>
        <v>3314</v>
      </c>
      <c r="V524" s="90">
        <f ca="1">VLOOKUP(B524,'115+740'!$B$15:$AB$757,15,FALSE)</f>
        <v>-686</v>
      </c>
      <c r="W524" s="89">
        <f>'115+740'!S525</f>
        <v>0</v>
      </c>
      <c r="X524" s="88">
        <f t="shared" ca="1" si="100"/>
        <v>646</v>
      </c>
      <c r="Y524" s="87">
        <f t="shared" ca="1" si="101"/>
        <v>0</v>
      </c>
      <c r="Z524" s="86">
        <f t="shared" ca="1" si="102"/>
        <v>0</v>
      </c>
      <c r="AA524" s="85">
        <f t="shared" ca="1" si="103"/>
        <v>4.109</v>
      </c>
      <c r="AB524" s="85">
        <f t="shared" ca="1" si="104"/>
        <v>2.468</v>
      </c>
    </row>
    <row r="525" spans="2:28">
      <c r="B525" s="98">
        <f>'115+740'!B526</f>
        <v>45584</v>
      </c>
      <c r="C525" s="97">
        <f t="shared" si="96"/>
        <v>1</v>
      </c>
      <c r="D525" s="96">
        <f t="shared" si="97"/>
        <v>1069</v>
      </c>
      <c r="E525" s="95">
        <f>VLOOKUP(B525,'115+740'!B526:AB884,3,FALSE)</f>
        <v>2196</v>
      </c>
      <c r="F525" s="92">
        <f t="shared" ref="F525:F588" si="105">D525+E525</f>
        <v>3265</v>
      </c>
      <c r="G525" s="94">
        <f ca="1">VLOOKUP(B525,'115+740'!$B$15:$AB$757,20,FALSE)</f>
        <v>3512</v>
      </c>
      <c r="H525" s="94">
        <f ca="1">VLOOKUP(B525,'115+740'!$B$15:$AB$757,4,FALSE)</f>
        <v>-87</v>
      </c>
      <c r="I525" s="91">
        <f t="shared" ref="I525:I588" ca="1" si="106">F525-H525</f>
        <v>3352</v>
      </c>
      <c r="J525" s="91">
        <f ca="1">VLOOKUP(B525,'115+740'!$B$15:$AB$757,13,FALSE)</f>
        <v>-648</v>
      </c>
      <c r="K525" s="89">
        <f>'115+740'!Q526</f>
        <v>0</v>
      </c>
      <c r="L525" s="88">
        <f t="shared" ca="1" si="98"/>
        <v>688</v>
      </c>
      <c r="M525" s="93">
        <f ca="1">VLOOKUP(B525,'115+740'!$B$14:$AB$757,21,FALSE)</f>
        <v>3327</v>
      </c>
      <c r="N525" s="92">
        <f ca="1">VLOOKUP(B525,'115+740'!$B$15:$AB$757,5,FALSE)</f>
        <v>148</v>
      </c>
      <c r="O525" s="91">
        <f t="shared" ref="O525:O588" ca="1" si="107">F525-N525</f>
        <v>3117</v>
      </c>
      <c r="P525" s="91">
        <f ca="1">VLOOKUP(B525,'115+740'!$B$15:$AB$757,14,FALSE)</f>
        <v>-883</v>
      </c>
      <c r="Q525" s="89">
        <f>'115+740'!R526</f>
        <v>2</v>
      </c>
      <c r="R525" s="88">
        <f t="shared" ca="1" si="99"/>
        <v>873</v>
      </c>
      <c r="S525" s="93">
        <f ca="1">VLOOKUP(B525,'115+740'!$B$14:$AB$757,22,FALSE)</f>
        <v>3554</v>
      </c>
      <c r="T525" s="92">
        <f ca="1">VLOOKUP(B525,'115+740'!$B$15:$AB$757,6,FALSE)</f>
        <v>-49</v>
      </c>
      <c r="U525" s="91">
        <f t="shared" ref="U525:U588" ca="1" si="108">F525-T525</f>
        <v>3314</v>
      </c>
      <c r="V525" s="90">
        <f ca="1">VLOOKUP(B525,'115+740'!$B$15:$AB$757,15,FALSE)</f>
        <v>-686</v>
      </c>
      <c r="W525" s="89">
        <f>'115+740'!S526</f>
        <v>0</v>
      </c>
      <c r="X525" s="88">
        <f t="shared" ca="1" si="100"/>
        <v>646</v>
      </c>
      <c r="Y525" s="87">
        <f t="shared" ca="1" si="101"/>
        <v>0</v>
      </c>
      <c r="Z525" s="86">
        <f t="shared" ca="1" si="102"/>
        <v>0</v>
      </c>
      <c r="AA525" s="85">
        <f t="shared" ca="1" si="103"/>
        <v>4.109</v>
      </c>
      <c r="AB525" s="85">
        <f t="shared" ca="1" si="104"/>
        <v>2.464</v>
      </c>
    </row>
    <row r="526" spans="2:28">
      <c r="B526" s="98">
        <f>'115+740'!B527</f>
        <v>45585</v>
      </c>
      <c r="C526" s="97">
        <f t="shared" ref="C526:C589" si="109">B526-B525</f>
        <v>1</v>
      </c>
      <c r="D526" s="96">
        <f t="shared" ref="D526:D589" si="110">D525</f>
        <v>1069</v>
      </c>
      <c r="E526" s="95">
        <f>VLOOKUP(B526,'115+740'!B527:AB885,3,FALSE)</f>
        <v>2198</v>
      </c>
      <c r="F526" s="92">
        <f t="shared" si="105"/>
        <v>3267</v>
      </c>
      <c r="G526" s="94">
        <f ca="1">VLOOKUP(B526,'115+740'!$B$15:$AB$757,20,FALSE)</f>
        <v>3504</v>
      </c>
      <c r="H526" s="94">
        <f ca="1">VLOOKUP(B526,'115+740'!$B$15:$AB$757,4,FALSE)</f>
        <v>-77</v>
      </c>
      <c r="I526" s="91">
        <f t="shared" ca="1" si="106"/>
        <v>3344</v>
      </c>
      <c r="J526" s="91">
        <f ca="1">VLOOKUP(B526,'115+740'!$B$15:$AB$757,13,FALSE)</f>
        <v>-656</v>
      </c>
      <c r="K526" s="89">
        <f>'115+740'!Q527</f>
        <v>8</v>
      </c>
      <c r="L526" s="88">
        <f t="shared" ref="L526:L589" ca="1" si="111">+K526+L525</f>
        <v>696</v>
      </c>
      <c r="M526" s="93">
        <f ca="1">VLOOKUP(B526,'115+740'!$B$14:$AB$757,21,FALSE)</f>
        <v>3323</v>
      </c>
      <c r="N526" s="92">
        <f ca="1">VLOOKUP(B526,'115+740'!$B$15:$AB$757,5,FALSE)</f>
        <v>154</v>
      </c>
      <c r="O526" s="91">
        <f t="shared" ca="1" si="107"/>
        <v>3113</v>
      </c>
      <c r="P526" s="91">
        <f ca="1">VLOOKUP(B526,'115+740'!$B$15:$AB$757,14,FALSE)</f>
        <v>-887</v>
      </c>
      <c r="Q526" s="89">
        <f>'115+740'!R527</f>
        <v>4</v>
      </c>
      <c r="R526" s="88">
        <f t="shared" ref="R526:R589" ca="1" si="112">+Q526+R525</f>
        <v>877</v>
      </c>
      <c r="S526" s="93">
        <f ca="1">VLOOKUP(B526,'115+740'!$B$14:$AB$757,22,FALSE)</f>
        <v>3554</v>
      </c>
      <c r="T526" s="92">
        <f ca="1">VLOOKUP(B526,'115+740'!$B$15:$AB$757,6,FALSE)</f>
        <v>-47</v>
      </c>
      <c r="U526" s="91">
        <f t="shared" ca="1" si="108"/>
        <v>3314</v>
      </c>
      <c r="V526" s="90">
        <f ca="1">VLOOKUP(B526,'115+740'!$B$15:$AB$757,15,FALSE)</f>
        <v>-686</v>
      </c>
      <c r="W526" s="89">
        <f>'115+740'!S527</f>
        <v>0</v>
      </c>
      <c r="X526" s="88">
        <f t="shared" ref="X526:X589" ca="1" si="113">+W526+X525</f>
        <v>646</v>
      </c>
      <c r="Y526" s="87">
        <f t="shared" ref="Y526:Y589" ca="1" si="114">S526-S525</f>
        <v>0</v>
      </c>
      <c r="Z526" s="86">
        <f t="shared" ref="Z526:Z589" ca="1" si="115">IF(Y526&gt;0,Y526,0)/1000</f>
        <v>0</v>
      </c>
      <c r="AA526" s="85">
        <f t="shared" ref="AA526:AA589" ca="1" si="116">AA525+Z526</f>
        <v>4.109</v>
      </c>
      <c r="AB526" s="85">
        <f t="shared" ref="AB526:AB589" ca="1" si="117">(M526-$M$13-R526)/1000</f>
        <v>2.456</v>
      </c>
    </row>
    <row r="527" spans="2:28">
      <c r="B527" s="98">
        <f>'115+740'!B528</f>
        <v>45586</v>
      </c>
      <c r="C527" s="97">
        <f t="shared" si="109"/>
        <v>1</v>
      </c>
      <c r="D527" s="96">
        <f t="shared" si="110"/>
        <v>1069</v>
      </c>
      <c r="E527" s="95">
        <f>VLOOKUP(B527,'115+740'!B528:AB886,3,FALSE)</f>
        <v>2200</v>
      </c>
      <c r="F527" s="92">
        <f t="shared" si="105"/>
        <v>3269</v>
      </c>
      <c r="G527" s="94">
        <f ca="1">VLOOKUP(B527,'115+740'!$B$15:$AB$757,20,FALSE)</f>
        <v>3497</v>
      </c>
      <c r="H527" s="94">
        <f ca="1">VLOOKUP(B527,'115+740'!$B$15:$AB$757,4,FALSE)</f>
        <v>-68</v>
      </c>
      <c r="I527" s="91">
        <f t="shared" ca="1" si="106"/>
        <v>3337</v>
      </c>
      <c r="J527" s="91">
        <f ca="1">VLOOKUP(B527,'115+740'!$B$15:$AB$757,13,FALSE)</f>
        <v>-663</v>
      </c>
      <c r="K527" s="89">
        <f>'115+740'!Q528</f>
        <v>7</v>
      </c>
      <c r="L527" s="88">
        <f t="shared" ca="1" si="111"/>
        <v>703</v>
      </c>
      <c r="M527" s="93">
        <f ca="1">VLOOKUP(B527,'115+740'!$B$14:$AB$757,21,FALSE)</f>
        <v>3321</v>
      </c>
      <c r="N527" s="92">
        <f ca="1">VLOOKUP(B527,'115+740'!$B$15:$AB$757,5,FALSE)</f>
        <v>158</v>
      </c>
      <c r="O527" s="91">
        <f t="shared" ca="1" si="107"/>
        <v>3111</v>
      </c>
      <c r="P527" s="91">
        <f ca="1">VLOOKUP(B527,'115+740'!$B$15:$AB$757,14,FALSE)</f>
        <v>-889</v>
      </c>
      <c r="Q527" s="89">
        <f>'115+740'!R528</f>
        <v>2</v>
      </c>
      <c r="R527" s="88">
        <f t="shared" ca="1" si="112"/>
        <v>879</v>
      </c>
      <c r="S527" s="93">
        <f ca="1">VLOOKUP(B527,'115+740'!$B$14:$AB$757,22,FALSE)</f>
        <v>3554</v>
      </c>
      <c r="T527" s="92">
        <f ca="1">VLOOKUP(B527,'115+740'!$B$15:$AB$757,6,FALSE)</f>
        <v>-45</v>
      </c>
      <c r="U527" s="91">
        <f t="shared" ca="1" si="108"/>
        <v>3314</v>
      </c>
      <c r="V527" s="90">
        <f ca="1">VLOOKUP(B527,'115+740'!$B$15:$AB$757,15,FALSE)</f>
        <v>-686</v>
      </c>
      <c r="W527" s="89">
        <f>'115+740'!S528</f>
        <v>0</v>
      </c>
      <c r="X527" s="88">
        <f t="shared" ca="1" si="113"/>
        <v>646</v>
      </c>
      <c r="Y527" s="87">
        <f t="shared" ca="1" si="114"/>
        <v>0</v>
      </c>
      <c r="Z527" s="86">
        <f t="shared" ca="1" si="115"/>
        <v>0</v>
      </c>
      <c r="AA527" s="85">
        <f t="shared" ca="1" si="116"/>
        <v>4.109</v>
      </c>
      <c r="AB527" s="85">
        <f t="shared" ca="1" si="117"/>
        <v>2.452</v>
      </c>
    </row>
    <row r="528" spans="2:28">
      <c r="B528" s="98">
        <f>'115+740'!B529</f>
        <v>45587</v>
      </c>
      <c r="C528" s="97">
        <f t="shared" si="109"/>
        <v>1</v>
      </c>
      <c r="D528" s="96">
        <f t="shared" si="110"/>
        <v>1069</v>
      </c>
      <c r="E528" s="95">
        <f>VLOOKUP(B528,'115+740'!B529:AB887,3,FALSE)</f>
        <v>2202</v>
      </c>
      <c r="F528" s="92">
        <f t="shared" si="105"/>
        <v>3271</v>
      </c>
      <c r="G528" s="94">
        <f ca="1">VLOOKUP(B528,'115+740'!$B$15:$AB$757,20,FALSE)</f>
        <v>3493</v>
      </c>
      <c r="H528" s="94">
        <f ca="1">VLOOKUP(B528,'115+740'!$B$15:$AB$757,4,FALSE)</f>
        <v>-62</v>
      </c>
      <c r="I528" s="91">
        <f t="shared" ca="1" si="106"/>
        <v>3333</v>
      </c>
      <c r="J528" s="91">
        <f ca="1">VLOOKUP(B528,'115+740'!$B$15:$AB$757,13,FALSE)</f>
        <v>-667</v>
      </c>
      <c r="K528" s="89">
        <f>'115+740'!Q529</f>
        <v>4</v>
      </c>
      <c r="L528" s="88">
        <f t="shared" ca="1" si="111"/>
        <v>707</v>
      </c>
      <c r="M528" s="93">
        <f ca="1">VLOOKUP(B528,'115+740'!$B$14:$AB$757,21,FALSE)</f>
        <v>3319</v>
      </c>
      <c r="N528" s="92">
        <f ca="1">VLOOKUP(B528,'115+740'!$B$15:$AB$757,5,FALSE)</f>
        <v>162</v>
      </c>
      <c r="O528" s="91">
        <f t="shared" ca="1" si="107"/>
        <v>3109</v>
      </c>
      <c r="P528" s="91">
        <f ca="1">VLOOKUP(B528,'115+740'!$B$15:$AB$757,14,FALSE)</f>
        <v>-891</v>
      </c>
      <c r="Q528" s="89">
        <f>'115+740'!R529</f>
        <v>2</v>
      </c>
      <c r="R528" s="88">
        <f t="shared" ca="1" si="112"/>
        <v>881</v>
      </c>
      <c r="S528" s="93">
        <f ca="1">VLOOKUP(B528,'115+740'!$B$14:$AB$757,22,FALSE)</f>
        <v>3554</v>
      </c>
      <c r="T528" s="92">
        <f ca="1">VLOOKUP(B528,'115+740'!$B$15:$AB$757,6,FALSE)</f>
        <v>-43</v>
      </c>
      <c r="U528" s="91">
        <f t="shared" ca="1" si="108"/>
        <v>3314</v>
      </c>
      <c r="V528" s="90">
        <f ca="1">VLOOKUP(B528,'115+740'!$B$15:$AB$757,15,FALSE)</f>
        <v>-686</v>
      </c>
      <c r="W528" s="89">
        <f>'115+740'!S529</f>
        <v>0</v>
      </c>
      <c r="X528" s="88">
        <f t="shared" ca="1" si="113"/>
        <v>646</v>
      </c>
      <c r="Y528" s="87">
        <f t="shared" ca="1" si="114"/>
        <v>0</v>
      </c>
      <c r="Z528" s="86">
        <f t="shared" ca="1" si="115"/>
        <v>0</v>
      </c>
      <c r="AA528" s="85">
        <f t="shared" ca="1" si="116"/>
        <v>4.109</v>
      </c>
      <c r="AB528" s="85">
        <f t="shared" ca="1" si="117"/>
        <v>2.448</v>
      </c>
    </row>
    <row r="529" spans="2:28">
      <c r="B529" s="98">
        <f>'115+740'!B530</f>
        <v>45588</v>
      </c>
      <c r="C529" s="97">
        <f t="shared" si="109"/>
        <v>1</v>
      </c>
      <c r="D529" s="96">
        <f t="shared" si="110"/>
        <v>1069</v>
      </c>
      <c r="E529" s="95">
        <f>VLOOKUP(B529,'115+740'!B530:AB888,3,FALSE)</f>
        <v>2204</v>
      </c>
      <c r="F529" s="92">
        <f t="shared" si="105"/>
        <v>3273</v>
      </c>
      <c r="G529" s="94">
        <f ca="1">VLOOKUP(B529,'115+740'!$B$15:$AB$757,20,FALSE)</f>
        <v>3490</v>
      </c>
      <c r="H529" s="94">
        <f ca="1">VLOOKUP(B529,'115+740'!$B$15:$AB$757,4,FALSE)</f>
        <v>-57</v>
      </c>
      <c r="I529" s="91">
        <f t="shared" ca="1" si="106"/>
        <v>3330</v>
      </c>
      <c r="J529" s="91">
        <f ca="1">VLOOKUP(B529,'115+740'!$B$15:$AB$757,13,FALSE)</f>
        <v>-670</v>
      </c>
      <c r="K529" s="89">
        <f>'115+740'!Q530</f>
        <v>3</v>
      </c>
      <c r="L529" s="88">
        <f t="shared" ca="1" si="111"/>
        <v>710</v>
      </c>
      <c r="M529" s="93">
        <f ca="1">VLOOKUP(B529,'115+740'!$B$14:$AB$757,21,FALSE)</f>
        <v>3313</v>
      </c>
      <c r="N529" s="92">
        <f ca="1">VLOOKUP(B529,'115+740'!$B$15:$AB$757,5,FALSE)</f>
        <v>170</v>
      </c>
      <c r="O529" s="91">
        <f t="shared" ca="1" si="107"/>
        <v>3103</v>
      </c>
      <c r="P529" s="91">
        <f ca="1">VLOOKUP(B529,'115+740'!$B$15:$AB$757,14,FALSE)</f>
        <v>-897</v>
      </c>
      <c r="Q529" s="89">
        <f>'115+740'!R530</f>
        <v>6</v>
      </c>
      <c r="R529" s="88">
        <f t="shared" ca="1" si="112"/>
        <v>887</v>
      </c>
      <c r="S529" s="93">
        <f ca="1">VLOOKUP(B529,'115+740'!$B$14:$AB$757,22,FALSE)</f>
        <v>3554</v>
      </c>
      <c r="T529" s="92">
        <f ca="1">VLOOKUP(B529,'115+740'!$B$15:$AB$757,6,FALSE)</f>
        <v>-41</v>
      </c>
      <c r="U529" s="91">
        <f t="shared" ca="1" si="108"/>
        <v>3314</v>
      </c>
      <c r="V529" s="90">
        <f ca="1">VLOOKUP(B529,'115+740'!$B$15:$AB$757,15,FALSE)</f>
        <v>-686</v>
      </c>
      <c r="W529" s="89">
        <f>'115+740'!S530</f>
        <v>0</v>
      </c>
      <c r="X529" s="88">
        <f t="shared" ca="1" si="113"/>
        <v>646</v>
      </c>
      <c r="Y529" s="87">
        <f t="shared" ca="1" si="114"/>
        <v>0</v>
      </c>
      <c r="Z529" s="86">
        <f t="shared" ca="1" si="115"/>
        <v>0</v>
      </c>
      <c r="AA529" s="85">
        <f t="shared" ca="1" si="116"/>
        <v>4.109</v>
      </c>
      <c r="AB529" s="85">
        <f t="shared" ca="1" si="117"/>
        <v>2.4359999999999999</v>
      </c>
    </row>
    <row r="530" spans="2:28">
      <c r="B530" s="98">
        <f>'115+740'!B531</f>
        <v>45589</v>
      </c>
      <c r="C530" s="97">
        <f t="shared" si="109"/>
        <v>1</v>
      </c>
      <c r="D530" s="96">
        <f t="shared" si="110"/>
        <v>1069</v>
      </c>
      <c r="E530" s="95">
        <f>VLOOKUP(B530,'115+740'!B531:AB889,3,FALSE)</f>
        <v>2206</v>
      </c>
      <c r="F530" s="92">
        <f t="shared" si="105"/>
        <v>3275</v>
      </c>
      <c r="G530" s="94">
        <f ca="1">VLOOKUP(B530,'115+740'!$B$15:$AB$757,20,FALSE)</f>
        <v>3490</v>
      </c>
      <c r="H530" s="94">
        <f ca="1">VLOOKUP(B530,'115+740'!$B$15:$AB$757,4,FALSE)</f>
        <v>-55</v>
      </c>
      <c r="I530" s="91">
        <f t="shared" ca="1" si="106"/>
        <v>3330</v>
      </c>
      <c r="J530" s="91">
        <f ca="1">VLOOKUP(B530,'115+740'!$B$15:$AB$757,13,FALSE)</f>
        <v>-670</v>
      </c>
      <c r="K530" s="89">
        <f>'115+740'!Q531</f>
        <v>0</v>
      </c>
      <c r="L530" s="88">
        <f t="shared" ca="1" si="111"/>
        <v>710</v>
      </c>
      <c r="M530" s="93">
        <f ca="1">VLOOKUP(B530,'115+740'!$B$14:$AB$757,21,FALSE)</f>
        <v>3310</v>
      </c>
      <c r="N530" s="92">
        <f ca="1">VLOOKUP(B530,'115+740'!$B$15:$AB$757,5,FALSE)</f>
        <v>175</v>
      </c>
      <c r="O530" s="91">
        <f t="shared" ca="1" si="107"/>
        <v>3100</v>
      </c>
      <c r="P530" s="91">
        <f ca="1">VLOOKUP(B530,'115+740'!$B$15:$AB$757,14,FALSE)</f>
        <v>-900</v>
      </c>
      <c r="Q530" s="89">
        <f>'115+740'!R531</f>
        <v>3</v>
      </c>
      <c r="R530" s="88">
        <f t="shared" ca="1" si="112"/>
        <v>890</v>
      </c>
      <c r="S530" s="93">
        <f ca="1">VLOOKUP(B530,'115+740'!$B$14:$AB$757,22,FALSE)</f>
        <v>3554</v>
      </c>
      <c r="T530" s="92">
        <f ca="1">VLOOKUP(B530,'115+740'!$B$15:$AB$757,6,FALSE)</f>
        <v>-39</v>
      </c>
      <c r="U530" s="91">
        <f t="shared" ca="1" si="108"/>
        <v>3314</v>
      </c>
      <c r="V530" s="90">
        <f ca="1">VLOOKUP(B530,'115+740'!$B$15:$AB$757,15,FALSE)</f>
        <v>-686</v>
      </c>
      <c r="W530" s="89">
        <f>'115+740'!S531</f>
        <v>0</v>
      </c>
      <c r="X530" s="88">
        <f t="shared" ca="1" si="113"/>
        <v>646</v>
      </c>
      <c r="Y530" s="87">
        <f t="shared" ca="1" si="114"/>
        <v>0</v>
      </c>
      <c r="Z530" s="86">
        <f t="shared" ca="1" si="115"/>
        <v>0</v>
      </c>
      <c r="AA530" s="85">
        <f t="shared" ca="1" si="116"/>
        <v>4.109</v>
      </c>
      <c r="AB530" s="85">
        <f t="shared" ca="1" si="117"/>
        <v>2.4300000000000002</v>
      </c>
    </row>
    <row r="531" spans="2:28">
      <c r="B531" s="98">
        <f>'115+740'!B532</f>
        <v>45590</v>
      </c>
      <c r="C531" s="97">
        <f t="shared" si="109"/>
        <v>1</v>
      </c>
      <c r="D531" s="96">
        <f t="shared" si="110"/>
        <v>1069</v>
      </c>
      <c r="E531" s="95">
        <f>VLOOKUP(B531,'115+740'!B532:AB890,3,FALSE)</f>
        <v>2208</v>
      </c>
      <c r="F531" s="92">
        <f t="shared" si="105"/>
        <v>3277</v>
      </c>
      <c r="G531" s="94">
        <f ca="1">VLOOKUP(B531,'115+740'!$B$15:$AB$757,20,FALSE)</f>
        <v>3490</v>
      </c>
      <c r="H531" s="94">
        <f ca="1">VLOOKUP(B531,'115+740'!$B$15:$AB$757,4,FALSE)</f>
        <v>-53</v>
      </c>
      <c r="I531" s="91">
        <f t="shared" ca="1" si="106"/>
        <v>3330</v>
      </c>
      <c r="J531" s="91">
        <f ca="1">VLOOKUP(B531,'115+740'!$B$15:$AB$757,13,FALSE)</f>
        <v>-670</v>
      </c>
      <c r="K531" s="89">
        <f>'115+740'!Q532</f>
        <v>0</v>
      </c>
      <c r="L531" s="88">
        <f t="shared" ca="1" si="111"/>
        <v>710</v>
      </c>
      <c r="M531" s="93">
        <f ca="1">VLOOKUP(B531,'115+740'!$B$14:$AB$757,21,FALSE)</f>
        <v>3308</v>
      </c>
      <c r="N531" s="92">
        <f ca="1">VLOOKUP(B531,'115+740'!$B$15:$AB$757,5,FALSE)</f>
        <v>179</v>
      </c>
      <c r="O531" s="91">
        <f t="shared" ca="1" si="107"/>
        <v>3098</v>
      </c>
      <c r="P531" s="91">
        <f ca="1">VLOOKUP(B531,'115+740'!$B$15:$AB$757,14,FALSE)</f>
        <v>-902</v>
      </c>
      <c r="Q531" s="89">
        <f>'115+740'!R532</f>
        <v>2</v>
      </c>
      <c r="R531" s="88">
        <f t="shared" ca="1" si="112"/>
        <v>892</v>
      </c>
      <c r="S531" s="93">
        <f ca="1">VLOOKUP(B531,'115+740'!$B$14:$AB$757,22,FALSE)</f>
        <v>3552</v>
      </c>
      <c r="T531" s="92">
        <f ca="1">VLOOKUP(B531,'115+740'!$B$15:$AB$757,6,FALSE)</f>
        <v>-35</v>
      </c>
      <c r="U531" s="91">
        <f t="shared" ca="1" si="108"/>
        <v>3312</v>
      </c>
      <c r="V531" s="90">
        <f ca="1">VLOOKUP(B531,'115+740'!$B$15:$AB$757,15,FALSE)</f>
        <v>-688</v>
      </c>
      <c r="W531" s="89">
        <f>'115+740'!S532</f>
        <v>2</v>
      </c>
      <c r="X531" s="88">
        <f t="shared" ca="1" si="113"/>
        <v>648</v>
      </c>
      <c r="Y531" s="87">
        <f t="shared" ca="1" si="114"/>
        <v>-2</v>
      </c>
      <c r="Z531" s="86">
        <f t="shared" ca="1" si="115"/>
        <v>0</v>
      </c>
      <c r="AA531" s="85">
        <f t="shared" ca="1" si="116"/>
        <v>4.109</v>
      </c>
      <c r="AB531" s="85">
        <f t="shared" ca="1" si="117"/>
        <v>2.4260000000000002</v>
      </c>
    </row>
    <row r="532" spans="2:28">
      <c r="B532" s="98">
        <f>'115+740'!B533</f>
        <v>45591</v>
      </c>
      <c r="C532" s="97">
        <f t="shared" si="109"/>
        <v>1</v>
      </c>
      <c r="D532" s="96">
        <f t="shared" si="110"/>
        <v>1069</v>
      </c>
      <c r="E532" s="95">
        <f>VLOOKUP(B532,'115+740'!B533:AB891,3,FALSE)</f>
        <v>2210</v>
      </c>
      <c r="F532" s="92">
        <f t="shared" si="105"/>
        <v>3279</v>
      </c>
      <c r="G532" s="94">
        <f ca="1">VLOOKUP(B532,'115+740'!$B$15:$AB$757,20,FALSE)</f>
        <v>3490</v>
      </c>
      <c r="H532" s="94">
        <f ca="1">VLOOKUP(B532,'115+740'!$B$15:$AB$757,4,FALSE)</f>
        <v>-51</v>
      </c>
      <c r="I532" s="91">
        <f t="shared" ca="1" si="106"/>
        <v>3330</v>
      </c>
      <c r="J532" s="91">
        <f ca="1">VLOOKUP(B532,'115+740'!$B$15:$AB$757,13,FALSE)</f>
        <v>-670</v>
      </c>
      <c r="K532" s="89">
        <f>'115+740'!Q533</f>
        <v>0</v>
      </c>
      <c r="L532" s="88">
        <f t="shared" ca="1" si="111"/>
        <v>710</v>
      </c>
      <c r="M532" s="93">
        <f ca="1">VLOOKUP(B532,'115+740'!$B$14:$AB$757,21,FALSE)</f>
        <v>3305</v>
      </c>
      <c r="N532" s="92">
        <f ca="1">VLOOKUP(B532,'115+740'!$B$15:$AB$757,5,FALSE)</f>
        <v>184</v>
      </c>
      <c r="O532" s="91">
        <f t="shared" ca="1" si="107"/>
        <v>3095</v>
      </c>
      <c r="P532" s="91">
        <f ca="1">VLOOKUP(B532,'115+740'!$B$15:$AB$757,14,FALSE)</f>
        <v>-905</v>
      </c>
      <c r="Q532" s="89">
        <f>'115+740'!R533</f>
        <v>3</v>
      </c>
      <c r="R532" s="88">
        <f t="shared" ca="1" si="112"/>
        <v>895</v>
      </c>
      <c r="S532" s="93">
        <f ca="1">VLOOKUP(B532,'115+740'!$B$14:$AB$757,22,FALSE)</f>
        <v>3552</v>
      </c>
      <c r="T532" s="92">
        <f ca="1">VLOOKUP(B532,'115+740'!$B$15:$AB$757,6,FALSE)</f>
        <v>-33</v>
      </c>
      <c r="U532" s="91">
        <f t="shared" ca="1" si="108"/>
        <v>3312</v>
      </c>
      <c r="V532" s="90">
        <f ca="1">VLOOKUP(B532,'115+740'!$B$15:$AB$757,15,FALSE)</f>
        <v>-688</v>
      </c>
      <c r="W532" s="89">
        <f>'115+740'!S533</f>
        <v>0</v>
      </c>
      <c r="X532" s="88">
        <f t="shared" ca="1" si="113"/>
        <v>648</v>
      </c>
      <c r="Y532" s="87">
        <f t="shared" ca="1" si="114"/>
        <v>0</v>
      </c>
      <c r="Z532" s="86">
        <f t="shared" ca="1" si="115"/>
        <v>0</v>
      </c>
      <c r="AA532" s="85">
        <f t="shared" ca="1" si="116"/>
        <v>4.109</v>
      </c>
      <c r="AB532" s="85">
        <f t="shared" ca="1" si="117"/>
        <v>2.42</v>
      </c>
    </row>
    <row r="533" spans="2:28">
      <c r="B533" s="98">
        <f>'115+740'!B534</f>
        <v>45592</v>
      </c>
      <c r="C533" s="97">
        <f t="shared" si="109"/>
        <v>1</v>
      </c>
      <c r="D533" s="96">
        <f t="shared" si="110"/>
        <v>1069</v>
      </c>
      <c r="E533" s="95">
        <f>VLOOKUP(B533,'115+740'!B534:AB892,3,FALSE)</f>
        <v>2212</v>
      </c>
      <c r="F533" s="92">
        <f t="shared" si="105"/>
        <v>3281</v>
      </c>
      <c r="G533" s="94">
        <f ca="1">VLOOKUP(B533,'115+740'!$B$15:$AB$757,20,FALSE)</f>
        <v>3490</v>
      </c>
      <c r="H533" s="94">
        <f ca="1">VLOOKUP(B533,'115+740'!$B$15:$AB$757,4,FALSE)</f>
        <v>-49</v>
      </c>
      <c r="I533" s="91">
        <f t="shared" ca="1" si="106"/>
        <v>3330</v>
      </c>
      <c r="J533" s="91">
        <f ca="1">VLOOKUP(B533,'115+740'!$B$15:$AB$757,13,FALSE)</f>
        <v>-670</v>
      </c>
      <c r="K533" s="89">
        <f>'115+740'!Q534</f>
        <v>0</v>
      </c>
      <c r="L533" s="88">
        <f t="shared" ca="1" si="111"/>
        <v>710</v>
      </c>
      <c r="M533" s="93">
        <f ca="1">VLOOKUP(B533,'115+740'!$B$14:$AB$757,21,FALSE)</f>
        <v>3305</v>
      </c>
      <c r="N533" s="92">
        <f ca="1">VLOOKUP(B533,'115+740'!$B$15:$AB$757,5,FALSE)</f>
        <v>186</v>
      </c>
      <c r="O533" s="91">
        <f t="shared" ca="1" si="107"/>
        <v>3095</v>
      </c>
      <c r="P533" s="91">
        <f ca="1">VLOOKUP(B533,'115+740'!$B$15:$AB$757,14,FALSE)</f>
        <v>-905</v>
      </c>
      <c r="Q533" s="89">
        <f>'115+740'!R534</f>
        <v>0</v>
      </c>
      <c r="R533" s="88">
        <f t="shared" ca="1" si="112"/>
        <v>895</v>
      </c>
      <c r="S533" s="93">
        <f ca="1">VLOOKUP(B533,'115+740'!$B$14:$AB$757,22,FALSE)</f>
        <v>3550</v>
      </c>
      <c r="T533" s="92">
        <f ca="1">VLOOKUP(B533,'115+740'!$B$15:$AB$757,6,FALSE)</f>
        <v>-29</v>
      </c>
      <c r="U533" s="91">
        <f t="shared" ca="1" si="108"/>
        <v>3310</v>
      </c>
      <c r="V533" s="90">
        <f ca="1">VLOOKUP(B533,'115+740'!$B$15:$AB$757,15,FALSE)</f>
        <v>-690</v>
      </c>
      <c r="W533" s="89">
        <f>'115+740'!S534</f>
        <v>2</v>
      </c>
      <c r="X533" s="88">
        <f t="shared" ca="1" si="113"/>
        <v>650</v>
      </c>
      <c r="Y533" s="87">
        <f t="shared" ca="1" si="114"/>
        <v>-2</v>
      </c>
      <c r="Z533" s="86">
        <f t="shared" ca="1" si="115"/>
        <v>0</v>
      </c>
      <c r="AA533" s="85">
        <f t="shared" ca="1" si="116"/>
        <v>4.109</v>
      </c>
      <c r="AB533" s="85">
        <f t="shared" ca="1" si="117"/>
        <v>2.42</v>
      </c>
    </row>
    <row r="534" spans="2:28">
      <c r="B534" s="98">
        <f>'115+740'!B535</f>
        <v>45593</v>
      </c>
      <c r="C534" s="97">
        <f t="shared" si="109"/>
        <v>1</v>
      </c>
      <c r="D534" s="96">
        <f t="shared" si="110"/>
        <v>1069</v>
      </c>
      <c r="E534" s="95">
        <f>VLOOKUP(B534,'115+740'!B535:AB893,3,FALSE)</f>
        <v>2214</v>
      </c>
      <c r="F534" s="92">
        <f t="shared" si="105"/>
        <v>3283</v>
      </c>
      <c r="G534" s="94">
        <f ca="1">VLOOKUP(B534,'115+740'!$B$15:$AB$757,20,FALSE)</f>
        <v>3490</v>
      </c>
      <c r="H534" s="94">
        <f ca="1">VLOOKUP(B534,'115+740'!$B$15:$AB$757,4,FALSE)</f>
        <v>-47</v>
      </c>
      <c r="I534" s="91">
        <f t="shared" ca="1" si="106"/>
        <v>3330</v>
      </c>
      <c r="J534" s="91">
        <f ca="1">VLOOKUP(B534,'115+740'!$B$15:$AB$757,13,FALSE)</f>
        <v>-670</v>
      </c>
      <c r="K534" s="89">
        <f>'115+740'!Q535</f>
        <v>0</v>
      </c>
      <c r="L534" s="88">
        <f t="shared" ca="1" si="111"/>
        <v>710</v>
      </c>
      <c r="M534" s="93">
        <f ca="1">VLOOKUP(B534,'115+740'!$B$14:$AB$757,21,FALSE)</f>
        <v>3303</v>
      </c>
      <c r="N534" s="92">
        <f ca="1">VLOOKUP(B534,'115+740'!$B$15:$AB$757,5,FALSE)</f>
        <v>190</v>
      </c>
      <c r="O534" s="91">
        <f t="shared" ca="1" si="107"/>
        <v>3093</v>
      </c>
      <c r="P534" s="91">
        <f ca="1">VLOOKUP(B534,'115+740'!$B$15:$AB$757,14,FALSE)</f>
        <v>-907</v>
      </c>
      <c r="Q534" s="89">
        <f>'115+740'!R535</f>
        <v>2</v>
      </c>
      <c r="R534" s="88">
        <f t="shared" ca="1" si="112"/>
        <v>897</v>
      </c>
      <c r="S534" s="93">
        <f ca="1">VLOOKUP(B534,'115+740'!$B$14:$AB$757,22,FALSE)</f>
        <v>3550</v>
      </c>
      <c r="T534" s="92">
        <f ca="1">VLOOKUP(B534,'115+740'!$B$15:$AB$757,6,FALSE)</f>
        <v>-27</v>
      </c>
      <c r="U534" s="91">
        <f t="shared" ca="1" si="108"/>
        <v>3310</v>
      </c>
      <c r="V534" s="90">
        <f ca="1">VLOOKUP(B534,'115+740'!$B$15:$AB$757,15,FALSE)</f>
        <v>-690</v>
      </c>
      <c r="W534" s="89">
        <f>'115+740'!S535</f>
        <v>0</v>
      </c>
      <c r="X534" s="88">
        <f t="shared" ca="1" si="113"/>
        <v>650</v>
      </c>
      <c r="Y534" s="87">
        <f t="shared" ca="1" si="114"/>
        <v>0</v>
      </c>
      <c r="Z534" s="86">
        <f t="shared" ca="1" si="115"/>
        <v>0</v>
      </c>
      <c r="AA534" s="85">
        <f t="shared" ca="1" si="116"/>
        <v>4.109</v>
      </c>
      <c r="AB534" s="85">
        <f t="shared" ca="1" si="117"/>
        <v>2.4159999999999999</v>
      </c>
    </row>
    <row r="535" spans="2:28">
      <c r="B535" s="98">
        <f>'115+740'!B536</f>
        <v>45594</v>
      </c>
      <c r="C535" s="97">
        <f t="shared" si="109"/>
        <v>1</v>
      </c>
      <c r="D535" s="96">
        <f t="shared" si="110"/>
        <v>1069</v>
      </c>
      <c r="E535" s="95">
        <f>VLOOKUP(B535,'115+740'!B536:AB894,3,FALSE)</f>
        <v>2216</v>
      </c>
      <c r="F535" s="92">
        <f t="shared" si="105"/>
        <v>3285</v>
      </c>
      <c r="G535" s="94">
        <f ca="1">VLOOKUP(B535,'115+740'!$B$15:$AB$757,20,FALSE)</f>
        <v>3490</v>
      </c>
      <c r="H535" s="94">
        <f ca="1">VLOOKUP(B535,'115+740'!$B$15:$AB$757,4,FALSE)</f>
        <v>-45</v>
      </c>
      <c r="I535" s="91">
        <f t="shared" ca="1" si="106"/>
        <v>3330</v>
      </c>
      <c r="J535" s="91">
        <f ca="1">VLOOKUP(B535,'115+740'!$B$15:$AB$757,13,FALSE)</f>
        <v>-670</v>
      </c>
      <c r="K535" s="89">
        <f>'115+740'!Q536</f>
        <v>0</v>
      </c>
      <c r="L535" s="88">
        <f t="shared" ca="1" si="111"/>
        <v>710</v>
      </c>
      <c r="M535" s="93">
        <f ca="1">VLOOKUP(B535,'115+740'!$B$14:$AB$757,21,FALSE)</f>
        <v>3303</v>
      </c>
      <c r="N535" s="92">
        <f ca="1">VLOOKUP(B535,'115+740'!$B$15:$AB$757,5,FALSE)</f>
        <v>192</v>
      </c>
      <c r="O535" s="91">
        <f t="shared" ca="1" si="107"/>
        <v>3093</v>
      </c>
      <c r="P535" s="91">
        <f ca="1">VLOOKUP(B535,'115+740'!$B$15:$AB$757,14,FALSE)</f>
        <v>-907</v>
      </c>
      <c r="Q535" s="89">
        <f>'115+740'!R536</f>
        <v>0</v>
      </c>
      <c r="R535" s="88">
        <f t="shared" ca="1" si="112"/>
        <v>897</v>
      </c>
      <c r="S535" s="93">
        <f ca="1">VLOOKUP(B535,'115+740'!$B$14:$AB$757,22,FALSE)</f>
        <v>3550</v>
      </c>
      <c r="T535" s="92">
        <f ca="1">VLOOKUP(B535,'115+740'!$B$15:$AB$757,6,FALSE)</f>
        <v>-25</v>
      </c>
      <c r="U535" s="91">
        <f t="shared" ca="1" si="108"/>
        <v>3310</v>
      </c>
      <c r="V535" s="90">
        <f ca="1">VLOOKUP(B535,'115+740'!$B$15:$AB$757,15,FALSE)</f>
        <v>-690</v>
      </c>
      <c r="W535" s="89">
        <f>'115+740'!S536</f>
        <v>0</v>
      </c>
      <c r="X535" s="88">
        <f t="shared" ca="1" si="113"/>
        <v>650</v>
      </c>
      <c r="Y535" s="87">
        <f t="shared" ca="1" si="114"/>
        <v>0</v>
      </c>
      <c r="Z535" s="86">
        <f t="shared" ca="1" si="115"/>
        <v>0</v>
      </c>
      <c r="AA535" s="85">
        <f t="shared" ca="1" si="116"/>
        <v>4.109</v>
      </c>
      <c r="AB535" s="85">
        <f t="shared" ca="1" si="117"/>
        <v>2.4159999999999999</v>
      </c>
    </row>
    <row r="536" spans="2:28">
      <c r="B536" s="98">
        <f>'115+740'!B537</f>
        <v>45595</v>
      </c>
      <c r="C536" s="97">
        <f t="shared" si="109"/>
        <v>1</v>
      </c>
      <c r="D536" s="96">
        <f t="shared" si="110"/>
        <v>1069</v>
      </c>
      <c r="E536" s="95">
        <f>VLOOKUP(B536,'115+740'!B537:AB895,3,FALSE)</f>
        <v>2218</v>
      </c>
      <c r="F536" s="92">
        <f t="shared" si="105"/>
        <v>3287</v>
      </c>
      <c r="G536" s="94">
        <f ca="1">VLOOKUP(B536,'115+740'!$B$15:$AB$757,20,FALSE)</f>
        <v>3488</v>
      </c>
      <c r="H536" s="94">
        <f ca="1">VLOOKUP(B536,'115+740'!$B$15:$AB$757,4,FALSE)</f>
        <v>-41</v>
      </c>
      <c r="I536" s="91">
        <f t="shared" ca="1" si="106"/>
        <v>3328</v>
      </c>
      <c r="J536" s="91">
        <f ca="1">VLOOKUP(B536,'115+740'!$B$15:$AB$757,13,FALSE)</f>
        <v>-672</v>
      </c>
      <c r="K536" s="89">
        <f>'115+740'!Q537</f>
        <v>2</v>
      </c>
      <c r="L536" s="88">
        <f t="shared" ca="1" si="111"/>
        <v>712</v>
      </c>
      <c r="M536" s="93">
        <f ca="1">VLOOKUP(B536,'115+740'!$B$14:$AB$757,21,FALSE)</f>
        <v>3303</v>
      </c>
      <c r="N536" s="92">
        <f ca="1">VLOOKUP(B536,'115+740'!$B$15:$AB$757,5,FALSE)</f>
        <v>194</v>
      </c>
      <c r="O536" s="91">
        <f t="shared" ca="1" si="107"/>
        <v>3093</v>
      </c>
      <c r="P536" s="91">
        <f ca="1">VLOOKUP(B536,'115+740'!$B$15:$AB$757,14,FALSE)</f>
        <v>-907</v>
      </c>
      <c r="Q536" s="89">
        <f>'115+740'!R537</f>
        <v>0</v>
      </c>
      <c r="R536" s="88">
        <f t="shared" ca="1" si="112"/>
        <v>897</v>
      </c>
      <c r="S536" s="93">
        <f ca="1">VLOOKUP(B536,'115+740'!$B$14:$AB$757,22,FALSE)</f>
        <v>3550</v>
      </c>
      <c r="T536" s="92">
        <f ca="1">VLOOKUP(B536,'115+740'!$B$15:$AB$757,6,FALSE)</f>
        <v>-23</v>
      </c>
      <c r="U536" s="91">
        <f t="shared" ca="1" si="108"/>
        <v>3310</v>
      </c>
      <c r="V536" s="90">
        <f ca="1">VLOOKUP(B536,'115+740'!$B$15:$AB$757,15,FALSE)</f>
        <v>-690</v>
      </c>
      <c r="W536" s="89">
        <f>'115+740'!S537</f>
        <v>0</v>
      </c>
      <c r="X536" s="88">
        <f t="shared" ca="1" si="113"/>
        <v>650</v>
      </c>
      <c r="Y536" s="87">
        <f t="shared" ca="1" si="114"/>
        <v>0</v>
      </c>
      <c r="Z536" s="86">
        <f t="shared" ca="1" si="115"/>
        <v>0</v>
      </c>
      <c r="AA536" s="85">
        <f t="shared" ca="1" si="116"/>
        <v>4.109</v>
      </c>
      <c r="AB536" s="85">
        <f t="shared" ca="1" si="117"/>
        <v>2.4159999999999999</v>
      </c>
    </row>
    <row r="537" spans="2:28">
      <c r="B537" s="98">
        <f>'115+740'!B538</f>
        <v>45596</v>
      </c>
      <c r="C537" s="97">
        <f t="shared" si="109"/>
        <v>1</v>
      </c>
      <c r="D537" s="96">
        <f t="shared" si="110"/>
        <v>1069</v>
      </c>
      <c r="E537" s="95">
        <f>VLOOKUP(B537,'115+740'!B538:AB896,3,FALSE)</f>
        <v>2220</v>
      </c>
      <c r="F537" s="92">
        <f t="shared" si="105"/>
        <v>3289</v>
      </c>
      <c r="G537" s="94">
        <f ca="1">VLOOKUP(B537,'115+740'!$B$15:$AB$757,20,FALSE)</f>
        <v>3488</v>
      </c>
      <c r="H537" s="94">
        <f ca="1">VLOOKUP(B537,'115+740'!$B$15:$AB$757,4,FALSE)</f>
        <v>-39</v>
      </c>
      <c r="I537" s="91">
        <f t="shared" ca="1" si="106"/>
        <v>3328</v>
      </c>
      <c r="J537" s="91">
        <f ca="1">VLOOKUP(B537,'115+740'!$B$15:$AB$757,13,FALSE)</f>
        <v>-672</v>
      </c>
      <c r="K537" s="89">
        <f>'115+740'!Q538</f>
        <v>0</v>
      </c>
      <c r="L537" s="88">
        <f t="shared" ca="1" si="111"/>
        <v>712</v>
      </c>
      <c r="M537" s="93">
        <f ca="1">VLOOKUP(B537,'115+740'!$B$14:$AB$757,21,FALSE)</f>
        <v>3301</v>
      </c>
      <c r="N537" s="92">
        <f ca="1">VLOOKUP(B537,'115+740'!$B$15:$AB$757,5,FALSE)</f>
        <v>198</v>
      </c>
      <c r="O537" s="91">
        <f t="shared" ca="1" si="107"/>
        <v>3091</v>
      </c>
      <c r="P537" s="91">
        <f ca="1">VLOOKUP(B537,'115+740'!$B$15:$AB$757,14,FALSE)</f>
        <v>-909</v>
      </c>
      <c r="Q537" s="89">
        <f>'115+740'!R538</f>
        <v>2</v>
      </c>
      <c r="R537" s="88">
        <f t="shared" ca="1" si="112"/>
        <v>899</v>
      </c>
      <c r="S537" s="93">
        <f ca="1">VLOOKUP(B537,'115+740'!$B$14:$AB$757,22,FALSE)</f>
        <v>3550</v>
      </c>
      <c r="T537" s="92">
        <f ca="1">VLOOKUP(B537,'115+740'!$B$15:$AB$757,6,FALSE)</f>
        <v>-21</v>
      </c>
      <c r="U537" s="91">
        <f t="shared" ca="1" si="108"/>
        <v>3310</v>
      </c>
      <c r="V537" s="90">
        <f ca="1">VLOOKUP(B537,'115+740'!$B$15:$AB$757,15,FALSE)</f>
        <v>-690</v>
      </c>
      <c r="W537" s="89">
        <f>'115+740'!S538</f>
        <v>0</v>
      </c>
      <c r="X537" s="88">
        <f t="shared" ca="1" si="113"/>
        <v>650</v>
      </c>
      <c r="Y537" s="87">
        <f t="shared" ca="1" si="114"/>
        <v>0</v>
      </c>
      <c r="Z537" s="86">
        <f t="shared" ca="1" si="115"/>
        <v>0</v>
      </c>
      <c r="AA537" s="85">
        <f t="shared" ca="1" si="116"/>
        <v>4.109</v>
      </c>
      <c r="AB537" s="85">
        <f t="shared" ca="1" si="117"/>
        <v>2.4119999999999999</v>
      </c>
    </row>
    <row r="538" spans="2:28">
      <c r="B538" s="98">
        <f>'115+740'!B539</f>
        <v>45597</v>
      </c>
      <c r="C538" s="97">
        <f t="shared" si="109"/>
        <v>1</v>
      </c>
      <c r="D538" s="96">
        <f t="shared" si="110"/>
        <v>1069</v>
      </c>
      <c r="E538" s="95">
        <f>VLOOKUP(B538,'115+740'!B539:AB897,3,FALSE)</f>
        <v>2222</v>
      </c>
      <c r="F538" s="92">
        <f t="shared" si="105"/>
        <v>3291</v>
      </c>
      <c r="G538" s="94">
        <f ca="1">VLOOKUP(B538,'115+740'!$B$15:$AB$757,20,FALSE)</f>
        <v>3488</v>
      </c>
      <c r="H538" s="94">
        <f ca="1">VLOOKUP(B538,'115+740'!$B$15:$AB$757,4,FALSE)</f>
        <v>-37</v>
      </c>
      <c r="I538" s="91">
        <f t="shared" ca="1" si="106"/>
        <v>3328</v>
      </c>
      <c r="J538" s="91">
        <f ca="1">VLOOKUP(B538,'115+740'!$B$15:$AB$757,13,FALSE)</f>
        <v>-672</v>
      </c>
      <c r="K538" s="89">
        <f>'115+740'!Q539</f>
        <v>0</v>
      </c>
      <c r="L538" s="88">
        <f t="shared" ca="1" si="111"/>
        <v>712</v>
      </c>
      <c r="M538" s="93">
        <f ca="1">VLOOKUP(B538,'115+740'!$B$14:$AB$757,21,FALSE)</f>
        <v>3301</v>
      </c>
      <c r="N538" s="92">
        <f ca="1">VLOOKUP(B538,'115+740'!$B$15:$AB$757,5,FALSE)</f>
        <v>200</v>
      </c>
      <c r="O538" s="91">
        <f t="shared" ca="1" si="107"/>
        <v>3091</v>
      </c>
      <c r="P538" s="91">
        <f ca="1">VLOOKUP(B538,'115+740'!$B$15:$AB$757,14,FALSE)</f>
        <v>-909</v>
      </c>
      <c r="Q538" s="89">
        <f>'115+740'!R539</f>
        <v>0</v>
      </c>
      <c r="R538" s="88">
        <f t="shared" ca="1" si="112"/>
        <v>899</v>
      </c>
      <c r="S538" s="93">
        <f ca="1">VLOOKUP(B538,'115+740'!$B$14:$AB$757,22,FALSE)</f>
        <v>3548</v>
      </c>
      <c r="T538" s="92">
        <f ca="1">VLOOKUP(B538,'115+740'!$B$15:$AB$757,6,FALSE)</f>
        <v>-17</v>
      </c>
      <c r="U538" s="91">
        <f t="shared" ca="1" si="108"/>
        <v>3308</v>
      </c>
      <c r="V538" s="90">
        <f ca="1">VLOOKUP(B538,'115+740'!$B$15:$AB$757,15,FALSE)</f>
        <v>-692</v>
      </c>
      <c r="W538" s="89">
        <f>'115+740'!S539</f>
        <v>2</v>
      </c>
      <c r="X538" s="88">
        <f t="shared" ca="1" si="113"/>
        <v>652</v>
      </c>
      <c r="Y538" s="87">
        <f t="shared" ca="1" si="114"/>
        <v>-2</v>
      </c>
      <c r="Z538" s="86">
        <f t="shared" ca="1" si="115"/>
        <v>0</v>
      </c>
      <c r="AA538" s="85">
        <f t="shared" ca="1" si="116"/>
        <v>4.109</v>
      </c>
      <c r="AB538" s="85">
        <f t="shared" ca="1" si="117"/>
        <v>2.4119999999999999</v>
      </c>
    </row>
    <row r="539" spans="2:28">
      <c r="B539" s="98">
        <f>'115+740'!B540</f>
        <v>45598</v>
      </c>
      <c r="C539" s="97">
        <f t="shared" si="109"/>
        <v>1</v>
      </c>
      <c r="D539" s="96">
        <f t="shared" si="110"/>
        <v>1069</v>
      </c>
      <c r="E539" s="95">
        <f>VLOOKUP(B539,'115+740'!B540:AB898,3,FALSE)</f>
        <v>2224</v>
      </c>
      <c r="F539" s="92">
        <f t="shared" si="105"/>
        <v>3293</v>
      </c>
      <c r="G539" s="94">
        <f ca="1">VLOOKUP(B539,'115+740'!$B$15:$AB$757,20,FALSE)</f>
        <v>3486</v>
      </c>
      <c r="H539" s="94">
        <f ca="1">VLOOKUP(B539,'115+740'!$B$15:$AB$757,4,FALSE)</f>
        <v>-33</v>
      </c>
      <c r="I539" s="91">
        <f t="shared" ca="1" si="106"/>
        <v>3326</v>
      </c>
      <c r="J539" s="91">
        <f ca="1">VLOOKUP(B539,'115+740'!$B$15:$AB$757,13,FALSE)</f>
        <v>-674</v>
      </c>
      <c r="K539" s="89">
        <f>'115+740'!Q540</f>
        <v>2</v>
      </c>
      <c r="L539" s="88">
        <f t="shared" ca="1" si="111"/>
        <v>714</v>
      </c>
      <c r="M539" s="93">
        <f ca="1">VLOOKUP(B539,'115+740'!$B$14:$AB$757,21,FALSE)</f>
        <v>3301</v>
      </c>
      <c r="N539" s="92">
        <f ca="1">VLOOKUP(B539,'115+740'!$B$15:$AB$757,5,FALSE)</f>
        <v>202</v>
      </c>
      <c r="O539" s="91">
        <f t="shared" ca="1" si="107"/>
        <v>3091</v>
      </c>
      <c r="P539" s="91">
        <f ca="1">VLOOKUP(B539,'115+740'!$B$15:$AB$757,14,FALSE)</f>
        <v>-909</v>
      </c>
      <c r="Q539" s="89">
        <f>'115+740'!R540</f>
        <v>0</v>
      </c>
      <c r="R539" s="88">
        <f t="shared" ca="1" si="112"/>
        <v>899</v>
      </c>
      <c r="S539" s="93">
        <f ca="1">VLOOKUP(B539,'115+740'!$B$14:$AB$757,22,FALSE)</f>
        <v>3548</v>
      </c>
      <c r="T539" s="92">
        <f ca="1">VLOOKUP(B539,'115+740'!$B$15:$AB$757,6,FALSE)</f>
        <v>-15</v>
      </c>
      <c r="U539" s="91">
        <f t="shared" ca="1" si="108"/>
        <v>3308</v>
      </c>
      <c r="V539" s="90">
        <f ca="1">VLOOKUP(B539,'115+740'!$B$15:$AB$757,15,FALSE)</f>
        <v>-692</v>
      </c>
      <c r="W539" s="89">
        <f>'115+740'!S540</f>
        <v>0</v>
      </c>
      <c r="X539" s="88">
        <f t="shared" ca="1" si="113"/>
        <v>652</v>
      </c>
      <c r="Y539" s="87">
        <f t="shared" ca="1" si="114"/>
        <v>0</v>
      </c>
      <c r="Z539" s="86">
        <f t="shared" ca="1" si="115"/>
        <v>0</v>
      </c>
      <c r="AA539" s="85">
        <f t="shared" ca="1" si="116"/>
        <v>4.109</v>
      </c>
      <c r="AB539" s="85">
        <f t="shared" ca="1" si="117"/>
        <v>2.4119999999999999</v>
      </c>
    </row>
    <row r="540" spans="2:28">
      <c r="B540" s="98">
        <f>'115+740'!B541</f>
        <v>45599</v>
      </c>
      <c r="C540" s="97">
        <f t="shared" si="109"/>
        <v>1</v>
      </c>
      <c r="D540" s="96">
        <f t="shared" si="110"/>
        <v>1069</v>
      </c>
      <c r="E540" s="95">
        <f>VLOOKUP(B540,'115+740'!B541:AB899,3,FALSE)</f>
        <v>2226</v>
      </c>
      <c r="F540" s="92">
        <f t="shared" si="105"/>
        <v>3295</v>
      </c>
      <c r="G540" s="94">
        <f ca="1">VLOOKUP(B540,'115+740'!$B$15:$AB$757,20,FALSE)</f>
        <v>3486</v>
      </c>
      <c r="H540" s="94">
        <f ca="1">VLOOKUP(B540,'115+740'!$B$15:$AB$757,4,FALSE)</f>
        <v>-31</v>
      </c>
      <c r="I540" s="91">
        <f t="shared" ca="1" si="106"/>
        <v>3326</v>
      </c>
      <c r="J540" s="91">
        <f ca="1">VLOOKUP(B540,'115+740'!$B$15:$AB$757,13,FALSE)</f>
        <v>-674</v>
      </c>
      <c r="K540" s="89">
        <f>'115+740'!Q541</f>
        <v>0</v>
      </c>
      <c r="L540" s="88">
        <f t="shared" ca="1" si="111"/>
        <v>714</v>
      </c>
      <c r="M540" s="93">
        <f ca="1">VLOOKUP(B540,'115+740'!$B$14:$AB$757,21,FALSE)</f>
        <v>3300</v>
      </c>
      <c r="N540" s="92">
        <f ca="1">VLOOKUP(B540,'115+740'!$B$15:$AB$757,5,FALSE)</f>
        <v>205</v>
      </c>
      <c r="O540" s="91">
        <f t="shared" ca="1" si="107"/>
        <v>3090</v>
      </c>
      <c r="P540" s="91">
        <f ca="1">VLOOKUP(B540,'115+740'!$B$15:$AB$757,14,FALSE)</f>
        <v>-910</v>
      </c>
      <c r="Q540" s="89">
        <f>'115+740'!R541</f>
        <v>1</v>
      </c>
      <c r="R540" s="88">
        <f t="shared" ca="1" si="112"/>
        <v>900</v>
      </c>
      <c r="S540" s="93">
        <f ca="1">VLOOKUP(B540,'115+740'!$B$14:$AB$757,22,FALSE)</f>
        <v>3548</v>
      </c>
      <c r="T540" s="92">
        <f ca="1">VLOOKUP(B540,'115+740'!$B$15:$AB$757,6,FALSE)</f>
        <v>-13</v>
      </c>
      <c r="U540" s="91">
        <f t="shared" ca="1" si="108"/>
        <v>3308</v>
      </c>
      <c r="V540" s="90">
        <f ca="1">VLOOKUP(B540,'115+740'!$B$15:$AB$757,15,FALSE)</f>
        <v>-692</v>
      </c>
      <c r="W540" s="89">
        <f>'115+740'!S541</f>
        <v>0</v>
      </c>
      <c r="X540" s="88">
        <f t="shared" ca="1" si="113"/>
        <v>652</v>
      </c>
      <c r="Y540" s="87">
        <f t="shared" ca="1" si="114"/>
        <v>0</v>
      </c>
      <c r="Z540" s="86">
        <f t="shared" ca="1" si="115"/>
        <v>0</v>
      </c>
      <c r="AA540" s="85">
        <f t="shared" ca="1" si="116"/>
        <v>4.109</v>
      </c>
      <c r="AB540" s="85">
        <f t="shared" ca="1" si="117"/>
        <v>2.41</v>
      </c>
    </row>
    <row r="541" spans="2:28">
      <c r="B541" s="98">
        <f>'115+740'!B542</f>
        <v>45600</v>
      </c>
      <c r="C541" s="97">
        <f t="shared" si="109"/>
        <v>1</v>
      </c>
      <c r="D541" s="96">
        <f t="shared" si="110"/>
        <v>1069</v>
      </c>
      <c r="E541" s="95">
        <f>VLOOKUP(B541,'115+740'!B542:AB900,3,FALSE)</f>
        <v>2228</v>
      </c>
      <c r="F541" s="92">
        <f t="shared" si="105"/>
        <v>3297</v>
      </c>
      <c r="G541" s="94">
        <f ca="1">VLOOKUP(B541,'115+740'!$B$15:$AB$757,20,FALSE)</f>
        <v>3486</v>
      </c>
      <c r="H541" s="94">
        <f ca="1">VLOOKUP(B541,'115+740'!$B$15:$AB$757,4,FALSE)</f>
        <v>-29</v>
      </c>
      <c r="I541" s="91">
        <f t="shared" ca="1" si="106"/>
        <v>3326</v>
      </c>
      <c r="J541" s="91">
        <f ca="1">VLOOKUP(B541,'115+740'!$B$15:$AB$757,13,FALSE)</f>
        <v>-674</v>
      </c>
      <c r="K541" s="89">
        <f>'115+740'!Q542</f>
        <v>0</v>
      </c>
      <c r="L541" s="88">
        <f t="shared" ca="1" si="111"/>
        <v>714</v>
      </c>
      <c r="M541" s="93">
        <f ca="1">VLOOKUP(B541,'115+740'!$B$14:$AB$757,21,FALSE)</f>
        <v>3300</v>
      </c>
      <c r="N541" s="92">
        <f ca="1">VLOOKUP(B541,'115+740'!$B$15:$AB$757,5,FALSE)</f>
        <v>207</v>
      </c>
      <c r="O541" s="91">
        <f t="shared" ca="1" si="107"/>
        <v>3090</v>
      </c>
      <c r="P541" s="91">
        <f ca="1">VLOOKUP(B541,'115+740'!$B$15:$AB$757,14,FALSE)</f>
        <v>-910</v>
      </c>
      <c r="Q541" s="89">
        <f>'115+740'!R542</f>
        <v>0</v>
      </c>
      <c r="R541" s="88">
        <f t="shared" ca="1" si="112"/>
        <v>900</v>
      </c>
      <c r="S541" s="93">
        <f ca="1">VLOOKUP(B541,'115+740'!$B$14:$AB$757,22,FALSE)</f>
        <v>3548</v>
      </c>
      <c r="T541" s="92">
        <f ca="1">VLOOKUP(B541,'115+740'!$B$15:$AB$757,6,FALSE)</f>
        <v>-11</v>
      </c>
      <c r="U541" s="91">
        <f t="shared" ca="1" si="108"/>
        <v>3308</v>
      </c>
      <c r="V541" s="90">
        <f ca="1">VLOOKUP(B541,'115+740'!$B$15:$AB$757,15,FALSE)</f>
        <v>-692</v>
      </c>
      <c r="W541" s="89">
        <f>'115+740'!S542</f>
        <v>0</v>
      </c>
      <c r="X541" s="88">
        <f t="shared" ca="1" si="113"/>
        <v>652</v>
      </c>
      <c r="Y541" s="87">
        <f t="shared" ca="1" si="114"/>
        <v>0</v>
      </c>
      <c r="Z541" s="86">
        <f t="shared" ca="1" si="115"/>
        <v>0</v>
      </c>
      <c r="AA541" s="85">
        <f t="shared" ca="1" si="116"/>
        <v>4.109</v>
      </c>
      <c r="AB541" s="85">
        <f t="shared" ca="1" si="117"/>
        <v>2.41</v>
      </c>
    </row>
    <row r="542" spans="2:28">
      <c r="B542" s="98">
        <f>'115+740'!B543</f>
        <v>45601</v>
      </c>
      <c r="C542" s="97">
        <f t="shared" si="109"/>
        <v>1</v>
      </c>
      <c r="D542" s="96">
        <f t="shared" si="110"/>
        <v>1069</v>
      </c>
      <c r="E542" s="95">
        <f>VLOOKUP(B542,'115+740'!B543:AB901,3,FALSE)</f>
        <v>2230</v>
      </c>
      <c r="F542" s="92">
        <f t="shared" si="105"/>
        <v>3299</v>
      </c>
      <c r="G542" s="94">
        <f ca="1">VLOOKUP(B542,'115+740'!$B$15:$AB$757,20,FALSE)</f>
        <v>3485</v>
      </c>
      <c r="H542" s="94">
        <f ca="1">VLOOKUP(B542,'115+740'!$B$15:$AB$757,4,FALSE)</f>
        <v>-26</v>
      </c>
      <c r="I542" s="91">
        <f t="shared" ca="1" si="106"/>
        <v>3325</v>
      </c>
      <c r="J542" s="91">
        <f ca="1">VLOOKUP(B542,'115+740'!$B$15:$AB$757,13,FALSE)</f>
        <v>-675</v>
      </c>
      <c r="K542" s="89">
        <f>'115+740'!Q543</f>
        <v>1</v>
      </c>
      <c r="L542" s="88">
        <f t="shared" ca="1" si="111"/>
        <v>715</v>
      </c>
      <c r="M542" s="93">
        <f ca="1">VLOOKUP(B542,'115+740'!$B$14:$AB$757,21,FALSE)</f>
        <v>3300</v>
      </c>
      <c r="N542" s="92">
        <f ca="1">VLOOKUP(B542,'115+740'!$B$15:$AB$757,5,FALSE)</f>
        <v>209</v>
      </c>
      <c r="O542" s="91">
        <f t="shared" ca="1" si="107"/>
        <v>3090</v>
      </c>
      <c r="P542" s="91">
        <f ca="1">VLOOKUP(B542,'115+740'!$B$15:$AB$757,14,FALSE)</f>
        <v>-910</v>
      </c>
      <c r="Q542" s="89">
        <f>'115+740'!R543</f>
        <v>0</v>
      </c>
      <c r="R542" s="88">
        <f t="shared" ca="1" si="112"/>
        <v>900</v>
      </c>
      <c r="S542" s="93">
        <f ca="1">VLOOKUP(B542,'115+740'!$B$14:$AB$757,22,FALSE)</f>
        <v>3548</v>
      </c>
      <c r="T542" s="92">
        <f ca="1">VLOOKUP(B542,'115+740'!$B$15:$AB$757,6,FALSE)</f>
        <v>-9</v>
      </c>
      <c r="U542" s="91">
        <f t="shared" ca="1" si="108"/>
        <v>3308</v>
      </c>
      <c r="V542" s="90">
        <f ca="1">VLOOKUP(B542,'115+740'!$B$15:$AB$757,15,FALSE)</f>
        <v>-692</v>
      </c>
      <c r="W542" s="89">
        <f>'115+740'!S543</f>
        <v>0</v>
      </c>
      <c r="X542" s="88">
        <f t="shared" ca="1" si="113"/>
        <v>652</v>
      </c>
      <c r="Y542" s="87">
        <f t="shared" ca="1" si="114"/>
        <v>0</v>
      </c>
      <c r="Z542" s="86">
        <f t="shared" ca="1" si="115"/>
        <v>0</v>
      </c>
      <c r="AA542" s="85">
        <f t="shared" ca="1" si="116"/>
        <v>4.109</v>
      </c>
      <c r="AB542" s="85">
        <f t="shared" ca="1" si="117"/>
        <v>2.41</v>
      </c>
    </row>
    <row r="543" spans="2:28">
      <c r="B543" s="98">
        <f>'115+740'!B544</f>
        <v>45602</v>
      </c>
      <c r="C543" s="97">
        <f t="shared" si="109"/>
        <v>1</v>
      </c>
      <c r="D543" s="96">
        <f t="shared" si="110"/>
        <v>1069</v>
      </c>
      <c r="E543" s="95">
        <f>VLOOKUP(B543,'115+740'!B544:AB902,3,FALSE)</f>
        <v>2232</v>
      </c>
      <c r="F543" s="92">
        <f t="shared" si="105"/>
        <v>3301</v>
      </c>
      <c r="G543" s="94">
        <f ca="1">VLOOKUP(B543,'115+740'!$B$15:$AB$757,20,FALSE)</f>
        <v>3485</v>
      </c>
      <c r="H543" s="94">
        <f ca="1">VLOOKUP(B543,'115+740'!$B$15:$AB$757,4,FALSE)</f>
        <v>-24</v>
      </c>
      <c r="I543" s="91">
        <f t="shared" ca="1" si="106"/>
        <v>3325</v>
      </c>
      <c r="J543" s="91">
        <f ca="1">VLOOKUP(B543,'115+740'!$B$15:$AB$757,13,FALSE)</f>
        <v>-675</v>
      </c>
      <c r="K543" s="89">
        <f>'115+740'!Q544</f>
        <v>0</v>
      </c>
      <c r="L543" s="88">
        <f t="shared" ca="1" si="111"/>
        <v>715</v>
      </c>
      <c r="M543" s="93">
        <f ca="1">VLOOKUP(B543,'115+740'!$B$14:$AB$757,21,FALSE)</f>
        <v>3298</v>
      </c>
      <c r="N543" s="92">
        <f ca="1">VLOOKUP(B543,'115+740'!$B$15:$AB$757,5,FALSE)</f>
        <v>213</v>
      </c>
      <c r="O543" s="91">
        <f t="shared" ca="1" si="107"/>
        <v>3088</v>
      </c>
      <c r="P543" s="91">
        <f ca="1">VLOOKUP(B543,'115+740'!$B$15:$AB$757,14,FALSE)</f>
        <v>-912</v>
      </c>
      <c r="Q543" s="89">
        <f>'115+740'!R544</f>
        <v>2</v>
      </c>
      <c r="R543" s="88">
        <f t="shared" ca="1" si="112"/>
        <v>902</v>
      </c>
      <c r="S543" s="93">
        <f ca="1">VLOOKUP(B543,'115+740'!$B$14:$AB$757,22,FALSE)</f>
        <v>3548</v>
      </c>
      <c r="T543" s="92">
        <f ca="1">VLOOKUP(B543,'115+740'!$B$15:$AB$757,6,FALSE)</f>
        <v>-7</v>
      </c>
      <c r="U543" s="91">
        <f t="shared" ca="1" si="108"/>
        <v>3308</v>
      </c>
      <c r="V543" s="90">
        <f ca="1">VLOOKUP(B543,'115+740'!$B$15:$AB$757,15,FALSE)</f>
        <v>-692</v>
      </c>
      <c r="W543" s="89">
        <f>'115+740'!S544</f>
        <v>0</v>
      </c>
      <c r="X543" s="88">
        <f t="shared" ca="1" si="113"/>
        <v>652</v>
      </c>
      <c r="Y543" s="87">
        <f t="shared" ca="1" si="114"/>
        <v>0</v>
      </c>
      <c r="Z543" s="86">
        <f t="shared" ca="1" si="115"/>
        <v>0</v>
      </c>
      <c r="AA543" s="85">
        <f t="shared" ca="1" si="116"/>
        <v>4.109</v>
      </c>
      <c r="AB543" s="85">
        <f t="shared" ca="1" si="117"/>
        <v>2.4060000000000001</v>
      </c>
    </row>
    <row r="544" spans="2:28">
      <c r="B544" s="98">
        <f>'115+740'!B545</f>
        <v>45603</v>
      </c>
      <c r="C544" s="97">
        <f t="shared" si="109"/>
        <v>1</v>
      </c>
      <c r="D544" s="96">
        <f t="shared" si="110"/>
        <v>1069</v>
      </c>
      <c r="E544" s="95">
        <f>VLOOKUP(B544,'115+740'!B545:AB903,3,FALSE)</f>
        <v>2234</v>
      </c>
      <c r="F544" s="92">
        <f t="shared" si="105"/>
        <v>3303</v>
      </c>
      <c r="G544" s="94">
        <f ca="1">VLOOKUP(B544,'115+740'!$B$15:$AB$757,20,FALSE)</f>
        <v>3485</v>
      </c>
      <c r="H544" s="94">
        <f ca="1">VLOOKUP(B544,'115+740'!$B$15:$AB$757,4,FALSE)</f>
        <v>-22</v>
      </c>
      <c r="I544" s="91">
        <f t="shared" ca="1" si="106"/>
        <v>3325</v>
      </c>
      <c r="J544" s="91">
        <f ca="1">VLOOKUP(B544,'115+740'!$B$15:$AB$757,13,FALSE)</f>
        <v>-675</v>
      </c>
      <c r="K544" s="89">
        <f>'115+740'!Q545</f>
        <v>0</v>
      </c>
      <c r="L544" s="88">
        <f t="shared" ca="1" si="111"/>
        <v>715</v>
      </c>
      <c r="M544" s="93">
        <f ca="1">VLOOKUP(B544,'115+740'!$B$14:$AB$757,21,FALSE)</f>
        <v>3298</v>
      </c>
      <c r="N544" s="92">
        <f ca="1">VLOOKUP(B544,'115+740'!$B$15:$AB$757,5,FALSE)</f>
        <v>215</v>
      </c>
      <c r="O544" s="91">
        <f t="shared" ca="1" si="107"/>
        <v>3088</v>
      </c>
      <c r="P544" s="91">
        <f ca="1">VLOOKUP(B544,'115+740'!$B$15:$AB$757,14,FALSE)</f>
        <v>-912</v>
      </c>
      <c r="Q544" s="89">
        <f>'115+740'!R545</f>
        <v>0</v>
      </c>
      <c r="R544" s="88">
        <f t="shared" ca="1" si="112"/>
        <v>902</v>
      </c>
      <c r="S544" s="93">
        <f ca="1">VLOOKUP(B544,'115+740'!$B$14:$AB$757,22,FALSE)</f>
        <v>3548</v>
      </c>
      <c r="T544" s="92">
        <f ca="1">VLOOKUP(B544,'115+740'!$B$15:$AB$757,6,FALSE)</f>
        <v>-5</v>
      </c>
      <c r="U544" s="91">
        <f t="shared" ca="1" si="108"/>
        <v>3308</v>
      </c>
      <c r="V544" s="90">
        <f ca="1">VLOOKUP(B544,'115+740'!$B$15:$AB$757,15,FALSE)</f>
        <v>-692</v>
      </c>
      <c r="W544" s="89">
        <f>'115+740'!S545</f>
        <v>0</v>
      </c>
      <c r="X544" s="88">
        <f t="shared" ca="1" si="113"/>
        <v>652</v>
      </c>
      <c r="Y544" s="87">
        <f t="shared" ca="1" si="114"/>
        <v>0</v>
      </c>
      <c r="Z544" s="86">
        <f t="shared" ca="1" si="115"/>
        <v>0</v>
      </c>
      <c r="AA544" s="85">
        <f t="shared" ca="1" si="116"/>
        <v>4.109</v>
      </c>
      <c r="AB544" s="85">
        <f t="shared" ca="1" si="117"/>
        <v>2.4060000000000001</v>
      </c>
    </row>
    <row r="545" spans="2:28">
      <c r="B545" s="98">
        <f>'115+740'!B546</f>
        <v>45604</v>
      </c>
      <c r="C545" s="97">
        <f t="shared" si="109"/>
        <v>1</v>
      </c>
      <c r="D545" s="96">
        <f t="shared" si="110"/>
        <v>1069</v>
      </c>
      <c r="E545" s="95">
        <f>VLOOKUP(B545,'115+740'!B546:AB904,3,FALSE)</f>
        <v>2236</v>
      </c>
      <c r="F545" s="92">
        <f t="shared" si="105"/>
        <v>3305</v>
      </c>
      <c r="G545" s="94">
        <f ca="1">VLOOKUP(B545,'115+740'!$B$15:$AB$757,20,FALSE)</f>
        <v>3478</v>
      </c>
      <c r="H545" s="94">
        <f ca="1">VLOOKUP(B545,'115+740'!$B$15:$AB$757,4,FALSE)</f>
        <v>-13</v>
      </c>
      <c r="I545" s="91">
        <f t="shared" ca="1" si="106"/>
        <v>3318</v>
      </c>
      <c r="J545" s="91">
        <f ca="1">VLOOKUP(B545,'115+740'!$B$15:$AB$757,13,FALSE)</f>
        <v>-682</v>
      </c>
      <c r="K545" s="89">
        <f>'115+740'!Q546</f>
        <v>7</v>
      </c>
      <c r="L545" s="88">
        <f t="shared" ca="1" si="111"/>
        <v>722</v>
      </c>
      <c r="M545" s="93">
        <f ca="1">VLOOKUP(B545,'115+740'!$B$14:$AB$757,21,FALSE)</f>
        <v>3297</v>
      </c>
      <c r="N545" s="92">
        <f ca="1">VLOOKUP(B545,'115+740'!$B$15:$AB$757,5,FALSE)</f>
        <v>218</v>
      </c>
      <c r="O545" s="91">
        <f t="shared" ca="1" si="107"/>
        <v>3087</v>
      </c>
      <c r="P545" s="91">
        <f ca="1">VLOOKUP(B545,'115+740'!$B$15:$AB$757,14,FALSE)</f>
        <v>-913</v>
      </c>
      <c r="Q545" s="89">
        <f>'115+740'!R546</f>
        <v>1</v>
      </c>
      <c r="R545" s="88">
        <f t="shared" ca="1" si="112"/>
        <v>903</v>
      </c>
      <c r="S545" s="93">
        <f ca="1">VLOOKUP(B545,'115+740'!$B$14:$AB$757,22,FALSE)</f>
        <v>3548</v>
      </c>
      <c r="T545" s="92">
        <f ca="1">VLOOKUP(B545,'115+740'!$B$15:$AB$757,6,FALSE)</f>
        <v>-3</v>
      </c>
      <c r="U545" s="91">
        <f t="shared" ca="1" si="108"/>
        <v>3308</v>
      </c>
      <c r="V545" s="90">
        <f ca="1">VLOOKUP(B545,'115+740'!$B$15:$AB$757,15,FALSE)</f>
        <v>-692</v>
      </c>
      <c r="W545" s="89">
        <f>'115+740'!S546</f>
        <v>0</v>
      </c>
      <c r="X545" s="88">
        <f t="shared" ca="1" si="113"/>
        <v>652</v>
      </c>
      <c r="Y545" s="87">
        <f t="shared" ca="1" si="114"/>
        <v>0</v>
      </c>
      <c r="Z545" s="86">
        <f t="shared" ca="1" si="115"/>
        <v>0</v>
      </c>
      <c r="AA545" s="85">
        <f t="shared" ca="1" si="116"/>
        <v>4.109</v>
      </c>
      <c r="AB545" s="85">
        <f t="shared" ca="1" si="117"/>
        <v>2.4039999999999999</v>
      </c>
    </row>
    <row r="546" spans="2:28">
      <c r="B546" s="98">
        <f>'115+740'!B547</f>
        <v>45605</v>
      </c>
      <c r="C546" s="97">
        <f t="shared" si="109"/>
        <v>1</v>
      </c>
      <c r="D546" s="96">
        <f t="shared" si="110"/>
        <v>1069</v>
      </c>
      <c r="E546" s="95">
        <f>VLOOKUP(B546,'115+740'!B547:AB905,3,FALSE)</f>
        <v>2238</v>
      </c>
      <c r="F546" s="92">
        <f t="shared" si="105"/>
        <v>3307</v>
      </c>
      <c r="G546" s="94">
        <f ca="1">VLOOKUP(B546,'115+740'!$B$15:$AB$757,20,FALSE)</f>
        <v>3474</v>
      </c>
      <c r="H546" s="94">
        <f ca="1">VLOOKUP(B546,'115+740'!$B$15:$AB$757,4,FALSE)</f>
        <v>-7</v>
      </c>
      <c r="I546" s="91">
        <f t="shared" ca="1" si="106"/>
        <v>3314</v>
      </c>
      <c r="J546" s="91">
        <f ca="1">VLOOKUP(B546,'115+740'!$B$15:$AB$757,13,FALSE)</f>
        <v>-686</v>
      </c>
      <c r="K546" s="89">
        <f>'115+740'!Q547</f>
        <v>4</v>
      </c>
      <c r="L546" s="88">
        <f t="shared" ca="1" si="111"/>
        <v>726</v>
      </c>
      <c r="M546" s="93">
        <f ca="1">VLOOKUP(B546,'115+740'!$B$14:$AB$757,21,FALSE)</f>
        <v>3297</v>
      </c>
      <c r="N546" s="92">
        <f ca="1">VLOOKUP(B546,'115+740'!$B$15:$AB$757,5,FALSE)</f>
        <v>220</v>
      </c>
      <c r="O546" s="91">
        <f t="shared" ca="1" si="107"/>
        <v>3087</v>
      </c>
      <c r="P546" s="91">
        <f ca="1">VLOOKUP(B546,'115+740'!$B$15:$AB$757,14,FALSE)</f>
        <v>-913</v>
      </c>
      <c r="Q546" s="89">
        <f>'115+740'!R547</f>
        <v>0</v>
      </c>
      <c r="R546" s="88">
        <f t="shared" ca="1" si="112"/>
        <v>903</v>
      </c>
      <c r="S546" s="93">
        <f ca="1">VLOOKUP(B546,'115+740'!$B$14:$AB$757,22,FALSE)</f>
        <v>3548</v>
      </c>
      <c r="T546" s="92">
        <f ca="1">VLOOKUP(B546,'115+740'!$B$15:$AB$757,6,FALSE)</f>
        <v>-1</v>
      </c>
      <c r="U546" s="91">
        <f t="shared" ca="1" si="108"/>
        <v>3308</v>
      </c>
      <c r="V546" s="90">
        <f ca="1">VLOOKUP(B546,'115+740'!$B$15:$AB$757,15,FALSE)</f>
        <v>-692</v>
      </c>
      <c r="W546" s="89">
        <f>'115+740'!S547</f>
        <v>0</v>
      </c>
      <c r="X546" s="88">
        <f t="shared" ca="1" si="113"/>
        <v>652</v>
      </c>
      <c r="Y546" s="87">
        <f t="shared" ca="1" si="114"/>
        <v>0</v>
      </c>
      <c r="Z546" s="86">
        <f t="shared" ca="1" si="115"/>
        <v>0</v>
      </c>
      <c r="AA546" s="85">
        <f t="shared" ca="1" si="116"/>
        <v>4.109</v>
      </c>
      <c r="AB546" s="85">
        <f t="shared" ca="1" si="117"/>
        <v>2.4039999999999999</v>
      </c>
    </row>
    <row r="547" spans="2:28">
      <c r="B547" s="98">
        <f>'115+740'!B548</f>
        <v>45606</v>
      </c>
      <c r="C547" s="97">
        <f t="shared" si="109"/>
        <v>1</v>
      </c>
      <c r="D547" s="96">
        <f t="shared" si="110"/>
        <v>1069</v>
      </c>
      <c r="E547" s="95">
        <f>VLOOKUP(B547,'115+740'!B548:AB906,3,FALSE)</f>
        <v>2240</v>
      </c>
      <c r="F547" s="92">
        <f t="shared" si="105"/>
        <v>3309</v>
      </c>
      <c r="G547" s="94">
        <f ca="1">VLOOKUP(B547,'115+740'!$B$15:$AB$757,20,FALSE)</f>
        <v>3471</v>
      </c>
      <c r="H547" s="94">
        <f ca="1">VLOOKUP(B547,'115+740'!$B$15:$AB$757,4,FALSE)</f>
        <v>-2</v>
      </c>
      <c r="I547" s="91">
        <f t="shared" ca="1" si="106"/>
        <v>3311</v>
      </c>
      <c r="J547" s="91">
        <f ca="1">VLOOKUP(B547,'115+740'!$B$15:$AB$757,13,FALSE)</f>
        <v>-689</v>
      </c>
      <c r="K547" s="89">
        <f>'115+740'!Q548</f>
        <v>3</v>
      </c>
      <c r="L547" s="88">
        <f t="shared" ca="1" si="111"/>
        <v>729</v>
      </c>
      <c r="M547" s="93">
        <f ca="1">VLOOKUP(B547,'115+740'!$B$14:$AB$757,21,FALSE)</f>
        <v>3293</v>
      </c>
      <c r="N547" s="92">
        <f ca="1">VLOOKUP(B547,'115+740'!$B$15:$AB$757,5,FALSE)</f>
        <v>226</v>
      </c>
      <c r="O547" s="91">
        <f t="shared" ca="1" si="107"/>
        <v>3083</v>
      </c>
      <c r="P547" s="91">
        <f ca="1">VLOOKUP(B547,'115+740'!$B$15:$AB$757,14,FALSE)</f>
        <v>-917</v>
      </c>
      <c r="Q547" s="89">
        <f>'115+740'!R548</f>
        <v>4</v>
      </c>
      <c r="R547" s="88">
        <f t="shared" ca="1" si="112"/>
        <v>907</v>
      </c>
      <c r="S547" s="93">
        <f ca="1">VLOOKUP(B547,'115+740'!$B$14:$AB$757,22,FALSE)</f>
        <v>3548</v>
      </c>
      <c r="T547" s="92">
        <f ca="1">VLOOKUP(B547,'115+740'!$B$15:$AB$757,6,FALSE)</f>
        <v>1</v>
      </c>
      <c r="U547" s="91">
        <f t="shared" ca="1" si="108"/>
        <v>3308</v>
      </c>
      <c r="V547" s="90">
        <f ca="1">VLOOKUP(B547,'115+740'!$B$15:$AB$757,15,FALSE)</f>
        <v>-692</v>
      </c>
      <c r="W547" s="89">
        <f>'115+740'!S548</f>
        <v>0</v>
      </c>
      <c r="X547" s="88">
        <f t="shared" ca="1" si="113"/>
        <v>652</v>
      </c>
      <c r="Y547" s="87">
        <f t="shared" ca="1" si="114"/>
        <v>0</v>
      </c>
      <c r="Z547" s="86">
        <f t="shared" ca="1" si="115"/>
        <v>0</v>
      </c>
      <c r="AA547" s="85">
        <f t="shared" ca="1" si="116"/>
        <v>4.109</v>
      </c>
      <c r="AB547" s="85">
        <f t="shared" ca="1" si="117"/>
        <v>2.3959999999999999</v>
      </c>
    </row>
    <row r="548" spans="2:28">
      <c r="B548" s="98">
        <f>'115+740'!B549</f>
        <v>45607</v>
      </c>
      <c r="C548" s="97">
        <f t="shared" si="109"/>
        <v>1</v>
      </c>
      <c r="D548" s="96">
        <f t="shared" si="110"/>
        <v>1069</v>
      </c>
      <c r="E548" s="95">
        <f>VLOOKUP(B548,'115+740'!B549:AB907,3,FALSE)</f>
        <v>2242</v>
      </c>
      <c r="F548" s="92">
        <f t="shared" si="105"/>
        <v>3311</v>
      </c>
      <c r="G548" s="94">
        <f ca="1">VLOOKUP(B548,'115+740'!$B$15:$AB$757,20,FALSE)</f>
        <v>3471</v>
      </c>
      <c r="H548" s="94">
        <f ca="1">VLOOKUP(B548,'115+740'!$B$15:$AB$757,4,FALSE)</f>
        <v>0</v>
      </c>
      <c r="I548" s="91">
        <f t="shared" ca="1" si="106"/>
        <v>3311</v>
      </c>
      <c r="J548" s="91">
        <f ca="1">VLOOKUP(B548,'115+740'!$B$15:$AB$757,13,FALSE)</f>
        <v>-689</v>
      </c>
      <c r="K548" s="89">
        <f>'115+740'!Q549</f>
        <v>0</v>
      </c>
      <c r="L548" s="88">
        <f t="shared" ca="1" si="111"/>
        <v>729</v>
      </c>
      <c r="M548" s="93">
        <f ca="1">VLOOKUP(B548,'115+740'!$B$14:$AB$757,21,FALSE)</f>
        <v>3292</v>
      </c>
      <c r="N548" s="92">
        <f ca="1">VLOOKUP(B548,'115+740'!$B$15:$AB$757,5,FALSE)</f>
        <v>229</v>
      </c>
      <c r="O548" s="91">
        <f t="shared" ca="1" si="107"/>
        <v>3082</v>
      </c>
      <c r="P548" s="91">
        <f ca="1">VLOOKUP(B548,'115+740'!$B$15:$AB$757,14,FALSE)</f>
        <v>-918</v>
      </c>
      <c r="Q548" s="89">
        <f>'115+740'!R549</f>
        <v>1</v>
      </c>
      <c r="R548" s="88">
        <f t="shared" ca="1" si="112"/>
        <v>908</v>
      </c>
      <c r="S548" s="93">
        <f ca="1">VLOOKUP(B548,'115+740'!$B$14:$AB$757,22,FALSE)</f>
        <v>3547</v>
      </c>
      <c r="T548" s="92">
        <f ca="1">VLOOKUP(B548,'115+740'!$B$15:$AB$757,6,FALSE)</f>
        <v>4</v>
      </c>
      <c r="U548" s="91">
        <f t="shared" ca="1" si="108"/>
        <v>3307</v>
      </c>
      <c r="V548" s="90">
        <f ca="1">VLOOKUP(B548,'115+740'!$B$15:$AB$757,15,FALSE)</f>
        <v>-693</v>
      </c>
      <c r="W548" s="89">
        <f>'115+740'!S549</f>
        <v>1</v>
      </c>
      <c r="X548" s="88">
        <f t="shared" ca="1" si="113"/>
        <v>653</v>
      </c>
      <c r="Y548" s="87">
        <f t="shared" ca="1" si="114"/>
        <v>-1</v>
      </c>
      <c r="Z548" s="86">
        <f t="shared" ca="1" si="115"/>
        <v>0</v>
      </c>
      <c r="AA548" s="85">
        <f t="shared" ca="1" si="116"/>
        <v>4.109</v>
      </c>
      <c r="AB548" s="85">
        <f t="shared" ca="1" si="117"/>
        <v>2.3940000000000001</v>
      </c>
    </row>
    <row r="549" spans="2:28">
      <c r="B549" s="98">
        <f>'115+740'!B550</f>
        <v>45608</v>
      </c>
      <c r="C549" s="97">
        <f t="shared" si="109"/>
        <v>1</v>
      </c>
      <c r="D549" s="96">
        <f t="shared" si="110"/>
        <v>1069</v>
      </c>
      <c r="E549" s="95">
        <f>VLOOKUP(B549,'115+740'!B550:AB908,3,FALSE)</f>
        <v>2244</v>
      </c>
      <c r="F549" s="92">
        <f t="shared" si="105"/>
        <v>3313</v>
      </c>
      <c r="G549" s="94">
        <f ca="1">VLOOKUP(B549,'115+740'!$B$15:$AB$757,20,FALSE)</f>
        <v>3471</v>
      </c>
      <c r="H549" s="94">
        <f ca="1">VLOOKUP(B549,'115+740'!$B$15:$AB$757,4,FALSE)</f>
        <v>2</v>
      </c>
      <c r="I549" s="91">
        <f t="shared" ca="1" si="106"/>
        <v>3311</v>
      </c>
      <c r="J549" s="91">
        <f ca="1">VLOOKUP(B549,'115+740'!$B$15:$AB$757,13,FALSE)</f>
        <v>-689</v>
      </c>
      <c r="K549" s="89">
        <f>'115+740'!Q550</f>
        <v>0</v>
      </c>
      <c r="L549" s="88">
        <f t="shared" ca="1" si="111"/>
        <v>729</v>
      </c>
      <c r="M549" s="93">
        <f ca="1">VLOOKUP(B549,'115+740'!$B$14:$AB$757,21,FALSE)</f>
        <v>3292</v>
      </c>
      <c r="N549" s="92">
        <f ca="1">VLOOKUP(B549,'115+740'!$B$15:$AB$757,5,FALSE)</f>
        <v>231</v>
      </c>
      <c r="O549" s="91">
        <f t="shared" ca="1" si="107"/>
        <v>3082</v>
      </c>
      <c r="P549" s="91">
        <f ca="1">VLOOKUP(B549,'115+740'!$B$15:$AB$757,14,FALSE)</f>
        <v>-918</v>
      </c>
      <c r="Q549" s="89">
        <f>'115+740'!R550</f>
        <v>0</v>
      </c>
      <c r="R549" s="88">
        <f t="shared" ca="1" si="112"/>
        <v>908</v>
      </c>
      <c r="S549" s="93">
        <f ca="1">VLOOKUP(B549,'115+740'!$B$14:$AB$757,22,FALSE)</f>
        <v>3547</v>
      </c>
      <c r="T549" s="92">
        <f ca="1">VLOOKUP(B549,'115+740'!$B$15:$AB$757,6,FALSE)</f>
        <v>6</v>
      </c>
      <c r="U549" s="91">
        <f t="shared" ca="1" si="108"/>
        <v>3307</v>
      </c>
      <c r="V549" s="90">
        <f ca="1">VLOOKUP(B549,'115+740'!$B$15:$AB$757,15,FALSE)</f>
        <v>-693</v>
      </c>
      <c r="W549" s="89">
        <f>'115+740'!S550</f>
        <v>0</v>
      </c>
      <c r="X549" s="88">
        <f t="shared" ca="1" si="113"/>
        <v>653</v>
      </c>
      <c r="Y549" s="87">
        <f t="shared" ca="1" si="114"/>
        <v>0</v>
      </c>
      <c r="Z549" s="86">
        <f t="shared" ca="1" si="115"/>
        <v>0</v>
      </c>
      <c r="AA549" s="85">
        <f t="shared" ca="1" si="116"/>
        <v>4.109</v>
      </c>
      <c r="AB549" s="85">
        <f t="shared" ca="1" si="117"/>
        <v>2.3940000000000001</v>
      </c>
    </row>
    <row r="550" spans="2:28">
      <c r="B550" s="98">
        <f>'115+740'!B551</f>
        <v>45609</v>
      </c>
      <c r="C550" s="97">
        <f t="shared" si="109"/>
        <v>1</v>
      </c>
      <c r="D550" s="96">
        <f t="shared" si="110"/>
        <v>1069</v>
      </c>
      <c r="E550" s="95">
        <f>VLOOKUP(B550,'115+740'!B551:AB909,3,FALSE)</f>
        <v>2246</v>
      </c>
      <c r="F550" s="92">
        <f t="shared" si="105"/>
        <v>3315</v>
      </c>
      <c r="G550" s="94">
        <f ca="1">VLOOKUP(B550,'115+740'!$B$15:$AB$757,20,FALSE)</f>
        <v>3469</v>
      </c>
      <c r="H550" s="94">
        <f ca="1">VLOOKUP(B550,'115+740'!$B$15:$AB$757,4,FALSE)</f>
        <v>6</v>
      </c>
      <c r="I550" s="91">
        <f t="shared" ca="1" si="106"/>
        <v>3309</v>
      </c>
      <c r="J550" s="91">
        <f ca="1">VLOOKUP(B550,'115+740'!$B$15:$AB$757,13,FALSE)</f>
        <v>-691</v>
      </c>
      <c r="K550" s="89">
        <f>'115+740'!Q551</f>
        <v>2</v>
      </c>
      <c r="L550" s="88">
        <f t="shared" ca="1" si="111"/>
        <v>731</v>
      </c>
      <c r="M550" s="93">
        <f ca="1">VLOOKUP(B550,'115+740'!$B$14:$AB$757,21,FALSE)</f>
        <v>3292</v>
      </c>
      <c r="N550" s="92">
        <f ca="1">VLOOKUP(B550,'115+740'!$B$15:$AB$757,5,FALSE)</f>
        <v>233</v>
      </c>
      <c r="O550" s="91">
        <f t="shared" ca="1" si="107"/>
        <v>3082</v>
      </c>
      <c r="P550" s="91">
        <f ca="1">VLOOKUP(B550,'115+740'!$B$15:$AB$757,14,FALSE)</f>
        <v>-918</v>
      </c>
      <c r="Q550" s="89">
        <f>'115+740'!R551</f>
        <v>0</v>
      </c>
      <c r="R550" s="88">
        <f t="shared" ca="1" si="112"/>
        <v>908</v>
      </c>
      <c r="S550" s="93">
        <f ca="1">VLOOKUP(B550,'115+740'!$B$14:$AB$757,22,FALSE)</f>
        <v>3547</v>
      </c>
      <c r="T550" s="92">
        <f ca="1">VLOOKUP(B550,'115+740'!$B$15:$AB$757,6,FALSE)</f>
        <v>8</v>
      </c>
      <c r="U550" s="91">
        <f t="shared" ca="1" si="108"/>
        <v>3307</v>
      </c>
      <c r="V550" s="90">
        <f ca="1">VLOOKUP(B550,'115+740'!$B$15:$AB$757,15,FALSE)</f>
        <v>-693</v>
      </c>
      <c r="W550" s="89">
        <f>'115+740'!S551</f>
        <v>0</v>
      </c>
      <c r="X550" s="88">
        <f t="shared" ca="1" si="113"/>
        <v>653</v>
      </c>
      <c r="Y550" s="87">
        <f t="shared" ca="1" si="114"/>
        <v>0</v>
      </c>
      <c r="Z550" s="86">
        <f t="shared" ca="1" si="115"/>
        <v>0</v>
      </c>
      <c r="AA550" s="85">
        <f t="shared" ca="1" si="116"/>
        <v>4.109</v>
      </c>
      <c r="AB550" s="85">
        <f t="shared" ca="1" si="117"/>
        <v>2.3940000000000001</v>
      </c>
    </row>
    <row r="551" spans="2:28">
      <c r="B551" s="98">
        <f>'115+740'!B552</f>
        <v>45610</v>
      </c>
      <c r="C551" s="97">
        <f t="shared" si="109"/>
        <v>1</v>
      </c>
      <c r="D551" s="96">
        <f t="shared" si="110"/>
        <v>1069</v>
      </c>
      <c r="E551" s="95">
        <f>VLOOKUP(B551,'115+740'!B552:AB910,3,FALSE)</f>
        <v>2248</v>
      </c>
      <c r="F551" s="92">
        <f t="shared" si="105"/>
        <v>3317</v>
      </c>
      <c r="G551" s="94">
        <f ca="1">VLOOKUP(B551,'115+740'!$B$15:$AB$757,20,FALSE)</f>
        <v>3469</v>
      </c>
      <c r="H551" s="94">
        <f ca="1">VLOOKUP(B551,'115+740'!$B$15:$AB$757,4,FALSE)</f>
        <v>8</v>
      </c>
      <c r="I551" s="91">
        <f t="shared" ca="1" si="106"/>
        <v>3309</v>
      </c>
      <c r="J551" s="91">
        <f ca="1">VLOOKUP(B551,'115+740'!$B$15:$AB$757,13,FALSE)</f>
        <v>-691</v>
      </c>
      <c r="K551" s="89">
        <f>'115+740'!Q552</f>
        <v>0</v>
      </c>
      <c r="L551" s="88">
        <f t="shared" ca="1" si="111"/>
        <v>731</v>
      </c>
      <c r="M551" s="93">
        <f ca="1">VLOOKUP(B551,'115+740'!$B$14:$AB$757,21,FALSE)</f>
        <v>3290</v>
      </c>
      <c r="N551" s="92">
        <f ca="1">VLOOKUP(B551,'115+740'!$B$15:$AB$757,5,FALSE)</f>
        <v>237</v>
      </c>
      <c r="O551" s="91">
        <f t="shared" ca="1" si="107"/>
        <v>3080</v>
      </c>
      <c r="P551" s="91">
        <f ca="1">VLOOKUP(B551,'115+740'!$B$15:$AB$757,14,FALSE)</f>
        <v>-920</v>
      </c>
      <c r="Q551" s="89">
        <f>'115+740'!R552</f>
        <v>2</v>
      </c>
      <c r="R551" s="88">
        <f t="shared" ca="1" si="112"/>
        <v>910</v>
      </c>
      <c r="S551" s="93">
        <f ca="1">VLOOKUP(B551,'115+740'!$B$14:$AB$757,22,FALSE)</f>
        <v>3547</v>
      </c>
      <c r="T551" s="92">
        <f ca="1">VLOOKUP(B551,'115+740'!$B$15:$AB$757,6,FALSE)</f>
        <v>10</v>
      </c>
      <c r="U551" s="91">
        <f t="shared" ca="1" si="108"/>
        <v>3307</v>
      </c>
      <c r="V551" s="90">
        <f ca="1">VLOOKUP(B551,'115+740'!$B$15:$AB$757,15,FALSE)</f>
        <v>-693</v>
      </c>
      <c r="W551" s="89">
        <f>'115+740'!S552</f>
        <v>0</v>
      </c>
      <c r="X551" s="88">
        <f t="shared" ca="1" si="113"/>
        <v>653</v>
      </c>
      <c r="Y551" s="87">
        <f t="shared" ca="1" si="114"/>
        <v>0</v>
      </c>
      <c r="Z551" s="86">
        <f t="shared" ca="1" si="115"/>
        <v>0</v>
      </c>
      <c r="AA551" s="85">
        <f t="shared" ca="1" si="116"/>
        <v>4.109</v>
      </c>
      <c r="AB551" s="85">
        <f t="shared" ca="1" si="117"/>
        <v>2.39</v>
      </c>
    </row>
    <row r="552" spans="2:28">
      <c r="B552" s="98">
        <f>'115+740'!B553</f>
        <v>45611</v>
      </c>
      <c r="C552" s="97">
        <f t="shared" si="109"/>
        <v>1</v>
      </c>
      <c r="D552" s="96">
        <f t="shared" si="110"/>
        <v>1069</v>
      </c>
      <c r="E552" s="95">
        <f>VLOOKUP(B552,'115+740'!B553:AB911,3,FALSE)</f>
        <v>2250</v>
      </c>
      <c r="F552" s="92">
        <f t="shared" si="105"/>
        <v>3319</v>
      </c>
      <c r="G552" s="94">
        <f ca="1">VLOOKUP(B552,'115+740'!$B$15:$AB$757,20,FALSE)</f>
        <v>3469</v>
      </c>
      <c r="H552" s="94">
        <f ca="1">VLOOKUP(B552,'115+740'!$B$15:$AB$757,4,FALSE)</f>
        <v>10</v>
      </c>
      <c r="I552" s="91">
        <f t="shared" ca="1" si="106"/>
        <v>3309</v>
      </c>
      <c r="J552" s="91">
        <f ca="1">VLOOKUP(B552,'115+740'!$B$15:$AB$757,13,FALSE)</f>
        <v>-691</v>
      </c>
      <c r="K552" s="89">
        <f>'115+740'!Q553</f>
        <v>0</v>
      </c>
      <c r="L552" s="88">
        <f t="shared" ca="1" si="111"/>
        <v>731</v>
      </c>
      <c r="M552" s="93">
        <f ca="1">VLOOKUP(B552,'115+740'!$B$14:$AB$757,21,FALSE)</f>
        <v>3289</v>
      </c>
      <c r="N552" s="92">
        <f ca="1">VLOOKUP(B552,'115+740'!$B$15:$AB$757,5,FALSE)</f>
        <v>240</v>
      </c>
      <c r="O552" s="91">
        <f t="shared" ca="1" si="107"/>
        <v>3079</v>
      </c>
      <c r="P552" s="91">
        <f ca="1">VLOOKUP(B552,'115+740'!$B$15:$AB$757,14,FALSE)</f>
        <v>-921</v>
      </c>
      <c r="Q552" s="89">
        <f>'115+740'!R553</f>
        <v>1</v>
      </c>
      <c r="R552" s="88">
        <f t="shared" ca="1" si="112"/>
        <v>911</v>
      </c>
      <c r="S552" s="93">
        <f ca="1">VLOOKUP(B552,'115+740'!$B$14:$AB$757,22,FALSE)</f>
        <v>3547</v>
      </c>
      <c r="T552" s="92">
        <f ca="1">VLOOKUP(B552,'115+740'!$B$15:$AB$757,6,FALSE)</f>
        <v>12</v>
      </c>
      <c r="U552" s="91">
        <f t="shared" ca="1" si="108"/>
        <v>3307</v>
      </c>
      <c r="V552" s="90">
        <f ca="1">VLOOKUP(B552,'115+740'!$B$15:$AB$757,15,FALSE)</f>
        <v>-693</v>
      </c>
      <c r="W552" s="89">
        <f>'115+740'!S553</f>
        <v>0</v>
      </c>
      <c r="X552" s="88">
        <f t="shared" ca="1" si="113"/>
        <v>653</v>
      </c>
      <c r="Y552" s="87">
        <f t="shared" ca="1" si="114"/>
        <v>0</v>
      </c>
      <c r="Z552" s="86">
        <f t="shared" ca="1" si="115"/>
        <v>0</v>
      </c>
      <c r="AA552" s="85">
        <f t="shared" ca="1" si="116"/>
        <v>4.109</v>
      </c>
      <c r="AB552" s="85">
        <f t="shared" ca="1" si="117"/>
        <v>2.3879999999999999</v>
      </c>
    </row>
    <row r="553" spans="2:28">
      <c r="B553" s="98">
        <f>'115+740'!B554</f>
        <v>45612</v>
      </c>
      <c r="C553" s="97">
        <f t="shared" si="109"/>
        <v>1</v>
      </c>
      <c r="D553" s="96">
        <f t="shared" si="110"/>
        <v>1069</v>
      </c>
      <c r="E553" s="95">
        <f>VLOOKUP(B553,'115+740'!B554:AB912,3,FALSE)</f>
        <v>2252</v>
      </c>
      <c r="F553" s="92">
        <f t="shared" si="105"/>
        <v>3321</v>
      </c>
      <c r="G553" s="94">
        <f ca="1">VLOOKUP(B553,'115+740'!$B$15:$AB$757,20,FALSE)</f>
        <v>3468</v>
      </c>
      <c r="H553" s="94">
        <f ca="1">VLOOKUP(B553,'115+740'!$B$15:$AB$757,4,FALSE)</f>
        <v>13</v>
      </c>
      <c r="I553" s="91">
        <f t="shared" ca="1" si="106"/>
        <v>3308</v>
      </c>
      <c r="J553" s="91">
        <f ca="1">VLOOKUP(B553,'115+740'!$B$15:$AB$757,13,FALSE)</f>
        <v>-692</v>
      </c>
      <c r="K553" s="89">
        <f>'115+740'!Q554</f>
        <v>1</v>
      </c>
      <c r="L553" s="88">
        <f t="shared" ca="1" si="111"/>
        <v>732</v>
      </c>
      <c r="M553" s="93">
        <f ca="1">VLOOKUP(B553,'115+740'!$B$14:$AB$757,21,FALSE)</f>
        <v>3289</v>
      </c>
      <c r="N553" s="92">
        <f ca="1">VLOOKUP(B553,'115+740'!$B$15:$AB$757,5,FALSE)</f>
        <v>242</v>
      </c>
      <c r="O553" s="91">
        <f t="shared" ca="1" si="107"/>
        <v>3079</v>
      </c>
      <c r="P553" s="91">
        <f ca="1">VLOOKUP(B553,'115+740'!$B$15:$AB$757,14,FALSE)</f>
        <v>-921</v>
      </c>
      <c r="Q553" s="89">
        <f>'115+740'!R554</f>
        <v>0</v>
      </c>
      <c r="R553" s="88">
        <f t="shared" ca="1" si="112"/>
        <v>911</v>
      </c>
      <c r="S553" s="93">
        <f ca="1">VLOOKUP(B553,'115+740'!$B$14:$AB$757,22,FALSE)</f>
        <v>3547</v>
      </c>
      <c r="T553" s="92">
        <f ca="1">VLOOKUP(B553,'115+740'!$B$15:$AB$757,6,FALSE)</f>
        <v>14</v>
      </c>
      <c r="U553" s="91">
        <f t="shared" ca="1" si="108"/>
        <v>3307</v>
      </c>
      <c r="V553" s="90">
        <f ca="1">VLOOKUP(B553,'115+740'!$B$15:$AB$757,15,FALSE)</f>
        <v>-693</v>
      </c>
      <c r="W553" s="89">
        <f>'115+740'!S554</f>
        <v>0</v>
      </c>
      <c r="X553" s="88">
        <f t="shared" ca="1" si="113"/>
        <v>653</v>
      </c>
      <c r="Y553" s="87">
        <f t="shared" ca="1" si="114"/>
        <v>0</v>
      </c>
      <c r="Z553" s="86">
        <f t="shared" ca="1" si="115"/>
        <v>0</v>
      </c>
      <c r="AA553" s="85">
        <f t="shared" ca="1" si="116"/>
        <v>4.109</v>
      </c>
      <c r="AB553" s="85">
        <f t="shared" ca="1" si="117"/>
        <v>2.3879999999999999</v>
      </c>
    </row>
    <row r="554" spans="2:28">
      <c r="B554" s="98">
        <f>'115+740'!B555</f>
        <v>45613</v>
      </c>
      <c r="C554" s="97">
        <f t="shared" si="109"/>
        <v>1</v>
      </c>
      <c r="D554" s="96">
        <f t="shared" si="110"/>
        <v>1069</v>
      </c>
      <c r="E554" s="95">
        <f>VLOOKUP(B554,'115+740'!B555:AB913,3,FALSE)</f>
        <v>2254</v>
      </c>
      <c r="F554" s="92">
        <f t="shared" si="105"/>
        <v>3323</v>
      </c>
      <c r="G554" s="94">
        <f ca="1">VLOOKUP(B554,'115+740'!$B$15:$AB$757,20,FALSE)</f>
        <v>3468</v>
      </c>
      <c r="H554" s="94">
        <f ca="1">VLOOKUP(B554,'115+740'!$B$15:$AB$757,4,FALSE)</f>
        <v>15</v>
      </c>
      <c r="I554" s="91">
        <f t="shared" ca="1" si="106"/>
        <v>3308</v>
      </c>
      <c r="J554" s="91">
        <f ca="1">VLOOKUP(B554,'115+740'!$B$15:$AB$757,13,FALSE)</f>
        <v>-692</v>
      </c>
      <c r="K554" s="89">
        <f>'115+740'!Q555</f>
        <v>0</v>
      </c>
      <c r="L554" s="88">
        <f t="shared" ca="1" si="111"/>
        <v>732</v>
      </c>
      <c r="M554" s="93">
        <f ca="1">VLOOKUP(B554,'115+740'!$B$14:$AB$757,21,FALSE)</f>
        <v>3289</v>
      </c>
      <c r="N554" s="92">
        <f ca="1">VLOOKUP(B554,'115+740'!$B$15:$AB$757,5,FALSE)</f>
        <v>244</v>
      </c>
      <c r="O554" s="91">
        <f t="shared" ca="1" si="107"/>
        <v>3079</v>
      </c>
      <c r="P554" s="91">
        <f ca="1">VLOOKUP(B554,'115+740'!$B$15:$AB$757,14,FALSE)</f>
        <v>-921</v>
      </c>
      <c r="Q554" s="89">
        <f>'115+740'!R555</f>
        <v>0</v>
      </c>
      <c r="R554" s="88">
        <f t="shared" ca="1" si="112"/>
        <v>911</v>
      </c>
      <c r="S554" s="93">
        <f ca="1">VLOOKUP(B554,'115+740'!$B$14:$AB$757,22,FALSE)</f>
        <v>3547</v>
      </c>
      <c r="T554" s="92">
        <f ca="1">VLOOKUP(B554,'115+740'!$B$15:$AB$757,6,FALSE)</f>
        <v>16</v>
      </c>
      <c r="U554" s="91">
        <f t="shared" ca="1" si="108"/>
        <v>3307</v>
      </c>
      <c r="V554" s="90">
        <f ca="1">VLOOKUP(B554,'115+740'!$B$15:$AB$757,15,FALSE)</f>
        <v>-693</v>
      </c>
      <c r="W554" s="89">
        <f>'115+740'!S555</f>
        <v>0</v>
      </c>
      <c r="X554" s="88">
        <f t="shared" ca="1" si="113"/>
        <v>653</v>
      </c>
      <c r="Y554" s="87">
        <f t="shared" ca="1" si="114"/>
        <v>0</v>
      </c>
      <c r="Z554" s="86">
        <f t="shared" ca="1" si="115"/>
        <v>0</v>
      </c>
      <c r="AA554" s="85">
        <f t="shared" ca="1" si="116"/>
        <v>4.109</v>
      </c>
      <c r="AB554" s="85">
        <f t="shared" ca="1" si="117"/>
        <v>2.3879999999999999</v>
      </c>
    </row>
    <row r="555" spans="2:28">
      <c r="B555" s="98">
        <f>'115+740'!B556</f>
        <v>45614</v>
      </c>
      <c r="C555" s="97">
        <f t="shared" si="109"/>
        <v>1</v>
      </c>
      <c r="D555" s="96">
        <f t="shared" si="110"/>
        <v>1069</v>
      </c>
      <c r="E555" s="95">
        <f>VLOOKUP(B555,'115+740'!B556:AB914,3,FALSE)</f>
        <v>2256</v>
      </c>
      <c r="F555" s="92">
        <f t="shared" si="105"/>
        <v>3325</v>
      </c>
      <c r="G555" s="94">
        <f ca="1">VLOOKUP(B555,'115+740'!$B$15:$AB$757,20,FALSE)</f>
        <v>3467</v>
      </c>
      <c r="H555" s="94">
        <f ca="1">VLOOKUP(B555,'115+740'!$B$15:$AB$757,4,FALSE)</f>
        <v>18</v>
      </c>
      <c r="I555" s="91">
        <f t="shared" ca="1" si="106"/>
        <v>3307</v>
      </c>
      <c r="J555" s="91">
        <f ca="1">VLOOKUP(B555,'115+740'!$B$15:$AB$757,13,FALSE)</f>
        <v>-693</v>
      </c>
      <c r="K555" s="89">
        <f>'115+740'!Q556</f>
        <v>1</v>
      </c>
      <c r="L555" s="88">
        <f t="shared" ca="1" si="111"/>
        <v>733</v>
      </c>
      <c r="M555" s="93">
        <f ca="1">VLOOKUP(B555,'115+740'!$B$14:$AB$757,21,FALSE)</f>
        <v>3286</v>
      </c>
      <c r="N555" s="92">
        <f ca="1">VLOOKUP(B555,'115+740'!$B$15:$AB$757,5,FALSE)</f>
        <v>249</v>
      </c>
      <c r="O555" s="91">
        <f t="shared" ca="1" si="107"/>
        <v>3076</v>
      </c>
      <c r="P555" s="91">
        <f ca="1">VLOOKUP(B555,'115+740'!$B$15:$AB$757,14,FALSE)</f>
        <v>-924</v>
      </c>
      <c r="Q555" s="89">
        <f>'115+740'!R556</f>
        <v>3</v>
      </c>
      <c r="R555" s="88">
        <f t="shared" ca="1" si="112"/>
        <v>914</v>
      </c>
      <c r="S555" s="93">
        <f ca="1">VLOOKUP(B555,'115+740'!$B$14:$AB$757,22,FALSE)</f>
        <v>3547</v>
      </c>
      <c r="T555" s="92">
        <f ca="1">VLOOKUP(B555,'115+740'!$B$15:$AB$757,6,FALSE)</f>
        <v>18</v>
      </c>
      <c r="U555" s="91">
        <f t="shared" ca="1" si="108"/>
        <v>3307</v>
      </c>
      <c r="V555" s="90">
        <f ca="1">VLOOKUP(B555,'115+740'!$B$15:$AB$757,15,FALSE)</f>
        <v>-693</v>
      </c>
      <c r="W555" s="89">
        <f>'115+740'!S556</f>
        <v>0</v>
      </c>
      <c r="X555" s="88">
        <f t="shared" ca="1" si="113"/>
        <v>653</v>
      </c>
      <c r="Y555" s="87">
        <f t="shared" ca="1" si="114"/>
        <v>0</v>
      </c>
      <c r="Z555" s="86">
        <f t="shared" ca="1" si="115"/>
        <v>0</v>
      </c>
      <c r="AA555" s="85">
        <f t="shared" ca="1" si="116"/>
        <v>4.109</v>
      </c>
      <c r="AB555" s="85">
        <f t="shared" ca="1" si="117"/>
        <v>2.3820000000000001</v>
      </c>
    </row>
    <row r="556" spans="2:28">
      <c r="B556" s="98">
        <f>'115+740'!B557</f>
        <v>45615</v>
      </c>
      <c r="C556" s="97">
        <f t="shared" si="109"/>
        <v>1</v>
      </c>
      <c r="D556" s="96">
        <f t="shared" si="110"/>
        <v>1069</v>
      </c>
      <c r="E556" s="95">
        <f>VLOOKUP(B556,'115+740'!B557:AB915,3,FALSE)</f>
        <v>2258</v>
      </c>
      <c r="F556" s="92">
        <f t="shared" si="105"/>
        <v>3327</v>
      </c>
      <c r="G556" s="94">
        <f ca="1">VLOOKUP(B556,'115+740'!$B$15:$AB$757,20,FALSE)</f>
        <v>3467</v>
      </c>
      <c r="H556" s="94">
        <f ca="1">VLOOKUP(B556,'115+740'!$B$15:$AB$757,4,FALSE)</f>
        <v>20</v>
      </c>
      <c r="I556" s="91">
        <f t="shared" ca="1" si="106"/>
        <v>3307</v>
      </c>
      <c r="J556" s="91">
        <f ca="1">VLOOKUP(B556,'115+740'!$B$15:$AB$757,13,FALSE)</f>
        <v>-693</v>
      </c>
      <c r="K556" s="89">
        <f>'115+740'!Q557</f>
        <v>0</v>
      </c>
      <c r="L556" s="88">
        <f t="shared" ca="1" si="111"/>
        <v>733</v>
      </c>
      <c r="M556" s="93">
        <f ca="1">VLOOKUP(B556,'115+740'!$B$14:$AB$757,21,FALSE)</f>
        <v>3284</v>
      </c>
      <c r="N556" s="92">
        <f ca="1">VLOOKUP(B556,'115+740'!$B$15:$AB$757,5,FALSE)</f>
        <v>253</v>
      </c>
      <c r="O556" s="91">
        <f t="shared" ca="1" si="107"/>
        <v>3074</v>
      </c>
      <c r="P556" s="91">
        <f ca="1">VLOOKUP(B556,'115+740'!$B$15:$AB$757,14,FALSE)</f>
        <v>-926</v>
      </c>
      <c r="Q556" s="89">
        <f>'115+740'!R557</f>
        <v>2</v>
      </c>
      <c r="R556" s="88">
        <f t="shared" ca="1" si="112"/>
        <v>916</v>
      </c>
      <c r="S556" s="93">
        <f ca="1">VLOOKUP(B556,'115+740'!$B$14:$AB$757,22,FALSE)</f>
        <v>3547</v>
      </c>
      <c r="T556" s="92">
        <f ca="1">VLOOKUP(B556,'115+740'!$B$15:$AB$757,6,FALSE)</f>
        <v>20</v>
      </c>
      <c r="U556" s="91">
        <f t="shared" ca="1" si="108"/>
        <v>3307</v>
      </c>
      <c r="V556" s="90">
        <f ca="1">VLOOKUP(B556,'115+740'!$B$15:$AB$757,15,FALSE)</f>
        <v>-693</v>
      </c>
      <c r="W556" s="89">
        <f>'115+740'!S557</f>
        <v>0</v>
      </c>
      <c r="X556" s="88">
        <f t="shared" ca="1" si="113"/>
        <v>653</v>
      </c>
      <c r="Y556" s="87">
        <f t="shared" ca="1" si="114"/>
        <v>0</v>
      </c>
      <c r="Z556" s="86">
        <f t="shared" ca="1" si="115"/>
        <v>0</v>
      </c>
      <c r="AA556" s="85">
        <f t="shared" ca="1" si="116"/>
        <v>4.109</v>
      </c>
      <c r="AB556" s="85">
        <f t="shared" ca="1" si="117"/>
        <v>2.3780000000000001</v>
      </c>
    </row>
    <row r="557" spans="2:28">
      <c r="B557" s="98">
        <f>'115+740'!B558</f>
        <v>45616</v>
      </c>
      <c r="C557" s="97">
        <f t="shared" si="109"/>
        <v>1</v>
      </c>
      <c r="D557" s="96">
        <f t="shared" si="110"/>
        <v>1069</v>
      </c>
      <c r="E557" s="95">
        <f>VLOOKUP(B557,'115+740'!B558:AB916,3,FALSE)</f>
        <v>2260</v>
      </c>
      <c r="F557" s="92">
        <f t="shared" si="105"/>
        <v>3329</v>
      </c>
      <c r="G557" s="94">
        <f ca="1">VLOOKUP(B557,'115+740'!$B$15:$AB$757,20,FALSE)</f>
        <v>3467</v>
      </c>
      <c r="H557" s="94">
        <f ca="1">VLOOKUP(B557,'115+740'!$B$15:$AB$757,4,FALSE)</f>
        <v>22</v>
      </c>
      <c r="I557" s="91">
        <f t="shared" ca="1" si="106"/>
        <v>3307</v>
      </c>
      <c r="J557" s="91">
        <f ca="1">VLOOKUP(B557,'115+740'!$B$15:$AB$757,13,FALSE)</f>
        <v>-693</v>
      </c>
      <c r="K557" s="89">
        <f>'115+740'!Q558</f>
        <v>0</v>
      </c>
      <c r="L557" s="88">
        <f t="shared" ca="1" si="111"/>
        <v>733</v>
      </c>
      <c r="M557" s="93">
        <f ca="1">VLOOKUP(B557,'115+740'!$B$14:$AB$757,21,FALSE)</f>
        <v>3282</v>
      </c>
      <c r="N557" s="92">
        <f ca="1">VLOOKUP(B557,'115+740'!$B$15:$AB$757,5,FALSE)</f>
        <v>257</v>
      </c>
      <c r="O557" s="91">
        <f t="shared" ca="1" si="107"/>
        <v>3072</v>
      </c>
      <c r="P557" s="91">
        <f ca="1">VLOOKUP(B557,'115+740'!$B$15:$AB$757,14,FALSE)</f>
        <v>-928</v>
      </c>
      <c r="Q557" s="89">
        <f>'115+740'!R558</f>
        <v>2</v>
      </c>
      <c r="R557" s="88">
        <f t="shared" ca="1" si="112"/>
        <v>918</v>
      </c>
      <c r="S557" s="93">
        <f ca="1">VLOOKUP(B557,'115+740'!$B$14:$AB$757,22,FALSE)</f>
        <v>3547</v>
      </c>
      <c r="T557" s="92">
        <f ca="1">VLOOKUP(B557,'115+740'!$B$15:$AB$757,6,FALSE)</f>
        <v>22</v>
      </c>
      <c r="U557" s="91">
        <f t="shared" ca="1" si="108"/>
        <v>3307</v>
      </c>
      <c r="V557" s="90">
        <f ca="1">VLOOKUP(B557,'115+740'!$B$15:$AB$757,15,FALSE)</f>
        <v>-693</v>
      </c>
      <c r="W557" s="89">
        <f>'115+740'!S558</f>
        <v>0</v>
      </c>
      <c r="X557" s="88">
        <f t="shared" ca="1" si="113"/>
        <v>653</v>
      </c>
      <c r="Y557" s="87">
        <f t="shared" ca="1" si="114"/>
        <v>0</v>
      </c>
      <c r="Z557" s="86">
        <f t="shared" ca="1" si="115"/>
        <v>0</v>
      </c>
      <c r="AA557" s="85">
        <f t="shared" ca="1" si="116"/>
        <v>4.109</v>
      </c>
      <c r="AB557" s="85">
        <f t="shared" ca="1" si="117"/>
        <v>2.3740000000000001</v>
      </c>
    </row>
    <row r="558" spans="2:28">
      <c r="B558" s="98">
        <f>'115+740'!B559</f>
        <v>45617</v>
      </c>
      <c r="C558" s="97">
        <f t="shared" si="109"/>
        <v>1</v>
      </c>
      <c r="D558" s="96">
        <f t="shared" si="110"/>
        <v>1069</v>
      </c>
      <c r="E558" s="95">
        <f>VLOOKUP(B558,'115+740'!B559:AB917,3,FALSE)</f>
        <v>2262</v>
      </c>
      <c r="F558" s="92">
        <f t="shared" si="105"/>
        <v>3331</v>
      </c>
      <c r="G558" s="94">
        <f ca="1">VLOOKUP(B558,'115+740'!$B$15:$AB$757,20,FALSE)</f>
        <v>3467</v>
      </c>
      <c r="H558" s="94">
        <f ca="1">VLOOKUP(B558,'115+740'!$B$15:$AB$757,4,FALSE)</f>
        <v>24</v>
      </c>
      <c r="I558" s="91">
        <f t="shared" ca="1" si="106"/>
        <v>3307</v>
      </c>
      <c r="J558" s="91">
        <f ca="1">VLOOKUP(B558,'115+740'!$B$15:$AB$757,13,FALSE)</f>
        <v>-693</v>
      </c>
      <c r="K558" s="89">
        <f>'115+740'!Q559</f>
        <v>0</v>
      </c>
      <c r="L558" s="88">
        <f t="shared" ca="1" si="111"/>
        <v>733</v>
      </c>
      <c r="M558" s="93">
        <f ca="1">VLOOKUP(B558,'115+740'!$B$14:$AB$757,21,FALSE)</f>
        <v>3282</v>
      </c>
      <c r="N558" s="92">
        <f ca="1">VLOOKUP(B558,'115+740'!$B$15:$AB$757,5,FALSE)</f>
        <v>259</v>
      </c>
      <c r="O558" s="91">
        <f t="shared" ca="1" si="107"/>
        <v>3072</v>
      </c>
      <c r="P558" s="91">
        <f ca="1">VLOOKUP(B558,'115+740'!$B$15:$AB$757,14,FALSE)</f>
        <v>-928</v>
      </c>
      <c r="Q558" s="89">
        <f>'115+740'!R559</f>
        <v>0</v>
      </c>
      <c r="R558" s="88">
        <f t="shared" ca="1" si="112"/>
        <v>918</v>
      </c>
      <c r="S558" s="93">
        <f ca="1">VLOOKUP(B558,'115+740'!$B$14:$AB$757,22,FALSE)</f>
        <v>3547</v>
      </c>
      <c r="T558" s="92">
        <f ca="1">VLOOKUP(B558,'115+740'!$B$15:$AB$757,6,FALSE)</f>
        <v>24</v>
      </c>
      <c r="U558" s="91">
        <f t="shared" ca="1" si="108"/>
        <v>3307</v>
      </c>
      <c r="V558" s="90">
        <f ca="1">VLOOKUP(B558,'115+740'!$B$15:$AB$757,15,FALSE)</f>
        <v>-693</v>
      </c>
      <c r="W558" s="89">
        <f>'115+740'!S559</f>
        <v>0</v>
      </c>
      <c r="X558" s="88">
        <f t="shared" ca="1" si="113"/>
        <v>653</v>
      </c>
      <c r="Y558" s="87">
        <f t="shared" ca="1" si="114"/>
        <v>0</v>
      </c>
      <c r="Z558" s="86">
        <f t="shared" ca="1" si="115"/>
        <v>0</v>
      </c>
      <c r="AA558" s="85">
        <f t="shared" ca="1" si="116"/>
        <v>4.109</v>
      </c>
      <c r="AB558" s="85">
        <f t="shared" ca="1" si="117"/>
        <v>2.3740000000000001</v>
      </c>
    </row>
    <row r="559" spans="2:28">
      <c r="B559" s="98">
        <f>'115+740'!B560</f>
        <v>45618</v>
      </c>
      <c r="C559" s="97">
        <f t="shared" si="109"/>
        <v>1</v>
      </c>
      <c r="D559" s="96">
        <f t="shared" si="110"/>
        <v>1069</v>
      </c>
      <c r="E559" s="95">
        <f>VLOOKUP(B559,'115+740'!B560:AB918,3,FALSE)</f>
        <v>2264</v>
      </c>
      <c r="F559" s="92">
        <f t="shared" si="105"/>
        <v>3333</v>
      </c>
      <c r="G559" s="94">
        <f ca="1">VLOOKUP(B559,'115+740'!$B$15:$AB$757,20,FALSE)</f>
        <v>3467</v>
      </c>
      <c r="H559" s="94">
        <f ca="1">VLOOKUP(B559,'115+740'!$B$15:$AB$757,4,FALSE)</f>
        <v>26</v>
      </c>
      <c r="I559" s="91">
        <f t="shared" ca="1" si="106"/>
        <v>3307</v>
      </c>
      <c r="J559" s="91">
        <f ca="1">VLOOKUP(B559,'115+740'!$B$15:$AB$757,13,FALSE)</f>
        <v>-693</v>
      </c>
      <c r="K559" s="89">
        <f>'115+740'!Q560</f>
        <v>0</v>
      </c>
      <c r="L559" s="88">
        <f t="shared" ca="1" si="111"/>
        <v>733</v>
      </c>
      <c r="M559" s="93">
        <f ca="1">VLOOKUP(B559,'115+740'!$B$14:$AB$757,21,FALSE)</f>
        <v>3280</v>
      </c>
      <c r="N559" s="92">
        <f ca="1">VLOOKUP(B559,'115+740'!$B$15:$AB$757,5,FALSE)</f>
        <v>263</v>
      </c>
      <c r="O559" s="91">
        <f t="shared" ca="1" si="107"/>
        <v>3070</v>
      </c>
      <c r="P559" s="91">
        <f ca="1">VLOOKUP(B559,'115+740'!$B$15:$AB$757,14,FALSE)</f>
        <v>-930</v>
      </c>
      <c r="Q559" s="89">
        <f>'115+740'!R560</f>
        <v>2</v>
      </c>
      <c r="R559" s="88">
        <f t="shared" ca="1" si="112"/>
        <v>920</v>
      </c>
      <c r="S559" s="93">
        <f ca="1">VLOOKUP(B559,'115+740'!$B$14:$AB$757,22,FALSE)</f>
        <v>3547</v>
      </c>
      <c r="T559" s="92">
        <f ca="1">VLOOKUP(B559,'115+740'!$B$15:$AB$757,6,FALSE)</f>
        <v>26</v>
      </c>
      <c r="U559" s="91">
        <f t="shared" ca="1" si="108"/>
        <v>3307</v>
      </c>
      <c r="V559" s="90">
        <f ca="1">VLOOKUP(B559,'115+740'!$B$15:$AB$757,15,FALSE)</f>
        <v>-693</v>
      </c>
      <c r="W559" s="89">
        <f>'115+740'!S560</f>
        <v>0</v>
      </c>
      <c r="X559" s="88">
        <f t="shared" ca="1" si="113"/>
        <v>653</v>
      </c>
      <c r="Y559" s="87">
        <f t="shared" ca="1" si="114"/>
        <v>0</v>
      </c>
      <c r="Z559" s="86">
        <f t="shared" ca="1" si="115"/>
        <v>0</v>
      </c>
      <c r="AA559" s="85">
        <f t="shared" ca="1" si="116"/>
        <v>4.109</v>
      </c>
      <c r="AB559" s="85">
        <f t="shared" ca="1" si="117"/>
        <v>2.37</v>
      </c>
    </row>
    <row r="560" spans="2:28">
      <c r="B560" s="98">
        <f>'115+740'!B561</f>
        <v>45619</v>
      </c>
      <c r="C560" s="97">
        <f t="shared" si="109"/>
        <v>1</v>
      </c>
      <c r="D560" s="96">
        <f t="shared" si="110"/>
        <v>1069</v>
      </c>
      <c r="E560" s="95">
        <f>VLOOKUP(B560,'115+740'!B561:AB919,3,FALSE)</f>
        <v>2266</v>
      </c>
      <c r="F560" s="92">
        <f t="shared" si="105"/>
        <v>3335</v>
      </c>
      <c r="G560" s="94">
        <f ca="1">VLOOKUP(B560,'115+740'!$B$15:$AB$757,20,FALSE)</f>
        <v>3467</v>
      </c>
      <c r="H560" s="94">
        <f ca="1">VLOOKUP(B560,'115+740'!$B$15:$AB$757,4,FALSE)</f>
        <v>28</v>
      </c>
      <c r="I560" s="91">
        <f t="shared" ca="1" si="106"/>
        <v>3307</v>
      </c>
      <c r="J560" s="91">
        <f ca="1">VLOOKUP(B560,'115+740'!$B$15:$AB$757,13,FALSE)</f>
        <v>-693</v>
      </c>
      <c r="K560" s="89">
        <f>'115+740'!Q561</f>
        <v>0</v>
      </c>
      <c r="L560" s="88">
        <f t="shared" ca="1" si="111"/>
        <v>733</v>
      </c>
      <c r="M560" s="93">
        <f ca="1">VLOOKUP(B560,'115+740'!$B$14:$AB$757,21,FALSE)</f>
        <v>3280</v>
      </c>
      <c r="N560" s="92">
        <f ca="1">VLOOKUP(B560,'115+740'!$B$15:$AB$757,5,FALSE)</f>
        <v>265</v>
      </c>
      <c r="O560" s="91">
        <f t="shared" ca="1" si="107"/>
        <v>3070</v>
      </c>
      <c r="P560" s="91">
        <f ca="1">VLOOKUP(B560,'115+740'!$B$15:$AB$757,14,FALSE)</f>
        <v>-930</v>
      </c>
      <c r="Q560" s="89">
        <f>'115+740'!R561</f>
        <v>0</v>
      </c>
      <c r="R560" s="88">
        <f t="shared" ca="1" si="112"/>
        <v>920</v>
      </c>
      <c r="S560" s="93">
        <f ca="1">VLOOKUP(B560,'115+740'!$B$14:$AB$757,22,FALSE)</f>
        <v>3547</v>
      </c>
      <c r="T560" s="92">
        <f ca="1">VLOOKUP(B560,'115+740'!$B$15:$AB$757,6,FALSE)</f>
        <v>28</v>
      </c>
      <c r="U560" s="91">
        <f t="shared" ca="1" si="108"/>
        <v>3307</v>
      </c>
      <c r="V560" s="90">
        <f ca="1">VLOOKUP(B560,'115+740'!$B$15:$AB$757,15,FALSE)</f>
        <v>-693</v>
      </c>
      <c r="W560" s="89">
        <f>'115+740'!S561</f>
        <v>0</v>
      </c>
      <c r="X560" s="88">
        <f t="shared" ca="1" si="113"/>
        <v>653</v>
      </c>
      <c r="Y560" s="87">
        <f t="shared" ca="1" si="114"/>
        <v>0</v>
      </c>
      <c r="Z560" s="86">
        <f t="shared" ca="1" si="115"/>
        <v>0</v>
      </c>
      <c r="AA560" s="85">
        <f t="shared" ca="1" si="116"/>
        <v>4.109</v>
      </c>
      <c r="AB560" s="85">
        <f t="shared" ca="1" si="117"/>
        <v>2.37</v>
      </c>
    </row>
    <row r="561" spans="2:28">
      <c r="B561" s="98">
        <f>'115+740'!B562</f>
        <v>45620</v>
      </c>
      <c r="C561" s="97">
        <f t="shared" si="109"/>
        <v>1</v>
      </c>
      <c r="D561" s="96">
        <f t="shared" si="110"/>
        <v>1069</v>
      </c>
      <c r="E561" s="95">
        <f>VLOOKUP(B561,'115+740'!B562:AB920,3,FALSE)</f>
        <v>2268</v>
      </c>
      <c r="F561" s="92">
        <f t="shared" si="105"/>
        <v>3337</v>
      </c>
      <c r="G561" s="94">
        <f ca="1">VLOOKUP(B561,'115+740'!$B$15:$AB$757,20,FALSE)</f>
        <v>3466</v>
      </c>
      <c r="H561" s="94">
        <f ca="1">VLOOKUP(B561,'115+740'!$B$15:$AB$757,4,FALSE)</f>
        <v>31</v>
      </c>
      <c r="I561" s="91">
        <f t="shared" ca="1" si="106"/>
        <v>3306</v>
      </c>
      <c r="J561" s="91">
        <f ca="1">VLOOKUP(B561,'115+740'!$B$15:$AB$757,13,FALSE)</f>
        <v>-694</v>
      </c>
      <c r="K561" s="89">
        <f>'115+740'!Q562</f>
        <v>1</v>
      </c>
      <c r="L561" s="88">
        <f t="shared" ca="1" si="111"/>
        <v>734</v>
      </c>
      <c r="M561" s="93">
        <f ca="1">VLOOKUP(B561,'115+740'!$B$14:$AB$757,21,FALSE)</f>
        <v>3278</v>
      </c>
      <c r="N561" s="92">
        <f ca="1">VLOOKUP(B561,'115+740'!$B$15:$AB$757,5,FALSE)</f>
        <v>269</v>
      </c>
      <c r="O561" s="91">
        <f t="shared" ca="1" si="107"/>
        <v>3068</v>
      </c>
      <c r="P561" s="91">
        <f ca="1">VLOOKUP(B561,'115+740'!$B$15:$AB$757,14,FALSE)</f>
        <v>-932</v>
      </c>
      <c r="Q561" s="89">
        <f>'115+740'!R562</f>
        <v>2</v>
      </c>
      <c r="R561" s="88">
        <f t="shared" ca="1" si="112"/>
        <v>922</v>
      </c>
      <c r="S561" s="93">
        <f ca="1">VLOOKUP(B561,'115+740'!$B$14:$AB$757,22,FALSE)</f>
        <v>3547</v>
      </c>
      <c r="T561" s="92">
        <f ca="1">VLOOKUP(B561,'115+740'!$B$15:$AB$757,6,FALSE)</f>
        <v>30</v>
      </c>
      <c r="U561" s="91">
        <f t="shared" ca="1" si="108"/>
        <v>3307</v>
      </c>
      <c r="V561" s="90">
        <f ca="1">VLOOKUP(B561,'115+740'!$B$15:$AB$757,15,FALSE)</f>
        <v>-693</v>
      </c>
      <c r="W561" s="89">
        <f>'115+740'!S562</f>
        <v>0</v>
      </c>
      <c r="X561" s="88">
        <f t="shared" ca="1" si="113"/>
        <v>653</v>
      </c>
      <c r="Y561" s="87">
        <f t="shared" ca="1" si="114"/>
        <v>0</v>
      </c>
      <c r="Z561" s="86">
        <f t="shared" ca="1" si="115"/>
        <v>0</v>
      </c>
      <c r="AA561" s="85">
        <f t="shared" ca="1" si="116"/>
        <v>4.109</v>
      </c>
      <c r="AB561" s="85">
        <f t="shared" ca="1" si="117"/>
        <v>2.3660000000000001</v>
      </c>
    </row>
    <row r="562" spans="2:28">
      <c r="B562" s="98">
        <f>'115+740'!B563</f>
        <v>45621</v>
      </c>
      <c r="C562" s="97">
        <f t="shared" si="109"/>
        <v>1</v>
      </c>
      <c r="D562" s="96">
        <f t="shared" si="110"/>
        <v>1069</v>
      </c>
      <c r="E562" s="95">
        <f>VLOOKUP(B562,'115+740'!B563:AB921,3,FALSE)</f>
        <v>2270</v>
      </c>
      <c r="F562" s="92">
        <f t="shared" si="105"/>
        <v>3339</v>
      </c>
      <c r="G562" s="94">
        <f ca="1">VLOOKUP(B562,'115+740'!$B$15:$AB$757,20,FALSE)</f>
        <v>3463</v>
      </c>
      <c r="H562" s="94">
        <f ca="1">VLOOKUP(B562,'115+740'!$B$15:$AB$757,4,FALSE)</f>
        <v>36</v>
      </c>
      <c r="I562" s="91">
        <f t="shared" ca="1" si="106"/>
        <v>3303</v>
      </c>
      <c r="J562" s="91">
        <f ca="1">VLOOKUP(B562,'115+740'!$B$15:$AB$757,13,FALSE)</f>
        <v>-697</v>
      </c>
      <c r="K562" s="89">
        <f>'115+740'!Q563</f>
        <v>3</v>
      </c>
      <c r="L562" s="88">
        <f t="shared" ca="1" si="111"/>
        <v>737</v>
      </c>
      <c r="M562" s="93">
        <f ca="1">VLOOKUP(B562,'115+740'!$B$14:$AB$757,21,FALSE)</f>
        <v>3278</v>
      </c>
      <c r="N562" s="92">
        <f ca="1">VLOOKUP(B562,'115+740'!$B$15:$AB$757,5,FALSE)</f>
        <v>271</v>
      </c>
      <c r="O562" s="91">
        <f t="shared" ca="1" si="107"/>
        <v>3068</v>
      </c>
      <c r="P562" s="91">
        <f ca="1">VLOOKUP(B562,'115+740'!$B$15:$AB$757,14,FALSE)</f>
        <v>-932</v>
      </c>
      <c r="Q562" s="89">
        <f>'115+740'!R563</f>
        <v>0</v>
      </c>
      <c r="R562" s="88">
        <f t="shared" ca="1" si="112"/>
        <v>922</v>
      </c>
      <c r="S562" s="93">
        <f ca="1">VLOOKUP(B562,'115+740'!$B$14:$AB$757,22,FALSE)</f>
        <v>3547</v>
      </c>
      <c r="T562" s="92">
        <f ca="1">VLOOKUP(B562,'115+740'!$B$15:$AB$757,6,FALSE)</f>
        <v>32</v>
      </c>
      <c r="U562" s="91">
        <f t="shared" ca="1" si="108"/>
        <v>3307</v>
      </c>
      <c r="V562" s="90">
        <f ca="1">VLOOKUP(B562,'115+740'!$B$15:$AB$757,15,FALSE)</f>
        <v>-693</v>
      </c>
      <c r="W562" s="89">
        <f>'115+740'!S563</f>
        <v>0</v>
      </c>
      <c r="X562" s="88">
        <f t="shared" ca="1" si="113"/>
        <v>653</v>
      </c>
      <c r="Y562" s="87">
        <f t="shared" ca="1" si="114"/>
        <v>0</v>
      </c>
      <c r="Z562" s="86">
        <f t="shared" ca="1" si="115"/>
        <v>0</v>
      </c>
      <c r="AA562" s="85">
        <f t="shared" ca="1" si="116"/>
        <v>4.109</v>
      </c>
      <c r="AB562" s="85">
        <f t="shared" ca="1" si="117"/>
        <v>2.3660000000000001</v>
      </c>
    </row>
    <row r="563" spans="2:28">
      <c r="B563" s="98">
        <f>'115+740'!B564</f>
        <v>45622</v>
      </c>
      <c r="C563" s="97">
        <f t="shared" si="109"/>
        <v>1</v>
      </c>
      <c r="D563" s="96">
        <f t="shared" si="110"/>
        <v>1069</v>
      </c>
      <c r="E563" s="95">
        <f>VLOOKUP(B563,'115+740'!B564:AB922,3,FALSE)</f>
        <v>2272</v>
      </c>
      <c r="F563" s="92">
        <f t="shared" si="105"/>
        <v>3341</v>
      </c>
      <c r="G563" s="94">
        <f ca="1">VLOOKUP(B563,'115+740'!$B$15:$AB$757,20,FALSE)</f>
        <v>3463</v>
      </c>
      <c r="H563" s="94">
        <f ca="1">VLOOKUP(B563,'115+740'!$B$15:$AB$757,4,FALSE)</f>
        <v>38</v>
      </c>
      <c r="I563" s="91">
        <f t="shared" ca="1" si="106"/>
        <v>3303</v>
      </c>
      <c r="J563" s="91">
        <f ca="1">VLOOKUP(B563,'115+740'!$B$15:$AB$757,13,FALSE)</f>
        <v>-697</v>
      </c>
      <c r="K563" s="89">
        <f>'115+740'!Q564</f>
        <v>0</v>
      </c>
      <c r="L563" s="88">
        <f t="shared" ca="1" si="111"/>
        <v>737</v>
      </c>
      <c r="M563" s="93">
        <f ca="1">VLOOKUP(B563,'115+740'!$B$14:$AB$757,21,FALSE)</f>
        <v>3274</v>
      </c>
      <c r="N563" s="92">
        <f ca="1">VLOOKUP(B563,'115+740'!$B$15:$AB$757,5,FALSE)</f>
        <v>277</v>
      </c>
      <c r="O563" s="91">
        <f t="shared" ca="1" si="107"/>
        <v>3064</v>
      </c>
      <c r="P563" s="91">
        <f ca="1">VLOOKUP(B563,'115+740'!$B$15:$AB$757,14,FALSE)</f>
        <v>-936</v>
      </c>
      <c r="Q563" s="89">
        <f>'115+740'!R564</f>
        <v>4</v>
      </c>
      <c r="R563" s="88">
        <f t="shared" ca="1" si="112"/>
        <v>926</v>
      </c>
      <c r="S563" s="93">
        <f ca="1">VLOOKUP(B563,'115+740'!$B$14:$AB$757,22,FALSE)</f>
        <v>3547</v>
      </c>
      <c r="T563" s="92">
        <f ca="1">VLOOKUP(B563,'115+740'!$B$15:$AB$757,6,FALSE)</f>
        <v>34</v>
      </c>
      <c r="U563" s="91">
        <f t="shared" ca="1" si="108"/>
        <v>3307</v>
      </c>
      <c r="V563" s="90">
        <f ca="1">VLOOKUP(B563,'115+740'!$B$15:$AB$757,15,FALSE)</f>
        <v>-693</v>
      </c>
      <c r="W563" s="89">
        <f>'115+740'!S564</f>
        <v>0</v>
      </c>
      <c r="X563" s="88">
        <f t="shared" ca="1" si="113"/>
        <v>653</v>
      </c>
      <c r="Y563" s="87">
        <f t="shared" ca="1" si="114"/>
        <v>0</v>
      </c>
      <c r="Z563" s="86">
        <f t="shared" ca="1" si="115"/>
        <v>0</v>
      </c>
      <c r="AA563" s="85">
        <f t="shared" ca="1" si="116"/>
        <v>4.109</v>
      </c>
      <c r="AB563" s="85">
        <f t="shared" ca="1" si="117"/>
        <v>2.3580000000000001</v>
      </c>
    </row>
    <row r="564" spans="2:28">
      <c r="B564" s="98">
        <f>'115+740'!B565</f>
        <v>45623</v>
      </c>
      <c r="C564" s="97">
        <f t="shared" si="109"/>
        <v>1</v>
      </c>
      <c r="D564" s="96">
        <f t="shared" si="110"/>
        <v>1069</v>
      </c>
      <c r="E564" s="95">
        <f>VLOOKUP(B564,'115+740'!B565:AB923,3,FALSE)</f>
        <v>2274</v>
      </c>
      <c r="F564" s="92">
        <f t="shared" si="105"/>
        <v>3343</v>
      </c>
      <c r="G564" s="94">
        <f ca="1">VLOOKUP(B564,'115+740'!$B$15:$AB$757,20,FALSE)</f>
        <v>3463</v>
      </c>
      <c r="H564" s="94">
        <f ca="1">VLOOKUP(B564,'115+740'!$B$15:$AB$757,4,FALSE)</f>
        <v>40</v>
      </c>
      <c r="I564" s="91">
        <f t="shared" ca="1" si="106"/>
        <v>3303</v>
      </c>
      <c r="J564" s="91">
        <f ca="1">VLOOKUP(B564,'115+740'!$B$15:$AB$757,13,FALSE)</f>
        <v>-697</v>
      </c>
      <c r="K564" s="89">
        <f>'115+740'!Q565</f>
        <v>0</v>
      </c>
      <c r="L564" s="88">
        <f t="shared" ca="1" si="111"/>
        <v>737</v>
      </c>
      <c r="M564" s="93">
        <f ca="1">VLOOKUP(B564,'115+740'!$B$14:$AB$757,21,FALSE)</f>
        <v>3274</v>
      </c>
      <c r="N564" s="92">
        <f ca="1">VLOOKUP(B564,'115+740'!$B$15:$AB$757,5,FALSE)</f>
        <v>279</v>
      </c>
      <c r="O564" s="91">
        <f t="shared" ca="1" si="107"/>
        <v>3064</v>
      </c>
      <c r="P564" s="91">
        <f ca="1">VLOOKUP(B564,'115+740'!$B$15:$AB$757,14,FALSE)</f>
        <v>-936</v>
      </c>
      <c r="Q564" s="89">
        <f>'115+740'!R565</f>
        <v>0</v>
      </c>
      <c r="R564" s="88">
        <f t="shared" ca="1" si="112"/>
        <v>926</v>
      </c>
      <c r="S564" s="93">
        <f ca="1">VLOOKUP(B564,'115+740'!$B$14:$AB$757,22,FALSE)</f>
        <v>3547</v>
      </c>
      <c r="T564" s="92">
        <f ca="1">VLOOKUP(B564,'115+740'!$B$15:$AB$757,6,FALSE)</f>
        <v>36</v>
      </c>
      <c r="U564" s="91">
        <f t="shared" ca="1" si="108"/>
        <v>3307</v>
      </c>
      <c r="V564" s="90">
        <f ca="1">VLOOKUP(B564,'115+740'!$B$15:$AB$757,15,FALSE)</f>
        <v>-693</v>
      </c>
      <c r="W564" s="89">
        <f>'115+740'!S565</f>
        <v>0</v>
      </c>
      <c r="X564" s="88">
        <f t="shared" ca="1" si="113"/>
        <v>653</v>
      </c>
      <c r="Y564" s="87">
        <f t="shared" ca="1" si="114"/>
        <v>0</v>
      </c>
      <c r="Z564" s="86">
        <f t="shared" ca="1" si="115"/>
        <v>0</v>
      </c>
      <c r="AA564" s="85">
        <f t="shared" ca="1" si="116"/>
        <v>4.109</v>
      </c>
      <c r="AB564" s="85">
        <f t="shared" ca="1" si="117"/>
        <v>2.3580000000000001</v>
      </c>
    </row>
    <row r="565" spans="2:28">
      <c r="B565" s="98">
        <f>'115+740'!B566</f>
        <v>45624</v>
      </c>
      <c r="C565" s="97">
        <f t="shared" si="109"/>
        <v>1</v>
      </c>
      <c r="D565" s="96">
        <f t="shared" si="110"/>
        <v>1069</v>
      </c>
      <c r="E565" s="95">
        <f>VLOOKUP(B565,'115+740'!B566:AB924,3,FALSE)</f>
        <v>2276</v>
      </c>
      <c r="F565" s="92">
        <f t="shared" si="105"/>
        <v>3345</v>
      </c>
      <c r="G565" s="94">
        <f ca="1">VLOOKUP(B565,'115+740'!$B$15:$AB$757,20,FALSE)</f>
        <v>3462</v>
      </c>
      <c r="H565" s="94">
        <f ca="1">VLOOKUP(B565,'115+740'!$B$15:$AB$757,4,FALSE)</f>
        <v>43</v>
      </c>
      <c r="I565" s="91">
        <f t="shared" ca="1" si="106"/>
        <v>3302</v>
      </c>
      <c r="J565" s="91">
        <f ca="1">VLOOKUP(B565,'115+740'!$B$15:$AB$757,13,FALSE)</f>
        <v>-698</v>
      </c>
      <c r="K565" s="89">
        <f>'115+740'!Q566</f>
        <v>1</v>
      </c>
      <c r="L565" s="88">
        <f t="shared" ca="1" si="111"/>
        <v>738</v>
      </c>
      <c r="M565" s="93">
        <f ca="1">VLOOKUP(B565,'115+740'!$B$14:$AB$757,21,FALSE)</f>
        <v>3273</v>
      </c>
      <c r="N565" s="92">
        <f ca="1">VLOOKUP(B565,'115+740'!$B$15:$AB$757,5,FALSE)</f>
        <v>282</v>
      </c>
      <c r="O565" s="91">
        <f t="shared" ca="1" si="107"/>
        <v>3063</v>
      </c>
      <c r="P565" s="91">
        <f ca="1">VLOOKUP(B565,'115+740'!$B$15:$AB$757,14,FALSE)</f>
        <v>-937</v>
      </c>
      <c r="Q565" s="89">
        <f>'115+740'!R566</f>
        <v>1</v>
      </c>
      <c r="R565" s="88">
        <f t="shared" ca="1" si="112"/>
        <v>927</v>
      </c>
      <c r="S565" s="93">
        <f ca="1">VLOOKUP(B565,'115+740'!$B$14:$AB$757,22,FALSE)</f>
        <v>3547</v>
      </c>
      <c r="T565" s="92">
        <f ca="1">VLOOKUP(B565,'115+740'!$B$15:$AB$757,6,FALSE)</f>
        <v>38</v>
      </c>
      <c r="U565" s="91">
        <f t="shared" ca="1" si="108"/>
        <v>3307</v>
      </c>
      <c r="V565" s="90">
        <f ca="1">VLOOKUP(B565,'115+740'!$B$15:$AB$757,15,FALSE)</f>
        <v>-693</v>
      </c>
      <c r="W565" s="89">
        <f>'115+740'!S566</f>
        <v>0</v>
      </c>
      <c r="X565" s="88">
        <f t="shared" ca="1" si="113"/>
        <v>653</v>
      </c>
      <c r="Y565" s="87">
        <f t="shared" ca="1" si="114"/>
        <v>0</v>
      </c>
      <c r="Z565" s="86">
        <f t="shared" ca="1" si="115"/>
        <v>0</v>
      </c>
      <c r="AA565" s="85">
        <f t="shared" ca="1" si="116"/>
        <v>4.109</v>
      </c>
      <c r="AB565" s="85">
        <f t="shared" ca="1" si="117"/>
        <v>2.3559999999999999</v>
      </c>
    </row>
    <row r="566" spans="2:28">
      <c r="B566" s="98">
        <f>'115+740'!B567</f>
        <v>45625</v>
      </c>
      <c r="C566" s="97">
        <f t="shared" si="109"/>
        <v>1</v>
      </c>
      <c r="D566" s="96">
        <f t="shared" si="110"/>
        <v>1069</v>
      </c>
      <c r="E566" s="95">
        <f>VLOOKUP(B566,'115+740'!B567:AB925,3,FALSE)</f>
        <v>2278</v>
      </c>
      <c r="F566" s="92">
        <f t="shared" si="105"/>
        <v>3347</v>
      </c>
      <c r="G566" s="94">
        <f ca="1">VLOOKUP(B566,'115+740'!$B$15:$AB$757,20,FALSE)</f>
        <v>3462</v>
      </c>
      <c r="H566" s="94">
        <f ca="1">VLOOKUP(B566,'115+740'!$B$15:$AB$757,4,FALSE)</f>
        <v>45</v>
      </c>
      <c r="I566" s="91">
        <f t="shared" ca="1" si="106"/>
        <v>3302</v>
      </c>
      <c r="J566" s="91">
        <f ca="1">VLOOKUP(B566,'115+740'!$B$15:$AB$757,13,FALSE)</f>
        <v>-698</v>
      </c>
      <c r="K566" s="89">
        <f>'115+740'!Q567</f>
        <v>0</v>
      </c>
      <c r="L566" s="88">
        <f t="shared" ca="1" si="111"/>
        <v>738</v>
      </c>
      <c r="M566" s="93">
        <f ca="1">VLOOKUP(B566,'115+740'!$B$14:$AB$757,21,FALSE)</f>
        <v>3273</v>
      </c>
      <c r="N566" s="92">
        <f ca="1">VLOOKUP(B566,'115+740'!$B$15:$AB$757,5,FALSE)</f>
        <v>284</v>
      </c>
      <c r="O566" s="91">
        <f t="shared" ca="1" si="107"/>
        <v>3063</v>
      </c>
      <c r="P566" s="91">
        <f ca="1">VLOOKUP(B566,'115+740'!$B$15:$AB$757,14,FALSE)</f>
        <v>-937</v>
      </c>
      <c r="Q566" s="89">
        <f>'115+740'!R567</f>
        <v>0</v>
      </c>
      <c r="R566" s="88">
        <f t="shared" ca="1" si="112"/>
        <v>927</v>
      </c>
      <c r="S566" s="93">
        <f ca="1">VLOOKUP(B566,'115+740'!$B$14:$AB$757,22,FALSE)</f>
        <v>3547</v>
      </c>
      <c r="T566" s="92">
        <f ca="1">VLOOKUP(B566,'115+740'!$B$15:$AB$757,6,FALSE)</f>
        <v>40</v>
      </c>
      <c r="U566" s="91">
        <f t="shared" ca="1" si="108"/>
        <v>3307</v>
      </c>
      <c r="V566" s="90">
        <f ca="1">VLOOKUP(B566,'115+740'!$B$15:$AB$757,15,FALSE)</f>
        <v>-693</v>
      </c>
      <c r="W566" s="89">
        <f>'115+740'!S567</f>
        <v>0</v>
      </c>
      <c r="X566" s="88">
        <f t="shared" ca="1" si="113"/>
        <v>653</v>
      </c>
      <c r="Y566" s="87">
        <f t="shared" ca="1" si="114"/>
        <v>0</v>
      </c>
      <c r="Z566" s="86">
        <f t="shared" ca="1" si="115"/>
        <v>0</v>
      </c>
      <c r="AA566" s="85">
        <f t="shared" ca="1" si="116"/>
        <v>4.109</v>
      </c>
      <c r="AB566" s="85">
        <f t="shared" ca="1" si="117"/>
        <v>2.3559999999999999</v>
      </c>
    </row>
    <row r="567" spans="2:28">
      <c r="B567" s="98">
        <f>'115+740'!B568</f>
        <v>45626</v>
      </c>
      <c r="C567" s="97">
        <f t="shared" si="109"/>
        <v>1</v>
      </c>
      <c r="D567" s="96">
        <f t="shared" si="110"/>
        <v>1069</v>
      </c>
      <c r="E567" s="95">
        <f>VLOOKUP(B567,'115+740'!B568:AB926,3,FALSE)</f>
        <v>2280</v>
      </c>
      <c r="F567" s="92">
        <f t="shared" si="105"/>
        <v>3349</v>
      </c>
      <c r="G567" s="94">
        <f ca="1">VLOOKUP(B567,'115+740'!$B$15:$AB$757,20,FALSE)</f>
        <v>3462</v>
      </c>
      <c r="H567" s="94">
        <f ca="1">VLOOKUP(B567,'115+740'!$B$15:$AB$757,4,FALSE)</f>
        <v>47</v>
      </c>
      <c r="I567" s="91">
        <f t="shared" ca="1" si="106"/>
        <v>3302</v>
      </c>
      <c r="J567" s="91">
        <f ca="1">VLOOKUP(B567,'115+740'!$B$15:$AB$757,13,FALSE)</f>
        <v>-698</v>
      </c>
      <c r="K567" s="89">
        <f>'115+740'!Q568</f>
        <v>0</v>
      </c>
      <c r="L567" s="88">
        <f t="shared" ca="1" si="111"/>
        <v>738</v>
      </c>
      <c r="M567" s="93">
        <f ca="1">VLOOKUP(B567,'115+740'!$B$14:$AB$757,21,FALSE)</f>
        <v>3273</v>
      </c>
      <c r="N567" s="92">
        <f ca="1">VLOOKUP(B567,'115+740'!$B$15:$AB$757,5,FALSE)</f>
        <v>286</v>
      </c>
      <c r="O567" s="91">
        <f t="shared" ca="1" si="107"/>
        <v>3063</v>
      </c>
      <c r="P567" s="91">
        <f ca="1">VLOOKUP(B567,'115+740'!$B$15:$AB$757,14,FALSE)</f>
        <v>-937</v>
      </c>
      <c r="Q567" s="89">
        <f>'115+740'!R568</f>
        <v>0</v>
      </c>
      <c r="R567" s="88">
        <f t="shared" ca="1" si="112"/>
        <v>927</v>
      </c>
      <c r="S567" s="93">
        <f ca="1">VLOOKUP(B567,'115+740'!$B$14:$AB$757,22,FALSE)</f>
        <v>3547</v>
      </c>
      <c r="T567" s="92">
        <f ca="1">VLOOKUP(B567,'115+740'!$B$15:$AB$757,6,FALSE)</f>
        <v>42</v>
      </c>
      <c r="U567" s="91">
        <f t="shared" ca="1" si="108"/>
        <v>3307</v>
      </c>
      <c r="V567" s="90">
        <f ca="1">VLOOKUP(B567,'115+740'!$B$15:$AB$757,15,FALSE)</f>
        <v>-693</v>
      </c>
      <c r="W567" s="89">
        <f>'115+740'!S568</f>
        <v>0</v>
      </c>
      <c r="X567" s="88">
        <f t="shared" ca="1" si="113"/>
        <v>653</v>
      </c>
      <c r="Y567" s="87">
        <f t="shared" ca="1" si="114"/>
        <v>0</v>
      </c>
      <c r="Z567" s="86">
        <f t="shared" ca="1" si="115"/>
        <v>0</v>
      </c>
      <c r="AA567" s="85">
        <f t="shared" ca="1" si="116"/>
        <v>4.109</v>
      </c>
      <c r="AB567" s="85">
        <f t="shared" ca="1" si="117"/>
        <v>2.3559999999999999</v>
      </c>
    </row>
    <row r="568" spans="2:28">
      <c r="B568" s="98">
        <f>'115+740'!B569</f>
        <v>45627</v>
      </c>
      <c r="C568" s="97">
        <f t="shared" si="109"/>
        <v>1</v>
      </c>
      <c r="D568" s="96">
        <f t="shared" si="110"/>
        <v>1069</v>
      </c>
      <c r="E568" s="95">
        <f>VLOOKUP(B568,'115+740'!B569:AB927,3,FALSE)</f>
        <v>2282</v>
      </c>
      <c r="F568" s="92">
        <f t="shared" si="105"/>
        <v>3351</v>
      </c>
      <c r="G568" s="94">
        <f ca="1">VLOOKUP(B568,'115+740'!$B$15:$AB$757,20,FALSE)</f>
        <v>3462</v>
      </c>
      <c r="H568" s="94">
        <f ca="1">VLOOKUP(B568,'115+740'!$B$15:$AB$757,4,FALSE)</f>
        <v>49</v>
      </c>
      <c r="I568" s="91">
        <f t="shared" ca="1" si="106"/>
        <v>3302</v>
      </c>
      <c r="J568" s="91">
        <f ca="1">VLOOKUP(B568,'115+740'!$B$15:$AB$757,13,FALSE)</f>
        <v>-698</v>
      </c>
      <c r="K568" s="89">
        <f>'115+740'!Q569</f>
        <v>0</v>
      </c>
      <c r="L568" s="88">
        <f t="shared" ca="1" si="111"/>
        <v>738</v>
      </c>
      <c r="M568" s="93">
        <f ca="1">VLOOKUP(B568,'115+740'!$B$14:$AB$757,21,FALSE)</f>
        <v>3273</v>
      </c>
      <c r="N568" s="92">
        <f ca="1">VLOOKUP(B568,'115+740'!$B$15:$AB$757,5,FALSE)</f>
        <v>288</v>
      </c>
      <c r="O568" s="91">
        <f t="shared" ca="1" si="107"/>
        <v>3063</v>
      </c>
      <c r="P568" s="91">
        <f ca="1">VLOOKUP(B568,'115+740'!$B$15:$AB$757,14,FALSE)</f>
        <v>-937</v>
      </c>
      <c r="Q568" s="89">
        <f>'115+740'!R569</f>
        <v>0</v>
      </c>
      <c r="R568" s="88">
        <f t="shared" ca="1" si="112"/>
        <v>927</v>
      </c>
      <c r="S568" s="93">
        <f ca="1">VLOOKUP(B568,'115+740'!$B$14:$AB$757,22,FALSE)</f>
        <v>3547</v>
      </c>
      <c r="T568" s="92">
        <f ca="1">VLOOKUP(B568,'115+740'!$B$15:$AB$757,6,FALSE)</f>
        <v>44</v>
      </c>
      <c r="U568" s="91">
        <f t="shared" ca="1" si="108"/>
        <v>3307</v>
      </c>
      <c r="V568" s="90">
        <f ca="1">VLOOKUP(B568,'115+740'!$B$15:$AB$757,15,FALSE)</f>
        <v>-693</v>
      </c>
      <c r="W568" s="89">
        <f>'115+740'!S569</f>
        <v>0</v>
      </c>
      <c r="X568" s="88">
        <f t="shared" ca="1" si="113"/>
        <v>653</v>
      </c>
      <c r="Y568" s="87">
        <f t="shared" ca="1" si="114"/>
        <v>0</v>
      </c>
      <c r="Z568" s="86">
        <f t="shared" ca="1" si="115"/>
        <v>0</v>
      </c>
      <c r="AA568" s="85">
        <f t="shared" ca="1" si="116"/>
        <v>4.109</v>
      </c>
      <c r="AB568" s="85">
        <f t="shared" ca="1" si="117"/>
        <v>2.3559999999999999</v>
      </c>
    </row>
    <row r="569" spans="2:28">
      <c r="B569" s="98">
        <f>'115+740'!B570</f>
        <v>45628</v>
      </c>
      <c r="C569" s="97">
        <f t="shared" si="109"/>
        <v>1</v>
      </c>
      <c r="D569" s="96">
        <f t="shared" si="110"/>
        <v>1069</v>
      </c>
      <c r="E569" s="95">
        <f>VLOOKUP(B569,'115+740'!B570:AB928,3,FALSE)</f>
        <v>2284</v>
      </c>
      <c r="F569" s="92">
        <f t="shared" si="105"/>
        <v>3353</v>
      </c>
      <c r="G569" s="94">
        <f ca="1">VLOOKUP(B569,'115+740'!$B$15:$AB$757,20,FALSE)</f>
        <v>3462</v>
      </c>
      <c r="H569" s="94">
        <f ca="1">VLOOKUP(B569,'115+740'!$B$15:$AB$757,4,FALSE)</f>
        <v>51</v>
      </c>
      <c r="I569" s="91">
        <f t="shared" ca="1" si="106"/>
        <v>3302</v>
      </c>
      <c r="J569" s="91">
        <f ca="1">VLOOKUP(B569,'115+740'!$B$15:$AB$757,13,FALSE)</f>
        <v>-698</v>
      </c>
      <c r="K569" s="89">
        <f>'115+740'!Q570</f>
        <v>0</v>
      </c>
      <c r="L569" s="88">
        <f t="shared" ca="1" si="111"/>
        <v>738</v>
      </c>
      <c r="M569" s="93">
        <f ca="1">VLOOKUP(B569,'115+740'!$B$14:$AB$757,21,FALSE)</f>
        <v>3271</v>
      </c>
      <c r="N569" s="92">
        <f ca="1">VLOOKUP(B569,'115+740'!$B$15:$AB$757,5,FALSE)</f>
        <v>292</v>
      </c>
      <c r="O569" s="91">
        <f t="shared" ca="1" si="107"/>
        <v>3061</v>
      </c>
      <c r="P569" s="91">
        <f ca="1">VLOOKUP(B569,'115+740'!$B$15:$AB$757,14,FALSE)</f>
        <v>-939</v>
      </c>
      <c r="Q569" s="89">
        <f>'115+740'!R570</f>
        <v>2</v>
      </c>
      <c r="R569" s="88">
        <f t="shared" ca="1" si="112"/>
        <v>929</v>
      </c>
      <c r="S569" s="93">
        <f ca="1">VLOOKUP(B569,'115+740'!$B$14:$AB$757,22,FALSE)</f>
        <v>3547</v>
      </c>
      <c r="T569" s="92">
        <f ca="1">VLOOKUP(B569,'115+740'!$B$15:$AB$757,6,FALSE)</f>
        <v>46</v>
      </c>
      <c r="U569" s="91">
        <f t="shared" ca="1" si="108"/>
        <v>3307</v>
      </c>
      <c r="V569" s="90">
        <f ca="1">VLOOKUP(B569,'115+740'!$B$15:$AB$757,15,FALSE)</f>
        <v>-693</v>
      </c>
      <c r="W569" s="89">
        <f>'115+740'!S570</f>
        <v>0</v>
      </c>
      <c r="X569" s="88">
        <f t="shared" ca="1" si="113"/>
        <v>653</v>
      </c>
      <c r="Y569" s="87">
        <f t="shared" ca="1" si="114"/>
        <v>0</v>
      </c>
      <c r="Z569" s="86">
        <f t="shared" ca="1" si="115"/>
        <v>0</v>
      </c>
      <c r="AA569" s="85">
        <f t="shared" ca="1" si="116"/>
        <v>4.109</v>
      </c>
      <c r="AB569" s="85">
        <f t="shared" ca="1" si="117"/>
        <v>2.3519999999999999</v>
      </c>
    </row>
    <row r="570" spans="2:28">
      <c r="B570" s="98">
        <f>'115+740'!B571</f>
        <v>45629</v>
      </c>
      <c r="C570" s="97">
        <f t="shared" si="109"/>
        <v>1</v>
      </c>
      <c r="D570" s="96">
        <f t="shared" si="110"/>
        <v>1069</v>
      </c>
      <c r="E570" s="95">
        <f>VLOOKUP(B570,'115+740'!B571:AB929,3,FALSE)</f>
        <v>2286</v>
      </c>
      <c r="F570" s="92">
        <f t="shared" si="105"/>
        <v>3355</v>
      </c>
      <c r="G570" s="94">
        <f ca="1">VLOOKUP(B570,'115+740'!$B$15:$AB$757,20,FALSE)</f>
        <v>3462</v>
      </c>
      <c r="H570" s="94">
        <f ca="1">VLOOKUP(B570,'115+740'!$B$15:$AB$757,4,FALSE)</f>
        <v>53</v>
      </c>
      <c r="I570" s="91">
        <f t="shared" ca="1" si="106"/>
        <v>3302</v>
      </c>
      <c r="J570" s="91">
        <f ca="1">VLOOKUP(B570,'115+740'!$B$15:$AB$757,13,FALSE)</f>
        <v>-698</v>
      </c>
      <c r="K570" s="89">
        <f>'115+740'!Q571</f>
        <v>0</v>
      </c>
      <c r="L570" s="88">
        <f t="shared" ca="1" si="111"/>
        <v>738</v>
      </c>
      <c r="M570" s="93">
        <f ca="1">VLOOKUP(B570,'115+740'!$B$14:$AB$757,21,FALSE)</f>
        <v>3271</v>
      </c>
      <c r="N570" s="92">
        <f ca="1">VLOOKUP(B570,'115+740'!$B$15:$AB$757,5,FALSE)</f>
        <v>294</v>
      </c>
      <c r="O570" s="91">
        <f t="shared" ca="1" si="107"/>
        <v>3061</v>
      </c>
      <c r="P570" s="91">
        <f ca="1">VLOOKUP(B570,'115+740'!$B$15:$AB$757,14,FALSE)</f>
        <v>-939</v>
      </c>
      <c r="Q570" s="89">
        <f>'115+740'!R571</f>
        <v>0</v>
      </c>
      <c r="R570" s="88">
        <f t="shared" ca="1" si="112"/>
        <v>929</v>
      </c>
      <c r="S570" s="93">
        <f ca="1">VLOOKUP(B570,'115+740'!$B$14:$AB$757,22,FALSE)</f>
        <v>3547</v>
      </c>
      <c r="T570" s="92">
        <f ca="1">VLOOKUP(B570,'115+740'!$B$15:$AB$757,6,FALSE)</f>
        <v>48</v>
      </c>
      <c r="U570" s="91">
        <f t="shared" ca="1" si="108"/>
        <v>3307</v>
      </c>
      <c r="V570" s="90">
        <f ca="1">VLOOKUP(B570,'115+740'!$B$15:$AB$757,15,FALSE)</f>
        <v>-693</v>
      </c>
      <c r="W570" s="89">
        <f>'115+740'!S571</f>
        <v>0</v>
      </c>
      <c r="X570" s="88">
        <f t="shared" ca="1" si="113"/>
        <v>653</v>
      </c>
      <c r="Y570" s="87">
        <f t="shared" ca="1" si="114"/>
        <v>0</v>
      </c>
      <c r="Z570" s="86">
        <f t="shared" ca="1" si="115"/>
        <v>0</v>
      </c>
      <c r="AA570" s="85">
        <f t="shared" ca="1" si="116"/>
        <v>4.109</v>
      </c>
      <c r="AB570" s="85">
        <f t="shared" ca="1" si="117"/>
        <v>2.3519999999999999</v>
      </c>
    </row>
    <row r="571" spans="2:28">
      <c r="B571" s="98">
        <f>'115+740'!B572</f>
        <v>45630</v>
      </c>
      <c r="C571" s="97">
        <f t="shared" si="109"/>
        <v>1</v>
      </c>
      <c r="D571" s="96">
        <f t="shared" si="110"/>
        <v>1069</v>
      </c>
      <c r="E571" s="95">
        <f>VLOOKUP(B571,'115+740'!B572:AB930,3,FALSE)</f>
        <v>2288</v>
      </c>
      <c r="F571" s="92">
        <f t="shared" si="105"/>
        <v>3357</v>
      </c>
      <c r="G571" s="94">
        <f ca="1">VLOOKUP(B571,'115+740'!$B$15:$AB$757,20,FALSE)</f>
        <v>3462</v>
      </c>
      <c r="H571" s="94">
        <f ca="1">VLOOKUP(B571,'115+740'!$B$15:$AB$757,4,FALSE)</f>
        <v>55</v>
      </c>
      <c r="I571" s="91">
        <f t="shared" ca="1" si="106"/>
        <v>3302</v>
      </c>
      <c r="J571" s="91">
        <f ca="1">VLOOKUP(B571,'115+740'!$B$15:$AB$757,13,FALSE)</f>
        <v>-698</v>
      </c>
      <c r="K571" s="89">
        <f>'115+740'!Q572</f>
        <v>0</v>
      </c>
      <c r="L571" s="88">
        <f t="shared" ca="1" si="111"/>
        <v>738</v>
      </c>
      <c r="M571" s="93">
        <f ca="1">VLOOKUP(B571,'115+740'!$B$14:$AB$757,21,FALSE)</f>
        <v>3270</v>
      </c>
      <c r="N571" s="92">
        <f ca="1">VLOOKUP(B571,'115+740'!$B$15:$AB$757,5,FALSE)</f>
        <v>297</v>
      </c>
      <c r="O571" s="91">
        <f t="shared" ca="1" si="107"/>
        <v>3060</v>
      </c>
      <c r="P571" s="91">
        <f ca="1">VLOOKUP(B571,'115+740'!$B$15:$AB$757,14,FALSE)</f>
        <v>-940</v>
      </c>
      <c r="Q571" s="89">
        <f>'115+740'!R572</f>
        <v>1</v>
      </c>
      <c r="R571" s="88">
        <f t="shared" ca="1" si="112"/>
        <v>930</v>
      </c>
      <c r="S571" s="93">
        <f ca="1">VLOOKUP(B571,'115+740'!$B$14:$AB$757,22,FALSE)</f>
        <v>3547</v>
      </c>
      <c r="T571" s="92">
        <f ca="1">VLOOKUP(B571,'115+740'!$B$15:$AB$757,6,FALSE)</f>
        <v>50</v>
      </c>
      <c r="U571" s="91">
        <f t="shared" ca="1" si="108"/>
        <v>3307</v>
      </c>
      <c r="V571" s="90">
        <f ca="1">VLOOKUP(B571,'115+740'!$B$15:$AB$757,15,FALSE)</f>
        <v>-693</v>
      </c>
      <c r="W571" s="89">
        <f>'115+740'!S572</f>
        <v>0</v>
      </c>
      <c r="X571" s="88">
        <f t="shared" ca="1" si="113"/>
        <v>653</v>
      </c>
      <c r="Y571" s="87">
        <f t="shared" ca="1" si="114"/>
        <v>0</v>
      </c>
      <c r="Z571" s="86">
        <f t="shared" ca="1" si="115"/>
        <v>0</v>
      </c>
      <c r="AA571" s="85">
        <f t="shared" ca="1" si="116"/>
        <v>4.109</v>
      </c>
      <c r="AB571" s="85">
        <f t="shared" ca="1" si="117"/>
        <v>2.35</v>
      </c>
    </row>
    <row r="572" spans="2:28">
      <c r="B572" s="98">
        <f>'115+740'!B573</f>
        <v>45631</v>
      </c>
      <c r="C572" s="97">
        <f t="shared" si="109"/>
        <v>1</v>
      </c>
      <c r="D572" s="96">
        <f t="shared" si="110"/>
        <v>1069</v>
      </c>
      <c r="E572" s="95">
        <f>VLOOKUP(B572,'115+740'!B573:AB931,3,FALSE)</f>
        <v>2290</v>
      </c>
      <c r="F572" s="92">
        <f t="shared" si="105"/>
        <v>3359</v>
      </c>
      <c r="G572" s="94">
        <f ca="1">VLOOKUP(B572,'115+740'!$B$15:$AB$757,20,FALSE)</f>
        <v>3462</v>
      </c>
      <c r="H572" s="94">
        <f ca="1">VLOOKUP(B572,'115+740'!$B$15:$AB$757,4,FALSE)</f>
        <v>57</v>
      </c>
      <c r="I572" s="91">
        <f t="shared" ca="1" si="106"/>
        <v>3302</v>
      </c>
      <c r="J572" s="91">
        <f ca="1">VLOOKUP(B572,'115+740'!$B$15:$AB$757,13,FALSE)</f>
        <v>-698</v>
      </c>
      <c r="K572" s="89">
        <f>'115+740'!Q573</f>
        <v>0</v>
      </c>
      <c r="L572" s="88">
        <f t="shared" ca="1" si="111"/>
        <v>738</v>
      </c>
      <c r="M572" s="93">
        <f ca="1">VLOOKUP(B572,'115+740'!$B$14:$AB$757,21,FALSE)</f>
        <v>3270</v>
      </c>
      <c r="N572" s="92">
        <f ca="1">VLOOKUP(B572,'115+740'!$B$15:$AB$757,5,FALSE)</f>
        <v>299</v>
      </c>
      <c r="O572" s="91">
        <f t="shared" ca="1" si="107"/>
        <v>3060</v>
      </c>
      <c r="P572" s="91">
        <f ca="1">VLOOKUP(B572,'115+740'!$B$15:$AB$757,14,FALSE)</f>
        <v>-940</v>
      </c>
      <c r="Q572" s="89">
        <f>'115+740'!R573</f>
        <v>0</v>
      </c>
      <c r="R572" s="88">
        <f t="shared" ca="1" si="112"/>
        <v>930</v>
      </c>
      <c r="S572" s="93">
        <f ca="1">VLOOKUP(B572,'115+740'!$B$14:$AB$757,22,FALSE)</f>
        <v>3547</v>
      </c>
      <c r="T572" s="92">
        <f ca="1">VLOOKUP(B572,'115+740'!$B$15:$AB$757,6,FALSE)</f>
        <v>52</v>
      </c>
      <c r="U572" s="91">
        <f t="shared" ca="1" si="108"/>
        <v>3307</v>
      </c>
      <c r="V572" s="90">
        <f ca="1">VLOOKUP(B572,'115+740'!$B$15:$AB$757,15,FALSE)</f>
        <v>-693</v>
      </c>
      <c r="W572" s="89">
        <f>'115+740'!S573</f>
        <v>0</v>
      </c>
      <c r="X572" s="88">
        <f t="shared" ca="1" si="113"/>
        <v>653</v>
      </c>
      <c r="Y572" s="87">
        <f t="shared" ca="1" si="114"/>
        <v>0</v>
      </c>
      <c r="Z572" s="86">
        <f t="shared" ca="1" si="115"/>
        <v>0</v>
      </c>
      <c r="AA572" s="85">
        <f t="shared" ca="1" si="116"/>
        <v>4.109</v>
      </c>
      <c r="AB572" s="85">
        <f t="shared" ca="1" si="117"/>
        <v>2.35</v>
      </c>
    </row>
    <row r="573" spans="2:28">
      <c r="B573" s="98">
        <f>'115+740'!B574</f>
        <v>45632</v>
      </c>
      <c r="C573" s="97">
        <f t="shared" si="109"/>
        <v>1</v>
      </c>
      <c r="D573" s="96">
        <f t="shared" si="110"/>
        <v>1069</v>
      </c>
      <c r="E573" s="95">
        <f>VLOOKUP(B573,'115+740'!B574:AB932,3,FALSE)</f>
        <v>2292</v>
      </c>
      <c r="F573" s="92">
        <f t="shared" si="105"/>
        <v>3361</v>
      </c>
      <c r="G573" s="94">
        <f ca="1">VLOOKUP(B573,'115+740'!$B$15:$AB$757,20,FALSE)</f>
        <v>3458</v>
      </c>
      <c r="H573" s="94">
        <f ca="1">VLOOKUP(B573,'115+740'!$B$15:$AB$757,4,FALSE)</f>
        <v>63</v>
      </c>
      <c r="I573" s="91">
        <f t="shared" ca="1" si="106"/>
        <v>3298</v>
      </c>
      <c r="J573" s="91">
        <f ca="1">VLOOKUP(B573,'115+740'!$B$15:$AB$757,13,FALSE)</f>
        <v>-702</v>
      </c>
      <c r="K573" s="89">
        <f>'115+740'!Q574</f>
        <v>4</v>
      </c>
      <c r="L573" s="88">
        <f t="shared" ca="1" si="111"/>
        <v>742</v>
      </c>
      <c r="M573" s="93">
        <f ca="1">VLOOKUP(B573,'115+740'!$B$14:$AB$757,21,FALSE)</f>
        <v>3270</v>
      </c>
      <c r="N573" s="92">
        <f ca="1">VLOOKUP(B573,'115+740'!$B$15:$AB$757,5,FALSE)</f>
        <v>301</v>
      </c>
      <c r="O573" s="91">
        <f t="shared" ca="1" si="107"/>
        <v>3060</v>
      </c>
      <c r="P573" s="91">
        <f ca="1">VLOOKUP(B573,'115+740'!$B$15:$AB$757,14,FALSE)</f>
        <v>-940</v>
      </c>
      <c r="Q573" s="89">
        <f>'115+740'!R574</f>
        <v>0</v>
      </c>
      <c r="R573" s="88">
        <f t="shared" ca="1" si="112"/>
        <v>930</v>
      </c>
      <c r="S573" s="93">
        <f ca="1">VLOOKUP(B573,'115+740'!$B$14:$AB$757,22,FALSE)</f>
        <v>3547</v>
      </c>
      <c r="T573" s="92">
        <f ca="1">VLOOKUP(B573,'115+740'!$B$15:$AB$757,6,FALSE)</f>
        <v>54</v>
      </c>
      <c r="U573" s="91">
        <f t="shared" ca="1" si="108"/>
        <v>3307</v>
      </c>
      <c r="V573" s="90">
        <f ca="1">VLOOKUP(B573,'115+740'!$B$15:$AB$757,15,FALSE)</f>
        <v>-693</v>
      </c>
      <c r="W573" s="89">
        <f>'115+740'!S574</f>
        <v>0</v>
      </c>
      <c r="X573" s="88">
        <f t="shared" ca="1" si="113"/>
        <v>653</v>
      </c>
      <c r="Y573" s="87">
        <f t="shared" ca="1" si="114"/>
        <v>0</v>
      </c>
      <c r="Z573" s="86">
        <f t="shared" ca="1" si="115"/>
        <v>0</v>
      </c>
      <c r="AA573" s="85">
        <f t="shared" ca="1" si="116"/>
        <v>4.109</v>
      </c>
      <c r="AB573" s="85">
        <f t="shared" ca="1" si="117"/>
        <v>2.35</v>
      </c>
    </row>
    <row r="574" spans="2:28">
      <c r="B574" s="98">
        <f>'115+740'!B575</f>
        <v>45633</v>
      </c>
      <c r="C574" s="97">
        <f t="shared" si="109"/>
        <v>1</v>
      </c>
      <c r="D574" s="96">
        <f t="shared" si="110"/>
        <v>1069</v>
      </c>
      <c r="E574" s="95">
        <f>VLOOKUP(B574,'115+740'!B575:AB933,3,FALSE)</f>
        <v>2294</v>
      </c>
      <c r="F574" s="92">
        <f t="shared" si="105"/>
        <v>3363</v>
      </c>
      <c r="G574" s="94">
        <f ca="1">VLOOKUP(B574,'115+740'!$B$15:$AB$757,20,FALSE)</f>
        <v>3457</v>
      </c>
      <c r="H574" s="94">
        <f ca="1">VLOOKUP(B574,'115+740'!$B$15:$AB$757,4,FALSE)</f>
        <v>66</v>
      </c>
      <c r="I574" s="91">
        <f t="shared" ca="1" si="106"/>
        <v>3297</v>
      </c>
      <c r="J574" s="91">
        <f ca="1">VLOOKUP(B574,'115+740'!$B$15:$AB$757,13,FALSE)</f>
        <v>-703</v>
      </c>
      <c r="K574" s="89">
        <f>'115+740'!Q575</f>
        <v>1</v>
      </c>
      <c r="L574" s="88">
        <f t="shared" ca="1" si="111"/>
        <v>743</v>
      </c>
      <c r="M574" s="93">
        <f ca="1">VLOOKUP(B574,'115+740'!$B$14:$AB$757,21,FALSE)</f>
        <v>3268</v>
      </c>
      <c r="N574" s="92">
        <f ca="1">VLOOKUP(B574,'115+740'!$B$15:$AB$757,5,FALSE)</f>
        <v>305</v>
      </c>
      <c r="O574" s="91">
        <f t="shared" ca="1" si="107"/>
        <v>3058</v>
      </c>
      <c r="P574" s="91">
        <f ca="1">VLOOKUP(B574,'115+740'!$B$15:$AB$757,14,FALSE)</f>
        <v>-942</v>
      </c>
      <c r="Q574" s="89">
        <f>'115+740'!R575</f>
        <v>2</v>
      </c>
      <c r="R574" s="88">
        <f t="shared" ca="1" si="112"/>
        <v>932</v>
      </c>
      <c r="S574" s="93">
        <f ca="1">VLOOKUP(B574,'115+740'!$B$14:$AB$757,22,FALSE)</f>
        <v>3547</v>
      </c>
      <c r="T574" s="92">
        <f ca="1">VLOOKUP(B574,'115+740'!$B$15:$AB$757,6,FALSE)</f>
        <v>56</v>
      </c>
      <c r="U574" s="91">
        <f t="shared" ca="1" si="108"/>
        <v>3307</v>
      </c>
      <c r="V574" s="90">
        <f ca="1">VLOOKUP(B574,'115+740'!$B$15:$AB$757,15,FALSE)</f>
        <v>-693</v>
      </c>
      <c r="W574" s="89">
        <f>'115+740'!S575</f>
        <v>0</v>
      </c>
      <c r="X574" s="88">
        <f t="shared" ca="1" si="113"/>
        <v>653</v>
      </c>
      <c r="Y574" s="87">
        <f t="shared" ca="1" si="114"/>
        <v>0</v>
      </c>
      <c r="Z574" s="86">
        <f t="shared" ca="1" si="115"/>
        <v>0</v>
      </c>
      <c r="AA574" s="85">
        <f t="shared" ca="1" si="116"/>
        <v>4.109</v>
      </c>
      <c r="AB574" s="85">
        <f t="shared" ca="1" si="117"/>
        <v>2.3460000000000001</v>
      </c>
    </row>
    <row r="575" spans="2:28">
      <c r="B575" s="98">
        <f>'115+740'!B576</f>
        <v>45634</v>
      </c>
      <c r="C575" s="97">
        <f t="shared" si="109"/>
        <v>1</v>
      </c>
      <c r="D575" s="96">
        <f t="shared" si="110"/>
        <v>1069</v>
      </c>
      <c r="E575" s="95">
        <f>VLOOKUP(B575,'115+740'!B576:AB934,3,FALSE)</f>
        <v>2296</v>
      </c>
      <c r="F575" s="92">
        <f t="shared" si="105"/>
        <v>3365</v>
      </c>
      <c r="G575" s="94">
        <f ca="1">VLOOKUP(B575,'115+740'!$B$15:$AB$757,20,FALSE)</f>
        <v>3457</v>
      </c>
      <c r="H575" s="94">
        <f ca="1">VLOOKUP(B575,'115+740'!$B$15:$AB$757,4,FALSE)</f>
        <v>68</v>
      </c>
      <c r="I575" s="91">
        <f t="shared" ca="1" si="106"/>
        <v>3297</v>
      </c>
      <c r="J575" s="91">
        <f ca="1">VLOOKUP(B575,'115+740'!$B$15:$AB$757,13,FALSE)</f>
        <v>-703</v>
      </c>
      <c r="K575" s="89">
        <f>'115+740'!Q576</f>
        <v>0</v>
      </c>
      <c r="L575" s="88">
        <f t="shared" ca="1" si="111"/>
        <v>743</v>
      </c>
      <c r="M575" s="93">
        <f ca="1">VLOOKUP(B575,'115+740'!$B$14:$AB$757,21,FALSE)</f>
        <v>3268</v>
      </c>
      <c r="N575" s="92">
        <f ca="1">VLOOKUP(B575,'115+740'!$B$15:$AB$757,5,FALSE)</f>
        <v>307</v>
      </c>
      <c r="O575" s="91">
        <f t="shared" ca="1" si="107"/>
        <v>3058</v>
      </c>
      <c r="P575" s="91">
        <f ca="1">VLOOKUP(B575,'115+740'!$B$15:$AB$757,14,FALSE)</f>
        <v>-942</v>
      </c>
      <c r="Q575" s="89">
        <f>'115+740'!R576</f>
        <v>0</v>
      </c>
      <c r="R575" s="88">
        <f t="shared" ca="1" si="112"/>
        <v>932</v>
      </c>
      <c r="S575" s="93">
        <f ca="1">VLOOKUP(B575,'115+740'!$B$14:$AB$757,22,FALSE)</f>
        <v>3545</v>
      </c>
      <c r="T575" s="92">
        <f ca="1">VLOOKUP(B575,'115+740'!$B$15:$AB$757,6,FALSE)</f>
        <v>60</v>
      </c>
      <c r="U575" s="91">
        <f t="shared" ca="1" si="108"/>
        <v>3305</v>
      </c>
      <c r="V575" s="90">
        <f ca="1">VLOOKUP(B575,'115+740'!$B$15:$AB$757,15,FALSE)</f>
        <v>-695</v>
      </c>
      <c r="W575" s="89">
        <f>'115+740'!S576</f>
        <v>2</v>
      </c>
      <c r="X575" s="88">
        <f t="shared" ca="1" si="113"/>
        <v>655</v>
      </c>
      <c r="Y575" s="87">
        <f t="shared" ca="1" si="114"/>
        <v>-2</v>
      </c>
      <c r="Z575" s="86">
        <f t="shared" ca="1" si="115"/>
        <v>0</v>
      </c>
      <c r="AA575" s="85">
        <f t="shared" ca="1" si="116"/>
        <v>4.109</v>
      </c>
      <c r="AB575" s="85">
        <f t="shared" ca="1" si="117"/>
        <v>2.3460000000000001</v>
      </c>
    </row>
    <row r="576" spans="2:28">
      <c r="B576" s="98">
        <f>'115+740'!B577</f>
        <v>45635</v>
      </c>
      <c r="C576" s="97">
        <f t="shared" si="109"/>
        <v>1</v>
      </c>
      <c r="D576" s="96">
        <f t="shared" si="110"/>
        <v>1069</v>
      </c>
      <c r="E576" s="95">
        <f>VLOOKUP(B576,'115+740'!B577:AB935,3,FALSE)</f>
        <v>2298</v>
      </c>
      <c r="F576" s="92">
        <f t="shared" si="105"/>
        <v>3367</v>
      </c>
      <c r="G576" s="94">
        <f ca="1">VLOOKUP(B576,'115+740'!$B$15:$AB$757,20,FALSE)</f>
        <v>3457</v>
      </c>
      <c r="H576" s="94">
        <f ca="1">VLOOKUP(B576,'115+740'!$B$15:$AB$757,4,FALSE)</f>
        <v>70</v>
      </c>
      <c r="I576" s="91">
        <f t="shared" ca="1" si="106"/>
        <v>3297</v>
      </c>
      <c r="J576" s="91">
        <f ca="1">VLOOKUP(B576,'115+740'!$B$15:$AB$757,13,FALSE)</f>
        <v>-703</v>
      </c>
      <c r="K576" s="89">
        <f>'115+740'!Q577</f>
        <v>0</v>
      </c>
      <c r="L576" s="88">
        <f t="shared" ca="1" si="111"/>
        <v>743</v>
      </c>
      <c r="M576" s="93">
        <f ca="1">VLOOKUP(B576,'115+740'!$B$14:$AB$757,21,FALSE)</f>
        <v>3268</v>
      </c>
      <c r="N576" s="92">
        <f ca="1">VLOOKUP(B576,'115+740'!$B$15:$AB$757,5,FALSE)</f>
        <v>309</v>
      </c>
      <c r="O576" s="91">
        <f t="shared" ca="1" si="107"/>
        <v>3058</v>
      </c>
      <c r="P576" s="91">
        <f ca="1">VLOOKUP(B576,'115+740'!$B$15:$AB$757,14,FALSE)</f>
        <v>-942</v>
      </c>
      <c r="Q576" s="89">
        <f>'115+740'!R577</f>
        <v>0</v>
      </c>
      <c r="R576" s="88">
        <f t="shared" ca="1" si="112"/>
        <v>932</v>
      </c>
      <c r="S576" s="93">
        <f ca="1">VLOOKUP(B576,'115+740'!$B$14:$AB$757,22,FALSE)</f>
        <v>3545</v>
      </c>
      <c r="T576" s="92">
        <f ca="1">VLOOKUP(B576,'115+740'!$B$15:$AB$757,6,FALSE)</f>
        <v>62</v>
      </c>
      <c r="U576" s="91">
        <f t="shared" ca="1" si="108"/>
        <v>3305</v>
      </c>
      <c r="V576" s="90">
        <f ca="1">VLOOKUP(B576,'115+740'!$B$15:$AB$757,15,FALSE)</f>
        <v>-695</v>
      </c>
      <c r="W576" s="89">
        <f>'115+740'!S577</f>
        <v>0</v>
      </c>
      <c r="X576" s="88">
        <f t="shared" ca="1" si="113"/>
        <v>655</v>
      </c>
      <c r="Y576" s="87">
        <f t="shared" ca="1" si="114"/>
        <v>0</v>
      </c>
      <c r="Z576" s="86">
        <f t="shared" ca="1" si="115"/>
        <v>0</v>
      </c>
      <c r="AA576" s="85">
        <f t="shared" ca="1" si="116"/>
        <v>4.109</v>
      </c>
      <c r="AB576" s="85">
        <f t="shared" ca="1" si="117"/>
        <v>2.3460000000000001</v>
      </c>
    </row>
    <row r="577" spans="2:28">
      <c r="B577" s="98">
        <f>'115+740'!B578</f>
        <v>45636</v>
      </c>
      <c r="C577" s="97">
        <f t="shared" si="109"/>
        <v>1</v>
      </c>
      <c r="D577" s="96">
        <f t="shared" si="110"/>
        <v>1069</v>
      </c>
      <c r="E577" s="95">
        <f>VLOOKUP(B577,'115+740'!B578:AB936,3,FALSE)</f>
        <v>2300</v>
      </c>
      <c r="F577" s="92">
        <f t="shared" si="105"/>
        <v>3369</v>
      </c>
      <c r="G577" s="94">
        <f ca="1">VLOOKUP(B577,'115+740'!$B$15:$AB$757,20,FALSE)</f>
        <v>3456</v>
      </c>
      <c r="H577" s="94">
        <f ca="1">VLOOKUP(B577,'115+740'!$B$15:$AB$757,4,FALSE)</f>
        <v>73</v>
      </c>
      <c r="I577" s="91">
        <f t="shared" ca="1" si="106"/>
        <v>3296</v>
      </c>
      <c r="J577" s="91">
        <f ca="1">VLOOKUP(B577,'115+740'!$B$15:$AB$757,13,FALSE)</f>
        <v>-704</v>
      </c>
      <c r="K577" s="89">
        <f>'115+740'!Q578</f>
        <v>1</v>
      </c>
      <c r="L577" s="88">
        <f t="shared" ca="1" si="111"/>
        <v>744</v>
      </c>
      <c r="M577" s="93">
        <f ca="1">VLOOKUP(B577,'115+740'!$B$14:$AB$757,21,FALSE)</f>
        <v>3266</v>
      </c>
      <c r="N577" s="92">
        <f ca="1">VLOOKUP(B577,'115+740'!$B$15:$AB$757,5,FALSE)</f>
        <v>313</v>
      </c>
      <c r="O577" s="91">
        <f t="shared" ca="1" si="107"/>
        <v>3056</v>
      </c>
      <c r="P577" s="91">
        <f ca="1">VLOOKUP(B577,'115+740'!$B$15:$AB$757,14,FALSE)</f>
        <v>-944</v>
      </c>
      <c r="Q577" s="89">
        <f>'115+740'!R578</f>
        <v>2</v>
      </c>
      <c r="R577" s="88">
        <f t="shared" ca="1" si="112"/>
        <v>934</v>
      </c>
      <c r="S577" s="93">
        <f ca="1">VLOOKUP(B577,'115+740'!$B$14:$AB$757,22,FALSE)</f>
        <v>3545</v>
      </c>
      <c r="T577" s="92">
        <f ca="1">VLOOKUP(B577,'115+740'!$B$15:$AB$757,6,FALSE)</f>
        <v>64</v>
      </c>
      <c r="U577" s="91">
        <f t="shared" ca="1" si="108"/>
        <v>3305</v>
      </c>
      <c r="V577" s="90">
        <f ca="1">VLOOKUP(B577,'115+740'!$B$15:$AB$757,15,FALSE)</f>
        <v>-695</v>
      </c>
      <c r="W577" s="89">
        <f>'115+740'!S578</f>
        <v>0</v>
      </c>
      <c r="X577" s="88">
        <f t="shared" ca="1" si="113"/>
        <v>655</v>
      </c>
      <c r="Y577" s="87">
        <f t="shared" ca="1" si="114"/>
        <v>0</v>
      </c>
      <c r="Z577" s="86">
        <f t="shared" ca="1" si="115"/>
        <v>0</v>
      </c>
      <c r="AA577" s="85">
        <f t="shared" ca="1" si="116"/>
        <v>4.109</v>
      </c>
      <c r="AB577" s="85">
        <f t="shared" ca="1" si="117"/>
        <v>2.3420000000000001</v>
      </c>
    </row>
    <row r="578" spans="2:28">
      <c r="B578" s="98">
        <f>'115+740'!B579</f>
        <v>45637</v>
      </c>
      <c r="C578" s="97">
        <f t="shared" si="109"/>
        <v>1</v>
      </c>
      <c r="D578" s="96">
        <f t="shared" si="110"/>
        <v>1069</v>
      </c>
      <c r="E578" s="95">
        <f>VLOOKUP(B578,'115+740'!B579:AB937,3,FALSE)</f>
        <v>2302</v>
      </c>
      <c r="F578" s="92">
        <f t="shared" si="105"/>
        <v>3371</v>
      </c>
      <c r="G578" s="94">
        <f ca="1">VLOOKUP(B578,'115+740'!$B$15:$AB$757,20,FALSE)</f>
        <v>3456</v>
      </c>
      <c r="H578" s="94">
        <f ca="1">VLOOKUP(B578,'115+740'!$B$15:$AB$757,4,FALSE)</f>
        <v>75</v>
      </c>
      <c r="I578" s="91">
        <f t="shared" ca="1" si="106"/>
        <v>3296</v>
      </c>
      <c r="J578" s="91">
        <f ca="1">VLOOKUP(B578,'115+740'!$B$15:$AB$757,13,FALSE)</f>
        <v>-704</v>
      </c>
      <c r="K578" s="89">
        <f>'115+740'!Q579</f>
        <v>0</v>
      </c>
      <c r="L578" s="88">
        <f t="shared" ca="1" si="111"/>
        <v>744</v>
      </c>
      <c r="M578" s="93">
        <f ca="1">VLOOKUP(B578,'115+740'!$B$14:$AB$757,21,FALSE)</f>
        <v>3266</v>
      </c>
      <c r="N578" s="92">
        <f ca="1">VLOOKUP(B578,'115+740'!$B$15:$AB$757,5,FALSE)</f>
        <v>315</v>
      </c>
      <c r="O578" s="91">
        <f t="shared" ca="1" si="107"/>
        <v>3056</v>
      </c>
      <c r="P578" s="91">
        <f ca="1">VLOOKUP(B578,'115+740'!$B$15:$AB$757,14,FALSE)</f>
        <v>-944</v>
      </c>
      <c r="Q578" s="89">
        <f>'115+740'!R579</f>
        <v>0</v>
      </c>
      <c r="R578" s="88">
        <f t="shared" ca="1" si="112"/>
        <v>934</v>
      </c>
      <c r="S578" s="93">
        <f ca="1">VLOOKUP(B578,'115+740'!$B$14:$AB$757,22,FALSE)</f>
        <v>3545</v>
      </c>
      <c r="T578" s="92">
        <f ca="1">VLOOKUP(B578,'115+740'!$B$15:$AB$757,6,FALSE)</f>
        <v>66</v>
      </c>
      <c r="U578" s="91">
        <f t="shared" ca="1" si="108"/>
        <v>3305</v>
      </c>
      <c r="V578" s="90">
        <f ca="1">VLOOKUP(B578,'115+740'!$B$15:$AB$757,15,FALSE)</f>
        <v>-695</v>
      </c>
      <c r="W578" s="89">
        <f>'115+740'!S579</f>
        <v>0</v>
      </c>
      <c r="X578" s="88">
        <f t="shared" ca="1" si="113"/>
        <v>655</v>
      </c>
      <c r="Y578" s="87">
        <f t="shared" ca="1" si="114"/>
        <v>0</v>
      </c>
      <c r="Z578" s="86">
        <f t="shared" ca="1" si="115"/>
        <v>0</v>
      </c>
      <c r="AA578" s="85">
        <f t="shared" ca="1" si="116"/>
        <v>4.109</v>
      </c>
      <c r="AB578" s="85">
        <f t="shared" ca="1" si="117"/>
        <v>2.3420000000000001</v>
      </c>
    </row>
    <row r="579" spans="2:28">
      <c r="B579" s="98">
        <f>'115+740'!B580</f>
        <v>45638</v>
      </c>
      <c r="C579" s="97">
        <f t="shared" si="109"/>
        <v>1</v>
      </c>
      <c r="D579" s="96">
        <f t="shared" si="110"/>
        <v>1069</v>
      </c>
      <c r="E579" s="95">
        <f>VLOOKUP(B579,'115+740'!B580:AB938,3,FALSE)</f>
        <v>2304</v>
      </c>
      <c r="F579" s="92">
        <f t="shared" si="105"/>
        <v>3373</v>
      </c>
      <c r="G579" s="94">
        <f ca="1">VLOOKUP(B579,'115+740'!$B$15:$AB$757,20,FALSE)</f>
        <v>3452</v>
      </c>
      <c r="H579" s="94">
        <f ca="1">VLOOKUP(B579,'115+740'!$B$15:$AB$757,4,FALSE)</f>
        <v>81</v>
      </c>
      <c r="I579" s="91">
        <f t="shared" ca="1" si="106"/>
        <v>3292</v>
      </c>
      <c r="J579" s="91">
        <f ca="1">VLOOKUP(B579,'115+740'!$B$15:$AB$757,13,FALSE)</f>
        <v>-708</v>
      </c>
      <c r="K579" s="89">
        <f>'115+740'!Q580</f>
        <v>4</v>
      </c>
      <c r="L579" s="88">
        <f t="shared" ca="1" si="111"/>
        <v>748</v>
      </c>
      <c r="M579" s="93">
        <f ca="1">VLOOKUP(B579,'115+740'!$B$14:$AB$757,21,FALSE)</f>
        <v>3265</v>
      </c>
      <c r="N579" s="92">
        <f ca="1">VLOOKUP(B579,'115+740'!$B$15:$AB$757,5,FALSE)</f>
        <v>318</v>
      </c>
      <c r="O579" s="91">
        <f t="shared" ca="1" si="107"/>
        <v>3055</v>
      </c>
      <c r="P579" s="91">
        <f ca="1">VLOOKUP(B579,'115+740'!$B$15:$AB$757,14,FALSE)</f>
        <v>-945</v>
      </c>
      <c r="Q579" s="89">
        <f>'115+740'!R580</f>
        <v>1</v>
      </c>
      <c r="R579" s="88">
        <f t="shared" ca="1" si="112"/>
        <v>935</v>
      </c>
      <c r="S579" s="93">
        <f ca="1">VLOOKUP(B579,'115+740'!$B$14:$AB$757,22,FALSE)</f>
        <v>3545</v>
      </c>
      <c r="T579" s="92">
        <f ca="1">VLOOKUP(B579,'115+740'!$B$15:$AB$757,6,FALSE)</f>
        <v>68</v>
      </c>
      <c r="U579" s="91">
        <f t="shared" ca="1" si="108"/>
        <v>3305</v>
      </c>
      <c r="V579" s="90">
        <f ca="1">VLOOKUP(B579,'115+740'!$B$15:$AB$757,15,FALSE)</f>
        <v>-695</v>
      </c>
      <c r="W579" s="89">
        <f>'115+740'!S580</f>
        <v>0</v>
      </c>
      <c r="X579" s="88">
        <f t="shared" ca="1" si="113"/>
        <v>655</v>
      </c>
      <c r="Y579" s="87">
        <f t="shared" ca="1" si="114"/>
        <v>0</v>
      </c>
      <c r="Z579" s="86">
        <f t="shared" ca="1" si="115"/>
        <v>0</v>
      </c>
      <c r="AA579" s="85">
        <f t="shared" ca="1" si="116"/>
        <v>4.109</v>
      </c>
      <c r="AB579" s="85">
        <f t="shared" ca="1" si="117"/>
        <v>2.34</v>
      </c>
    </row>
    <row r="580" spans="2:28">
      <c r="B580" s="98">
        <f>'115+740'!B581</f>
        <v>45639</v>
      </c>
      <c r="C580" s="97">
        <f t="shared" si="109"/>
        <v>1</v>
      </c>
      <c r="D580" s="96">
        <f t="shared" si="110"/>
        <v>1069</v>
      </c>
      <c r="E580" s="95">
        <f>VLOOKUP(B580,'115+740'!B581:AB939,3,FALSE)</f>
        <v>2306</v>
      </c>
      <c r="F580" s="92">
        <f t="shared" si="105"/>
        <v>3375</v>
      </c>
      <c r="G580" s="94">
        <f ca="1">VLOOKUP(B580,'115+740'!$B$15:$AB$757,20,FALSE)</f>
        <v>3451</v>
      </c>
      <c r="H580" s="94">
        <f ca="1">VLOOKUP(B580,'115+740'!$B$15:$AB$757,4,FALSE)</f>
        <v>84</v>
      </c>
      <c r="I580" s="91">
        <f t="shared" ca="1" si="106"/>
        <v>3291</v>
      </c>
      <c r="J580" s="91">
        <f ca="1">VLOOKUP(B580,'115+740'!$B$15:$AB$757,13,FALSE)</f>
        <v>-709</v>
      </c>
      <c r="K580" s="89">
        <f>'115+740'!Q581</f>
        <v>1</v>
      </c>
      <c r="L580" s="88">
        <f t="shared" ca="1" si="111"/>
        <v>749</v>
      </c>
      <c r="M580" s="93">
        <f ca="1">VLOOKUP(B580,'115+740'!$B$14:$AB$757,21,FALSE)</f>
        <v>3265</v>
      </c>
      <c r="N580" s="92">
        <f ca="1">VLOOKUP(B580,'115+740'!$B$15:$AB$757,5,FALSE)</f>
        <v>320</v>
      </c>
      <c r="O580" s="91">
        <f t="shared" ca="1" si="107"/>
        <v>3055</v>
      </c>
      <c r="P580" s="91">
        <f ca="1">VLOOKUP(B580,'115+740'!$B$15:$AB$757,14,FALSE)</f>
        <v>-945</v>
      </c>
      <c r="Q580" s="89">
        <f>'115+740'!R581</f>
        <v>0</v>
      </c>
      <c r="R580" s="88">
        <f t="shared" ca="1" si="112"/>
        <v>935</v>
      </c>
      <c r="S580" s="93">
        <f ca="1">VLOOKUP(B580,'115+740'!$B$14:$AB$757,22,FALSE)</f>
        <v>3545</v>
      </c>
      <c r="T580" s="92">
        <f ca="1">VLOOKUP(B580,'115+740'!$B$15:$AB$757,6,FALSE)</f>
        <v>70</v>
      </c>
      <c r="U580" s="91">
        <f t="shared" ca="1" si="108"/>
        <v>3305</v>
      </c>
      <c r="V580" s="90">
        <f ca="1">VLOOKUP(B580,'115+740'!$B$15:$AB$757,15,FALSE)</f>
        <v>-695</v>
      </c>
      <c r="W580" s="89">
        <f>'115+740'!S581</f>
        <v>0</v>
      </c>
      <c r="X580" s="88">
        <f t="shared" ca="1" si="113"/>
        <v>655</v>
      </c>
      <c r="Y580" s="87">
        <f t="shared" ca="1" si="114"/>
        <v>0</v>
      </c>
      <c r="Z580" s="86">
        <f t="shared" ca="1" si="115"/>
        <v>0</v>
      </c>
      <c r="AA580" s="85">
        <f t="shared" ca="1" si="116"/>
        <v>4.109</v>
      </c>
      <c r="AB580" s="85">
        <f t="shared" ca="1" si="117"/>
        <v>2.34</v>
      </c>
    </row>
    <row r="581" spans="2:28">
      <c r="B581" s="98">
        <f>'115+740'!B582</f>
        <v>45640</v>
      </c>
      <c r="C581" s="97">
        <f t="shared" si="109"/>
        <v>1</v>
      </c>
      <c r="D581" s="96">
        <f t="shared" si="110"/>
        <v>1069</v>
      </c>
      <c r="E581" s="95">
        <f>VLOOKUP(B581,'115+740'!B582:AB940,3,FALSE)</f>
        <v>2308</v>
      </c>
      <c r="F581" s="92">
        <f t="shared" si="105"/>
        <v>3377</v>
      </c>
      <c r="G581" s="94">
        <f ca="1">VLOOKUP(B581,'115+740'!$B$15:$AB$757,20,FALSE)</f>
        <v>3451</v>
      </c>
      <c r="H581" s="94">
        <f ca="1">VLOOKUP(B581,'115+740'!$B$15:$AB$757,4,FALSE)</f>
        <v>86</v>
      </c>
      <c r="I581" s="91">
        <f t="shared" ca="1" si="106"/>
        <v>3291</v>
      </c>
      <c r="J581" s="91">
        <f ca="1">VLOOKUP(B581,'115+740'!$B$15:$AB$757,13,FALSE)</f>
        <v>-709</v>
      </c>
      <c r="K581" s="89">
        <f>'115+740'!Q582</f>
        <v>0</v>
      </c>
      <c r="L581" s="88">
        <f t="shared" ca="1" si="111"/>
        <v>749</v>
      </c>
      <c r="M581" s="93">
        <f ca="1">VLOOKUP(B581,'115+740'!$B$14:$AB$757,21,FALSE)</f>
        <v>3265</v>
      </c>
      <c r="N581" s="92">
        <f ca="1">VLOOKUP(B581,'115+740'!$B$15:$AB$757,5,FALSE)</f>
        <v>322</v>
      </c>
      <c r="O581" s="91">
        <f t="shared" ca="1" si="107"/>
        <v>3055</v>
      </c>
      <c r="P581" s="91">
        <f ca="1">VLOOKUP(B581,'115+740'!$B$15:$AB$757,14,FALSE)</f>
        <v>-945</v>
      </c>
      <c r="Q581" s="89">
        <f>'115+740'!R582</f>
        <v>0</v>
      </c>
      <c r="R581" s="88">
        <f t="shared" ca="1" si="112"/>
        <v>935</v>
      </c>
      <c r="S581" s="93">
        <f ca="1">VLOOKUP(B581,'115+740'!$B$14:$AB$757,22,FALSE)</f>
        <v>3544</v>
      </c>
      <c r="T581" s="92">
        <f ca="1">VLOOKUP(B581,'115+740'!$B$15:$AB$757,6,FALSE)</f>
        <v>73</v>
      </c>
      <c r="U581" s="91">
        <f t="shared" ca="1" si="108"/>
        <v>3304</v>
      </c>
      <c r="V581" s="90">
        <f ca="1">VLOOKUP(B581,'115+740'!$B$15:$AB$757,15,FALSE)</f>
        <v>-696</v>
      </c>
      <c r="W581" s="89">
        <f>'115+740'!S582</f>
        <v>1</v>
      </c>
      <c r="X581" s="88">
        <f t="shared" ca="1" si="113"/>
        <v>656</v>
      </c>
      <c r="Y581" s="87">
        <f t="shared" ca="1" si="114"/>
        <v>-1</v>
      </c>
      <c r="Z581" s="86">
        <f t="shared" ca="1" si="115"/>
        <v>0</v>
      </c>
      <c r="AA581" s="85">
        <f t="shared" ca="1" si="116"/>
        <v>4.109</v>
      </c>
      <c r="AB581" s="85">
        <f t="shared" ca="1" si="117"/>
        <v>2.34</v>
      </c>
    </row>
    <row r="582" spans="2:28">
      <c r="B582" s="98">
        <f>'115+740'!B583</f>
        <v>45641</v>
      </c>
      <c r="C582" s="97">
        <f t="shared" si="109"/>
        <v>1</v>
      </c>
      <c r="D582" s="96">
        <f t="shared" si="110"/>
        <v>1069</v>
      </c>
      <c r="E582" s="95">
        <f>VLOOKUP(B582,'115+740'!B583:AB941,3,FALSE)</f>
        <v>2310</v>
      </c>
      <c r="F582" s="92">
        <f t="shared" si="105"/>
        <v>3379</v>
      </c>
      <c r="G582" s="94">
        <f ca="1">VLOOKUP(B582,'115+740'!$B$15:$AB$757,20,FALSE)</f>
        <v>3447</v>
      </c>
      <c r="H582" s="94">
        <f ca="1">VLOOKUP(B582,'115+740'!$B$15:$AB$757,4,FALSE)</f>
        <v>92</v>
      </c>
      <c r="I582" s="91">
        <f t="shared" ca="1" si="106"/>
        <v>3287</v>
      </c>
      <c r="J582" s="91">
        <f ca="1">VLOOKUP(B582,'115+740'!$B$15:$AB$757,13,FALSE)</f>
        <v>-713</v>
      </c>
      <c r="K582" s="89">
        <f>'115+740'!Q583</f>
        <v>4</v>
      </c>
      <c r="L582" s="88">
        <f t="shared" ca="1" si="111"/>
        <v>753</v>
      </c>
      <c r="M582" s="93">
        <f ca="1">VLOOKUP(B582,'115+740'!$B$14:$AB$757,21,FALSE)</f>
        <v>3261</v>
      </c>
      <c r="N582" s="92">
        <f ca="1">VLOOKUP(B582,'115+740'!$B$15:$AB$757,5,FALSE)</f>
        <v>328</v>
      </c>
      <c r="O582" s="91">
        <f t="shared" ca="1" si="107"/>
        <v>3051</v>
      </c>
      <c r="P582" s="91">
        <f ca="1">VLOOKUP(B582,'115+740'!$B$15:$AB$757,14,FALSE)</f>
        <v>-949</v>
      </c>
      <c r="Q582" s="89">
        <f>'115+740'!R583</f>
        <v>4</v>
      </c>
      <c r="R582" s="88">
        <f t="shared" ca="1" si="112"/>
        <v>939</v>
      </c>
      <c r="S582" s="93">
        <f ca="1">VLOOKUP(B582,'115+740'!$B$14:$AB$757,22,FALSE)</f>
        <v>3544</v>
      </c>
      <c r="T582" s="92">
        <f ca="1">VLOOKUP(B582,'115+740'!$B$15:$AB$757,6,FALSE)</f>
        <v>75</v>
      </c>
      <c r="U582" s="91">
        <f t="shared" ca="1" si="108"/>
        <v>3304</v>
      </c>
      <c r="V582" s="90">
        <f ca="1">VLOOKUP(B582,'115+740'!$B$15:$AB$757,15,FALSE)</f>
        <v>-696</v>
      </c>
      <c r="W582" s="89">
        <f>'115+740'!S583</f>
        <v>0</v>
      </c>
      <c r="X582" s="88">
        <f t="shared" ca="1" si="113"/>
        <v>656</v>
      </c>
      <c r="Y582" s="87">
        <f t="shared" ca="1" si="114"/>
        <v>0</v>
      </c>
      <c r="Z582" s="86">
        <f t="shared" ca="1" si="115"/>
        <v>0</v>
      </c>
      <c r="AA582" s="85">
        <f t="shared" ca="1" si="116"/>
        <v>4.109</v>
      </c>
      <c r="AB582" s="85">
        <f t="shared" ca="1" si="117"/>
        <v>2.3319999999999999</v>
      </c>
    </row>
    <row r="583" spans="2:28">
      <c r="B583" s="98">
        <f>'115+740'!B584</f>
        <v>45642</v>
      </c>
      <c r="C583" s="97">
        <f t="shared" si="109"/>
        <v>1</v>
      </c>
      <c r="D583" s="96">
        <f t="shared" si="110"/>
        <v>1069</v>
      </c>
      <c r="E583" s="95">
        <f>VLOOKUP(B583,'115+740'!B584:AB942,3,FALSE)</f>
        <v>2312</v>
      </c>
      <c r="F583" s="92">
        <f t="shared" si="105"/>
        <v>3381</v>
      </c>
      <c r="G583" s="94">
        <f ca="1">VLOOKUP(B583,'115+740'!$B$15:$AB$757,20,FALSE)</f>
        <v>3446</v>
      </c>
      <c r="H583" s="94">
        <f ca="1">VLOOKUP(B583,'115+740'!$B$15:$AB$757,4,FALSE)</f>
        <v>95</v>
      </c>
      <c r="I583" s="91">
        <f t="shared" ca="1" si="106"/>
        <v>3286</v>
      </c>
      <c r="J583" s="91">
        <f ca="1">VLOOKUP(B583,'115+740'!$B$15:$AB$757,13,FALSE)</f>
        <v>-714</v>
      </c>
      <c r="K583" s="89">
        <f>'115+740'!Q584</f>
        <v>1</v>
      </c>
      <c r="L583" s="88">
        <f t="shared" ca="1" si="111"/>
        <v>754</v>
      </c>
      <c r="M583" s="93">
        <f ca="1">VLOOKUP(B583,'115+740'!$B$14:$AB$757,21,FALSE)</f>
        <v>3261</v>
      </c>
      <c r="N583" s="92">
        <f ca="1">VLOOKUP(B583,'115+740'!$B$15:$AB$757,5,FALSE)</f>
        <v>330</v>
      </c>
      <c r="O583" s="91">
        <f t="shared" ca="1" si="107"/>
        <v>3051</v>
      </c>
      <c r="P583" s="91">
        <f ca="1">VLOOKUP(B583,'115+740'!$B$15:$AB$757,14,FALSE)</f>
        <v>-949</v>
      </c>
      <c r="Q583" s="89">
        <f>'115+740'!R584</f>
        <v>0</v>
      </c>
      <c r="R583" s="88">
        <f t="shared" ca="1" si="112"/>
        <v>939</v>
      </c>
      <c r="S583" s="93">
        <f ca="1">VLOOKUP(B583,'115+740'!$B$14:$AB$757,22,FALSE)</f>
        <v>3544</v>
      </c>
      <c r="T583" s="92">
        <f ca="1">VLOOKUP(B583,'115+740'!$B$15:$AB$757,6,FALSE)</f>
        <v>77</v>
      </c>
      <c r="U583" s="91">
        <f t="shared" ca="1" si="108"/>
        <v>3304</v>
      </c>
      <c r="V583" s="90">
        <f ca="1">VLOOKUP(B583,'115+740'!$B$15:$AB$757,15,FALSE)</f>
        <v>-696</v>
      </c>
      <c r="W583" s="89">
        <f>'115+740'!S584</f>
        <v>0</v>
      </c>
      <c r="X583" s="88">
        <f t="shared" ca="1" si="113"/>
        <v>656</v>
      </c>
      <c r="Y583" s="87">
        <f t="shared" ca="1" si="114"/>
        <v>0</v>
      </c>
      <c r="Z583" s="86">
        <f t="shared" ca="1" si="115"/>
        <v>0</v>
      </c>
      <c r="AA583" s="85">
        <f t="shared" ca="1" si="116"/>
        <v>4.109</v>
      </c>
      <c r="AB583" s="85">
        <f t="shared" ca="1" si="117"/>
        <v>2.3319999999999999</v>
      </c>
    </row>
    <row r="584" spans="2:28">
      <c r="B584" s="98">
        <f>'115+740'!B585</f>
        <v>45643</v>
      </c>
      <c r="C584" s="97">
        <f t="shared" si="109"/>
        <v>1</v>
      </c>
      <c r="D584" s="96">
        <f t="shared" si="110"/>
        <v>1069</v>
      </c>
      <c r="E584" s="95">
        <f>VLOOKUP(B584,'115+740'!B585:AB943,3,FALSE)</f>
        <v>2314</v>
      </c>
      <c r="F584" s="92">
        <f t="shared" si="105"/>
        <v>3383</v>
      </c>
      <c r="G584" s="94">
        <f ca="1">VLOOKUP(B584,'115+740'!$B$15:$AB$757,20,FALSE)</f>
        <v>3446</v>
      </c>
      <c r="H584" s="94">
        <f ca="1">VLOOKUP(B584,'115+740'!$B$15:$AB$757,4,FALSE)</f>
        <v>97</v>
      </c>
      <c r="I584" s="91">
        <f t="shared" ca="1" si="106"/>
        <v>3286</v>
      </c>
      <c r="J584" s="91">
        <f ca="1">VLOOKUP(B584,'115+740'!$B$15:$AB$757,13,FALSE)</f>
        <v>-714</v>
      </c>
      <c r="K584" s="89">
        <f>'115+740'!Q585</f>
        <v>0</v>
      </c>
      <c r="L584" s="88">
        <f t="shared" ca="1" si="111"/>
        <v>754</v>
      </c>
      <c r="M584" s="93">
        <f ca="1">VLOOKUP(B584,'115+740'!$B$14:$AB$757,21,FALSE)</f>
        <v>3261</v>
      </c>
      <c r="N584" s="92">
        <f ca="1">VLOOKUP(B584,'115+740'!$B$15:$AB$757,5,FALSE)</f>
        <v>332</v>
      </c>
      <c r="O584" s="91">
        <f t="shared" ca="1" si="107"/>
        <v>3051</v>
      </c>
      <c r="P584" s="91">
        <f ca="1">VLOOKUP(B584,'115+740'!$B$15:$AB$757,14,FALSE)</f>
        <v>-949</v>
      </c>
      <c r="Q584" s="89">
        <f>'115+740'!R585</f>
        <v>0</v>
      </c>
      <c r="R584" s="88">
        <f t="shared" ca="1" si="112"/>
        <v>939</v>
      </c>
      <c r="S584" s="93">
        <f ca="1">VLOOKUP(B584,'115+740'!$B$14:$AB$757,22,FALSE)</f>
        <v>3544</v>
      </c>
      <c r="T584" s="92">
        <f ca="1">VLOOKUP(B584,'115+740'!$B$15:$AB$757,6,FALSE)</f>
        <v>79</v>
      </c>
      <c r="U584" s="91">
        <f t="shared" ca="1" si="108"/>
        <v>3304</v>
      </c>
      <c r="V584" s="90">
        <f ca="1">VLOOKUP(B584,'115+740'!$B$15:$AB$757,15,FALSE)</f>
        <v>-696</v>
      </c>
      <c r="W584" s="89">
        <f>'115+740'!S585</f>
        <v>0</v>
      </c>
      <c r="X584" s="88">
        <f t="shared" ca="1" si="113"/>
        <v>656</v>
      </c>
      <c r="Y584" s="87">
        <f t="shared" ca="1" si="114"/>
        <v>0</v>
      </c>
      <c r="Z584" s="86">
        <f t="shared" ca="1" si="115"/>
        <v>0</v>
      </c>
      <c r="AA584" s="85">
        <f t="shared" ca="1" si="116"/>
        <v>4.109</v>
      </c>
      <c r="AB584" s="85">
        <f t="shared" ca="1" si="117"/>
        <v>2.3319999999999999</v>
      </c>
    </row>
    <row r="585" spans="2:28">
      <c r="B585" s="98">
        <f>'115+740'!B586</f>
        <v>45644</v>
      </c>
      <c r="C585" s="97">
        <f t="shared" si="109"/>
        <v>1</v>
      </c>
      <c r="D585" s="96">
        <f t="shared" si="110"/>
        <v>1069</v>
      </c>
      <c r="E585" s="95">
        <f>VLOOKUP(B585,'115+740'!B586:AB944,3,FALSE)</f>
        <v>2316</v>
      </c>
      <c r="F585" s="92">
        <f t="shared" si="105"/>
        <v>3385</v>
      </c>
      <c r="G585" s="94">
        <f ca="1">VLOOKUP(B585,'115+740'!$B$15:$AB$757,20,FALSE)</f>
        <v>3446</v>
      </c>
      <c r="H585" s="94">
        <f ca="1">VLOOKUP(B585,'115+740'!$B$15:$AB$757,4,FALSE)</f>
        <v>99</v>
      </c>
      <c r="I585" s="91">
        <f t="shared" ca="1" si="106"/>
        <v>3286</v>
      </c>
      <c r="J585" s="91">
        <f ca="1">VLOOKUP(B585,'115+740'!$B$15:$AB$757,13,FALSE)</f>
        <v>-714</v>
      </c>
      <c r="K585" s="89">
        <f>'115+740'!Q586</f>
        <v>0</v>
      </c>
      <c r="L585" s="88">
        <f t="shared" ca="1" si="111"/>
        <v>754</v>
      </c>
      <c r="M585" s="93">
        <f ca="1">VLOOKUP(B585,'115+740'!$B$14:$AB$757,21,FALSE)</f>
        <v>3261</v>
      </c>
      <c r="N585" s="92">
        <f ca="1">VLOOKUP(B585,'115+740'!$B$15:$AB$757,5,FALSE)</f>
        <v>334</v>
      </c>
      <c r="O585" s="91">
        <f t="shared" ca="1" si="107"/>
        <v>3051</v>
      </c>
      <c r="P585" s="91">
        <f ca="1">VLOOKUP(B585,'115+740'!$B$15:$AB$757,14,FALSE)</f>
        <v>-949</v>
      </c>
      <c r="Q585" s="89">
        <f>'115+740'!R586</f>
        <v>0</v>
      </c>
      <c r="R585" s="88">
        <f t="shared" ca="1" si="112"/>
        <v>939</v>
      </c>
      <c r="S585" s="93">
        <f ca="1">VLOOKUP(B585,'115+740'!$B$14:$AB$757,22,FALSE)</f>
        <v>3544</v>
      </c>
      <c r="T585" s="92">
        <f ca="1">VLOOKUP(B585,'115+740'!$B$15:$AB$757,6,FALSE)</f>
        <v>81</v>
      </c>
      <c r="U585" s="91">
        <f t="shared" ca="1" si="108"/>
        <v>3304</v>
      </c>
      <c r="V585" s="90">
        <f ca="1">VLOOKUP(B585,'115+740'!$B$15:$AB$757,15,FALSE)</f>
        <v>-696</v>
      </c>
      <c r="W585" s="89">
        <f>'115+740'!S586</f>
        <v>0</v>
      </c>
      <c r="X585" s="88">
        <f t="shared" ca="1" si="113"/>
        <v>656</v>
      </c>
      <c r="Y585" s="87">
        <f t="shared" ca="1" si="114"/>
        <v>0</v>
      </c>
      <c r="Z585" s="86">
        <f t="shared" ca="1" si="115"/>
        <v>0</v>
      </c>
      <c r="AA585" s="85">
        <f t="shared" ca="1" si="116"/>
        <v>4.109</v>
      </c>
      <c r="AB585" s="85">
        <f t="shared" ca="1" si="117"/>
        <v>2.3319999999999999</v>
      </c>
    </row>
    <row r="586" spans="2:28">
      <c r="B586" s="98">
        <f>'115+740'!B587</f>
        <v>45645</v>
      </c>
      <c r="C586" s="97">
        <f t="shared" si="109"/>
        <v>1</v>
      </c>
      <c r="D586" s="96">
        <f t="shared" si="110"/>
        <v>1069</v>
      </c>
      <c r="E586" s="95">
        <f>VLOOKUP(B586,'115+740'!B587:AB945,3,FALSE)</f>
        <v>2318</v>
      </c>
      <c r="F586" s="92">
        <f t="shared" si="105"/>
        <v>3387</v>
      </c>
      <c r="G586" s="94">
        <f ca="1">VLOOKUP(B586,'115+740'!$B$15:$AB$757,20,FALSE)</f>
        <v>3446</v>
      </c>
      <c r="H586" s="94">
        <f ca="1">VLOOKUP(B586,'115+740'!$B$15:$AB$757,4,FALSE)</f>
        <v>101</v>
      </c>
      <c r="I586" s="91">
        <f t="shared" ca="1" si="106"/>
        <v>3286</v>
      </c>
      <c r="J586" s="91">
        <f ca="1">VLOOKUP(B586,'115+740'!$B$15:$AB$757,13,FALSE)</f>
        <v>-714</v>
      </c>
      <c r="K586" s="89">
        <f>'115+740'!Q587</f>
        <v>0</v>
      </c>
      <c r="L586" s="88">
        <f t="shared" ca="1" si="111"/>
        <v>754</v>
      </c>
      <c r="M586" s="93">
        <f ca="1">VLOOKUP(B586,'115+740'!$B$14:$AB$757,21,FALSE)</f>
        <v>3259</v>
      </c>
      <c r="N586" s="92">
        <f ca="1">VLOOKUP(B586,'115+740'!$B$15:$AB$757,5,FALSE)</f>
        <v>338</v>
      </c>
      <c r="O586" s="91">
        <f t="shared" ca="1" si="107"/>
        <v>3049</v>
      </c>
      <c r="P586" s="91">
        <f ca="1">VLOOKUP(B586,'115+740'!$B$15:$AB$757,14,FALSE)</f>
        <v>-951</v>
      </c>
      <c r="Q586" s="89">
        <f>'115+740'!R587</f>
        <v>2</v>
      </c>
      <c r="R586" s="88">
        <f t="shared" ca="1" si="112"/>
        <v>941</v>
      </c>
      <c r="S586" s="93">
        <f ca="1">VLOOKUP(B586,'115+740'!$B$14:$AB$757,22,FALSE)</f>
        <v>3544</v>
      </c>
      <c r="T586" s="92">
        <f ca="1">VLOOKUP(B586,'115+740'!$B$15:$AB$757,6,FALSE)</f>
        <v>83</v>
      </c>
      <c r="U586" s="91">
        <f t="shared" ca="1" si="108"/>
        <v>3304</v>
      </c>
      <c r="V586" s="90">
        <f ca="1">VLOOKUP(B586,'115+740'!$B$15:$AB$757,15,FALSE)</f>
        <v>-696</v>
      </c>
      <c r="W586" s="89">
        <f>'115+740'!S587</f>
        <v>0</v>
      </c>
      <c r="X586" s="88">
        <f t="shared" ca="1" si="113"/>
        <v>656</v>
      </c>
      <c r="Y586" s="87">
        <f t="shared" ca="1" si="114"/>
        <v>0</v>
      </c>
      <c r="Z586" s="86">
        <f t="shared" ca="1" si="115"/>
        <v>0</v>
      </c>
      <c r="AA586" s="85">
        <f t="shared" ca="1" si="116"/>
        <v>4.109</v>
      </c>
      <c r="AB586" s="85">
        <f t="shared" ca="1" si="117"/>
        <v>2.3279999999999998</v>
      </c>
    </row>
    <row r="587" spans="2:28">
      <c r="B587" s="98">
        <f>'115+740'!B588</f>
        <v>45646</v>
      </c>
      <c r="C587" s="97">
        <f t="shared" si="109"/>
        <v>1</v>
      </c>
      <c r="D587" s="96">
        <f t="shared" si="110"/>
        <v>1069</v>
      </c>
      <c r="E587" s="95">
        <f>VLOOKUP(B587,'115+740'!B588:AB946,3,FALSE)</f>
        <v>2320</v>
      </c>
      <c r="F587" s="92">
        <f t="shared" si="105"/>
        <v>3389</v>
      </c>
      <c r="G587" s="94">
        <f ca="1">VLOOKUP(B587,'115+740'!$B$15:$AB$757,20,FALSE)</f>
        <v>3446</v>
      </c>
      <c r="H587" s="94">
        <f ca="1">VLOOKUP(B587,'115+740'!$B$15:$AB$757,4,FALSE)</f>
        <v>103</v>
      </c>
      <c r="I587" s="91">
        <f t="shared" ca="1" si="106"/>
        <v>3286</v>
      </c>
      <c r="J587" s="91">
        <f ca="1">VLOOKUP(B587,'115+740'!$B$15:$AB$757,13,FALSE)</f>
        <v>-714</v>
      </c>
      <c r="K587" s="89">
        <f>'115+740'!Q588</f>
        <v>0</v>
      </c>
      <c r="L587" s="88">
        <f t="shared" ca="1" si="111"/>
        <v>754</v>
      </c>
      <c r="M587" s="93">
        <f ca="1">VLOOKUP(B587,'115+740'!$B$14:$AB$757,21,FALSE)</f>
        <v>3259</v>
      </c>
      <c r="N587" s="92">
        <f ca="1">VLOOKUP(B587,'115+740'!$B$15:$AB$757,5,FALSE)</f>
        <v>340</v>
      </c>
      <c r="O587" s="91">
        <f t="shared" ca="1" si="107"/>
        <v>3049</v>
      </c>
      <c r="P587" s="91">
        <f ca="1">VLOOKUP(B587,'115+740'!$B$15:$AB$757,14,FALSE)</f>
        <v>-951</v>
      </c>
      <c r="Q587" s="89">
        <f>'115+740'!R588</f>
        <v>0</v>
      </c>
      <c r="R587" s="88">
        <f t="shared" ca="1" si="112"/>
        <v>941</v>
      </c>
      <c r="S587" s="93">
        <f ca="1">VLOOKUP(B587,'115+740'!$B$14:$AB$757,22,FALSE)</f>
        <v>3544</v>
      </c>
      <c r="T587" s="92">
        <f ca="1">VLOOKUP(B587,'115+740'!$B$15:$AB$757,6,FALSE)</f>
        <v>85</v>
      </c>
      <c r="U587" s="91">
        <f t="shared" ca="1" si="108"/>
        <v>3304</v>
      </c>
      <c r="V587" s="90">
        <f ca="1">VLOOKUP(B587,'115+740'!$B$15:$AB$757,15,FALSE)</f>
        <v>-696</v>
      </c>
      <c r="W587" s="89">
        <f>'115+740'!S588</f>
        <v>0</v>
      </c>
      <c r="X587" s="88">
        <f t="shared" ca="1" si="113"/>
        <v>656</v>
      </c>
      <c r="Y587" s="87">
        <f t="shared" ca="1" si="114"/>
        <v>0</v>
      </c>
      <c r="Z587" s="86">
        <f t="shared" ca="1" si="115"/>
        <v>0</v>
      </c>
      <c r="AA587" s="85">
        <f t="shared" ca="1" si="116"/>
        <v>4.109</v>
      </c>
      <c r="AB587" s="85">
        <f t="shared" ca="1" si="117"/>
        <v>2.3279999999999998</v>
      </c>
    </row>
    <row r="588" spans="2:28">
      <c r="B588" s="98">
        <f>'115+740'!B589</f>
        <v>45647</v>
      </c>
      <c r="C588" s="97">
        <f t="shared" si="109"/>
        <v>1</v>
      </c>
      <c r="D588" s="96">
        <f t="shared" si="110"/>
        <v>1069</v>
      </c>
      <c r="E588" s="95">
        <f>VLOOKUP(B588,'115+740'!B589:AB947,3,FALSE)</f>
        <v>2322</v>
      </c>
      <c r="F588" s="92">
        <f t="shared" si="105"/>
        <v>3391</v>
      </c>
      <c r="G588" s="94">
        <f ca="1">VLOOKUP(B588,'115+740'!$B$15:$AB$757,20,FALSE)</f>
        <v>3446</v>
      </c>
      <c r="H588" s="94">
        <f ca="1">VLOOKUP(B588,'115+740'!$B$15:$AB$757,4,FALSE)</f>
        <v>105</v>
      </c>
      <c r="I588" s="91">
        <f t="shared" ca="1" si="106"/>
        <v>3286</v>
      </c>
      <c r="J588" s="91">
        <f ca="1">VLOOKUP(B588,'115+740'!$B$15:$AB$757,13,FALSE)</f>
        <v>-714</v>
      </c>
      <c r="K588" s="89">
        <f>'115+740'!Q589</f>
        <v>0</v>
      </c>
      <c r="L588" s="88">
        <f t="shared" ca="1" si="111"/>
        <v>754</v>
      </c>
      <c r="M588" s="93">
        <f ca="1">VLOOKUP(B588,'115+740'!$B$14:$AB$757,21,FALSE)</f>
        <v>3259</v>
      </c>
      <c r="N588" s="92">
        <f ca="1">VLOOKUP(B588,'115+740'!$B$15:$AB$757,5,FALSE)</f>
        <v>342</v>
      </c>
      <c r="O588" s="91">
        <f t="shared" ca="1" si="107"/>
        <v>3049</v>
      </c>
      <c r="P588" s="91">
        <f ca="1">VLOOKUP(B588,'115+740'!$B$15:$AB$757,14,FALSE)</f>
        <v>-951</v>
      </c>
      <c r="Q588" s="89">
        <f>'115+740'!R589</f>
        <v>0</v>
      </c>
      <c r="R588" s="88">
        <f t="shared" ca="1" si="112"/>
        <v>941</v>
      </c>
      <c r="S588" s="93">
        <f ca="1">VLOOKUP(B588,'115+740'!$B$14:$AB$757,22,FALSE)</f>
        <v>3544</v>
      </c>
      <c r="T588" s="92">
        <f ca="1">VLOOKUP(B588,'115+740'!$B$15:$AB$757,6,FALSE)</f>
        <v>87</v>
      </c>
      <c r="U588" s="91">
        <f t="shared" ca="1" si="108"/>
        <v>3304</v>
      </c>
      <c r="V588" s="90">
        <f ca="1">VLOOKUP(B588,'115+740'!$B$15:$AB$757,15,FALSE)</f>
        <v>-696</v>
      </c>
      <c r="W588" s="89">
        <f>'115+740'!S589</f>
        <v>0</v>
      </c>
      <c r="X588" s="88">
        <f t="shared" ca="1" si="113"/>
        <v>656</v>
      </c>
      <c r="Y588" s="87">
        <f t="shared" ca="1" si="114"/>
        <v>0</v>
      </c>
      <c r="Z588" s="86">
        <f t="shared" ca="1" si="115"/>
        <v>0</v>
      </c>
      <c r="AA588" s="85">
        <f t="shared" ca="1" si="116"/>
        <v>4.109</v>
      </c>
      <c r="AB588" s="85">
        <f t="shared" ca="1" si="117"/>
        <v>2.3279999999999998</v>
      </c>
    </row>
    <row r="589" spans="2:28">
      <c r="B589" s="98">
        <f>'115+740'!B590</f>
        <v>45648</v>
      </c>
      <c r="C589" s="97">
        <f t="shared" si="109"/>
        <v>1</v>
      </c>
      <c r="D589" s="96">
        <f t="shared" si="110"/>
        <v>1069</v>
      </c>
      <c r="E589" s="95">
        <f>VLOOKUP(B589,'115+740'!B590:AB948,3,FALSE)</f>
        <v>2324</v>
      </c>
      <c r="F589" s="92">
        <f t="shared" ref="F589:F652" si="118">D589+E589</f>
        <v>3393</v>
      </c>
      <c r="G589" s="94">
        <f ca="1">VLOOKUP(B589,'115+740'!$B$15:$AB$757,20,FALSE)</f>
        <v>3446</v>
      </c>
      <c r="H589" s="94">
        <f ca="1">VLOOKUP(B589,'115+740'!$B$15:$AB$757,4,FALSE)</f>
        <v>107</v>
      </c>
      <c r="I589" s="91">
        <f t="shared" ref="I589:I652" ca="1" si="119">F589-H589</f>
        <v>3286</v>
      </c>
      <c r="J589" s="91">
        <f ca="1">VLOOKUP(B589,'115+740'!$B$15:$AB$757,13,FALSE)</f>
        <v>-714</v>
      </c>
      <c r="K589" s="89">
        <f>'115+740'!Q590</f>
        <v>0</v>
      </c>
      <c r="L589" s="88">
        <f t="shared" ca="1" si="111"/>
        <v>754</v>
      </c>
      <c r="M589" s="93">
        <f ca="1">VLOOKUP(B589,'115+740'!$B$14:$AB$757,21,FALSE)</f>
        <v>3258</v>
      </c>
      <c r="N589" s="92">
        <f ca="1">VLOOKUP(B589,'115+740'!$B$15:$AB$757,5,FALSE)</f>
        <v>345</v>
      </c>
      <c r="O589" s="91">
        <f t="shared" ref="O589:O652" ca="1" si="120">F589-N589</f>
        <v>3048</v>
      </c>
      <c r="P589" s="91">
        <f ca="1">VLOOKUP(B589,'115+740'!$B$15:$AB$757,14,FALSE)</f>
        <v>-952</v>
      </c>
      <c r="Q589" s="89">
        <f>'115+740'!R590</f>
        <v>1</v>
      </c>
      <c r="R589" s="88">
        <f t="shared" ca="1" si="112"/>
        <v>942</v>
      </c>
      <c r="S589" s="93">
        <f ca="1">VLOOKUP(B589,'115+740'!$B$14:$AB$757,22,FALSE)</f>
        <v>3544</v>
      </c>
      <c r="T589" s="92">
        <f ca="1">VLOOKUP(B589,'115+740'!$B$15:$AB$757,6,FALSE)</f>
        <v>89</v>
      </c>
      <c r="U589" s="91">
        <f t="shared" ref="U589:U652" ca="1" si="121">F589-T589</f>
        <v>3304</v>
      </c>
      <c r="V589" s="90">
        <f ca="1">VLOOKUP(B589,'115+740'!$B$15:$AB$757,15,FALSE)</f>
        <v>-696</v>
      </c>
      <c r="W589" s="89">
        <f>'115+740'!S590</f>
        <v>0</v>
      </c>
      <c r="X589" s="88">
        <f t="shared" ca="1" si="113"/>
        <v>656</v>
      </c>
      <c r="Y589" s="87">
        <f t="shared" ca="1" si="114"/>
        <v>0</v>
      </c>
      <c r="Z589" s="86">
        <f t="shared" ca="1" si="115"/>
        <v>0</v>
      </c>
      <c r="AA589" s="85">
        <f t="shared" ca="1" si="116"/>
        <v>4.109</v>
      </c>
      <c r="AB589" s="85">
        <f t="shared" ca="1" si="117"/>
        <v>2.3260000000000001</v>
      </c>
    </row>
    <row r="590" spans="2:28">
      <c r="B590" s="98">
        <f>'115+740'!B591</f>
        <v>45649</v>
      </c>
      <c r="C590" s="97">
        <f t="shared" ref="C590:C653" si="122">B590-B589</f>
        <v>1</v>
      </c>
      <c r="D590" s="96">
        <f t="shared" ref="D590:D653" si="123">D589</f>
        <v>1069</v>
      </c>
      <c r="E590" s="95">
        <f>VLOOKUP(B590,'115+740'!B591:AB949,3,FALSE)</f>
        <v>2326</v>
      </c>
      <c r="F590" s="92">
        <f t="shared" si="118"/>
        <v>3395</v>
      </c>
      <c r="G590" s="94">
        <f ca="1">VLOOKUP(B590,'115+740'!$B$15:$AB$757,20,FALSE)</f>
        <v>3444</v>
      </c>
      <c r="H590" s="94">
        <f ca="1">VLOOKUP(B590,'115+740'!$B$15:$AB$757,4,FALSE)</f>
        <v>111</v>
      </c>
      <c r="I590" s="91">
        <f t="shared" ca="1" si="119"/>
        <v>3284</v>
      </c>
      <c r="J590" s="91">
        <f ca="1">VLOOKUP(B590,'115+740'!$B$15:$AB$757,13,FALSE)</f>
        <v>-716</v>
      </c>
      <c r="K590" s="89">
        <f>'115+740'!Q591</f>
        <v>2</v>
      </c>
      <c r="L590" s="88">
        <f t="shared" ref="L590:L653" ca="1" si="124">+K590+L589</f>
        <v>756</v>
      </c>
      <c r="M590" s="93">
        <f ca="1">VLOOKUP(B590,'115+740'!$B$14:$AB$757,21,FALSE)</f>
        <v>3258</v>
      </c>
      <c r="N590" s="92">
        <f ca="1">VLOOKUP(B590,'115+740'!$B$15:$AB$757,5,FALSE)</f>
        <v>347</v>
      </c>
      <c r="O590" s="91">
        <f t="shared" ca="1" si="120"/>
        <v>3048</v>
      </c>
      <c r="P590" s="91">
        <f ca="1">VLOOKUP(B590,'115+740'!$B$15:$AB$757,14,FALSE)</f>
        <v>-952</v>
      </c>
      <c r="Q590" s="89">
        <f>'115+740'!R591</f>
        <v>0</v>
      </c>
      <c r="R590" s="88">
        <f t="shared" ref="R590:R653" ca="1" si="125">+Q590+R589</f>
        <v>942</v>
      </c>
      <c r="S590" s="93">
        <f ca="1">VLOOKUP(B590,'115+740'!$B$14:$AB$757,22,FALSE)</f>
        <v>3544</v>
      </c>
      <c r="T590" s="92">
        <f ca="1">VLOOKUP(B590,'115+740'!$B$15:$AB$757,6,FALSE)</f>
        <v>91</v>
      </c>
      <c r="U590" s="91">
        <f t="shared" ca="1" si="121"/>
        <v>3304</v>
      </c>
      <c r="V590" s="90">
        <f ca="1">VLOOKUP(B590,'115+740'!$B$15:$AB$757,15,FALSE)</f>
        <v>-696</v>
      </c>
      <c r="W590" s="89">
        <f>'115+740'!S591</f>
        <v>0</v>
      </c>
      <c r="X590" s="88">
        <f t="shared" ref="X590:X653" ca="1" si="126">+W590+X589</f>
        <v>656</v>
      </c>
      <c r="Y590" s="87">
        <f t="shared" ref="Y590:Y653" ca="1" si="127">S590-S589</f>
        <v>0</v>
      </c>
      <c r="Z590" s="86">
        <f t="shared" ref="Z590:Z653" ca="1" si="128">IF(Y590&gt;0,Y590,0)/1000</f>
        <v>0</v>
      </c>
      <c r="AA590" s="85">
        <f t="shared" ref="AA590:AA653" ca="1" si="129">AA589+Z590</f>
        <v>4.109</v>
      </c>
      <c r="AB590" s="85">
        <f t="shared" ref="AB590:AB653" ca="1" si="130">(M590-$M$13-R590)/1000</f>
        <v>2.3260000000000001</v>
      </c>
    </row>
    <row r="591" spans="2:28">
      <c r="B591" s="98">
        <f>'115+740'!B592</f>
        <v>45650</v>
      </c>
      <c r="C591" s="97">
        <f t="shared" si="122"/>
        <v>1</v>
      </c>
      <c r="D591" s="96">
        <f t="shared" si="123"/>
        <v>1069</v>
      </c>
      <c r="E591" s="95">
        <f>VLOOKUP(B591,'115+740'!B592:AB950,3,FALSE)</f>
        <v>2328</v>
      </c>
      <c r="F591" s="92">
        <f t="shared" si="118"/>
        <v>3397</v>
      </c>
      <c r="G591" s="94">
        <f ca="1">VLOOKUP(B591,'115+740'!$B$15:$AB$757,20,FALSE)</f>
        <v>3444</v>
      </c>
      <c r="H591" s="94">
        <f ca="1">VLOOKUP(B591,'115+740'!$B$15:$AB$757,4,FALSE)</f>
        <v>113</v>
      </c>
      <c r="I591" s="91">
        <f t="shared" ca="1" si="119"/>
        <v>3284</v>
      </c>
      <c r="J591" s="91">
        <f ca="1">VLOOKUP(B591,'115+740'!$B$15:$AB$757,13,FALSE)</f>
        <v>-716</v>
      </c>
      <c r="K591" s="89">
        <f>'115+740'!Q592</f>
        <v>0</v>
      </c>
      <c r="L591" s="88">
        <f t="shared" ca="1" si="124"/>
        <v>756</v>
      </c>
      <c r="M591" s="93">
        <f ca="1">VLOOKUP(B591,'115+740'!$B$14:$AB$757,21,FALSE)</f>
        <v>3258</v>
      </c>
      <c r="N591" s="92">
        <f ca="1">VLOOKUP(B591,'115+740'!$B$15:$AB$757,5,FALSE)</f>
        <v>349</v>
      </c>
      <c r="O591" s="91">
        <f t="shared" ca="1" si="120"/>
        <v>3048</v>
      </c>
      <c r="P591" s="91">
        <f ca="1">VLOOKUP(B591,'115+740'!$B$15:$AB$757,14,FALSE)</f>
        <v>-952</v>
      </c>
      <c r="Q591" s="89">
        <f>'115+740'!R592</f>
        <v>0</v>
      </c>
      <c r="R591" s="88">
        <f t="shared" ca="1" si="125"/>
        <v>942</v>
      </c>
      <c r="S591" s="93">
        <f ca="1">VLOOKUP(B591,'115+740'!$B$14:$AB$757,22,FALSE)</f>
        <v>3543</v>
      </c>
      <c r="T591" s="92">
        <f ca="1">VLOOKUP(B591,'115+740'!$B$15:$AB$757,6,FALSE)</f>
        <v>94</v>
      </c>
      <c r="U591" s="91">
        <f t="shared" ca="1" si="121"/>
        <v>3303</v>
      </c>
      <c r="V591" s="90">
        <f ca="1">VLOOKUP(B591,'115+740'!$B$15:$AB$757,15,FALSE)</f>
        <v>-697</v>
      </c>
      <c r="W591" s="89">
        <f>'115+740'!S592</f>
        <v>1</v>
      </c>
      <c r="X591" s="88">
        <f t="shared" ca="1" si="126"/>
        <v>657</v>
      </c>
      <c r="Y591" s="87">
        <f t="shared" ca="1" si="127"/>
        <v>-1</v>
      </c>
      <c r="Z591" s="86">
        <f t="shared" ca="1" si="128"/>
        <v>0</v>
      </c>
      <c r="AA591" s="85">
        <f t="shared" ca="1" si="129"/>
        <v>4.109</v>
      </c>
      <c r="AB591" s="85">
        <f t="shared" ca="1" si="130"/>
        <v>2.3260000000000001</v>
      </c>
    </row>
    <row r="592" spans="2:28">
      <c r="B592" s="98">
        <f>'115+740'!B593</f>
        <v>45651</v>
      </c>
      <c r="C592" s="97">
        <f t="shared" si="122"/>
        <v>1</v>
      </c>
      <c r="D592" s="96">
        <f t="shared" si="123"/>
        <v>1069</v>
      </c>
      <c r="E592" s="95">
        <f>VLOOKUP(B592,'115+740'!B593:AB951,3,FALSE)</f>
        <v>2330</v>
      </c>
      <c r="F592" s="92">
        <f t="shared" si="118"/>
        <v>3399</v>
      </c>
      <c r="G592" s="94">
        <f ca="1">VLOOKUP(B592,'115+740'!$B$15:$AB$757,20,FALSE)</f>
        <v>3444</v>
      </c>
      <c r="H592" s="94">
        <f ca="1">VLOOKUP(B592,'115+740'!$B$15:$AB$757,4,FALSE)</f>
        <v>115</v>
      </c>
      <c r="I592" s="91">
        <f t="shared" ca="1" si="119"/>
        <v>3284</v>
      </c>
      <c r="J592" s="91">
        <f ca="1">VLOOKUP(B592,'115+740'!$B$15:$AB$757,13,FALSE)</f>
        <v>-716</v>
      </c>
      <c r="K592" s="89">
        <f>'115+740'!Q593</f>
        <v>0</v>
      </c>
      <c r="L592" s="88">
        <f t="shared" ca="1" si="124"/>
        <v>756</v>
      </c>
      <c r="M592" s="93">
        <f ca="1">VLOOKUP(B592,'115+740'!$B$14:$AB$757,21,FALSE)</f>
        <v>3256</v>
      </c>
      <c r="N592" s="92">
        <f ca="1">VLOOKUP(B592,'115+740'!$B$15:$AB$757,5,FALSE)</f>
        <v>353</v>
      </c>
      <c r="O592" s="91">
        <f t="shared" ca="1" si="120"/>
        <v>3046</v>
      </c>
      <c r="P592" s="91">
        <f ca="1">VLOOKUP(B592,'115+740'!$B$15:$AB$757,14,FALSE)</f>
        <v>-954</v>
      </c>
      <c r="Q592" s="89">
        <f>'115+740'!R593</f>
        <v>2</v>
      </c>
      <c r="R592" s="88">
        <f t="shared" ca="1" si="125"/>
        <v>944</v>
      </c>
      <c r="S592" s="93">
        <f ca="1">VLOOKUP(B592,'115+740'!$B$14:$AB$757,22,FALSE)</f>
        <v>3543</v>
      </c>
      <c r="T592" s="92">
        <f ca="1">VLOOKUP(B592,'115+740'!$B$15:$AB$757,6,FALSE)</f>
        <v>96</v>
      </c>
      <c r="U592" s="91">
        <f t="shared" ca="1" si="121"/>
        <v>3303</v>
      </c>
      <c r="V592" s="90">
        <f ca="1">VLOOKUP(B592,'115+740'!$B$15:$AB$757,15,FALSE)</f>
        <v>-697</v>
      </c>
      <c r="W592" s="89">
        <f>'115+740'!S593</f>
        <v>0</v>
      </c>
      <c r="X592" s="88">
        <f t="shared" ca="1" si="126"/>
        <v>657</v>
      </c>
      <c r="Y592" s="87">
        <f t="shared" ca="1" si="127"/>
        <v>0</v>
      </c>
      <c r="Z592" s="86">
        <f t="shared" ca="1" si="128"/>
        <v>0</v>
      </c>
      <c r="AA592" s="85">
        <f t="shared" ca="1" si="129"/>
        <v>4.109</v>
      </c>
      <c r="AB592" s="85">
        <f t="shared" ca="1" si="130"/>
        <v>2.3220000000000001</v>
      </c>
    </row>
    <row r="593" spans="2:28">
      <c r="B593" s="98">
        <f>'115+740'!B594</f>
        <v>45652</v>
      </c>
      <c r="C593" s="97">
        <f t="shared" si="122"/>
        <v>1</v>
      </c>
      <c r="D593" s="96">
        <f t="shared" si="123"/>
        <v>1069</v>
      </c>
      <c r="E593" s="95">
        <f>VLOOKUP(B593,'115+740'!B594:AB952,3,FALSE)</f>
        <v>2332</v>
      </c>
      <c r="F593" s="92">
        <f t="shared" si="118"/>
        <v>3401</v>
      </c>
      <c r="G593" s="94">
        <f ca="1">VLOOKUP(B593,'115+740'!$B$15:$AB$757,20,FALSE)</f>
        <v>3441</v>
      </c>
      <c r="H593" s="94">
        <f ca="1">VLOOKUP(B593,'115+740'!$B$15:$AB$757,4,FALSE)</f>
        <v>120</v>
      </c>
      <c r="I593" s="91">
        <f t="shared" ca="1" si="119"/>
        <v>3281</v>
      </c>
      <c r="J593" s="91">
        <f ca="1">VLOOKUP(B593,'115+740'!$B$15:$AB$757,13,FALSE)</f>
        <v>-719</v>
      </c>
      <c r="K593" s="89">
        <f>'115+740'!Q594</f>
        <v>3</v>
      </c>
      <c r="L593" s="88">
        <f t="shared" ca="1" si="124"/>
        <v>759</v>
      </c>
      <c r="M593" s="93">
        <f ca="1">VLOOKUP(B593,'115+740'!$B$14:$AB$757,21,FALSE)</f>
        <v>3256</v>
      </c>
      <c r="N593" s="92">
        <f ca="1">VLOOKUP(B593,'115+740'!$B$15:$AB$757,5,FALSE)</f>
        <v>355</v>
      </c>
      <c r="O593" s="91">
        <f t="shared" ca="1" si="120"/>
        <v>3046</v>
      </c>
      <c r="P593" s="91">
        <f ca="1">VLOOKUP(B593,'115+740'!$B$15:$AB$757,14,FALSE)</f>
        <v>-954</v>
      </c>
      <c r="Q593" s="89">
        <f>'115+740'!R594</f>
        <v>0</v>
      </c>
      <c r="R593" s="88">
        <f t="shared" ca="1" si="125"/>
        <v>944</v>
      </c>
      <c r="S593" s="93">
        <f ca="1">VLOOKUP(B593,'115+740'!$B$14:$AB$757,22,FALSE)</f>
        <v>3543</v>
      </c>
      <c r="T593" s="92">
        <f ca="1">VLOOKUP(B593,'115+740'!$B$15:$AB$757,6,FALSE)</f>
        <v>98</v>
      </c>
      <c r="U593" s="91">
        <f t="shared" ca="1" si="121"/>
        <v>3303</v>
      </c>
      <c r="V593" s="90">
        <f ca="1">VLOOKUP(B593,'115+740'!$B$15:$AB$757,15,FALSE)</f>
        <v>-697</v>
      </c>
      <c r="W593" s="89">
        <f>'115+740'!S594</f>
        <v>0</v>
      </c>
      <c r="X593" s="88">
        <f t="shared" ca="1" si="126"/>
        <v>657</v>
      </c>
      <c r="Y593" s="87">
        <f t="shared" ca="1" si="127"/>
        <v>0</v>
      </c>
      <c r="Z593" s="86">
        <f t="shared" ca="1" si="128"/>
        <v>0</v>
      </c>
      <c r="AA593" s="85">
        <f t="shared" ca="1" si="129"/>
        <v>4.109</v>
      </c>
      <c r="AB593" s="85">
        <f t="shared" ca="1" si="130"/>
        <v>2.3220000000000001</v>
      </c>
    </row>
    <row r="594" spans="2:28">
      <c r="B594" s="98">
        <f>'115+740'!B595</f>
        <v>45653</v>
      </c>
      <c r="C594" s="97">
        <f t="shared" si="122"/>
        <v>1</v>
      </c>
      <c r="D594" s="96">
        <f t="shared" si="123"/>
        <v>1069</v>
      </c>
      <c r="E594" s="95">
        <f>VLOOKUP(B594,'115+740'!B595:AB953,3,FALSE)</f>
        <v>2334</v>
      </c>
      <c r="F594" s="92">
        <f t="shared" si="118"/>
        <v>3403</v>
      </c>
      <c r="G594" s="94">
        <f ca="1">VLOOKUP(B594,'115+740'!$B$15:$AB$757,20,FALSE)</f>
        <v>3441</v>
      </c>
      <c r="H594" s="94">
        <f ca="1">VLOOKUP(B594,'115+740'!$B$15:$AB$757,4,FALSE)</f>
        <v>122</v>
      </c>
      <c r="I594" s="91">
        <f t="shared" ca="1" si="119"/>
        <v>3281</v>
      </c>
      <c r="J594" s="91">
        <f ca="1">VLOOKUP(B594,'115+740'!$B$15:$AB$757,13,FALSE)</f>
        <v>-719</v>
      </c>
      <c r="K594" s="89">
        <f>'115+740'!Q595</f>
        <v>0</v>
      </c>
      <c r="L594" s="88">
        <f t="shared" ca="1" si="124"/>
        <v>759</v>
      </c>
      <c r="M594" s="93">
        <f ca="1">VLOOKUP(B594,'115+740'!$B$14:$AB$757,21,FALSE)</f>
        <v>3252</v>
      </c>
      <c r="N594" s="92">
        <f ca="1">VLOOKUP(B594,'115+740'!$B$15:$AB$757,5,FALSE)</f>
        <v>361</v>
      </c>
      <c r="O594" s="91">
        <f t="shared" ca="1" si="120"/>
        <v>3042</v>
      </c>
      <c r="P594" s="91">
        <f ca="1">VLOOKUP(B594,'115+740'!$B$15:$AB$757,14,FALSE)</f>
        <v>-958</v>
      </c>
      <c r="Q594" s="89">
        <f>'115+740'!R595</f>
        <v>4</v>
      </c>
      <c r="R594" s="88">
        <f t="shared" ca="1" si="125"/>
        <v>948</v>
      </c>
      <c r="S594" s="93">
        <f ca="1">VLOOKUP(B594,'115+740'!$B$14:$AB$757,22,FALSE)</f>
        <v>3543</v>
      </c>
      <c r="T594" s="92">
        <f ca="1">VLOOKUP(B594,'115+740'!$B$15:$AB$757,6,FALSE)</f>
        <v>100</v>
      </c>
      <c r="U594" s="91">
        <f t="shared" ca="1" si="121"/>
        <v>3303</v>
      </c>
      <c r="V594" s="90">
        <f ca="1">VLOOKUP(B594,'115+740'!$B$15:$AB$757,15,FALSE)</f>
        <v>-697</v>
      </c>
      <c r="W594" s="89">
        <f>'115+740'!S595</f>
        <v>0</v>
      </c>
      <c r="X594" s="88">
        <f t="shared" ca="1" si="126"/>
        <v>657</v>
      </c>
      <c r="Y594" s="87">
        <f t="shared" ca="1" si="127"/>
        <v>0</v>
      </c>
      <c r="Z594" s="86">
        <f t="shared" ca="1" si="128"/>
        <v>0</v>
      </c>
      <c r="AA594" s="85">
        <f t="shared" ca="1" si="129"/>
        <v>4.109</v>
      </c>
      <c r="AB594" s="85">
        <f t="shared" ca="1" si="130"/>
        <v>2.3140000000000001</v>
      </c>
    </row>
    <row r="595" spans="2:28">
      <c r="B595" s="98">
        <f>'115+740'!B596</f>
        <v>45654</v>
      </c>
      <c r="C595" s="97">
        <f t="shared" si="122"/>
        <v>1</v>
      </c>
      <c r="D595" s="96">
        <f t="shared" si="123"/>
        <v>1069</v>
      </c>
      <c r="E595" s="95">
        <f>VLOOKUP(B595,'115+740'!B596:AB954,3,FALSE)</f>
        <v>2336</v>
      </c>
      <c r="F595" s="92">
        <f t="shared" si="118"/>
        <v>3405</v>
      </c>
      <c r="G595" s="94">
        <f ca="1">VLOOKUP(B595,'115+740'!$B$15:$AB$757,20,FALSE)</f>
        <v>3441</v>
      </c>
      <c r="H595" s="94">
        <f ca="1">VLOOKUP(B595,'115+740'!$B$15:$AB$757,4,FALSE)</f>
        <v>124</v>
      </c>
      <c r="I595" s="91">
        <f t="shared" ca="1" si="119"/>
        <v>3281</v>
      </c>
      <c r="J595" s="91">
        <f ca="1">VLOOKUP(B595,'115+740'!$B$15:$AB$757,13,FALSE)</f>
        <v>-719</v>
      </c>
      <c r="K595" s="89">
        <f>'115+740'!Q596</f>
        <v>0</v>
      </c>
      <c r="L595" s="88">
        <f t="shared" ca="1" si="124"/>
        <v>759</v>
      </c>
      <c r="M595" s="93">
        <f ca="1">VLOOKUP(B595,'115+740'!$B$14:$AB$757,21,FALSE)</f>
        <v>3252</v>
      </c>
      <c r="N595" s="92">
        <f ca="1">VLOOKUP(B595,'115+740'!$B$15:$AB$757,5,FALSE)</f>
        <v>363</v>
      </c>
      <c r="O595" s="91">
        <f t="shared" ca="1" si="120"/>
        <v>3042</v>
      </c>
      <c r="P595" s="91">
        <f ca="1">VLOOKUP(B595,'115+740'!$B$15:$AB$757,14,FALSE)</f>
        <v>-958</v>
      </c>
      <c r="Q595" s="89">
        <f>'115+740'!R596</f>
        <v>0</v>
      </c>
      <c r="R595" s="88">
        <f t="shared" ca="1" si="125"/>
        <v>948</v>
      </c>
      <c r="S595" s="93">
        <f ca="1">VLOOKUP(B595,'115+740'!$B$14:$AB$757,22,FALSE)</f>
        <v>3543</v>
      </c>
      <c r="T595" s="92">
        <f ca="1">VLOOKUP(B595,'115+740'!$B$15:$AB$757,6,FALSE)</f>
        <v>102</v>
      </c>
      <c r="U595" s="91">
        <f t="shared" ca="1" si="121"/>
        <v>3303</v>
      </c>
      <c r="V595" s="90">
        <f ca="1">VLOOKUP(B595,'115+740'!$B$15:$AB$757,15,FALSE)</f>
        <v>-697</v>
      </c>
      <c r="W595" s="89">
        <f>'115+740'!S596</f>
        <v>0</v>
      </c>
      <c r="X595" s="88">
        <f t="shared" ca="1" si="126"/>
        <v>657</v>
      </c>
      <c r="Y595" s="87">
        <f t="shared" ca="1" si="127"/>
        <v>0</v>
      </c>
      <c r="Z595" s="86">
        <f t="shared" ca="1" si="128"/>
        <v>0</v>
      </c>
      <c r="AA595" s="85">
        <f t="shared" ca="1" si="129"/>
        <v>4.109</v>
      </c>
      <c r="AB595" s="85">
        <f t="shared" ca="1" si="130"/>
        <v>2.3140000000000001</v>
      </c>
    </row>
    <row r="596" spans="2:28">
      <c r="B596" s="98">
        <f>'115+740'!B597</f>
        <v>45655</v>
      </c>
      <c r="C596" s="97">
        <f t="shared" si="122"/>
        <v>1</v>
      </c>
      <c r="D596" s="96">
        <f t="shared" si="123"/>
        <v>1069</v>
      </c>
      <c r="E596" s="95">
        <f>VLOOKUP(B596,'115+740'!B597:AB955,3,FALSE)</f>
        <v>2338</v>
      </c>
      <c r="F596" s="92">
        <f t="shared" si="118"/>
        <v>3407</v>
      </c>
      <c r="G596" s="94">
        <f ca="1">VLOOKUP(B596,'115+740'!$B$15:$AB$757,20,FALSE)</f>
        <v>3440</v>
      </c>
      <c r="H596" s="94">
        <f ca="1">VLOOKUP(B596,'115+740'!$B$15:$AB$757,4,FALSE)</f>
        <v>127</v>
      </c>
      <c r="I596" s="91">
        <f t="shared" ca="1" si="119"/>
        <v>3280</v>
      </c>
      <c r="J596" s="91">
        <f ca="1">VLOOKUP(B596,'115+740'!$B$15:$AB$757,13,FALSE)</f>
        <v>-720</v>
      </c>
      <c r="K596" s="89">
        <f>'115+740'!Q597</f>
        <v>1</v>
      </c>
      <c r="L596" s="88">
        <f t="shared" ca="1" si="124"/>
        <v>760</v>
      </c>
      <c r="M596" s="93">
        <f ca="1">VLOOKUP(B596,'115+740'!$B$14:$AB$757,21,FALSE)</f>
        <v>3252</v>
      </c>
      <c r="N596" s="92">
        <f ca="1">VLOOKUP(B596,'115+740'!$B$15:$AB$757,5,FALSE)</f>
        <v>365</v>
      </c>
      <c r="O596" s="91">
        <f t="shared" ca="1" si="120"/>
        <v>3042</v>
      </c>
      <c r="P596" s="91">
        <f ca="1">VLOOKUP(B596,'115+740'!$B$15:$AB$757,14,FALSE)</f>
        <v>-958</v>
      </c>
      <c r="Q596" s="89">
        <f>'115+740'!R597</f>
        <v>0</v>
      </c>
      <c r="R596" s="88">
        <f t="shared" ca="1" si="125"/>
        <v>948</v>
      </c>
      <c r="S596" s="93">
        <f ca="1">VLOOKUP(B596,'115+740'!$B$14:$AB$757,22,FALSE)</f>
        <v>3543</v>
      </c>
      <c r="T596" s="92">
        <f ca="1">VLOOKUP(B596,'115+740'!$B$15:$AB$757,6,FALSE)</f>
        <v>104</v>
      </c>
      <c r="U596" s="91">
        <f t="shared" ca="1" si="121"/>
        <v>3303</v>
      </c>
      <c r="V596" s="90">
        <f ca="1">VLOOKUP(B596,'115+740'!$B$15:$AB$757,15,FALSE)</f>
        <v>-697</v>
      </c>
      <c r="W596" s="89">
        <f>'115+740'!S597</f>
        <v>0</v>
      </c>
      <c r="X596" s="88">
        <f t="shared" ca="1" si="126"/>
        <v>657</v>
      </c>
      <c r="Y596" s="87">
        <f t="shared" ca="1" si="127"/>
        <v>0</v>
      </c>
      <c r="Z596" s="86">
        <f t="shared" ca="1" si="128"/>
        <v>0</v>
      </c>
      <c r="AA596" s="85">
        <f t="shared" ca="1" si="129"/>
        <v>4.109</v>
      </c>
      <c r="AB596" s="85">
        <f t="shared" ca="1" si="130"/>
        <v>2.3140000000000001</v>
      </c>
    </row>
    <row r="597" spans="2:28">
      <c r="B597" s="98">
        <f>'115+740'!B598</f>
        <v>45656</v>
      </c>
      <c r="C597" s="97">
        <f t="shared" si="122"/>
        <v>1</v>
      </c>
      <c r="D597" s="96">
        <f t="shared" si="123"/>
        <v>1069</v>
      </c>
      <c r="E597" s="95">
        <f>VLOOKUP(B597,'115+740'!B598:AB956,3,FALSE)</f>
        <v>2340</v>
      </c>
      <c r="F597" s="92">
        <f t="shared" si="118"/>
        <v>3409</v>
      </c>
      <c r="G597" s="94">
        <f ca="1">VLOOKUP(B597,'115+740'!$B$15:$AB$757,20,FALSE)</f>
        <v>3440</v>
      </c>
      <c r="H597" s="94">
        <f ca="1">VLOOKUP(B597,'115+740'!$B$15:$AB$757,4,FALSE)</f>
        <v>129</v>
      </c>
      <c r="I597" s="91">
        <f t="shared" ca="1" si="119"/>
        <v>3280</v>
      </c>
      <c r="J597" s="91">
        <f ca="1">VLOOKUP(B597,'115+740'!$B$15:$AB$757,13,FALSE)</f>
        <v>-720</v>
      </c>
      <c r="K597" s="89">
        <f>'115+740'!Q598</f>
        <v>0</v>
      </c>
      <c r="L597" s="88">
        <f t="shared" ca="1" si="124"/>
        <v>760</v>
      </c>
      <c r="M597" s="93">
        <f ca="1">VLOOKUP(B597,'115+740'!$B$14:$AB$757,21,FALSE)</f>
        <v>3250</v>
      </c>
      <c r="N597" s="92">
        <f ca="1">VLOOKUP(B597,'115+740'!$B$15:$AB$757,5,FALSE)</f>
        <v>369</v>
      </c>
      <c r="O597" s="91">
        <f t="shared" ca="1" si="120"/>
        <v>3040</v>
      </c>
      <c r="P597" s="91">
        <f ca="1">VLOOKUP(B597,'115+740'!$B$15:$AB$757,14,FALSE)</f>
        <v>-960</v>
      </c>
      <c r="Q597" s="89">
        <f>'115+740'!R598</f>
        <v>2</v>
      </c>
      <c r="R597" s="88">
        <f t="shared" ca="1" si="125"/>
        <v>950</v>
      </c>
      <c r="S597" s="93">
        <f ca="1">VLOOKUP(B597,'115+740'!$B$14:$AB$757,22,FALSE)</f>
        <v>3541</v>
      </c>
      <c r="T597" s="92">
        <f ca="1">VLOOKUP(B597,'115+740'!$B$15:$AB$757,6,FALSE)</f>
        <v>108</v>
      </c>
      <c r="U597" s="91">
        <f t="shared" ca="1" si="121"/>
        <v>3301</v>
      </c>
      <c r="V597" s="90">
        <f ca="1">VLOOKUP(B597,'115+740'!$B$15:$AB$757,15,FALSE)</f>
        <v>-699</v>
      </c>
      <c r="W597" s="89">
        <f>'115+740'!S598</f>
        <v>2</v>
      </c>
      <c r="X597" s="88">
        <f t="shared" ca="1" si="126"/>
        <v>659</v>
      </c>
      <c r="Y597" s="87">
        <f t="shared" ca="1" si="127"/>
        <v>-2</v>
      </c>
      <c r="Z597" s="86">
        <f t="shared" ca="1" si="128"/>
        <v>0</v>
      </c>
      <c r="AA597" s="85">
        <f t="shared" ca="1" si="129"/>
        <v>4.109</v>
      </c>
      <c r="AB597" s="85">
        <f t="shared" ca="1" si="130"/>
        <v>2.31</v>
      </c>
    </row>
    <row r="598" spans="2:28">
      <c r="B598" s="98">
        <f>'115+740'!B599</f>
        <v>45657</v>
      </c>
      <c r="C598" s="97">
        <f t="shared" si="122"/>
        <v>1</v>
      </c>
      <c r="D598" s="96">
        <f t="shared" si="123"/>
        <v>1069</v>
      </c>
      <c r="E598" s="95">
        <f>VLOOKUP(B598,'115+740'!B599:AB957,3,FALSE)</f>
        <v>2342</v>
      </c>
      <c r="F598" s="92">
        <f t="shared" si="118"/>
        <v>3411</v>
      </c>
      <c r="G598" s="94">
        <f ca="1">VLOOKUP(B598,'115+740'!$B$15:$AB$757,20,FALSE)</f>
        <v>3436</v>
      </c>
      <c r="H598" s="94">
        <f ca="1">VLOOKUP(B598,'115+740'!$B$15:$AB$757,4,FALSE)</f>
        <v>135</v>
      </c>
      <c r="I598" s="91">
        <f t="shared" ca="1" si="119"/>
        <v>3276</v>
      </c>
      <c r="J598" s="91">
        <f ca="1">VLOOKUP(B598,'115+740'!$B$15:$AB$757,13,FALSE)</f>
        <v>-724</v>
      </c>
      <c r="K598" s="89">
        <f>'115+740'!Q599</f>
        <v>4</v>
      </c>
      <c r="L598" s="88">
        <f t="shared" ca="1" si="124"/>
        <v>764</v>
      </c>
      <c r="M598" s="93">
        <f ca="1">VLOOKUP(B598,'115+740'!$B$14:$AB$757,21,FALSE)</f>
        <v>3250</v>
      </c>
      <c r="N598" s="92">
        <f ca="1">VLOOKUP(B598,'115+740'!$B$15:$AB$757,5,FALSE)</f>
        <v>371</v>
      </c>
      <c r="O598" s="91">
        <f t="shared" ca="1" si="120"/>
        <v>3040</v>
      </c>
      <c r="P598" s="91">
        <f ca="1">VLOOKUP(B598,'115+740'!$B$15:$AB$757,14,FALSE)</f>
        <v>-960</v>
      </c>
      <c r="Q598" s="89">
        <f>'115+740'!R599</f>
        <v>0</v>
      </c>
      <c r="R598" s="88">
        <f t="shared" ca="1" si="125"/>
        <v>950</v>
      </c>
      <c r="S598" s="93">
        <f ca="1">VLOOKUP(B598,'115+740'!$B$14:$AB$757,22,FALSE)</f>
        <v>3541</v>
      </c>
      <c r="T598" s="92">
        <f ca="1">VLOOKUP(B598,'115+740'!$B$15:$AB$757,6,FALSE)</f>
        <v>110</v>
      </c>
      <c r="U598" s="91">
        <f t="shared" ca="1" si="121"/>
        <v>3301</v>
      </c>
      <c r="V598" s="90">
        <f ca="1">VLOOKUP(B598,'115+740'!$B$15:$AB$757,15,FALSE)</f>
        <v>-699</v>
      </c>
      <c r="W598" s="89">
        <f>'115+740'!S599</f>
        <v>0</v>
      </c>
      <c r="X598" s="88">
        <f t="shared" ca="1" si="126"/>
        <v>659</v>
      </c>
      <c r="Y598" s="87">
        <f t="shared" ca="1" si="127"/>
        <v>0</v>
      </c>
      <c r="Z598" s="86">
        <f t="shared" ca="1" si="128"/>
        <v>0</v>
      </c>
      <c r="AA598" s="85">
        <f t="shared" ca="1" si="129"/>
        <v>4.109</v>
      </c>
      <c r="AB598" s="85">
        <f t="shared" ca="1" si="130"/>
        <v>2.31</v>
      </c>
    </row>
    <row r="599" spans="2:28">
      <c r="B599" s="98">
        <f>'115+740'!B600</f>
        <v>45658</v>
      </c>
      <c r="C599" s="97">
        <f t="shared" si="122"/>
        <v>1</v>
      </c>
      <c r="D599" s="96">
        <f t="shared" si="123"/>
        <v>1069</v>
      </c>
      <c r="E599" s="95">
        <f>VLOOKUP(B599,'115+740'!B600:AB958,3,FALSE)</f>
        <v>2344</v>
      </c>
      <c r="F599" s="92">
        <f t="shared" si="118"/>
        <v>3413</v>
      </c>
      <c r="G599" s="94">
        <f ca="1">VLOOKUP(B599,'115+740'!$B$15:$AB$757,20,FALSE)</f>
        <v>3435</v>
      </c>
      <c r="H599" s="94">
        <f ca="1">VLOOKUP(B599,'115+740'!$B$15:$AB$757,4,FALSE)</f>
        <v>138</v>
      </c>
      <c r="I599" s="91">
        <f t="shared" ca="1" si="119"/>
        <v>3275</v>
      </c>
      <c r="J599" s="91">
        <f ca="1">VLOOKUP(B599,'115+740'!$B$15:$AB$757,13,FALSE)</f>
        <v>-725</v>
      </c>
      <c r="K599" s="89">
        <f>'115+740'!Q600</f>
        <v>1</v>
      </c>
      <c r="L599" s="88">
        <f t="shared" ca="1" si="124"/>
        <v>765</v>
      </c>
      <c r="M599" s="93">
        <f ca="1">VLOOKUP(B599,'115+740'!$B$14:$AB$757,21,FALSE)</f>
        <v>3250</v>
      </c>
      <c r="N599" s="92">
        <f ca="1">VLOOKUP(B599,'115+740'!$B$15:$AB$757,5,FALSE)</f>
        <v>373</v>
      </c>
      <c r="O599" s="91">
        <f t="shared" ca="1" si="120"/>
        <v>3040</v>
      </c>
      <c r="P599" s="91">
        <f ca="1">VLOOKUP(B599,'115+740'!$B$15:$AB$757,14,FALSE)</f>
        <v>-960</v>
      </c>
      <c r="Q599" s="89">
        <f>'115+740'!R600</f>
        <v>0</v>
      </c>
      <c r="R599" s="88">
        <f t="shared" ca="1" si="125"/>
        <v>950</v>
      </c>
      <c r="S599" s="93">
        <f ca="1">VLOOKUP(B599,'115+740'!$B$14:$AB$757,22,FALSE)</f>
        <v>3541</v>
      </c>
      <c r="T599" s="92">
        <f ca="1">VLOOKUP(B599,'115+740'!$B$15:$AB$757,6,FALSE)</f>
        <v>112</v>
      </c>
      <c r="U599" s="91">
        <f t="shared" ca="1" si="121"/>
        <v>3301</v>
      </c>
      <c r="V599" s="90">
        <f ca="1">VLOOKUP(B599,'115+740'!$B$15:$AB$757,15,FALSE)</f>
        <v>-699</v>
      </c>
      <c r="W599" s="89">
        <f>'115+740'!S600</f>
        <v>0</v>
      </c>
      <c r="X599" s="88">
        <f t="shared" ca="1" si="126"/>
        <v>659</v>
      </c>
      <c r="Y599" s="87">
        <f t="shared" ca="1" si="127"/>
        <v>0</v>
      </c>
      <c r="Z599" s="86">
        <f t="shared" ca="1" si="128"/>
        <v>0</v>
      </c>
      <c r="AA599" s="85">
        <f t="shared" ca="1" si="129"/>
        <v>4.109</v>
      </c>
      <c r="AB599" s="85">
        <f t="shared" ca="1" si="130"/>
        <v>2.31</v>
      </c>
    </row>
    <row r="600" spans="2:28">
      <c r="B600" s="98">
        <f>'115+740'!B601</f>
        <v>45659</v>
      </c>
      <c r="C600" s="97">
        <f t="shared" si="122"/>
        <v>1</v>
      </c>
      <c r="D600" s="96">
        <f t="shared" si="123"/>
        <v>1069</v>
      </c>
      <c r="E600" s="95">
        <f>VLOOKUP(B600,'115+740'!B601:AB959,3,FALSE)</f>
        <v>2346</v>
      </c>
      <c r="F600" s="92">
        <f t="shared" si="118"/>
        <v>3415</v>
      </c>
      <c r="G600" s="94">
        <f ca="1">VLOOKUP(B600,'115+740'!$B$15:$AB$757,20,FALSE)</f>
        <v>3435</v>
      </c>
      <c r="H600" s="94">
        <f ca="1">VLOOKUP(B600,'115+740'!$B$15:$AB$757,4,FALSE)</f>
        <v>140</v>
      </c>
      <c r="I600" s="91">
        <f t="shared" ca="1" si="119"/>
        <v>3275</v>
      </c>
      <c r="J600" s="91">
        <f ca="1">VLOOKUP(B600,'115+740'!$B$15:$AB$757,13,FALSE)</f>
        <v>-725</v>
      </c>
      <c r="K600" s="89">
        <f>'115+740'!Q601</f>
        <v>0</v>
      </c>
      <c r="L600" s="88">
        <f t="shared" ca="1" si="124"/>
        <v>765</v>
      </c>
      <c r="M600" s="93">
        <f ca="1">VLOOKUP(B600,'115+740'!$B$14:$AB$757,21,FALSE)</f>
        <v>3249</v>
      </c>
      <c r="N600" s="92">
        <f ca="1">VLOOKUP(B600,'115+740'!$B$15:$AB$757,5,FALSE)</f>
        <v>376</v>
      </c>
      <c r="O600" s="91">
        <f t="shared" ca="1" si="120"/>
        <v>3039</v>
      </c>
      <c r="P600" s="91">
        <f ca="1">VLOOKUP(B600,'115+740'!$B$15:$AB$757,14,FALSE)</f>
        <v>-961</v>
      </c>
      <c r="Q600" s="89">
        <f>'115+740'!R601</f>
        <v>1</v>
      </c>
      <c r="R600" s="88">
        <f t="shared" ca="1" si="125"/>
        <v>951</v>
      </c>
      <c r="S600" s="93">
        <f ca="1">VLOOKUP(B600,'115+740'!$B$14:$AB$757,22,FALSE)</f>
        <v>3541</v>
      </c>
      <c r="T600" s="92">
        <f ca="1">VLOOKUP(B600,'115+740'!$B$15:$AB$757,6,FALSE)</f>
        <v>114</v>
      </c>
      <c r="U600" s="91">
        <f t="shared" ca="1" si="121"/>
        <v>3301</v>
      </c>
      <c r="V600" s="90">
        <f ca="1">VLOOKUP(B600,'115+740'!$B$15:$AB$757,15,FALSE)</f>
        <v>-699</v>
      </c>
      <c r="W600" s="89">
        <f>'115+740'!S601</f>
        <v>0</v>
      </c>
      <c r="X600" s="88">
        <f t="shared" ca="1" si="126"/>
        <v>659</v>
      </c>
      <c r="Y600" s="87">
        <f t="shared" ca="1" si="127"/>
        <v>0</v>
      </c>
      <c r="Z600" s="86">
        <f t="shared" ca="1" si="128"/>
        <v>0</v>
      </c>
      <c r="AA600" s="85">
        <f t="shared" ca="1" si="129"/>
        <v>4.109</v>
      </c>
      <c r="AB600" s="85">
        <f t="shared" ca="1" si="130"/>
        <v>2.3079999999999998</v>
      </c>
    </row>
    <row r="601" spans="2:28">
      <c r="B601" s="98">
        <f>'115+740'!B602</f>
        <v>45660</v>
      </c>
      <c r="C601" s="97">
        <f t="shared" si="122"/>
        <v>1</v>
      </c>
      <c r="D601" s="96">
        <f t="shared" si="123"/>
        <v>1069</v>
      </c>
      <c r="E601" s="95">
        <f>VLOOKUP(B601,'115+740'!B602:AB960,3,FALSE)</f>
        <v>2348</v>
      </c>
      <c r="F601" s="92">
        <f t="shared" si="118"/>
        <v>3417</v>
      </c>
      <c r="G601" s="94">
        <f ca="1">VLOOKUP(B601,'115+740'!$B$15:$AB$757,20,FALSE)</f>
        <v>3435</v>
      </c>
      <c r="H601" s="94">
        <f ca="1">VLOOKUP(B601,'115+740'!$B$15:$AB$757,4,FALSE)</f>
        <v>142</v>
      </c>
      <c r="I601" s="91">
        <f t="shared" ca="1" si="119"/>
        <v>3275</v>
      </c>
      <c r="J601" s="91">
        <f ca="1">VLOOKUP(B601,'115+740'!$B$15:$AB$757,13,FALSE)</f>
        <v>-725</v>
      </c>
      <c r="K601" s="89">
        <f>'115+740'!Q602</f>
        <v>0</v>
      </c>
      <c r="L601" s="88">
        <f t="shared" ca="1" si="124"/>
        <v>765</v>
      </c>
      <c r="M601" s="93">
        <f ca="1">VLOOKUP(B601,'115+740'!$B$14:$AB$757,21,FALSE)</f>
        <v>3249</v>
      </c>
      <c r="N601" s="92">
        <f ca="1">VLOOKUP(B601,'115+740'!$B$15:$AB$757,5,FALSE)</f>
        <v>378</v>
      </c>
      <c r="O601" s="91">
        <f t="shared" ca="1" si="120"/>
        <v>3039</v>
      </c>
      <c r="P601" s="91">
        <f ca="1">VLOOKUP(B601,'115+740'!$B$15:$AB$757,14,FALSE)</f>
        <v>-961</v>
      </c>
      <c r="Q601" s="89">
        <f>'115+740'!R602</f>
        <v>0</v>
      </c>
      <c r="R601" s="88">
        <f t="shared" ca="1" si="125"/>
        <v>951</v>
      </c>
      <c r="S601" s="93">
        <f ca="1">VLOOKUP(B601,'115+740'!$B$14:$AB$757,22,FALSE)</f>
        <v>3541</v>
      </c>
      <c r="T601" s="92">
        <f ca="1">VLOOKUP(B601,'115+740'!$B$15:$AB$757,6,FALSE)</f>
        <v>116</v>
      </c>
      <c r="U601" s="91">
        <f t="shared" ca="1" si="121"/>
        <v>3301</v>
      </c>
      <c r="V601" s="90">
        <f ca="1">VLOOKUP(B601,'115+740'!$B$15:$AB$757,15,FALSE)</f>
        <v>-699</v>
      </c>
      <c r="W601" s="89">
        <f>'115+740'!S602</f>
        <v>0</v>
      </c>
      <c r="X601" s="88">
        <f t="shared" ca="1" si="126"/>
        <v>659</v>
      </c>
      <c r="Y601" s="87">
        <f t="shared" ca="1" si="127"/>
        <v>0</v>
      </c>
      <c r="Z601" s="86">
        <f t="shared" ca="1" si="128"/>
        <v>0</v>
      </c>
      <c r="AA601" s="85">
        <f t="shared" ca="1" si="129"/>
        <v>4.109</v>
      </c>
      <c r="AB601" s="85">
        <f t="shared" ca="1" si="130"/>
        <v>2.3079999999999998</v>
      </c>
    </row>
    <row r="602" spans="2:28">
      <c r="B602" s="98">
        <f>'115+740'!B603</f>
        <v>45661</v>
      </c>
      <c r="C602" s="97">
        <f t="shared" si="122"/>
        <v>1</v>
      </c>
      <c r="D602" s="96">
        <f t="shared" si="123"/>
        <v>1069</v>
      </c>
      <c r="E602" s="95">
        <f>VLOOKUP(B602,'115+740'!B603:AB961,3,FALSE)</f>
        <v>2350</v>
      </c>
      <c r="F602" s="92">
        <f t="shared" si="118"/>
        <v>3419</v>
      </c>
      <c r="G602" s="94">
        <f ca="1">VLOOKUP(B602,'115+740'!$B$15:$AB$757,20,FALSE)</f>
        <v>3433</v>
      </c>
      <c r="H602" s="94">
        <f ca="1">VLOOKUP(B602,'115+740'!$B$15:$AB$757,4,FALSE)</f>
        <v>146</v>
      </c>
      <c r="I602" s="91">
        <f t="shared" ca="1" si="119"/>
        <v>3273</v>
      </c>
      <c r="J602" s="91">
        <f ca="1">VLOOKUP(B602,'115+740'!$B$15:$AB$757,13,FALSE)</f>
        <v>-727</v>
      </c>
      <c r="K602" s="89">
        <f>'115+740'!Q603</f>
        <v>2</v>
      </c>
      <c r="L602" s="88">
        <f t="shared" ca="1" si="124"/>
        <v>767</v>
      </c>
      <c r="M602" s="93">
        <f ca="1">VLOOKUP(B602,'115+740'!$B$14:$AB$757,21,FALSE)</f>
        <v>3249</v>
      </c>
      <c r="N602" s="92">
        <f ca="1">VLOOKUP(B602,'115+740'!$B$15:$AB$757,5,FALSE)</f>
        <v>380</v>
      </c>
      <c r="O602" s="91">
        <f t="shared" ca="1" si="120"/>
        <v>3039</v>
      </c>
      <c r="P602" s="91">
        <f ca="1">VLOOKUP(B602,'115+740'!$B$15:$AB$757,14,FALSE)</f>
        <v>-961</v>
      </c>
      <c r="Q602" s="89">
        <f>'115+740'!R603</f>
        <v>0</v>
      </c>
      <c r="R602" s="88">
        <f t="shared" ca="1" si="125"/>
        <v>951</v>
      </c>
      <c r="S602" s="93">
        <f ca="1">VLOOKUP(B602,'115+740'!$B$14:$AB$757,22,FALSE)</f>
        <v>3539</v>
      </c>
      <c r="T602" s="92">
        <f ca="1">VLOOKUP(B602,'115+740'!$B$15:$AB$757,6,FALSE)</f>
        <v>120</v>
      </c>
      <c r="U602" s="91">
        <f t="shared" ca="1" si="121"/>
        <v>3299</v>
      </c>
      <c r="V602" s="90">
        <f ca="1">VLOOKUP(B602,'115+740'!$B$15:$AB$757,15,FALSE)</f>
        <v>-701</v>
      </c>
      <c r="W602" s="89">
        <f>'115+740'!S603</f>
        <v>2</v>
      </c>
      <c r="X602" s="88">
        <f t="shared" ca="1" si="126"/>
        <v>661</v>
      </c>
      <c r="Y602" s="87">
        <f t="shared" ca="1" si="127"/>
        <v>-2</v>
      </c>
      <c r="Z602" s="86">
        <f t="shared" ca="1" si="128"/>
        <v>0</v>
      </c>
      <c r="AA602" s="85">
        <f t="shared" ca="1" si="129"/>
        <v>4.109</v>
      </c>
      <c r="AB602" s="85">
        <f t="shared" ca="1" si="130"/>
        <v>2.3079999999999998</v>
      </c>
    </row>
    <row r="603" spans="2:28">
      <c r="B603" s="98">
        <f>'115+740'!B604</f>
        <v>45662</v>
      </c>
      <c r="C603" s="97">
        <f t="shared" si="122"/>
        <v>1</v>
      </c>
      <c r="D603" s="96">
        <f t="shared" si="123"/>
        <v>1069</v>
      </c>
      <c r="E603" s="95">
        <f>VLOOKUP(B603,'115+740'!B604:AB962,3,FALSE)</f>
        <v>2352</v>
      </c>
      <c r="F603" s="92">
        <f t="shared" si="118"/>
        <v>3421</v>
      </c>
      <c r="G603" s="94">
        <f ca="1">VLOOKUP(B603,'115+740'!$B$15:$AB$757,20,FALSE)</f>
        <v>3433</v>
      </c>
      <c r="H603" s="94">
        <f ca="1">VLOOKUP(B603,'115+740'!$B$15:$AB$757,4,FALSE)</f>
        <v>148</v>
      </c>
      <c r="I603" s="91">
        <f t="shared" ca="1" si="119"/>
        <v>3273</v>
      </c>
      <c r="J603" s="91">
        <f ca="1">VLOOKUP(B603,'115+740'!$B$15:$AB$757,13,FALSE)</f>
        <v>-727</v>
      </c>
      <c r="K603" s="89">
        <f>'115+740'!Q604</f>
        <v>0</v>
      </c>
      <c r="L603" s="88">
        <f t="shared" ca="1" si="124"/>
        <v>767</v>
      </c>
      <c r="M603" s="93">
        <f ca="1">VLOOKUP(B603,'115+740'!$B$14:$AB$757,21,FALSE)</f>
        <v>3249</v>
      </c>
      <c r="N603" s="92">
        <f ca="1">VLOOKUP(B603,'115+740'!$B$15:$AB$757,5,FALSE)</f>
        <v>382</v>
      </c>
      <c r="O603" s="91">
        <f t="shared" ca="1" si="120"/>
        <v>3039</v>
      </c>
      <c r="P603" s="91">
        <f ca="1">VLOOKUP(B603,'115+740'!$B$15:$AB$757,14,FALSE)</f>
        <v>-961</v>
      </c>
      <c r="Q603" s="89">
        <f>'115+740'!R604</f>
        <v>0</v>
      </c>
      <c r="R603" s="88">
        <f t="shared" ca="1" si="125"/>
        <v>951</v>
      </c>
      <c r="S603" s="93">
        <f ca="1">VLOOKUP(B603,'115+740'!$B$14:$AB$757,22,FALSE)</f>
        <v>3539</v>
      </c>
      <c r="T603" s="92">
        <f ca="1">VLOOKUP(B603,'115+740'!$B$15:$AB$757,6,FALSE)</f>
        <v>122</v>
      </c>
      <c r="U603" s="91">
        <f t="shared" ca="1" si="121"/>
        <v>3299</v>
      </c>
      <c r="V603" s="90">
        <f ca="1">VLOOKUP(B603,'115+740'!$B$15:$AB$757,15,FALSE)</f>
        <v>-701</v>
      </c>
      <c r="W603" s="89">
        <f>'115+740'!S604</f>
        <v>0</v>
      </c>
      <c r="X603" s="88">
        <f t="shared" ca="1" si="126"/>
        <v>661</v>
      </c>
      <c r="Y603" s="87">
        <f t="shared" ca="1" si="127"/>
        <v>0</v>
      </c>
      <c r="Z603" s="86">
        <f t="shared" ca="1" si="128"/>
        <v>0</v>
      </c>
      <c r="AA603" s="85">
        <f t="shared" ca="1" si="129"/>
        <v>4.109</v>
      </c>
      <c r="AB603" s="85">
        <f t="shared" ca="1" si="130"/>
        <v>2.3079999999999998</v>
      </c>
    </row>
    <row r="604" spans="2:28">
      <c r="B604" s="98">
        <f>'115+740'!B605</f>
        <v>45663</v>
      </c>
      <c r="C604" s="97">
        <f t="shared" si="122"/>
        <v>1</v>
      </c>
      <c r="D604" s="96">
        <f t="shared" si="123"/>
        <v>1069</v>
      </c>
      <c r="E604" s="95">
        <f>VLOOKUP(B604,'115+740'!B605:AB963,3,FALSE)</f>
        <v>2354</v>
      </c>
      <c r="F604" s="92">
        <f t="shared" si="118"/>
        <v>3423</v>
      </c>
      <c r="G604" s="94">
        <f ca="1">VLOOKUP(B604,'115+740'!$B$15:$AB$757,20,FALSE)</f>
        <v>3433</v>
      </c>
      <c r="H604" s="94">
        <f ca="1">VLOOKUP(B604,'115+740'!$B$15:$AB$757,4,FALSE)</f>
        <v>150</v>
      </c>
      <c r="I604" s="91">
        <f t="shared" ca="1" si="119"/>
        <v>3273</v>
      </c>
      <c r="J604" s="91">
        <f ca="1">VLOOKUP(B604,'115+740'!$B$15:$AB$757,13,FALSE)</f>
        <v>-727</v>
      </c>
      <c r="K604" s="89">
        <f>'115+740'!Q605</f>
        <v>0</v>
      </c>
      <c r="L604" s="88">
        <f t="shared" ca="1" si="124"/>
        <v>767</v>
      </c>
      <c r="M604" s="93">
        <f ca="1">VLOOKUP(B604,'115+740'!$B$14:$AB$757,21,FALSE)</f>
        <v>3249</v>
      </c>
      <c r="N604" s="92">
        <f ca="1">VLOOKUP(B604,'115+740'!$B$15:$AB$757,5,FALSE)</f>
        <v>384</v>
      </c>
      <c r="O604" s="91">
        <f t="shared" ca="1" si="120"/>
        <v>3039</v>
      </c>
      <c r="P604" s="91">
        <f ca="1">VLOOKUP(B604,'115+740'!$B$15:$AB$757,14,FALSE)</f>
        <v>-961</v>
      </c>
      <c r="Q604" s="89">
        <f>'115+740'!R605</f>
        <v>0</v>
      </c>
      <c r="R604" s="88">
        <f t="shared" ca="1" si="125"/>
        <v>951</v>
      </c>
      <c r="S604" s="93">
        <f ca="1">VLOOKUP(B604,'115+740'!$B$14:$AB$757,22,FALSE)</f>
        <v>3539</v>
      </c>
      <c r="T604" s="92">
        <f ca="1">VLOOKUP(B604,'115+740'!$B$15:$AB$757,6,FALSE)</f>
        <v>124</v>
      </c>
      <c r="U604" s="91">
        <f t="shared" ca="1" si="121"/>
        <v>3299</v>
      </c>
      <c r="V604" s="90">
        <f ca="1">VLOOKUP(B604,'115+740'!$B$15:$AB$757,15,FALSE)</f>
        <v>-701</v>
      </c>
      <c r="W604" s="89">
        <f>'115+740'!S605</f>
        <v>0</v>
      </c>
      <c r="X604" s="88">
        <f t="shared" ca="1" si="126"/>
        <v>661</v>
      </c>
      <c r="Y604" s="87">
        <f t="shared" ca="1" si="127"/>
        <v>0</v>
      </c>
      <c r="Z604" s="86">
        <f t="shared" ca="1" si="128"/>
        <v>0</v>
      </c>
      <c r="AA604" s="85">
        <f t="shared" ca="1" si="129"/>
        <v>4.109</v>
      </c>
      <c r="AB604" s="85">
        <f t="shared" ca="1" si="130"/>
        <v>2.3079999999999998</v>
      </c>
    </row>
    <row r="605" spans="2:28">
      <c r="B605" s="98">
        <f>'115+740'!B606</f>
        <v>45664</v>
      </c>
      <c r="C605" s="97">
        <f t="shared" si="122"/>
        <v>1</v>
      </c>
      <c r="D605" s="96">
        <f t="shared" si="123"/>
        <v>1069</v>
      </c>
      <c r="E605" s="95">
        <f>VLOOKUP(B605,'115+740'!B606:AB964,3,FALSE)</f>
        <v>2356</v>
      </c>
      <c r="F605" s="92">
        <f t="shared" si="118"/>
        <v>3425</v>
      </c>
      <c r="G605" s="94">
        <f ca="1">VLOOKUP(B605,'115+740'!$B$15:$AB$757,20,FALSE)</f>
        <v>3431</v>
      </c>
      <c r="H605" s="94">
        <f ca="1">VLOOKUP(B605,'115+740'!$B$15:$AB$757,4,FALSE)</f>
        <v>154</v>
      </c>
      <c r="I605" s="91">
        <f t="shared" ca="1" si="119"/>
        <v>3271</v>
      </c>
      <c r="J605" s="91">
        <f ca="1">VLOOKUP(B605,'115+740'!$B$15:$AB$757,13,FALSE)</f>
        <v>-729</v>
      </c>
      <c r="K605" s="89">
        <f>'115+740'!Q606</f>
        <v>2</v>
      </c>
      <c r="L605" s="88">
        <f t="shared" ca="1" si="124"/>
        <v>769</v>
      </c>
      <c r="M605" s="93">
        <f ca="1">VLOOKUP(B605,'115+740'!$B$14:$AB$757,21,FALSE)</f>
        <v>3248</v>
      </c>
      <c r="N605" s="92">
        <f ca="1">VLOOKUP(B605,'115+740'!$B$15:$AB$757,5,FALSE)</f>
        <v>387</v>
      </c>
      <c r="O605" s="91">
        <f t="shared" ca="1" si="120"/>
        <v>3038</v>
      </c>
      <c r="P605" s="91">
        <f ca="1">VLOOKUP(B605,'115+740'!$B$15:$AB$757,14,FALSE)</f>
        <v>-962</v>
      </c>
      <c r="Q605" s="89">
        <f>'115+740'!R606</f>
        <v>1</v>
      </c>
      <c r="R605" s="88">
        <f t="shared" ca="1" si="125"/>
        <v>952</v>
      </c>
      <c r="S605" s="93">
        <f ca="1">VLOOKUP(B605,'115+740'!$B$14:$AB$757,22,FALSE)</f>
        <v>3539</v>
      </c>
      <c r="T605" s="92">
        <f ca="1">VLOOKUP(B605,'115+740'!$B$15:$AB$757,6,FALSE)</f>
        <v>126</v>
      </c>
      <c r="U605" s="91">
        <f t="shared" ca="1" si="121"/>
        <v>3299</v>
      </c>
      <c r="V605" s="90">
        <f ca="1">VLOOKUP(B605,'115+740'!$B$15:$AB$757,15,FALSE)</f>
        <v>-701</v>
      </c>
      <c r="W605" s="89">
        <f>'115+740'!S606</f>
        <v>0</v>
      </c>
      <c r="X605" s="88">
        <f t="shared" ca="1" si="126"/>
        <v>661</v>
      </c>
      <c r="Y605" s="87">
        <f t="shared" ca="1" si="127"/>
        <v>0</v>
      </c>
      <c r="Z605" s="86">
        <f t="shared" ca="1" si="128"/>
        <v>0</v>
      </c>
      <c r="AA605" s="85">
        <f t="shared" ca="1" si="129"/>
        <v>4.109</v>
      </c>
      <c r="AB605" s="85">
        <f t="shared" ca="1" si="130"/>
        <v>2.306</v>
      </c>
    </row>
    <row r="606" spans="2:28">
      <c r="B606" s="98">
        <f>'115+740'!B607</f>
        <v>45665</v>
      </c>
      <c r="C606" s="97">
        <f t="shared" si="122"/>
        <v>1</v>
      </c>
      <c r="D606" s="96">
        <f t="shared" si="123"/>
        <v>1069</v>
      </c>
      <c r="E606" s="95">
        <f>VLOOKUP(B606,'115+740'!B607:AB965,3,FALSE)</f>
        <v>2358</v>
      </c>
      <c r="F606" s="92">
        <f t="shared" si="118"/>
        <v>3427</v>
      </c>
      <c r="G606" s="94">
        <f ca="1">VLOOKUP(B606,'115+740'!$B$15:$AB$757,20,FALSE)</f>
        <v>3431</v>
      </c>
      <c r="H606" s="94">
        <f ca="1">VLOOKUP(B606,'115+740'!$B$15:$AB$757,4,FALSE)</f>
        <v>156</v>
      </c>
      <c r="I606" s="91">
        <f t="shared" ca="1" si="119"/>
        <v>3271</v>
      </c>
      <c r="J606" s="91">
        <f ca="1">VLOOKUP(B606,'115+740'!$B$15:$AB$757,13,FALSE)</f>
        <v>-729</v>
      </c>
      <c r="K606" s="89">
        <f>'115+740'!Q607</f>
        <v>0</v>
      </c>
      <c r="L606" s="88">
        <f t="shared" ca="1" si="124"/>
        <v>769</v>
      </c>
      <c r="M606" s="93">
        <f ca="1">VLOOKUP(B606,'115+740'!$B$14:$AB$757,21,FALSE)</f>
        <v>3248</v>
      </c>
      <c r="N606" s="92">
        <f ca="1">VLOOKUP(B606,'115+740'!$B$15:$AB$757,5,FALSE)</f>
        <v>389</v>
      </c>
      <c r="O606" s="91">
        <f t="shared" ca="1" si="120"/>
        <v>3038</v>
      </c>
      <c r="P606" s="91">
        <f ca="1">VLOOKUP(B606,'115+740'!$B$15:$AB$757,14,FALSE)</f>
        <v>-962</v>
      </c>
      <c r="Q606" s="89">
        <f>'115+740'!R607</f>
        <v>0</v>
      </c>
      <c r="R606" s="88">
        <f t="shared" ca="1" si="125"/>
        <v>952</v>
      </c>
      <c r="S606" s="93">
        <f ca="1">VLOOKUP(B606,'115+740'!$B$14:$AB$757,22,FALSE)</f>
        <v>3537</v>
      </c>
      <c r="T606" s="92">
        <f ca="1">VLOOKUP(B606,'115+740'!$B$15:$AB$757,6,FALSE)</f>
        <v>130</v>
      </c>
      <c r="U606" s="91">
        <f t="shared" ca="1" si="121"/>
        <v>3297</v>
      </c>
      <c r="V606" s="90">
        <f ca="1">VLOOKUP(B606,'115+740'!$B$15:$AB$757,15,FALSE)</f>
        <v>-703</v>
      </c>
      <c r="W606" s="89">
        <f>'115+740'!S607</f>
        <v>2</v>
      </c>
      <c r="X606" s="88">
        <f t="shared" ca="1" si="126"/>
        <v>663</v>
      </c>
      <c r="Y606" s="87">
        <f t="shared" ca="1" si="127"/>
        <v>-2</v>
      </c>
      <c r="Z606" s="86">
        <f t="shared" ca="1" si="128"/>
        <v>0</v>
      </c>
      <c r="AA606" s="85">
        <f t="shared" ca="1" si="129"/>
        <v>4.109</v>
      </c>
      <c r="AB606" s="85">
        <f t="shared" ca="1" si="130"/>
        <v>2.306</v>
      </c>
    </row>
    <row r="607" spans="2:28">
      <c r="B607" s="98">
        <f>'115+740'!B608</f>
        <v>45666</v>
      </c>
      <c r="C607" s="97">
        <f t="shared" si="122"/>
        <v>1</v>
      </c>
      <c r="D607" s="96">
        <f t="shared" si="123"/>
        <v>1069</v>
      </c>
      <c r="E607" s="95">
        <f>VLOOKUP(B607,'115+740'!B608:AB966,3,FALSE)</f>
        <v>2360</v>
      </c>
      <c r="F607" s="92">
        <f t="shared" si="118"/>
        <v>3429</v>
      </c>
      <c r="G607" s="94">
        <f ca="1">VLOOKUP(B607,'115+740'!$B$15:$AB$757,20,FALSE)</f>
        <v>3431</v>
      </c>
      <c r="H607" s="94">
        <f ca="1">VLOOKUP(B607,'115+740'!$B$15:$AB$757,4,FALSE)</f>
        <v>158</v>
      </c>
      <c r="I607" s="91">
        <f t="shared" ca="1" si="119"/>
        <v>3271</v>
      </c>
      <c r="J607" s="91">
        <f ca="1">VLOOKUP(B607,'115+740'!$B$15:$AB$757,13,FALSE)</f>
        <v>-729</v>
      </c>
      <c r="K607" s="89">
        <f>'115+740'!Q608</f>
        <v>0</v>
      </c>
      <c r="L607" s="88">
        <f t="shared" ca="1" si="124"/>
        <v>769</v>
      </c>
      <c r="M607" s="93">
        <f ca="1">VLOOKUP(B607,'115+740'!$B$14:$AB$757,21,FALSE)</f>
        <v>3248</v>
      </c>
      <c r="N607" s="92">
        <f ca="1">VLOOKUP(B607,'115+740'!$B$15:$AB$757,5,FALSE)</f>
        <v>391</v>
      </c>
      <c r="O607" s="91">
        <f t="shared" ca="1" si="120"/>
        <v>3038</v>
      </c>
      <c r="P607" s="91">
        <f ca="1">VLOOKUP(B607,'115+740'!$B$15:$AB$757,14,FALSE)</f>
        <v>-962</v>
      </c>
      <c r="Q607" s="89">
        <f>'115+740'!R608</f>
        <v>0</v>
      </c>
      <c r="R607" s="88">
        <f t="shared" ca="1" si="125"/>
        <v>952</v>
      </c>
      <c r="S607" s="93">
        <f ca="1">VLOOKUP(B607,'115+740'!$B$14:$AB$757,22,FALSE)</f>
        <v>3537</v>
      </c>
      <c r="T607" s="92">
        <f ca="1">VLOOKUP(B607,'115+740'!$B$15:$AB$757,6,FALSE)</f>
        <v>132</v>
      </c>
      <c r="U607" s="91">
        <f t="shared" ca="1" si="121"/>
        <v>3297</v>
      </c>
      <c r="V607" s="90">
        <f ca="1">VLOOKUP(B607,'115+740'!$B$15:$AB$757,15,FALSE)</f>
        <v>-703</v>
      </c>
      <c r="W607" s="89">
        <f>'115+740'!S608</f>
        <v>0</v>
      </c>
      <c r="X607" s="88">
        <f t="shared" ca="1" si="126"/>
        <v>663</v>
      </c>
      <c r="Y607" s="87">
        <f t="shared" ca="1" si="127"/>
        <v>0</v>
      </c>
      <c r="Z607" s="86">
        <f t="shared" ca="1" si="128"/>
        <v>0</v>
      </c>
      <c r="AA607" s="85">
        <f t="shared" ca="1" si="129"/>
        <v>4.109</v>
      </c>
      <c r="AB607" s="85">
        <f t="shared" ca="1" si="130"/>
        <v>2.306</v>
      </c>
    </row>
    <row r="608" spans="2:28">
      <c r="B608" s="98">
        <f>'115+740'!B609</f>
        <v>45667</v>
      </c>
      <c r="C608" s="97">
        <f t="shared" si="122"/>
        <v>1</v>
      </c>
      <c r="D608" s="96">
        <f t="shared" si="123"/>
        <v>1069</v>
      </c>
      <c r="E608" s="95">
        <f>VLOOKUP(B608,'115+740'!B609:AB967,3,FALSE)</f>
        <v>2362</v>
      </c>
      <c r="F608" s="92">
        <f t="shared" si="118"/>
        <v>3431</v>
      </c>
      <c r="G608" s="94">
        <f ca="1">VLOOKUP(B608,'115+740'!$B$15:$AB$757,20,FALSE)</f>
        <v>3431</v>
      </c>
      <c r="H608" s="94">
        <f ca="1">VLOOKUP(B608,'115+740'!$B$15:$AB$757,4,FALSE)</f>
        <v>160</v>
      </c>
      <c r="I608" s="91">
        <f t="shared" ca="1" si="119"/>
        <v>3271</v>
      </c>
      <c r="J608" s="91">
        <f ca="1">VLOOKUP(B608,'115+740'!$B$15:$AB$757,13,FALSE)</f>
        <v>-729</v>
      </c>
      <c r="K608" s="89">
        <f>'115+740'!Q609</f>
        <v>0</v>
      </c>
      <c r="L608" s="88">
        <f t="shared" ca="1" si="124"/>
        <v>769</v>
      </c>
      <c r="M608" s="93">
        <f ca="1">VLOOKUP(B608,'115+740'!$B$14:$AB$757,21,FALSE)</f>
        <v>3248</v>
      </c>
      <c r="N608" s="92">
        <f ca="1">VLOOKUP(B608,'115+740'!$B$15:$AB$757,5,FALSE)</f>
        <v>393</v>
      </c>
      <c r="O608" s="91">
        <f t="shared" ca="1" si="120"/>
        <v>3038</v>
      </c>
      <c r="P608" s="91">
        <f ca="1">VLOOKUP(B608,'115+740'!$B$15:$AB$757,14,FALSE)</f>
        <v>-962</v>
      </c>
      <c r="Q608" s="89">
        <f>'115+740'!R609</f>
        <v>0</v>
      </c>
      <c r="R608" s="88">
        <f t="shared" ca="1" si="125"/>
        <v>952</v>
      </c>
      <c r="S608" s="93">
        <f ca="1">VLOOKUP(B608,'115+740'!$B$14:$AB$757,22,FALSE)</f>
        <v>3537</v>
      </c>
      <c r="T608" s="92">
        <f ca="1">VLOOKUP(B608,'115+740'!$B$15:$AB$757,6,FALSE)</f>
        <v>134</v>
      </c>
      <c r="U608" s="91">
        <f t="shared" ca="1" si="121"/>
        <v>3297</v>
      </c>
      <c r="V608" s="90">
        <f ca="1">VLOOKUP(B608,'115+740'!$B$15:$AB$757,15,FALSE)</f>
        <v>-703</v>
      </c>
      <c r="W608" s="89">
        <f>'115+740'!S609</f>
        <v>0</v>
      </c>
      <c r="X608" s="88">
        <f t="shared" ca="1" si="126"/>
        <v>663</v>
      </c>
      <c r="Y608" s="87">
        <f t="shared" ca="1" si="127"/>
        <v>0</v>
      </c>
      <c r="Z608" s="86">
        <f t="shared" ca="1" si="128"/>
        <v>0</v>
      </c>
      <c r="AA608" s="85">
        <f t="shared" ca="1" si="129"/>
        <v>4.109</v>
      </c>
      <c r="AB608" s="85">
        <f t="shared" ca="1" si="130"/>
        <v>2.306</v>
      </c>
    </row>
    <row r="609" spans="2:28">
      <c r="B609" s="98">
        <f>'115+740'!B610</f>
        <v>45668</v>
      </c>
      <c r="C609" s="97">
        <f t="shared" si="122"/>
        <v>1</v>
      </c>
      <c r="D609" s="96">
        <f t="shared" si="123"/>
        <v>1069</v>
      </c>
      <c r="E609" s="95">
        <f>VLOOKUP(B609,'115+740'!B610:AB968,3,FALSE)</f>
        <v>2364</v>
      </c>
      <c r="F609" s="92">
        <f t="shared" si="118"/>
        <v>3433</v>
      </c>
      <c r="G609" s="94">
        <f ca="1">VLOOKUP(B609,'115+740'!$B$15:$AB$757,20,FALSE)</f>
        <v>3431</v>
      </c>
      <c r="H609" s="94">
        <f ca="1">VLOOKUP(B609,'115+740'!$B$15:$AB$757,4,FALSE)</f>
        <v>162</v>
      </c>
      <c r="I609" s="91">
        <f t="shared" ca="1" si="119"/>
        <v>3271</v>
      </c>
      <c r="J609" s="91">
        <f ca="1">VLOOKUP(B609,'115+740'!$B$15:$AB$757,13,FALSE)</f>
        <v>-729</v>
      </c>
      <c r="K609" s="89">
        <f>'115+740'!Q610</f>
        <v>0</v>
      </c>
      <c r="L609" s="88">
        <f t="shared" ca="1" si="124"/>
        <v>769</v>
      </c>
      <c r="M609" s="93">
        <f ca="1">VLOOKUP(B609,'115+740'!$B$14:$AB$757,21,FALSE)</f>
        <v>3248</v>
      </c>
      <c r="N609" s="92">
        <f ca="1">VLOOKUP(B609,'115+740'!$B$15:$AB$757,5,FALSE)</f>
        <v>395</v>
      </c>
      <c r="O609" s="91">
        <f t="shared" ca="1" si="120"/>
        <v>3038</v>
      </c>
      <c r="P609" s="91">
        <f ca="1">VLOOKUP(B609,'115+740'!$B$15:$AB$757,14,FALSE)</f>
        <v>-962</v>
      </c>
      <c r="Q609" s="89">
        <f>'115+740'!R610</f>
        <v>0</v>
      </c>
      <c r="R609" s="88">
        <f t="shared" ca="1" si="125"/>
        <v>952</v>
      </c>
      <c r="S609" s="93">
        <f ca="1">VLOOKUP(B609,'115+740'!$B$14:$AB$757,22,FALSE)</f>
        <v>3537</v>
      </c>
      <c r="T609" s="92">
        <f ca="1">VLOOKUP(B609,'115+740'!$B$15:$AB$757,6,FALSE)</f>
        <v>136</v>
      </c>
      <c r="U609" s="91">
        <f t="shared" ca="1" si="121"/>
        <v>3297</v>
      </c>
      <c r="V609" s="90">
        <f ca="1">VLOOKUP(B609,'115+740'!$B$15:$AB$757,15,FALSE)</f>
        <v>-703</v>
      </c>
      <c r="W609" s="89">
        <f>'115+740'!S610</f>
        <v>0</v>
      </c>
      <c r="X609" s="88">
        <f t="shared" ca="1" si="126"/>
        <v>663</v>
      </c>
      <c r="Y609" s="87">
        <f t="shared" ca="1" si="127"/>
        <v>0</v>
      </c>
      <c r="Z609" s="86">
        <f t="shared" ca="1" si="128"/>
        <v>0</v>
      </c>
      <c r="AA609" s="85">
        <f t="shared" ca="1" si="129"/>
        <v>4.109</v>
      </c>
      <c r="AB609" s="85">
        <f t="shared" ca="1" si="130"/>
        <v>2.306</v>
      </c>
    </row>
    <row r="610" spans="2:28">
      <c r="B610" s="98">
        <f>'115+740'!B611</f>
        <v>45669</v>
      </c>
      <c r="C610" s="97">
        <f t="shared" si="122"/>
        <v>1</v>
      </c>
      <c r="D610" s="96">
        <f t="shared" si="123"/>
        <v>1069</v>
      </c>
      <c r="E610" s="95">
        <f>VLOOKUP(B610,'115+740'!B611:AB969,3,FALSE)</f>
        <v>2366</v>
      </c>
      <c r="F610" s="92">
        <f t="shared" si="118"/>
        <v>3435</v>
      </c>
      <c r="G610" s="94">
        <f ca="1">VLOOKUP(B610,'115+740'!$B$15:$AB$757,20,FALSE)</f>
        <v>3431</v>
      </c>
      <c r="H610" s="94">
        <f ca="1">VLOOKUP(B610,'115+740'!$B$15:$AB$757,4,FALSE)</f>
        <v>164</v>
      </c>
      <c r="I610" s="91">
        <f t="shared" ca="1" si="119"/>
        <v>3271</v>
      </c>
      <c r="J610" s="91">
        <f ca="1">VLOOKUP(B610,'115+740'!$B$15:$AB$757,13,FALSE)</f>
        <v>-729</v>
      </c>
      <c r="K610" s="89">
        <f>'115+740'!Q611</f>
        <v>0</v>
      </c>
      <c r="L610" s="88">
        <f t="shared" ca="1" si="124"/>
        <v>769</v>
      </c>
      <c r="M610" s="93">
        <f ca="1">VLOOKUP(B610,'115+740'!$B$14:$AB$757,21,FALSE)</f>
        <v>3246</v>
      </c>
      <c r="N610" s="92">
        <f ca="1">VLOOKUP(B610,'115+740'!$B$15:$AB$757,5,FALSE)</f>
        <v>399</v>
      </c>
      <c r="O610" s="91">
        <f t="shared" ca="1" si="120"/>
        <v>3036</v>
      </c>
      <c r="P610" s="91">
        <f ca="1">VLOOKUP(B610,'115+740'!$B$15:$AB$757,14,FALSE)</f>
        <v>-964</v>
      </c>
      <c r="Q610" s="89">
        <f>'115+740'!R611</f>
        <v>2</v>
      </c>
      <c r="R610" s="88">
        <f t="shared" ca="1" si="125"/>
        <v>954</v>
      </c>
      <c r="S610" s="93">
        <f ca="1">VLOOKUP(B610,'115+740'!$B$14:$AB$757,22,FALSE)</f>
        <v>3537</v>
      </c>
      <c r="T610" s="92">
        <f ca="1">VLOOKUP(B610,'115+740'!$B$15:$AB$757,6,FALSE)</f>
        <v>138</v>
      </c>
      <c r="U610" s="91">
        <f t="shared" ca="1" si="121"/>
        <v>3297</v>
      </c>
      <c r="V610" s="90">
        <f ca="1">VLOOKUP(B610,'115+740'!$B$15:$AB$757,15,FALSE)</f>
        <v>-703</v>
      </c>
      <c r="W610" s="89">
        <f>'115+740'!S611</f>
        <v>0</v>
      </c>
      <c r="X610" s="88">
        <f t="shared" ca="1" si="126"/>
        <v>663</v>
      </c>
      <c r="Y610" s="87">
        <f t="shared" ca="1" si="127"/>
        <v>0</v>
      </c>
      <c r="Z610" s="86">
        <f t="shared" ca="1" si="128"/>
        <v>0</v>
      </c>
      <c r="AA610" s="85">
        <f t="shared" ca="1" si="129"/>
        <v>4.109</v>
      </c>
      <c r="AB610" s="85">
        <f t="shared" ca="1" si="130"/>
        <v>2.302</v>
      </c>
    </row>
    <row r="611" spans="2:28">
      <c r="B611" s="98">
        <f>'115+740'!B612</f>
        <v>45670</v>
      </c>
      <c r="C611" s="97">
        <f t="shared" si="122"/>
        <v>1</v>
      </c>
      <c r="D611" s="96">
        <f t="shared" si="123"/>
        <v>1069</v>
      </c>
      <c r="E611" s="95">
        <f>VLOOKUP(B611,'115+740'!B612:AB970,3,FALSE)</f>
        <v>2368</v>
      </c>
      <c r="F611" s="92">
        <f t="shared" si="118"/>
        <v>3437</v>
      </c>
      <c r="G611" s="94">
        <f ca="1">VLOOKUP(B611,'115+740'!$B$15:$AB$757,20,FALSE)</f>
        <v>3431</v>
      </c>
      <c r="H611" s="94">
        <f ca="1">VLOOKUP(B611,'115+740'!$B$15:$AB$757,4,FALSE)</f>
        <v>166</v>
      </c>
      <c r="I611" s="91">
        <f t="shared" ca="1" si="119"/>
        <v>3271</v>
      </c>
      <c r="J611" s="91">
        <f ca="1">VLOOKUP(B611,'115+740'!$B$15:$AB$757,13,FALSE)</f>
        <v>-729</v>
      </c>
      <c r="K611" s="89">
        <f>'115+740'!Q612</f>
        <v>0</v>
      </c>
      <c r="L611" s="88">
        <f t="shared" ca="1" si="124"/>
        <v>769</v>
      </c>
      <c r="M611" s="93">
        <f ca="1">VLOOKUP(B611,'115+740'!$B$14:$AB$757,21,FALSE)</f>
        <v>3246</v>
      </c>
      <c r="N611" s="92">
        <f ca="1">VLOOKUP(B611,'115+740'!$B$15:$AB$757,5,FALSE)</f>
        <v>401</v>
      </c>
      <c r="O611" s="91">
        <f t="shared" ca="1" si="120"/>
        <v>3036</v>
      </c>
      <c r="P611" s="91">
        <f ca="1">VLOOKUP(B611,'115+740'!$B$15:$AB$757,14,FALSE)</f>
        <v>-964</v>
      </c>
      <c r="Q611" s="89">
        <f>'115+740'!R612</f>
        <v>0</v>
      </c>
      <c r="R611" s="88">
        <f t="shared" ca="1" si="125"/>
        <v>954</v>
      </c>
      <c r="S611" s="93">
        <f ca="1">VLOOKUP(B611,'115+740'!$B$14:$AB$757,22,FALSE)</f>
        <v>3536</v>
      </c>
      <c r="T611" s="92">
        <f ca="1">VLOOKUP(B611,'115+740'!$B$15:$AB$757,6,FALSE)</f>
        <v>141</v>
      </c>
      <c r="U611" s="91">
        <f t="shared" ca="1" si="121"/>
        <v>3296</v>
      </c>
      <c r="V611" s="90">
        <f ca="1">VLOOKUP(B611,'115+740'!$B$15:$AB$757,15,FALSE)</f>
        <v>-704</v>
      </c>
      <c r="W611" s="89">
        <f>'115+740'!S612</f>
        <v>1</v>
      </c>
      <c r="X611" s="88">
        <f t="shared" ca="1" si="126"/>
        <v>664</v>
      </c>
      <c r="Y611" s="87">
        <f t="shared" ca="1" si="127"/>
        <v>-1</v>
      </c>
      <c r="Z611" s="86">
        <f t="shared" ca="1" si="128"/>
        <v>0</v>
      </c>
      <c r="AA611" s="85">
        <f t="shared" ca="1" si="129"/>
        <v>4.109</v>
      </c>
      <c r="AB611" s="85">
        <f t="shared" ca="1" si="130"/>
        <v>2.302</v>
      </c>
    </row>
    <row r="612" spans="2:28">
      <c r="B612" s="98">
        <f>'115+740'!B613</f>
        <v>45671</v>
      </c>
      <c r="C612" s="97">
        <f t="shared" si="122"/>
        <v>1</v>
      </c>
      <c r="D612" s="96">
        <f t="shared" si="123"/>
        <v>1069</v>
      </c>
      <c r="E612" s="95">
        <f>VLOOKUP(B612,'115+740'!B613:AB971,3,FALSE)</f>
        <v>2370</v>
      </c>
      <c r="F612" s="92">
        <f t="shared" si="118"/>
        <v>3439</v>
      </c>
      <c r="G612" s="94">
        <f ca="1">VLOOKUP(B612,'115+740'!$B$15:$AB$757,20,FALSE)</f>
        <v>3430</v>
      </c>
      <c r="H612" s="94">
        <f ca="1">VLOOKUP(B612,'115+740'!$B$15:$AB$757,4,FALSE)</f>
        <v>169</v>
      </c>
      <c r="I612" s="91">
        <f t="shared" ca="1" si="119"/>
        <v>3270</v>
      </c>
      <c r="J612" s="91">
        <f ca="1">VLOOKUP(B612,'115+740'!$B$15:$AB$757,13,FALSE)</f>
        <v>-730</v>
      </c>
      <c r="K612" s="89">
        <f>'115+740'!Q613</f>
        <v>1</v>
      </c>
      <c r="L612" s="88">
        <f t="shared" ca="1" si="124"/>
        <v>770</v>
      </c>
      <c r="M612" s="93">
        <f ca="1">VLOOKUP(B612,'115+740'!$B$14:$AB$757,21,FALSE)</f>
        <v>3246</v>
      </c>
      <c r="N612" s="92">
        <f ca="1">VLOOKUP(B612,'115+740'!$B$15:$AB$757,5,FALSE)</f>
        <v>403</v>
      </c>
      <c r="O612" s="91">
        <f t="shared" ca="1" si="120"/>
        <v>3036</v>
      </c>
      <c r="P612" s="91">
        <f ca="1">VLOOKUP(B612,'115+740'!$B$15:$AB$757,14,FALSE)</f>
        <v>-964</v>
      </c>
      <c r="Q612" s="89">
        <f>'115+740'!R613</f>
        <v>0</v>
      </c>
      <c r="R612" s="88">
        <f t="shared" ca="1" si="125"/>
        <v>954</v>
      </c>
      <c r="S612" s="93">
        <f ca="1">VLOOKUP(B612,'115+740'!$B$14:$AB$757,22,FALSE)</f>
        <v>3536</v>
      </c>
      <c r="T612" s="92">
        <f ca="1">VLOOKUP(B612,'115+740'!$B$15:$AB$757,6,FALSE)</f>
        <v>143</v>
      </c>
      <c r="U612" s="91">
        <f t="shared" ca="1" si="121"/>
        <v>3296</v>
      </c>
      <c r="V612" s="90">
        <f ca="1">VLOOKUP(B612,'115+740'!$B$15:$AB$757,15,FALSE)</f>
        <v>-704</v>
      </c>
      <c r="W612" s="89">
        <f>'115+740'!S613</f>
        <v>0</v>
      </c>
      <c r="X612" s="88">
        <f t="shared" ca="1" si="126"/>
        <v>664</v>
      </c>
      <c r="Y612" s="87">
        <f t="shared" ca="1" si="127"/>
        <v>0</v>
      </c>
      <c r="Z612" s="86">
        <f t="shared" ca="1" si="128"/>
        <v>0</v>
      </c>
      <c r="AA612" s="85">
        <f t="shared" ca="1" si="129"/>
        <v>4.109</v>
      </c>
      <c r="AB612" s="85">
        <f t="shared" ca="1" si="130"/>
        <v>2.302</v>
      </c>
    </row>
    <row r="613" spans="2:28">
      <c r="B613" s="98">
        <f>'115+740'!B614</f>
        <v>45672</v>
      </c>
      <c r="C613" s="97">
        <f t="shared" si="122"/>
        <v>1</v>
      </c>
      <c r="D613" s="96">
        <f t="shared" si="123"/>
        <v>1069</v>
      </c>
      <c r="E613" s="95">
        <f>VLOOKUP(B613,'115+740'!B614:AB972,3,FALSE)</f>
        <v>2372</v>
      </c>
      <c r="F613" s="92">
        <f t="shared" si="118"/>
        <v>3441</v>
      </c>
      <c r="G613" s="94">
        <f ca="1">VLOOKUP(B613,'115+740'!$B$15:$AB$757,20,FALSE)</f>
        <v>3430</v>
      </c>
      <c r="H613" s="94">
        <f ca="1">VLOOKUP(B613,'115+740'!$B$15:$AB$757,4,FALSE)</f>
        <v>171</v>
      </c>
      <c r="I613" s="91">
        <f t="shared" ca="1" si="119"/>
        <v>3270</v>
      </c>
      <c r="J613" s="91">
        <f ca="1">VLOOKUP(B613,'115+740'!$B$15:$AB$757,13,FALSE)</f>
        <v>-730</v>
      </c>
      <c r="K613" s="89">
        <f>'115+740'!Q614</f>
        <v>0</v>
      </c>
      <c r="L613" s="88">
        <f t="shared" ca="1" si="124"/>
        <v>770</v>
      </c>
      <c r="M613" s="93">
        <f ca="1">VLOOKUP(B613,'115+740'!$B$14:$AB$757,21,FALSE)</f>
        <v>3246</v>
      </c>
      <c r="N613" s="92">
        <f ca="1">VLOOKUP(B613,'115+740'!$B$15:$AB$757,5,FALSE)</f>
        <v>405</v>
      </c>
      <c r="O613" s="91">
        <f t="shared" ca="1" si="120"/>
        <v>3036</v>
      </c>
      <c r="P613" s="91">
        <f ca="1">VLOOKUP(B613,'115+740'!$B$15:$AB$757,14,FALSE)</f>
        <v>-964</v>
      </c>
      <c r="Q613" s="89">
        <f>'115+740'!R614</f>
        <v>0</v>
      </c>
      <c r="R613" s="88">
        <f t="shared" ca="1" si="125"/>
        <v>954</v>
      </c>
      <c r="S613" s="93">
        <f ca="1">VLOOKUP(B613,'115+740'!$B$14:$AB$757,22,FALSE)</f>
        <v>3534</v>
      </c>
      <c r="T613" s="92">
        <f ca="1">VLOOKUP(B613,'115+740'!$B$15:$AB$757,6,FALSE)</f>
        <v>147</v>
      </c>
      <c r="U613" s="91">
        <f t="shared" ca="1" si="121"/>
        <v>3294</v>
      </c>
      <c r="V613" s="90">
        <f ca="1">VLOOKUP(B613,'115+740'!$B$15:$AB$757,15,FALSE)</f>
        <v>-706</v>
      </c>
      <c r="W613" s="89">
        <f>'115+740'!S614</f>
        <v>2</v>
      </c>
      <c r="X613" s="88">
        <f t="shared" ca="1" si="126"/>
        <v>666</v>
      </c>
      <c r="Y613" s="87">
        <f t="shared" ca="1" si="127"/>
        <v>-2</v>
      </c>
      <c r="Z613" s="86">
        <f t="shared" ca="1" si="128"/>
        <v>0</v>
      </c>
      <c r="AA613" s="85">
        <f t="shared" ca="1" si="129"/>
        <v>4.109</v>
      </c>
      <c r="AB613" s="85">
        <f t="shared" ca="1" si="130"/>
        <v>2.302</v>
      </c>
    </row>
    <row r="614" spans="2:28">
      <c r="B614" s="98">
        <f>'115+740'!B615</f>
        <v>45673</v>
      </c>
      <c r="C614" s="97">
        <f t="shared" si="122"/>
        <v>1</v>
      </c>
      <c r="D614" s="96">
        <f t="shared" si="123"/>
        <v>1069</v>
      </c>
      <c r="E614" s="95">
        <f>VLOOKUP(B614,'115+740'!B615:AB973,3,FALSE)</f>
        <v>2374</v>
      </c>
      <c r="F614" s="92">
        <f t="shared" si="118"/>
        <v>3443</v>
      </c>
      <c r="G614" s="94">
        <f ca="1">VLOOKUP(B614,'115+740'!$B$15:$AB$757,20,FALSE)</f>
        <v>3430</v>
      </c>
      <c r="H614" s="94">
        <f ca="1">VLOOKUP(B614,'115+740'!$B$15:$AB$757,4,FALSE)</f>
        <v>173</v>
      </c>
      <c r="I614" s="91">
        <f t="shared" ca="1" si="119"/>
        <v>3270</v>
      </c>
      <c r="J614" s="91">
        <f ca="1">VLOOKUP(B614,'115+740'!$B$15:$AB$757,13,FALSE)</f>
        <v>-730</v>
      </c>
      <c r="K614" s="89">
        <f>'115+740'!Q615</f>
        <v>0</v>
      </c>
      <c r="L614" s="88">
        <f t="shared" ca="1" si="124"/>
        <v>770</v>
      </c>
      <c r="M614" s="93">
        <f ca="1">VLOOKUP(B614,'115+740'!$B$14:$AB$757,21,FALSE)</f>
        <v>3243</v>
      </c>
      <c r="N614" s="92">
        <f ca="1">VLOOKUP(B614,'115+740'!$B$15:$AB$757,5,FALSE)</f>
        <v>410</v>
      </c>
      <c r="O614" s="91">
        <f t="shared" ca="1" si="120"/>
        <v>3033</v>
      </c>
      <c r="P614" s="91">
        <f ca="1">VLOOKUP(B614,'115+740'!$B$15:$AB$757,14,FALSE)</f>
        <v>-967</v>
      </c>
      <c r="Q614" s="89">
        <f>'115+740'!R615</f>
        <v>3</v>
      </c>
      <c r="R614" s="88">
        <f t="shared" ca="1" si="125"/>
        <v>957</v>
      </c>
      <c r="S614" s="93">
        <f ca="1">VLOOKUP(B614,'115+740'!$B$14:$AB$757,22,FALSE)</f>
        <v>3534</v>
      </c>
      <c r="T614" s="92">
        <f ca="1">VLOOKUP(B614,'115+740'!$B$15:$AB$757,6,FALSE)</f>
        <v>149</v>
      </c>
      <c r="U614" s="91">
        <f t="shared" ca="1" si="121"/>
        <v>3294</v>
      </c>
      <c r="V614" s="90">
        <f ca="1">VLOOKUP(B614,'115+740'!$B$15:$AB$757,15,FALSE)</f>
        <v>-706</v>
      </c>
      <c r="W614" s="89">
        <f>'115+740'!S615</f>
        <v>0</v>
      </c>
      <c r="X614" s="88">
        <f t="shared" ca="1" si="126"/>
        <v>666</v>
      </c>
      <c r="Y614" s="87">
        <f t="shared" ca="1" si="127"/>
        <v>0</v>
      </c>
      <c r="Z614" s="86">
        <f t="shared" ca="1" si="128"/>
        <v>0</v>
      </c>
      <c r="AA614" s="85">
        <f t="shared" ca="1" si="129"/>
        <v>4.109</v>
      </c>
      <c r="AB614" s="85">
        <f t="shared" ca="1" si="130"/>
        <v>2.2959999999999998</v>
      </c>
    </row>
    <row r="615" spans="2:28">
      <c r="B615" s="98">
        <f>'115+740'!B616</f>
        <v>45674</v>
      </c>
      <c r="C615" s="97">
        <f t="shared" si="122"/>
        <v>1</v>
      </c>
      <c r="D615" s="96">
        <f t="shared" si="123"/>
        <v>1069</v>
      </c>
      <c r="E615" s="95">
        <f>VLOOKUP(B615,'115+740'!B616:AB974,3,FALSE)</f>
        <v>2376</v>
      </c>
      <c r="F615" s="92">
        <f t="shared" si="118"/>
        <v>3445</v>
      </c>
      <c r="G615" s="94">
        <f ca="1">VLOOKUP(B615,'115+740'!$B$15:$AB$757,20,FALSE)</f>
        <v>3428</v>
      </c>
      <c r="H615" s="94">
        <f ca="1">VLOOKUP(B615,'115+740'!$B$15:$AB$757,4,FALSE)</f>
        <v>177</v>
      </c>
      <c r="I615" s="91">
        <f t="shared" ca="1" si="119"/>
        <v>3268</v>
      </c>
      <c r="J615" s="91">
        <f ca="1">VLOOKUP(B615,'115+740'!$B$15:$AB$757,13,FALSE)</f>
        <v>-732</v>
      </c>
      <c r="K615" s="89">
        <f>'115+740'!Q616</f>
        <v>2</v>
      </c>
      <c r="L615" s="88">
        <f t="shared" ca="1" si="124"/>
        <v>772</v>
      </c>
      <c r="M615" s="93">
        <f ca="1">VLOOKUP(B615,'115+740'!$B$14:$AB$757,21,FALSE)</f>
        <v>3243</v>
      </c>
      <c r="N615" s="92">
        <f ca="1">VLOOKUP(B615,'115+740'!$B$15:$AB$757,5,FALSE)</f>
        <v>412</v>
      </c>
      <c r="O615" s="91">
        <f t="shared" ca="1" si="120"/>
        <v>3033</v>
      </c>
      <c r="P615" s="91">
        <f ca="1">VLOOKUP(B615,'115+740'!$B$15:$AB$757,14,FALSE)</f>
        <v>-967</v>
      </c>
      <c r="Q615" s="89">
        <f>'115+740'!R616</f>
        <v>0</v>
      </c>
      <c r="R615" s="88">
        <f t="shared" ca="1" si="125"/>
        <v>957</v>
      </c>
      <c r="S615" s="93">
        <f ca="1">VLOOKUP(B615,'115+740'!$B$14:$AB$757,22,FALSE)</f>
        <v>3534</v>
      </c>
      <c r="T615" s="92">
        <f ca="1">VLOOKUP(B615,'115+740'!$B$15:$AB$757,6,FALSE)</f>
        <v>151</v>
      </c>
      <c r="U615" s="91">
        <f t="shared" ca="1" si="121"/>
        <v>3294</v>
      </c>
      <c r="V615" s="90">
        <f ca="1">VLOOKUP(B615,'115+740'!$B$15:$AB$757,15,FALSE)</f>
        <v>-706</v>
      </c>
      <c r="W615" s="89">
        <f>'115+740'!S616</f>
        <v>0</v>
      </c>
      <c r="X615" s="88">
        <f t="shared" ca="1" si="126"/>
        <v>666</v>
      </c>
      <c r="Y615" s="87">
        <f t="shared" ca="1" si="127"/>
        <v>0</v>
      </c>
      <c r="Z615" s="86">
        <f t="shared" ca="1" si="128"/>
        <v>0</v>
      </c>
      <c r="AA615" s="85">
        <f t="shared" ca="1" si="129"/>
        <v>4.109</v>
      </c>
      <c r="AB615" s="85">
        <f t="shared" ca="1" si="130"/>
        <v>2.2959999999999998</v>
      </c>
    </row>
    <row r="616" spans="2:28">
      <c r="B616" s="98">
        <f>'115+740'!B617</f>
        <v>45675</v>
      </c>
      <c r="C616" s="97">
        <f t="shared" si="122"/>
        <v>1</v>
      </c>
      <c r="D616" s="96">
        <f t="shared" si="123"/>
        <v>1069</v>
      </c>
      <c r="E616" s="95">
        <f>VLOOKUP(B616,'115+740'!B617:AB975,3,FALSE)</f>
        <v>2378</v>
      </c>
      <c r="F616" s="92">
        <f t="shared" si="118"/>
        <v>3447</v>
      </c>
      <c r="G616" s="94">
        <f ca="1">VLOOKUP(B616,'115+740'!$B$15:$AB$757,20,FALSE)</f>
        <v>3428</v>
      </c>
      <c r="H616" s="94">
        <f ca="1">VLOOKUP(B616,'115+740'!$B$15:$AB$757,4,FALSE)</f>
        <v>179</v>
      </c>
      <c r="I616" s="91">
        <f t="shared" ca="1" si="119"/>
        <v>3268</v>
      </c>
      <c r="J616" s="91">
        <f ca="1">VLOOKUP(B616,'115+740'!$B$15:$AB$757,13,FALSE)</f>
        <v>-732</v>
      </c>
      <c r="K616" s="89">
        <f>'115+740'!Q617</f>
        <v>0</v>
      </c>
      <c r="L616" s="88">
        <f t="shared" ca="1" si="124"/>
        <v>772</v>
      </c>
      <c r="M616" s="93">
        <f ca="1">VLOOKUP(B616,'115+740'!$B$14:$AB$757,21,FALSE)</f>
        <v>3241</v>
      </c>
      <c r="N616" s="92">
        <f ca="1">VLOOKUP(B616,'115+740'!$B$15:$AB$757,5,FALSE)</f>
        <v>416</v>
      </c>
      <c r="O616" s="91">
        <f t="shared" ca="1" si="120"/>
        <v>3031</v>
      </c>
      <c r="P616" s="91">
        <f ca="1">VLOOKUP(B616,'115+740'!$B$15:$AB$757,14,FALSE)</f>
        <v>-969</v>
      </c>
      <c r="Q616" s="89">
        <f>'115+740'!R617</f>
        <v>2</v>
      </c>
      <c r="R616" s="88">
        <f t="shared" ca="1" si="125"/>
        <v>959</v>
      </c>
      <c r="S616" s="93">
        <f ca="1">VLOOKUP(B616,'115+740'!$B$14:$AB$757,22,FALSE)</f>
        <v>3534</v>
      </c>
      <c r="T616" s="92">
        <f ca="1">VLOOKUP(B616,'115+740'!$B$15:$AB$757,6,FALSE)</f>
        <v>153</v>
      </c>
      <c r="U616" s="91">
        <f t="shared" ca="1" si="121"/>
        <v>3294</v>
      </c>
      <c r="V616" s="90">
        <f ca="1">VLOOKUP(B616,'115+740'!$B$15:$AB$757,15,FALSE)</f>
        <v>-706</v>
      </c>
      <c r="W616" s="89">
        <f>'115+740'!S617</f>
        <v>0</v>
      </c>
      <c r="X616" s="88">
        <f t="shared" ca="1" si="126"/>
        <v>666</v>
      </c>
      <c r="Y616" s="87">
        <f t="shared" ca="1" si="127"/>
        <v>0</v>
      </c>
      <c r="Z616" s="86">
        <f t="shared" ca="1" si="128"/>
        <v>0</v>
      </c>
      <c r="AA616" s="85">
        <f t="shared" ca="1" si="129"/>
        <v>4.109</v>
      </c>
      <c r="AB616" s="85">
        <f t="shared" ca="1" si="130"/>
        <v>2.2919999999999998</v>
      </c>
    </row>
    <row r="617" spans="2:28">
      <c r="B617" s="98">
        <f>'115+740'!B618</f>
        <v>45676</v>
      </c>
      <c r="C617" s="97">
        <f t="shared" si="122"/>
        <v>1</v>
      </c>
      <c r="D617" s="96">
        <f t="shared" si="123"/>
        <v>1069</v>
      </c>
      <c r="E617" s="95">
        <f>VLOOKUP(B617,'115+740'!B618:AB976,3,FALSE)</f>
        <v>2380</v>
      </c>
      <c r="F617" s="92">
        <f t="shared" si="118"/>
        <v>3449</v>
      </c>
      <c r="G617" s="94">
        <f ca="1">VLOOKUP(B617,'115+740'!$B$15:$AB$757,20,FALSE)</f>
        <v>3428</v>
      </c>
      <c r="H617" s="94">
        <f ca="1">VLOOKUP(B617,'115+740'!$B$15:$AB$757,4,FALSE)</f>
        <v>181</v>
      </c>
      <c r="I617" s="91">
        <f t="shared" ca="1" si="119"/>
        <v>3268</v>
      </c>
      <c r="J617" s="91">
        <f ca="1">VLOOKUP(B617,'115+740'!$B$15:$AB$757,13,FALSE)</f>
        <v>-732</v>
      </c>
      <c r="K617" s="89">
        <f>'115+740'!Q618</f>
        <v>0</v>
      </c>
      <c r="L617" s="88">
        <f t="shared" ca="1" si="124"/>
        <v>772</v>
      </c>
      <c r="M617" s="93">
        <f ca="1">VLOOKUP(B617,'115+740'!$B$14:$AB$757,21,FALSE)</f>
        <v>3241</v>
      </c>
      <c r="N617" s="92">
        <f ca="1">VLOOKUP(B617,'115+740'!$B$15:$AB$757,5,FALSE)</f>
        <v>418</v>
      </c>
      <c r="O617" s="91">
        <f t="shared" ca="1" si="120"/>
        <v>3031</v>
      </c>
      <c r="P617" s="91">
        <f ca="1">VLOOKUP(B617,'115+740'!$B$15:$AB$757,14,FALSE)</f>
        <v>-969</v>
      </c>
      <c r="Q617" s="89">
        <f>'115+740'!R618</f>
        <v>0</v>
      </c>
      <c r="R617" s="88">
        <f t="shared" ca="1" si="125"/>
        <v>959</v>
      </c>
      <c r="S617" s="93">
        <f ca="1">VLOOKUP(B617,'115+740'!$B$14:$AB$757,22,FALSE)</f>
        <v>3534</v>
      </c>
      <c r="T617" s="92">
        <f ca="1">VLOOKUP(B617,'115+740'!$B$15:$AB$757,6,FALSE)</f>
        <v>155</v>
      </c>
      <c r="U617" s="91">
        <f t="shared" ca="1" si="121"/>
        <v>3294</v>
      </c>
      <c r="V617" s="90">
        <f ca="1">VLOOKUP(B617,'115+740'!$B$15:$AB$757,15,FALSE)</f>
        <v>-706</v>
      </c>
      <c r="W617" s="89">
        <f>'115+740'!S618</f>
        <v>0</v>
      </c>
      <c r="X617" s="88">
        <f t="shared" ca="1" si="126"/>
        <v>666</v>
      </c>
      <c r="Y617" s="87">
        <f t="shared" ca="1" si="127"/>
        <v>0</v>
      </c>
      <c r="Z617" s="86">
        <f t="shared" ca="1" si="128"/>
        <v>0</v>
      </c>
      <c r="AA617" s="85">
        <f t="shared" ca="1" si="129"/>
        <v>4.109</v>
      </c>
      <c r="AB617" s="85">
        <f t="shared" ca="1" si="130"/>
        <v>2.2919999999999998</v>
      </c>
    </row>
    <row r="618" spans="2:28">
      <c r="B618" s="98">
        <f>'115+740'!B619</f>
        <v>45677</v>
      </c>
      <c r="C618" s="97">
        <f t="shared" si="122"/>
        <v>1</v>
      </c>
      <c r="D618" s="96">
        <f t="shared" si="123"/>
        <v>1069</v>
      </c>
      <c r="E618" s="95">
        <f>VLOOKUP(B618,'115+740'!B619:AB977,3,FALSE)</f>
        <v>2382</v>
      </c>
      <c r="F618" s="92">
        <f t="shared" si="118"/>
        <v>3451</v>
      </c>
      <c r="G618" s="94">
        <f ca="1">VLOOKUP(B618,'115+740'!$B$15:$AB$757,20,FALSE)</f>
        <v>3428</v>
      </c>
      <c r="H618" s="94">
        <f ca="1">VLOOKUP(B618,'115+740'!$B$15:$AB$757,4,FALSE)</f>
        <v>183</v>
      </c>
      <c r="I618" s="91">
        <f t="shared" ca="1" si="119"/>
        <v>3268</v>
      </c>
      <c r="J618" s="91">
        <f ca="1">VLOOKUP(B618,'115+740'!$B$15:$AB$757,13,FALSE)</f>
        <v>-732</v>
      </c>
      <c r="K618" s="89">
        <f>'115+740'!Q619</f>
        <v>0</v>
      </c>
      <c r="L618" s="88">
        <f t="shared" ca="1" si="124"/>
        <v>772</v>
      </c>
      <c r="M618" s="93">
        <f ca="1">VLOOKUP(B618,'115+740'!$B$14:$AB$757,21,FALSE)</f>
        <v>3241</v>
      </c>
      <c r="N618" s="92">
        <f ca="1">VLOOKUP(B618,'115+740'!$B$15:$AB$757,5,FALSE)</f>
        <v>420</v>
      </c>
      <c r="O618" s="91">
        <f t="shared" ca="1" si="120"/>
        <v>3031</v>
      </c>
      <c r="P618" s="91">
        <f ca="1">VLOOKUP(B618,'115+740'!$B$15:$AB$757,14,FALSE)</f>
        <v>-969</v>
      </c>
      <c r="Q618" s="89">
        <f>'115+740'!R619</f>
        <v>0</v>
      </c>
      <c r="R618" s="88">
        <f t="shared" ca="1" si="125"/>
        <v>959</v>
      </c>
      <c r="S618" s="93">
        <f ca="1">VLOOKUP(B618,'115+740'!$B$14:$AB$757,22,FALSE)</f>
        <v>3534</v>
      </c>
      <c r="T618" s="92">
        <f ca="1">VLOOKUP(B618,'115+740'!$B$15:$AB$757,6,FALSE)</f>
        <v>157</v>
      </c>
      <c r="U618" s="91">
        <f t="shared" ca="1" si="121"/>
        <v>3294</v>
      </c>
      <c r="V618" s="90">
        <f ca="1">VLOOKUP(B618,'115+740'!$B$15:$AB$757,15,FALSE)</f>
        <v>-706</v>
      </c>
      <c r="W618" s="89">
        <f>'115+740'!S619</f>
        <v>0</v>
      </c>
      <c r="X618" s="88">
        <f t="shared" ca="1" si="126"/>
        <v>666</v>
      </c>
      <c r="Y618" s="87">
        <f t="shared" ca="1" si="127"/>
        <v>0</v>
      </c>
      <c r="Z618" s="86">
        <f t="shared" ca="1" si="128"/>
        <v>0</v>
      </c>
      <c r="AA618" s="85">
        <f t="shared" ca="1" si="129"/>
        <v>4.109</v>
      </c>
      <c r="AB618" s="85">
        <f t="shared" ca="1" si="130"/>
        <v>2.2919999999999998</v>
      </c>
    </row>
    <row r="619" spans="2:28">
      <c r="B619" s="98">
        <f>'115+740'!B620</f>
        <v>45678</v>
      </c>
      <c r="C619" s="97">
        <f t="shared" si="122"/>
        <v>1</v>
      </c>
      <c r="D619" s="96">
        <f t="shared" si="123"/>
        <v>1069</v>
      </c>
      <c r="E619" s="95">
        <f>VLOOKUP(B619,'115+740'!B620:AB978,3,FALSE)</f>
        <v>2384</v>
      </c>
      <c r="F619" s="92">
        <f t="shared" si="118"/>
        <v>3453</v>
      </c>
      <c r="G619" s="94">
        <f ca="1">VLOOKUP(B619,'115+740'!$B$15:$AB$757,20,FALSE)</f>
        <v>3426</v>
      </c>
      <c r="H619" s="94">
        <f ca="1">VLOOKUP(B619,'115+740'!$B$15:$AB$757,4,FALSE)</f>
        <v>187</v>
      </c>
      <c r="I619" s="91">
        <f t="shared" ca="1" si="119"/>
        <v>3266</v>
      </c>
      <c r="J619" s="91">
        <f ca="1">VLOOKUP(B619,'115+740'!$B$15:$AB$757,13,FALSE)</f>
        <v>-734</v>
      </c>
      <c r="K619" s="89">
        <f>'115+740'!Q620</f>
        <v>2</v>
      </c>
      <c r="L619" s="88">
        <f t="shared" ca="1" si="124"/>
        <v>774</v>
      </c>
      <c r="M619" s="93">
        <f ca="1">VLOOKUP(B619,'115+740'!$B$14:$AB$757,21,FALSE)</f>
        <v>3241</v>
      </c>
      <c r="N619" s="92">
        <f ca="1">VLOOKUP(B619,'115+740'!$B$15:$AB$757,5,FALSE)</f>
        <v>422</v>
      </c>
      <c r="O619" s="91">
        <f t="shared" ca="1" si="120"/>
        <v>3031</v>
      </c>
      <c r="P619" s="91">
        <f ca="1">VLOOKUP(B619,'115+740'!$B$15:$AB$757,14,FALSE)</f>
        <v>-969</v>
      </c>
      <c r="Q619" s="89">
        <f>'115+740'!R620</f>
        <v>0</v>
      </c>
      <c r="R619" s="88">
        <f t="shared" ca="1" si="125"/>
        <v>959</v>
      </c>
      <c r="S619" s="93">
        <f ca="1">VLOOKUP(B619,'115+740'!$B$14:$AB$757,22,FALSE)</f>
        <v>3534</v>
      </c>
      <c r="T619" s="92">
        <f ca="1">VLOOKUP(B619,'115+740'!$B$15:$AB$757,6,FALSE)</f>
        <v>159</v>
      </c>
      <c r="U619" s="91">
        <f t="shared" ca="1" si="121"/>
        <v>3294</v>
      </c>
      <c r="V619" s="90">
        <f ca="1">VLOOKUP(B619,'115+740'!$B$15:$AB$757,15,FALSE)</f>
        <v>-706</v>
      </c>
      <c r="W619" s="89">
        <f>'115+740'!S620</f>
        <v>0</v>
      </c>
      <c r="X619" s="88">
        <f t="shared" ca="1" si="126"/>
        <v>666</v>
      </c>
      <c r="Y619" s="87">
        <f t="shared" ca="1" si="127"/>
        <v>0</v>
      </c>
      <c r="Z619" s="86">
        <f t="shared" ca="1" si="128"/>
        <v>0</v>
      </c>
      <c r="AA619" s="85">
        <f t="shared" ca="1" si="129"/>
        <v>4.109</v>
      </c>
      <c r="AB619" s="85">
        <f t="shared" ca="1" si="130"/>
        <v>2.2919999999999998</v>
      </c>
    </row>
    <row r="620" spans="2:28">
      <c r="B620" s="98">
        <f>'115+740'!B621</f>
        <v>45679</v>
      </c>
      <c r="C620" s="97">
        <f t="shared" si="122"/>
        <v>1</v>
      </c>
      <c r="D620" s="96">
        <f t="shared" si="123"/>
        <v>1069</v>
      </c>
      <c r="E620" s="95">
        <f>VLOOKUP(B620,'115+740'!B621:AB979,3,FALSE)</f>
        <v>2386</v>
      </c>
      <c r="F620" s="92">
        <f t="shared" si="118"/>
        <v>3455</v>
      </c>
      <c r="G620" s="94">
        <f ca="1">VLOOKUP(B620,'115+740'!$B$15:$AB$757,20,FALSE)</f>
        <v>3426</v>
      </c>
      <c r="H620" s="94">
        <f ca="1">VLOOKUP(B620,'115+740'!$B$15:$AB$757,4,FALSE)</f>
        <v>189</v>
      </c>
      <c r="I620" s="91">
        <f t="shared" ca="1" si="119"/>
        <v>3266</v>
      </c>
      <c r="J620" s="91">
        <f ca="1">VLOOKUP(B620,'115+740'!$B$15:$AB$757,13,FALSE)</f>
        <v>-734</v>
      </c>
      <c r="K620" s="89">
        <f>'115+740'!Q621</f>
        <v>0</v>
      </c>
      <c r="L620" s="88">
        <f t="shared" ca="1" si="124"/>
        <v>774</v>
      </c>
      <c r="M620" s="93">
        <f ca="1">VLOOKUP(B620,'115+740'!$B$14:$AB$757,21,FALSE)</f>
        <v>3240</v>
      </c>
      <c r="N620" s="92">
        <f ca="1">VLOOKUP(B620,'115+740'!$B$15:$AB$757,5,FALSE)</f>
        <v>425</v>
      </c>
      <c r="O620" s="91">
        <f t="shared" ca="1" si="120"/>
        <v>3030</v>
      </c>
      <c r="P620" s="91">
        <f ca="1">VLOOKUP(B620,'115+740'!$B$15:$AB$757,14,FALSE)</f>
        <v>-970</v>
      </c>
      <c r="Q620" s="89">
        <f>'115+740'!R621</f>
        <v>1</v>
      </c>
      <c r="R620" s="88">
        <f t="shared" ca="1" si="125"/>
        <v>960</v>
      </c>
      <c r="S620" s="93">
        <f ca="1">VLOOKUP(B620,'115+740'!$B$14:$AB$757,22,FALSE)</f>
        <v>3532</v>
      </c>
      <c r="T620" s="92">
        <f ca="1">VLOOKUP(B620,'115+740'!$B$15:$AB$757,6,FALSE)</f>
        <v>163</v>
      </c>
      <c r="U620" s="91">
        <f t="shared" ca="1" si="121"/>
        <v>3292</v>
      </c>
      <c r="V620" s="90">
        <f ca="1">VLOOKUP(B620,'115+740'!$B$15:$AB$757,15,FALSE)</f>
        <v>-708</v>
      </c>
      <c r="W620" s="89">
        <f>'115+740'!S621</f>
        <v>2</v>
      </c>
      <c r="X620" s="88">
        <f t="shared" ca="1" si="126"/>
        <v>668</v>
      </c>
      <c r="Y620" s="87">
        <f t="shared" ca="1" si="127"/>
        <v>-2</v>
      </c>
      <c r="Z620" s="86">
        <f t="shared" ca="1" si="128"/>
        <v>0</v>
      </c>
      <c r="AA620" s="85">
        <f t="shared" ca="1" si="129"/>
        <v>4.109</v>
      </c>
      <c r="AB620" s="85">
        <f t="shared" ca="1" si="130"/>
        <v>2.29</v>
      </c>
    </row>
    <row r="621" spans="2:28">
      <c r="B621" s="98">
        <f>'115+740'!B622</f>
        <v>45680</v>
      </c>
      <c r="C621" s="97">
        <f t="shared" si="122"/>
        <v>1</v>
      </c>
      <c r="D621" s="96">
        <f t="shared" si="123"/>
        <v>1069</v>
      </c>
      <c r="E621" s="95">
        <f>VLOOKUP(B621,'115+740'!B622:AB980,3,FALSE)</f>
        <v>2388</v>
      </c>
      <c r="F621" s="92">
        <f t="shared" si="118"/>
        <v>3457</v>
      </c>
      <c r="G621" s="94">
        <f ca="1">VLOOKUP(B621,'115+740'!$B$15:$AB$757,20,FALSE)</f>
        <v>3426</v>
      </c>
      <c r="H621" s="94">
        <f ca="1">VLOOKUP(B621,'115+740'!$B$15:$AB$757,4,FALSE)</f>
        <v>191</v>
      </c>
      <c r="I621" s="91">
        <f t="shared" ca="1" si="119"/>
        <v>3266</v>
      </c>
      <c r="J621" s="91">
        <f ca="1">VLOOKUP(B621,'115+740'!$B$15:$AB$757,13,FALSE)</f>
        <v>-734</v>
      </c>
      <c r="K621" s="89">
        <f>'115+740'!Q622</f>
        <v>0</v>
      </c>
      <c r="L621" s="88">
        <f t="shared" ca="1" si="124"/>
        <v>774</v>
      </c>
      <c r="M621" s="93">
        <f ca="1">VLOOKUP(B621,'115+740'!$B$14:$AB$757,21,FALSE)</f>
        <v>3240</v>
      </c>
      <c r="N621" s="92">
        <f ca="1">VLOOKUP(B621,'115+740'!$B$15:$AB$757,5,FALSE)</f>
        <v>427</v>
      </c>
      <c r="O621" s="91">
        <f t="shared" ca="1" si="120"/>
        <v>3030</v>
      </c>
      <c r="P621" s="91">
        <f ca="1">VLOOKUP(B621,'115+740'!$B$15:$AB$757,14,FALSE)</f>
        <v>-970</v>
      </c>
      <c r="Q621" s="89">
        <f>'115+740'!R622</f>
        <v>0</v>
      </c>
      <c r="R621" s="88">
        <f t="shared" ca="1" si="125"/>
        <v>960</v>
      </c>
      <c r="S621" s="93">
        <f ca="1">VLOOKUP(B621,'115+740'!$B$14:$AB$757,22,FALSE)</f>
        <v>3532</v>
      </c>
      <c r="T621" s="92">
        <f ca="1">VLOOKUP(B621,'115+740'!$B$15:$AB$757,6,FALSE)</f>
        <v>165</v>
      </c>
      <c r="U621" s="91">
        <f t="shared" ca="1" si="121"/>
        <v>3292</v>
      </c>
      <c r="V621" s="90">
        <f ca="1">VLOOKUP(B621,'115+740'!$B$15:$AB$757,15,FALSE)</f>
        <v>-708</v>
      </c>
      <c r="W621" s="89">
        <f>'115+740'!S622</f>
        <v>0</v>
      </c>
      <c r="X621" s="88">
        <f t="shared" ca="1" si="126"/>
        <v>668</v>
      </c>
      <c r="Y621" s="87">
        <f t="shared" ca="1" si="127"/>
        <v>0</v>
      </c>
      <c r="Z621" s="86">
        <f t="shared" ca="1" si="128"/>
        <v>0</v>
      </c>
      <c r="AA621" s="85">
        <f t="shared" ca="1" si="129"/>
        <v>4.109</v>
      </c>
      <c r="AB621" s="85">
        <f t="shared" ca="1" si="130"/>
        <v>2.29</v>
      </c>
    </row>
    <row r="622" spans="2:28">
      <c r="B622" s="98">
        <f>'115+740'!B623</f>
        <v>45681</v>
      </c>
      <c r="C622" s="97">
        <f t="shared" si="122"/>
        <v>1</v>
      </c>
      <c r="D622" s="96">
        <f t="shared" si="123"/>
        <v>1069</v>
      </c>
      <c r="E622" s="95">
        <f>VLOOKUP(B622,'115+740'!B623:AB981,3,FALSE)</f>
        <v>2390</v>
      </c>
      <c r="F622" s="92">
        <f t="shared" si="118"/>
        <v>3459</v>
      </c>
      <c r="G622" s="94">
        <f ca="1">VLOOKUP(B622,'115+740'!$B$15:$AB$757,20,FALSE)</f>
        <v>3426</v>
      </c>
      <c r="H622" s="94">
        <f ca="1">VLOOKUP(B622,'115+740'!$B$15:$AB$757,4,FALSE)</f>
        <v>193</v>
      </c>
      <c r="I622" s="91">
        <f t="shared" ca="1" si="119"/>
        <v>3266</v>
      </c>
      <c r="J622" s="91">
        <f ca="1">VLOOKUP(B622,'115+740'!$B$15:$AB$757,13,FALSE)</f>
        <v>-734</v>
      </c>
      <c r="K622" s="89">
        <f>'115+740'!Q623</f>
        <v>0</v>
      </c>
      <c r="L622" s="88">
        <f t="shared" ca="1" si="124"/>
        <v>774</v>
      </c>
      <c r="M622" s="93">
        <f ca="1">VLOOKUP(B622,'115+740'!$B$14:$AB$757,21,FALSE)</f>
        <v>3240</v>
      </c>
      <c r="N622" s="92">
        <f ca="1">VLOOKUP(B622,'115+740'!$B$15:$AB$757,5,FALSE)</f>
        <v>429</v>
      </c>
      <c r="O622" s="91">
        <f t="shared" ca="1" si="120"/>
        <v>3030</v>
      </c>
      <c r="P622" s="91">
        <f ca="1">VLOOKUP(B622,'115+740'!$B$15:$AB$757,14,FALSE)</f>
        <v>-970</v>
      </c>
      <c r="Q622" s="89">
        <f>'115+740'!R623</f>
        <v>0</v>
      </c>
      <c r="R622" s="88">
        <f t="shared" ca="1" si="125"/>
        <v>960</v>
      </c>
      <c r="S622" s="93">
        <f ca="1">VLOOKUP(B622,'115+740'!$B$14:$AB$757,22,FALSE)</f>
        <v>3532</v>
      </c>
      <c r="T622" s="92">
        <f ca="1">VLOOKUP(B622,'115+740'!$B$15:$AB$757,6,FALSE)</f>
        <v>167</v>
      </c>
      <c r="U622" s="91">
        <f t="shared" ca="1" si="121"/>
        <v>3292</v>
      </c>
      <c r="V622" s="90">
        <f ca="1">VLOOKUP(B622,'115+740'!$B$15:$AB$757,15,FALSE)</f>
        <v>-708</v>
      </c>
      <c r="W622" s="89">
        <f>'115+740'!S623</f>
        <v>0</v>
      </c>
      <c r="X622" s="88">
        <f t="shared" ca="1" si="126"/>
        <v>668</v>
      </c>
      <c r="Y622" s="87">
        <f t="shared" ca="1" si="127"/>
        <v>0</v>
      </c>
      <c r="Z622" s="86">
        <f t="shared" ca="1" si="128"/>
        <v>0</v>
      </c>
      <c r="AA622" s="85">
        <f t="shared" ca="1" si="129"/>
        <v>4.109</v>
      </c>
      <c r="AB622" s="85">
        <f t="shared" ca="1" si="130"/>
        <v>2.29</v>
      </c>
    </row>
    <row r="623" spans="2:28">
      <c r="B623" s="98">
        <f>'115+740'!B624</f>
        <v>45682</v>
      </c>
      <c r="C623" s="97">
        <f t="shared" si="122"/>
        <v>1</v>
      </c>
      <c r="D623" s="96">
        <f t="shared" si="123"/>
        <v>1069</v>
      </c>
      <c r="E623" s="95">
        <f>VLOOKUP(B623,'115+740'!B624:AB982,3,FALSE)</f>
        <v>2392</v>
      </c>
      <c r="F623" s="92">
        <f t="shared" si="118"/>
        <v>3461</v>
      </c>
      <c r="G623" s="94">
        <f ca="1">VLOOKUP(B623,'115+740'!$B$15:$AB$757,20,FALSE)</f>
        <v>3426</v>
      </c>
      <c r="H623" s="94">
        <f ca="1">VLOOKUP(B623,'115+740'!$B$15:$AB$757,4,FALSE)</f>
        <v>195</v>
      </c>
      <c r="I623" s="91">
        <f t="shared" ca="1" si="119"/>
        <v>3266</v>
      </c>
      <c r="J623" s="91">
        <f ca="1">VLOOKUP(B623,'115+740'!$B$15:$AB$757,13,FALSE)</f>
        <v>-734</v>
      </c>
      <c r="K623" s="89">
        <f>'115+740'!Q624</f>
        <v>0</v>
      </c>
      <c r="L623" s="88">
        <f t="shared" ca="1" si="124"/>
        <v>774</v>
      </c>
      <c r="M623" s="93">
        <f ca="1">VLOOKUP(B623,'115+740'!$B$14:$AB$757,21,FALSE)</f>
        <v>3236</v>
      </c>
      <c r="N623" s="92">
        <f ca="1">VLOOKUP(B623,'115+740'!$B$15:$AB$757,5,FALSE)</f>
        <v>435</v>
      </c>
      <c r="O623" s="91">
        <f t="shared" ca="1" si="120"/>
        <v>3026</v>
      </c>
      <c r="P623" s="91">
        <f ca="1">VLOOKUP(B623,'115+740'!$B$15:$AB$757,14,FALSE)</f>
        <v>-974</v>
      </c>
      <c r="Q623" s="89">
        <f>'115+740'!R624</f>
        <v>4</v>
      </c>
      <c r="R623" s="88">
        <f t="shared" ca="1" si="125"/>
        <v>964</v>
      </c>
      <c r="S623" s="93">
        <f ca="1">VLOOKUP(B623,'115+740'!$B$14:$AB$757,22,FALSE)</f>
        <v>3532</v>
      </c>
      <c r="T623" s="92">
        <f ca="1">VLOOKUP(B623,'115+740'!$B$15:$AB$757,6,FALSE)</f>
        <v>169</v>
      </c>
      <c r="U623" s="91">
        <f t="shared" ca="1" si="121"/>
        <v>3292</v>
      </c>
      <c r="V623" s="90">
        <f ca="1">VLOOKUP(B623,'115+740'!$B$15:$AB$757,15,FALSE)</f>
        <v>-708</v>
      </c>
      <c r="W623" s="89">
        <f>'115+740'!S624</f>
        <v>0</v>
      </c>
      <c r="X623" s="88">
        <f t="shared" ca="1" si="126"/>
        <v>668</v>
      </c>
      <c r="Y623" s="87">
        <f t="shared" ca="1" si="127"/>
        <v>0</v>
      </c>
      <c r="Z623" s="86">
        <f t="shared" ca="1" si="128"/>
        <v>0</v>
      </c>
      <c r="AA623" s="85">
        <f t="shared" ca="1" si="129"/>
        <v>4.109</v>
      </c>
      <c r="AB623" s="85">
        <f t="shared" ca="1" si="130"/>
        <v>2.282</v>
      </c>
    </row>
    <row r="624" spans="2:28">
      <c r="B624" s="98">
        <f>'115+740'!B625</f>
        <v>45683</v>
      </c>
      <c r="C624" s="97">
        <f t="shared" si="122"/>
        <v>1</v>
      </c>
      <c r="D624" s="96">
        <f t="shared" si="123"/>
        <v>1069</v>
      </c>
      <c r="E624" s="95">
        <f>VLOOKUP(B624,'115+740'!B625:AB983,3,FALSE)</f>
        <v>2394</v>
      </c>
      <c r="F624" s="92">
        <f t="shared" si="118"/>
        <v>3463</v>
      </c>
      <c r="G624" s="94">
        <f ca="1">VLOOKUP(B624,'115+740'!$B$15:$AB$757,20,FALSE)</f>
        <v>3425</v>
      </c>
      <c r="H624" s="94">
        <f ca="1">VLOOKUP(B624,'115+740'!$B$15:$AB$757,4,FALSE)</f>
        <v>198</v>
      </c>
      <c r="I624" s="91">
        <f t="shared" ca="1" si="119"/>
        <v>3265</v>
      </c>
      <c r="J624" s="91">
        <f ca="1">VLOOKUP(B624,'115+740'!$B$15:$AB$757,13,FALSE)</f>
        <v>-735</v>
      </c>
      <c r="K624" s="89">
        <f>'115+740'!Q625</f>
        <v>1</v>
      </c>
      <c r="L624" s="88">
        <f t="shared" ca="1" si="124"/>
        <v>775</v>
      </c>
      <c r="M624" s="93">
        <f ca="1">VLOOKUP(B624,'115+740'!$B$14:$AB$757,21,FALSE)</f>
        <v>3236</v>
      </c>
      <c r="N624" s="92">
        <f ca="1">VLOOKUP(B624,'115+740'!$B$15:$AB$757,5,FALSE)</f>
        <v>437</v>
      </c>
      <c r="O624" s="91">
        <f t="shared" ca="1" si="120"/>
        <v>3026</v>
      </c>
      <c r="P624" s="91">
        <f ca="1">VLOOKUP(B624,'115+740'!$B$15:$AB$757,14,FALSE)</f>
        <v>-974</v>
      </c>
      <c r="Q624" s="89">
        <f>'115+740'!R625</f>
        <v>0</v>
      </c>
      <c r="R624" s="88">
        <f t="shared" ca="1" si="125"/>
        <v>964</v>
      </c>
      <c r="S624" s="93">
        <f ca="1">VLOOKUP(B624,'115+740'!$B$14:$AB$757,22,FALSE)</f>
        <v>3532</v>
      </c>
      <c r="T624" s="92">
        <f ca="1">VLOOKUP(B624,'115+740'!$B$15:$AB$757,6,FALSE)</f>
        <v>171</v>
      </c>
      <c r="U624" s="91">
        <f t="shared" ca="1" si="121"/>
        <v>3292</v>
      </c>
      <c r="V624" s="90">
        <f ca="1">VLOOKUP(B624,'115+740'!$B$15:$AB$757,15,FALSE)</f>
        <v>-708</v>
      </c>
      <c r="W624" s="89">
        <f>'115+740'!S625</f>
        <v>0</v>
      </c>
      <c r="X624" s="88">
        <f t="shared" ca="1" si="126"/>
        <v>668</v>
      </c>
      <c r="Y624" s="87">
        <f t="shared" ca="1" si="127"/>
        <v>0</v>
      </c>
      <c r="Z624" s="86">
        <f t="shared" ca="1" si="128"/>
        <v>0</v>
      </c>
      <c r="AA624" s="85">
        <f t="shared" ca="1" si="129"/>
        <v>4.109</v>
      </c>
      <c r="AB624" s="85">
        <f t="shared" ca="1" si="130"/>
        <v>2.282</v>
      </c>
    </row>
    <row r="625" spans="2:28">
      <c r="B625" s="98">
        <f>'115+740'!B626</f>
        <v>45684</v>
      </c>
      <c r="C625" s="97">
        <f t="shared" si="122"/>
        <v>1</v>
      </c>
      <c r="D625" s="96">
        <f t="shared" si="123"/>
        <v>1069</v>
      </c>
      <c r="E625" s="95">
        <f>VLOOKUP(B625,'115+740'!B626:AB984,3,FALSE)</f>
        <v>2396</v>
      </c>
      <c r="F625" s="92">
        <f t="shared" si="118"/>
        <v>3465</v>
      </c>
      <c r="G625" s="94">
        <f ca="1">VLOOKUP(B625,'115+740'!$B$15:$AB$757,20,FALSE)</f>
        <v>3425</v>
      </c>
      <c r="H625" s="94">
        <f ca="1">VLOOKUP(B625,'115+740'!$B$15:$AB$757,4,FALSE)</f>
        <v>200</v>
      </c>
      <c r="I625" s="91">
        <f t="shared" ca="1" si="119"/>
        <v>3265</v>
      </c>
      <c r="J625" s="91">
        <f ca="1">VLOOKUP(B625,'115+740'!$B$15:$AB$757,13,FALSE)</f>
        <v>-735</v>
      </c>
      <c r="K625" s="89">
        <f>'115+740'!Q626</f>
        <v>0</v>
      </c>
      <c r="L625" s="88">
        <f t="shared" ca="1" si="124"/>
        <v>775</v>
      </c>
      <c r="M625" s="93">
        <f ca="1">VLOOKUP(B625,'115+740'!$B$14:$AB$757,21,FALSE)</f>
        <v>3231</v>
      </c>
      <c r="N625" s="92">
        <f ca="1">VLOOKUP(B625,'115+740'!$B$15:$AB$757,5,FALSE)</f>
        <v>444</v>
      </c>
      <c r="O625" s="91">
        <f t="shared" ca="1" si="120"/>
        <v>3021</v>
      </c>
      <c r="P625" s="91">
        <f ca="1">VLOOKUP(B625,'115+740'!$B$15:$AB$757,14,FALSE)</f>
        <v>-979</v>
      </c>
      <c r="Q625" s="89">
        <f>'115+740'!R626</f>
        <v>5</v>
      </c>
      <c r="R625" s="88">
        <f t="shared" ca="1" si="125"/>
        <v>969</v>
      </c>
      <c r="S625" s="93">
        <f ca="1">VLOOKUP(B625,'115+740'!$B$14:$AB$757,22,FALSE)</f>
        <v>3532</v>
      </c>
      <c r="T625" s="92">
        <f ca="1">VLOOKUP(B625,'115+740'!$B$15:$AB$757,6,FALSE)</f>
        <v>173</v>
      </c>
      <c r="U625" s="91">
        <f t="shared" ca="1" si="121"/>
        <v>3292</v>
      </c>
      <c r="V625" s="90">
        <f ca="1">VLOOKUP(B625,'115+740'!$B$15:$AB$757,15,FALSE)</f>
        <v>-708</v>
      </c>
      <c r="W625" s="89">
        <f>'115+740'!S626</f>
        <v>0</v>
      </c>
      <c r="X625" s="88">
        <f t="shared" ca="1" si="126"/>
        <v>668</v>
      </c>
      <c r="Y625" s="87">
        <f t="shared" ca="1" si="127"/>
        <v>0</v>
      </c>
      <c r="Z625" s="86">
        <f t="shared" ca="1" si="128"/>
        <v>0</v>
      </c>
      <c r="AA625" s="85">
        <f t="shared" ca="1" si="129"/>
        <v>4.109</v>
      </c>
      <c r="AB625" s="85">
        <f t="shared" ca="1" si="130"/>
        <v>2.2719999999999998</v>
      </c>
    </row>
    <row r="626" spans="2:28">
      <c r="B626" s="98">
        <f>'115+740'!B627</f>
        <v>45685</v>
      </c>
      <c r="C626" s="97">
        <f t="shared" si="122"/>
        <v>1</v>
      </c>
      <c r="D626" s="96">
        <f t="shared" si="123"/>
        <v>1069</v>
      </c>
      <c r="E626" s="95">
        <f>VLOOKUP(B626,'115+740'!B627:AB985,3,FALSE)</f>
        <v>2398</v>
      </c>
      <c r="F626" s="92">
        <f t="shared" si="118"/>
        <v>3467</v>
      </c>
      <c r="G626" s="94">
        <f ca="1">VLOOKUP(B626,'115+740'!$B$15:$AB$757,20,FALSE)</f>
        <v>3425</v>
      </c>
      <c r="H626" s="94">
        <f ca="1">VLOOKUP(B626,'115+740'!$B$15:$AB$757,4,FALSE)</f>
        <v>202</v>
      </c>
      <c r="I626" s="91">
        <f t="shared" ca="1" si="119"/>
        <v>3265</v>
      </c>
      <c r="J626" s="91">
        <f ca="1">VLOOKUP(B626,'115+740'!$B$15:$AB$757,13,FALSE)</f>
        <v>-735</v>
      </c>
      <c r="K626" s="89">
        <f>'115+740'!Q627</f>
        <v>0</v>
      </c>
      <c r="L626" s="88">
        <f t="shared" ca="1" si="124"/>
        <v>775</v>
      </c>
      <c r="M626" s="93">
        <f ca="1">VLOOKUP(B626,'115+740'!$B$14:$AB$757,21,FALSE)</f>
        <v>3231</v>
      </c>
      <c r="N626" s="92">
        <f ca="1">VLOOKUP(B626,'115+740'!$B$15:$AB$757,5,FALSE)</f>
        <v>446</v>
      </c>
      <c r="O626" s="91">
        <f t="shared" ca="1" si="120"/>
        <v>3021</v>
      </c>
      <c r="P626" s="91">
        <f ca="1">VLOOKUP(B626,'115+740'!$B$15:$AB$757,14,FALSE)</f>
        <v>-979</v>
      </c>
      <c r="Q626" s="89">
        <f>'115+740'!R627</f>
        <v>0</v>
      </c>
      <c r="R626" s="88">
        <f t="shared" ca="1" si="125"/>
        <v>969</v>
      </c>
      <c r="S626" s="93">
        <f ca="1">VLOOKUP(B626,'115+740'!$B$14:$AB$757,22,FALSE)</f>
        <v>3532</v>
      </c>
      <c r="T626" s="92">
        <f ca="1">VLOOKUP(B626,'115+740'!$B$15:$AB$757,6,FALSE)</f>
        <v>175</v>
      </c>
      <c r="U626" s="91">
        <f t="shared" ca="1" si="121"/>
        <v>3292</v>
      </c>
      <c r="V626" s="90">
        <f ca="1">VLOOKUP(B626,'115+740'!$B$15:$AB$757,15,FALSE)</f>
        <v>-708</v>
      </c>
      <c r="W626" s="89">
        <f>'115+740'!S627</f>
        <v>0</v>
      </c>
      <c r="X626" s="88">
        <f t="shared" ca="1" si="126"/>
        <v>668</v>
      </c>
      <c r="Y626" s="87">
        <f t="shared" ca="1" si="127"/>
        <v>0</v>
      </c>
      <c r="Z626" s="86">
        <f t="shared" ca="1" si="128"/>
        <v>0</v>
      </c>
      <c r="AA626" s="85">
        <f t="shared" ca="1" si="129"/>
        <v>4.109</v>
      </c>
      <c r="AB626" s="85">
        <f t="shared" ca="1" si="130"/>
        <v>2.2719999999999998</v>
      </c>
    </row>
    <row r="627" spans="2:28">
      <c r="B627" s="98">
        <f>'115+740'!B628</f>
        <v>45686</v>
      </c>
      <c r="C627" s="97">
        <f t="shared" si="122"/>
        <v>1</v>
      </c>
      <c r="D627" s="96">
        <f t="shared" si="123"/>
        <v>1069</v>
      </c>
      <c r="E627" s="95">
        <f>VLOOKUP(B627,'115+740'!B628:AB986,3,FALSE)</f>
        <v>2400</v>
      </c>
      <c r="F627" s="92">
        <f t="shared" si="118"/>
        <v>3469</v>
      </c>
      <c r="G627" s="94">
        <f ca="1">VLOOKUP(B627,'115+740'!$B$15:$AB$757,20,FALSE)</f>
        <v>3425</v>
      </c>
      <c r="H627" s="94">
        <f ca="1">VLOOKUP(B627,'115+740'!$B$15:$AB$757,4,FALSE)</f>
        <v>204</v>
      </c>
      <c r="I627" s="91">
        <f t="shared" ca="1" si="119"/>
        <v>3265</v>
      </c>
      <c r="J627" s="91">
        <f ca="1">VLOOKUP(B627,'115+740'!$B$15:$AB$757,13,FALSE)</f>
        <v>-735</v>
      </c>
      <c r="K627" s="89">
        <f>'115+740'!Q628</f>
        <v>0</v>
      </c>
      <c r="L627" s="88">
        <f t="shared" ca="1" si="124"/>
        <v>775</v>
      </c>
      <c r="M627" s="93">
        <f ca="1">VLOOKUP(B627,'115+740'!$B$14:$AB$757,21,FALSE)</f>
        <v>3230</v>
      </c>
      <c r="N627" s="92">
        <f ca="1">VLOOKUP(B627,'115+740'!$B$15:$AB$757,5,FALSE)</f>
        <v>449</v>
      </c>
      <c r="O627" s="91">
        <f t="shared" ca="1" si="120"/>
        <v>3020</v>
      </c>
      <c r="P627" s="91">
        <f ca="1">VLOOKUP(B627,'115+740'!$B$15:$AB$757,14,FALSE)</f>
        <v>-980</v>
      </c>
      <c r="Q627" s="89">
        <f>'115+740'!R628</f>
        <v>1</v>
      </c>
      <c r="R627" s="88">
        <f t="shared" ca="1" si="125"/>
        <v>970</v>
      </c>
      <c r="S627" s="93">
        <f ca="1">VLOOKUP(B627,'115+740'!$B$14:$AB$757,22,FALSE)</f>
        <v>3531</v>
      </c>
      <c r="T627" s="92">
        <f ca="1">VLOOKUP(B627,'115+740'!$B$15:$AB$757,6,FALSE)</f>
        <v>178</v>
      </c>
      <c r="U627" s="91">
        <f t="shared" ca="1" si="121"/>
        <v>3291</v>
      </c>
      <c r="V627" s="90">
        <f ca="1">VLOOKUP(B627,'115+740'!$B$15:$AB$757,15,FALSE)</f>
        <v>-709</v>
      </c>
      <c r="W627" s="89">
        <f>'115+740'!S628</f>
        <v>1</v>
      </c>
      <c r="X627" s="88">
        <f t="shared" ca="1" si="126"/>
        <v>669</v>
      </c>
      <c r="Y627" s="87">
        <f t="shared" ca="1" si="127"/>
        <v>-1</v>
      </c>
      <c r="Z627" s="86">
        <f t="shared" ca="1" si="128"/>
        <v>0</v>
      </c>
      <c r="AA627" s="85">
        <f t="shared" ca="1" si="129"/>
        <v>4.109</v>
      </c>
      <c r="AB627" s="85">
        <f t="shared" ca="1" si="130"/>
        <v>2.27</v>
      </c>
    </row>
    <row r="628" spans="2:28">
      <c r="B628" s="98">
        <f>'115+740'!B629</f>
        <v>45687</v>
      </c>
      <c r="C628" s="97">
        <f t="shared" si="122"/>
        <v>1</v>
      </c>
      <c r="D628" s="96">
        <f t="shared" si="123"/>
        <v>1069</v>
      </c>
      <c r="E628" s="95">
        <f>VLOOKUP(B628,'115+740'!B629:AB987,3,FALSE)</f>
        <v>2402</v>
      </c>
      <c r="F628" s="92">
        <f t="shared" si="118"/>
        <v>3471</v>
      </c>
      <c r="G628" s="94">
        <f ca="1">VLOOKUP(B628,'115+740'!$B$15:$AB$757,20,FALSE)</f>
        <v>3423</v>
      </c>
      <c r="H628" s="94">
        <f ca="1">VLOOKUP(B628,'115+740'!$B$15:$AB$757,4,FALSE)</f>
        <v>208</v>
      </c>
      <c r="I628" s="91">
        <f t="shared" ca="1" si="119"/>
        <v>3263</v>
      </c>
      <c r="J628" s="91">
        <f ca="1">VLOOKUP(B628,'115+740'!$B$15:$AB$757,13,FALSE)</f>
        <v>-737</v>
      </c>
      <c r="K628" s="89">
        <f>'115+740'!Q629</f>
        <v>2</v>
      </c>
      <c r="L628" s="88">
        <f t="shared" ca="1" si="124"/>
        <v>777</v>
      </c>
      <c r="M628" s="93">
        <f ca="1">VLOOKUP(B628,'115+740'!$B$14:$AB$757,21,FALSE)</f>
        <v>3227</v>
      </c>
      <c r="N628" s="92">
        <f ca="1">VLOOKUP(B628,'115+740'!$B$15:$AB$757,5,FALSE)</f>
        <v>454</v>
      </c>
      <c r="O628" s="91">
        <f t="shared" ca="1" si="120"/>
        <v>3017</v>
      </c>
      <c r="P628" s="91">
        <f ca="1">VLOOKUP(B628,'115+740'!$B$15:$AB$757,14,FALSE)</f>
        <v>-983</v>
      </c>
      <c r="Q628" s="89">
        <f>'115+740'!R629</f>
        <v>3</v>
      </c>
      <c r="R628" s="88">
        <f t="shared" ca="1" si="125"/>
        <v>973</v>
      </c>
      <c r="S628" s="93">
        <f ca="1">VLOOKUP(B628,'115+740'!$B$14:$AB$757,22,FALSE)</f>
        <v>3531</v>
      </c>
      <c r="T628" s="92">
        <f ca="1">VLOOKUP(B628,'115+740'!$B$15:$AB$757,6,FALSE)</f>
        <v>180</v>
      </c>
      <c r="U628" s="91">
        <f t="shared" ca="1" si="121"/>
        <v>3291</v>
      </c>
      <c r="V628" s="90">
        <f ca="1">VLOOKUP(B628,'115+740'!$B$15:$AB$757,15,FALSE)</f>
        <v>-709</v>
      </c>
      <c r="W628" s="89">
        <f>'115+740'!S629</f>
        <v>0</v>
      </c>
      <c r="X628" s="88">
        <f t="shared" ca="1" si="126"/>
        <v>669</v>
      </c>
      <c r="Y628" s="87">
        <f t="shared" ca="1" si="127"/>
        <v>0</v>
      </c>
      <c r="Z628" s="86">
        <f t="shared" ca="1" si="128"/>
        <v>0</v>
      </c>
      <c r="AA628" s="85">
        <f t="shared" ca="1" si="129"/>
        <v>4.109</v>
      </c>
      <c r="AB628" s="85">
        <f t="shared" ca="1" si="130"/>
        <v>2.2639999999999998</v>
      </c>
    </row>
    <row r="629" spans="2:28">
      <c r="B629" s="98">
        <f>'115+740'!B630</f>
        <v>45688</v>
      </c>
      <c r="C629" s="97">
        <f t="shared" si="122"/>
        <v>1</v>
      </c>
      <c r="D629" s="96">
        <f t="shared" si="123"/>
        <v>1069</v>
      </c>
      <c r="E629" s="95">
        <f>VLOOKUP(B629,'115+740'!B630:AB988,3,FALSE)</f>
        <v>2404</v>
      </c>
      <c r="F629" s="92">
        <f t="shared" si="118"/>
        <v>3473</v>
      </c>
      <c r="G629" s="94">
        <f ca="1">VLOOKUP(B629,'115+740'!$B$15:$AB$757,20,FALSE)</f>
        <v>3423</v>
      </c>
      <c r="H629" s="94">
        <f ca="1">VLOOKUP(B629,'115+740'!$B$15:$AB$757,4,FALSE)</f>
        <v>210</v>
      </c>
      <c r="I629" s="91">
        <f t="shared" ca="1" si="119"/>
        <v>3263</v>
      </c>
      <c r="J629" s="91">
        <f ca="1">VLOOKUP(B629,'115+740'!$B$15:$AB$757,13,FALSE)</f>
        <v>-737</v>
      </c>
      <c r="K629" s="89">
        <f>'115+740'!Q630</f>
        <v>0</v>
      </c>
      <c r="L629" s="88">
        <f t="shared" ca="1" si="124"/>
        <v>777</v>
      </c>
      <c r="M629" s="93">
        <f ca="1">VLOOKUP(B629,'115+740'!$B$14:$AB$757,21,FALSE)</f>
        <v>3227</v>
      </c>
      <c r="N629" s="92">
        <f ca="1">VLOOKUP(B629,'115+740'!$B$15:$AB$757,5,FALSE)</f>
        <v>456</v>
      </c>
      <c r="O629" s="91">
        <f t="shared" ca="1" si="120"/>
        <v>3017</v>
      </c>
      <c r="P629" s="91">
        <f ca="1">VLOOKUP(B629,'115+740'!$B$15:$AB$757,14,FALSE)</f>
        <v>-983</v>
      </c>
      <c r="Q629" s="89">
        <f>'115+740'!R630</f>
        <v>0</v>
      </c>
      <c r="R629" s="88">
        <f t="shared" ca="1" si="125"/>
        <v>973</v>
      </c>
      <c r="S629" s="93">
        <f ca="1">VLOOKUP(B629,'115+740'!$B$14:$AB$757,22,FALSE)</f>
        <v>3531</v>
      </c>
      <c r="T629" s="92">
        <f ca="1">VLOOKUP(B629,'115+740'!$B$15:$AB$757,6,FALSE)</f>
        <v>182</v>
      </c>
      <c r="U629" s="91">
        <f t="shared" ca="1" si="121"/>
        <v>3291</v>
      </c>
      <c r="V629" s="90">
        <f ca="1">VLOOKUP(B629,'115+740'!$B$15:$AB$757,15,FALSE)</f>
        <v>-709</v>
      </c>
      <c r="W629" s="89">
        <f>'115+740'!S630</f>
        <v>0</v>
      </c>
      <c r="X629" s="88">
        <f t="shared" ca="1" si="126"/>
        <v>669</v>
      </c>
      <c r="Y629" s="87">
        <f t="shared" ca="1" si="127"/>
        <v>0</v>
      </c>
      <c r="Z629" s="86">
        <f t="shared" ca="1" si="128"/>
        <v>0</v>
      </c>
      <c r="AA629" s="85">
        <f t="shared" ca="1" si="129"/>
        <v>4.109</v>
      </c>
      <c r="AB629" s="85">
        <f t="shared" ca="1" si="130"/>
        <v>2.2639999999999998</v>
      </c>
    </row>
    <row r="630" spans="2:28">
      <c r="B630" s="98">
        <f>'115+740'!B631</f>
        <v>45689</v>
      </c>
      <c r="C630" s="97">
        <f t="shared" si="122"/>
        <v>1</v>
      </c>
      <c r="D630" s="96">
        <f t="shared" si="123"/>
        <v>1069</v>
      </c>
      <c r="E630" s="95">
        <f>VLOOKUP(B630,'115+740'!B631:AB989,3,FALSE)</f>
        <v>2406</v>
      </c>
      <c r="F630" s="92">
        <f t="shared" si="118"/>
        <v>3475</v>
      </c>
      <c r="G630" s="94">
        <f ca="1">VLOOKUP(B630,'115+740'!$B$15:$AB$757,20,FALSE)</f>
        <v>3421</v>
      </c>
      <c r="H630" s="94">
        <f ca="1">VLOOKUP(B630,'115+740'!$B$15:$AB$757,4,FALSE)</f>
        <v>214</v>
      </c>
      <c r="I630" s="91">
        <f t="shared" ca="1" si="119"/>
        <v>3261</v>
      </c>
      <c r="J630" s="91">
        <f ca="1">VLOOKUP(B630,'115+740'!$B$15:$AB$757,13,FALSE)</f>
        <v>-739</v>
      </c>
      <c r="K630" s="89">
        <f>'115+740'!Q631</f>
        <v>2</v>
      </c>
      <c r="L630" s="88">
        <f t="shared" ca="1" si="124"/>
        <v>779</v>
      </c>
      <c r="M630" s="93">
        <f ca="1">VLOOKUP(B630,'115+740'!$B$14:$AB$757,21,FALSE)</f>
        <v>3226</v>
      </c>
      <c r="N630" s="92">
        <f ca="1">VLOOKUP(B630,'115+740'!$B$15:$AB$757,5,FALSE)</f>
        <v>459</v>
      </c>
      <c r="O630" s="91">
        <f t="shared" ca="1" si="120"/>
        <v>3016</v>
      </c>
      <c r="P630" s="91">
        <f ca="1">VLOOKUP(B630,'115+740'!$B$15:$AB$757,14,FALSE)</f>
        <v>-984</v>
      </c>
      <c r="Q630" s="89">
        <f>'115+740'!R631</f>
        <v>1</v>
      </c>
      <c r="R630" s="88">
        <f t="shared" ca="1" si="125"/>
        <v>974</v>
      </c>
      <c r="S630" s="93">
        <f ca="1">VLOOKUP(B630,'115+740'!$B$14:$AB$757,22,FALSE)</f>
        <v>3531</v>
      </c>
      <c r="T630" s="92">
        <f ca="1">VLOOKUP(B630,'115+740'!$B$15:$AB$757,6,FALSE)</f>
        <v>184</v>
      </c>
      <c r="U630" s="91">
        <f t="shared" ca="1" si="121"/>
        <v>3291</v>
      </c>
      <c r="V630" s="90">
        <f ca="1">VLOOKUP(B630,'115+740'!$B$15:$AB$757,15,FALSE)</f>
        <v>-709</v>
      </c>
      <c r="W630" s="89">
        <f>'115+740'!S631</f>
        <v>0</v>
      </c>
      <c r="X630" s="88">
        <f t="shared" ca="1" si="126"/>
        <v>669</v>
      </c>
      <c r="Y630" s="87">
        <f t="shared" ca="1" si="127"/>
        <v>0</v>
      </c>
      <c r="Z630" s="86">
        <f t="shared" ca="1" si="128"/>
        <v>0</v>
      </c>
      <c r="AA630" s="85">
        <f t="shared" ca="1" si="129"/>
        <v>4.109</v>
      </c>
      <c r="AB630" s="85">
        <f t="shared" ca="1" si="130"/>
        <v>2.262</v>
      </c>
    </row>
    <row r="631" spans="2:28">
      <c r="B631" s="98">
        <f>'115+740'!B632</f>
        <v>45690</v>
      </c>
      <c r="C631" s="97">
        <f t="shared" si="122"/>
        <v>1</v>
      </c>
      <c r="D631" s="96">
        <f t="shared" si="123"/>
        <v>1069</v>
      </c>
      <c r="E631" s="95">
        <f>VLOOKUP(B631,'115+740'!B632:AB990,3,FALSE)</f>
        <v>2408</v>
      </c>
      <c r="F631" s="92">
        <f t="shared" si="118"/>
        <v>3477</v>
      </c>
      <c r="G631" s="94">
        <f ca="1">VLOOKUP(B631,'115+740'!$B$15:$AB$757,20,FALSE)</f>
        <v>3421</v>
      </c>
      <c r="H631" s="94">
        <f ca="1">VLOOKUP(B631,'115+740'!$B$15:$AB$757,4,FALSE)</f>
        <v>216</v>
      </c>
      <c r="I631" s="91">
        <f t="shared" ca="1" si="119"/>
        <v>3261</v>
      </c>
      <c r="J631" s="91">
        <f ca="1">VLOOKUP(B631,'115+740'!$B$15:$AB$757,13,FALSE)</f>
        <v>-739</v>
      </c>
      <c r="K631" s="89">
        <f>'115+740'!Q632</f>
        <v>0</v>
      </c>
      <c r="L631" s="88">
        <f t="shared" ca="1" si="124"/>
        <v>779</v>
      </c>
      <c r="M631" s="93">
        <f ca="1">VLOOKUP(B631,'115+740'!$B$14:$AB$757,21,FALSE)</f>
        <v>3226</v>
      </c>
      <c r="N631" s="92">
        <f ca="1">VLOOKUP(B631,'115+740'!$B$15:$AB$757,5,FALSE)</f>
        <v>461</v>
      </c>
      <c r="O631" s="91">
        <f t="shared" ca="1" si="120"/>
        <v>3016</v>
      </c>
      <c r="P631" s="91">
        <f ca="1">VLOOKUP(B631,'115+740'!$B$15:$AB$757,14,FALSE)</f>
        <v>-984</v>
      </c>
      <c r="Q631" s="89">
        <f>'115+740'!R632</f>
        <v>0</v>
      </c>
      <c r="R631" s="88">
        <f t="shared" ca="1" si="125"/>
        <v>974</v>
      </c>
      <c r="S631" s="93">
        <f ca="1">VLOOKUP(B631,'115+740'!$B$14:$AB$757,22,FALSE)</f>
        <v>3529</v>
      </c>
      <c r="T631" s="92">
        <f ca="1">VLOOKUP(B631,'115+740'!$B$15:$AB$757,6,FALSE)</f>
        <v>188</v>
      </c>
      <c r="U631" s="91">
        <f t="shared" ca="1" si="121"/>
        <v>3289</v>
      </c>
      <c r="V631" s="90">
        <f ca="1">VLOOKUP(B631,'115+740'!$B$15:$AB$757,15,FALSE)</f>
        <v>-711</v>
      </c>
      <c r="W631" s="89">
        <f>'115+740'!S632</f>
        <v>2</v>
      </c>
      <c r="X631" s="88">
        <f t="shared" ca="1" si="126"/>
        <v>671</v>
      </c>
      <c r="Y631" s="87">
        <f t="shared" ca="1" si="127"/>
        <v>-2</v>
      </c>
      <c r="Z631" s="86">
        <f t="shared" ca="1" si="128"/>
        <v>0</v>
      </c>
      <c r="AA631" s="85">
        <f t="shared" ca="1" si="129"/>
        <v>4.109</v>
      </c>
      <c r="AB631" s="85">
        <f t="shared" ca="1" si="130"/>
        <v>2.262</v>
      </c>
    </row>
    <row r="632" spans="2:28">
      <c r="B632" s="98">
        <f>'115+740'!B633</f>
        <v>45691</v>
      </c>
      <c r="C632" s="97">
        <f t="shared" si="122"/>
        <v>1</v>
      </c>
      <c r="D632" s="96">
        <f t="shared" si="123"/>
        <v>1069</v>
      </c>
      <c r="E632" s="95">
        <f>VLOOKUP(B632,'115+740'!B633:AB991,3,FALSE)</f>
        <v>2410</v>
      </c>
      <c r="F632" s="92">
        <f t="shared" si="118"/>
        <v>3479</v>
      </c>
      <c r="G632" s="94">
        <f ca="1">VLOOKUP(B632,'115+740'!$B$15:$AB$757,20,FALSE)</f>
        <v>3421</v>
      </c>
      <c r="H632" s="94">
        <f ca="1">VLOOKUP(B632,'115+740'!$B$15:$AB$757,4,FALSE)</f>
        <v>218</v>
      </c>
      <c r="I632" s="91">
        <f t="shared" ca="1" si="119"/>
        <v>3261</v>
      </c>
      <c r="J632" s="91">
        <f ca="1">VLOOKUP(B632,'115+740'!$B$15:$AB$757,13,FALSE)</f>
        <v>-739</v>
      </c>
      <c r="K632" s="89">
        <f>'115+740'!Q633</f>
        <v>0</v>
      </c>
      <c r="L632" s="88">
        <f t="shared" ca="1" si="124"/>
        <v>779</v>
      </c>
      <c r="M632" s="93">
        <f ca="1">VLOOKUP(B632,'115+740'!$B$14:$AB$757,21,FALSE)</f>
        <v>3226</v>
      </c>
      <c r="N632" s="92">
        <f ca="1">VLOOKUP(B632,'115+740'!$B$15:$AB$757,5,FALSE)</f>
        <v>463</v>
      </c>
      <c r="O632" s="91">
        <f t="shared" ca="1" si="120"/>
        <v>3016</v>
      </c>
      <c r="P632" s="91">
        <f ca="1">VLOOKUP(B632,'115+740'!$B$15:$AB$757,14,FALSE)</f>
        <v>-984</v>
      </c>
      <c r="Q632" s="89">
        <f>'115+740'!R633</f>
        <v>0</v>
      </c>
      <c r="R632" s="88">
        <f t="shared" ca="1" si="125"/>
        <v>974</v>
      </c>
      <c r="S632" s="93">
        <f ca="1">VLOOKUP(B632,'115+740'!$B$14:$AB$757,22,FALSE)</f>
        <v>3529</v>
      </c>
      <c r="T632" s="92">
        <f ca="1">VLOOKUP(B632,'115+740'!$B$15:$AB$757,6,FALSE)</f>
        <v>190</v>
      </c>
      <c r="U632" s="91">
        <f t="shared" ca="1" si="121"/>
        <v>3289</v>
      </c>
      <c r="V632" s="90">
        <f ca="1">VLOOKUP(B632,'115+740'!$B$15:$AB$757,15,FALSE)</f>
        <v>-711</v>
      </c>
      <c r="W632" s="89">
        <f>'115+740'!S633</f>
        <v>0</v>
      </c>
      <c r="X632" s="88">
        <f t="shared" ca="1" si="126"/>
        <v>671</v>
      </c>
      <c r="Y632" s="87">
        <f t="shared" ca="1" si="127"/>
        <v>0</v>
      </c>
      <c r="Z632" s="86">
        <f t="shared" ca="1" si="128"/>
        <v>0</v>
      </c>
      <c r="AA632" s="85">
        <f t="shared" ca="1" si="129"/>
        <v>4.109</v>
      </c>
      <c r="AB632" s="85">
        <f t="shared" ca="1" si="130"/>
        <v>2.262</v>
      </c>
    </row>
    <row r="633" spans="2:28">
      <c r="B633" s="98">
        <f>'115+740'!B634</f>
        <v>45692</v>
      </c>
      <c r="C633" s="97">
        <f t="shared" si="122"/>
        <v>1</v>
      </c>
      <c r="D633" s="96">
        <f t="shared" si="123"/>
        <v>1069</v>
      </c>
      <c r="E633" s="95">
        <f>VLOOKUP(B633,'115+740'!B634:AB992,3,FALSE)</f>
        <v>2412</v>
      </c>
      <c r="F633" s="92">
        <f t="shared" si="118"/>
        <v>3481</v>
      </c>
      <c r="G633" s="94">
        <f ca="1">VLOOKUP(B633,'115+740'!$B$15:$AB$757,20,FALSE)</f>
        <v>3421</v>
      </c>
      <c r="H633" s="94">
        <f ca="1">VLOOKUP(B633,'115+740'!$B$15:$AB$757,4,FALSE)</f>
        <v>220</v>
      </c>
      <c r="I633" s="91">
        <f t="shared" ca="1" si="119"/>
        <v>3261</v>
      </c>
      <c r="J633" s="91">
        <f ca="1">VLOOKUP(B633,'115+740'!$B$15:$AB$757,13,FALSE)</f>
        <v>-739</v>
      </c>
      <c r="K633" s="89">
        <f>'115+740'!Q634</f>
        <v>0</v>
      </c>
      <c r="L633" s="88">
        <f t="shared" ca="1" si="124"/>
        <v>779</v>
      </c>
      <c r="M633" s="93">
        <f ca="1">VLOOKUP(B633,'115+740'!$B$14:$AB$757,21,FALSE)</f>
        <v>3224</v>
      </c>
      <c r="N633" s="92">
        <f ca="1">VLOOKUP(B633,'115+740'!$B$15:$AB$757,5,FALSE)</f>
        <v>467</v>
      </c>
      <c r="O633" s="91">
        <f t="shared" ca="1" si="120"/>
        <v>3014</v>
      </c>
      <c r="P633" s="91">
        <f ca="1">VLOOKUP(B633,'115+740'!$B$15:$AB$757,14,FALSE)</f>
        <v>-986</v>
      </c>
      <c r="Q633" s="89">
        <f>'115+740'!R634</f>
        <v>2</v>
      </c>
      <c r="R633" s="88">
        <f t="shared" ca="1" si="125"/>
        <v>976</v>
      </c>
      <c r="S633" s="93">
        <f ca="1">VLOOKUP(B633,'115+740'!$B$14:$AB$757,22,FALSE)</f>
        <v>3529</v>
      </c>
      <c r="T633" s="92">
        <f ca="1">VLOOKUP(B633,'115+740'!$B$15:$AB$757,6,FALSE)</f>
        <v>192</v>
      </c>
      <c r="U633" s="91">
        <f t="shared" ca="1" si="121"/>
        <v>3289</v>
      </c>
      <c r="V633" s="90">
        <f ca="1">VLOOKUP(B633,'115+740'!$B$15:$AB$757,15,FALSE)</f>
        <v>-711</v>
      </c>
      <c r="W633" s="89">
        <f>'115+740'!S634</f>
        <v>0</v>
      </c>
      <c r="X633" s="88">
        <f t="shared" ca="1" si="126"/>
        <v>671</v>
      </c>
      <c r="Y633" s="87">
        <f t="shared" ca="1" si="127"/>
        <v>0</v>
      </c>
      <c r="Z633" s="86">
        <f t="shared" ca="1" si="128"/>
        <v>0</v>
      </c>
      <c r="AA633" s="85">
        <f t="shared" ca="1" si="129"/>
        <v>4.109</v>
      </c>
      <c r="AB633" s="85">
        <f t="shared" ca="1" si="130"/>
        <v>2.258</v>
      </c>
    </row>
    <row r="634" spans="2:28">
      <c r="B634" s="98">
        <f>'115+740'!B635</f>
        <v>45693</v>
      </c>
      <c r="C634" s="97">
        <f t="shared" si="122"/>
        <v>1</v>
      </c>
      <c r="D634" s="96">
        <f t="shared" si="123"/>
        <v>1069</v>
      </c>
      <c r="E634" s="95">
        <f>VLOOKUP(B634,'115+740'!B635:AB993,3,FALSE)</f>
        <v>2414</v>
      </c>
      <c r="F634" s="92">
        <f t="shared" si="118"/>
        <v>3483</v>
      </c>
      <c r="G634" s="94">
        <f ca="1">VLOOKUP(B634,'115+740'!$B$15:$AB$757,20,FALSE)</f>
        <v>3419</v>
      </c>
      <c r="H634" s="94">
        <f ca="1">VLOOKUP(B634,'115+740'!$B$15:$AB$757,4,FALSE)</f>
        <v>224</v>
      </c>
      <c r="I634" s="91">
        <f t="shared" ca="1" si="119"/>
        <v>3259</v>
      </c>
      <c r="J634" s="91">
        <f ca="1">VLOOKUP(B634,'115+740'!$B$15:$AB$757,13,FALSE)</f>
        <v>-741</v>
      </c>
      <c r="K634" s="89">
        <f>'115+740'!Q635</f>
        <v>2</v>
      </c>
      <c r="L634" s="88">
        <f t="shared" ca="1" si="124"/>
        <v>781</v>
      </c>
      <c r="M634" s="93">
        <f ca="1">VLOOKUP(B634,'115+740'!$B$14:$AB$757,21,FALSE)</f>
        <v>3224</v>
      </c>
      <c r="N634" s="92">
        <f ca="1">VLOOKUP(B634,'115+740'!$B$15:$AB$757,5,FALSE)</f>
        <v>469</v>
      </c>
      <c r="O634" s="91">
        <f t="shared" ca="1" si="120"/>
        <v>3014</v>
      </c>
      <c r="P634" s="91">
        <f ca="1">VLOOKUP(B634,'115+740'!$B$15:$AB$757,14,FALSE)</f>
        <v>-986</v>
      </c>
      <c r="Q634" s="89">
        <f>'115+740'!R635</f>
        <v>0</v>
      </c>
      <c r="R634" s="88">
        <f t="shared" ca="1" si="125"/>
        <v>976</v>
      </c>
      <c r="S634" s="93">
        <f ca="1">VLOOKUP(B634,'115+740'!$B$14:$AB$757,22,FALSE)</f>
        <v>3529</v>
      </c>
      <c r="T634" s="92">
        <f ca="1">VLOOKUP(B634,'115+740'!$B$15:$AB$757,6,FALSE)</f>
        <v>194</v>
      </c>
      <c r="U634" s="91">
        <f t="shared" ca="1" si="121"/>
        <v>3289</v>
      </c>
      <c r="V634" s="90">
        <f ca="1">VLOOKUP(B634,'115+740'!$B$15:$AB$757,15,FALSE)</f>
        <v>-711</v>
      </c>
      <c r="W634" s="89">
        <f>'115+740'!S635</f>
        <v>0</v>
      </c>
      <c r="X634" s="88">
        <f t="shared" ca="1" si="126"/>
        <v>671</v>
      </c>
      <c r="Y634" s="87">
        <f t="shared" ca="1" si="127"/>
        <v>0</v>
      </c>
      <c r="Z634" s="86">
        <f t="shared" ca="1" si="128"/>
        <v>0</v>
      </c>
      <c r="AA634" s="85">
        <f t="shared" ca="1" si="129"/>
        <v>4.109</v>
      </c>
      <c r="AB634" s="85">
        <f t="shared" ca="1" si="130"/>
        <v>2.258</v>
      </c>
    </row>
    <row r="635" spans="2:28">
      <c r="B635" s="98">
        <f>'115+740'!B636</f>
        <v>45694</v>
      </c>
      <c r="C635" s="97">
        <f t="shared" si="122"/>
        <v>1</v>
      </c>
      <c r="D635" s="96">
        <f t="shared" si="123"/>
        <v>1069</v>
      </c>
      <c r="E635" s="95">
        <f>VLOOKUP(B635,'115+740'!B636:AB994,3,FALSE)</f>
        <v>2416</v>
      </c>
      <c r="F635" s="92">
        <f t="shared" si="118"/>
        <v>3485</v>
      </c>
      <c r="G635" s="94">
        <f ca="1">VLOOKUP(B635,'115+740'!$B$15:$AB$757,20,FALSE)</f>
        <v>3419</v>
      </c>
      <c r="H635" s="94">
        <f ca="1">VLOOKUP(B635,'115+740'!$B$15:$AB$757,4,FALSE)</f>
        <v>226</v>
      </c>
      <c r="I635" s="91">
        <f t="shared" ca="1" si="119"/>
        <v>3259</v>
      </c>
      <c r="J635" s="91">
        <f ca="1">VLOOKUP(B635,'115+740'!$B$15:$AB$757,13,FALSE)</f>
        <v>-741</v>
      </c>
      <c r="K635" s="89">
        <f>'115+740'!Q636</f>
        <v>0</v>
      </c>
      <c r="L635" s="88">
        <f t="shared" ca="1" si="124"/>
        <v>781</v>
      </c>
      <c r="M635" s="93">
        <f ca="1">VLOOKUP(B635,'115+740'!$B$14:$AB$757,21,FALSE)</f>
        <v>3222</v>
      </c>
      <c r="N635" s="92">
        <f ca="1">VLOOKUP(B635,'115+740'!$B$15:$AB$757,5,FALSE)</f>
        <v>473</v>
      </c>
      <c r="O635" s="91">
        <f t="shared" ca="1" si="120"/>
        <v>3012</v>
      </c>
      <c r="P635" s="91">
        <f ca="1">VLOOKUP(B635,'115+740'!$B$15:$AB$757,14,FALSE)</f>
        <v>-988</v>
      </c>
      <c r="Q635" s="89">
        <f>'115+740'!R636</f>
        <v>2</v>
      </c>
      <c r="R635" s="88">
        <f t="shared" ca="1" si="125"/>
        <v>978</v>
      </c>
      <c r="S635" s="93">
        <f ca="1">VLOOKUP(B635,'115+740'!$B$14:$AB$757,22,FALSE)</f>
        <v>3528</v>
      </c>
      <c r="T635" s="92">
        <f ca="1">VLOOKUP(B635,'115+740'!$B$15:$AB$757,6,FALSE)</f>
        <v>197</v>
      </c>
      <c r="U635" s="91">
        <f t="shared" ca="1" si="121"/>
        <v>3288</v>
      </c>
      <c r="V635" s="90">
        <f ca="1">VLOOKUP(B635,'115+740'!$B$15:$AB$757,15,FALSE)</f>
        <v>-712</v>
      </c>
      <c r="W635" s="89">
        <f>'115+740'!S636</f>
        <v>1</v>
      </c>
      <c r="X635" s="88">
        <f t="shared" ca="1" si="126"/>
        <v>672</v>
      </c>
      <c r="Y635" s="87">
        <f t="shared" ca="1" si="127"/>
        <v>-1</v>
      </c>
      <c r="Z635" s="86">
        <f t="shared" ca="1" si="128"/>
        <v>0</v>
      </c>
      <c r="AA635" s="85">
        <f t="shared" ca="1" si="129"/>
        <v>4.109</v>
      </c>
      <c r="AB635" s="85">
        <f t="shared" ca="1" si="130"/>
        <v>2.254</v>
      </c>
    </row>
    <row r="636" spans="2:28">
      <c r="B636" s="98">
        <f>'115+740'!B637</f>
        <v>45695</v>
      </c>
      <c r="C636" s="97">
        <f t="shared" si="122"/>
        <v>1</v>
      </c>
      <c r="D636" s="96">
        <f t="shared" si="123"/>
        <v>1069</v>
      </c>
      <c r="E636" s="95">
        <f>VLOOKUP(B636,'115+740'!B637:AB995,3,FALSE)</f>
        <v>2418</v>
      </c>
      <c r="F636" s="92">
        <f t="shared" si="118"/>
        <v>3487</v>
      </c>
      <c r="G636" s="94">
        <f ca="1">VLOOKUP(B636,'115+740'!$B$15:$AB$757,20,FALSE)</f>
        <v>3419</v>
      </c>
      <c r="H636" s="94">
        <f ca="1">VLOOKUP(B636,'115+740'!$B$15:$AB$757,4,FALSE)</f>
        <v>228</v>
      </c>
      <c r="I636" s="91">
        <f t="shared" ca="1" si="119"/>
        <v>3259</v>
      </c>
      <c r="J636" s="91">
        <f ca="1">VLOOKUP(B636,'115+740'!$B$15:$AB$757,13,FALSE)</f>
        <v>-741</v>
      </c>
      <c r="K636" s="89">
        <f>'115+740'!Q637</f>
        <v>0</v>
      </c>
      <c r="L636" s="88">
        <f t="shared" ca="1" si="124"/>
        <v>781</v>
      </c>
      <c r="M636" s="93">
        <f ca="1">VLOOKUP(B636,'115+740'!$B$14:$AB$757,21,FALSE)</f>
        <v>3222</v>
      </c>
      <c r="N636" s="92">
        <f ca="1">VLOOKUP(B636,'115+740'!$B$15:$AB$757,5,FALSE)</f>
        <v>475</v>
      </c>
      <c r="O636" s="91">
        <f t="shared" ca="1" si="120"/>
        <v>3012</v>
      </c>
      <c r="P636" s="91">
        <f ca="1">VLOOKUP(B636,'115+740'!$B$15:$AB$757,14,FALSE)</f>
        <v>-988</v>
      </c>
      <c r="Q636" s="89">
        <f>'115+740'!R637</f>
        <v>0</v>
      </c>
      <c r="R636" s="88">
        <f t="shared" ca="1" si="125"/>
        <v>978</v>
      </c>
      <c r="S636" s="93">
        <f ca="1">VLOOKUP(B636,'115+740'!$B$14:$AB$757,22,FALSE)</f>
        <v>3528</v>
      </c>
      <c r="T636" s="92">
        <f ca="1">VLOOKUP(B636,'115+740'!$B$15:$AB$757,6,FALSE)</f>
        <v>199</v>
      </c>
      <c r="U636" s="91">
        <f t="shared" ca="1" si="121"/>
        <v>3288</v>
      </c>
      <c r="V636" s="90">
        <f ca="1">VLOOKUP(B636,'115+740'!$B$15:$AB$757,15,FALSE)</f>
        <v>-712</v>
      </c>
      <c r="W636" s="89">
        <f>'115+740'!S637</f>
        <v>0</v>
      </c>
      <c r="X636" s="88">
        <f t="shared" ca="1" si="126"/>
        <v>672</v>
      </c>
      <c r="Y636" s="87">
        <f t="shared" ca="1" si="127"/>
        <v>0</v>
      </c>
      <c r="Z636" s="86">
        <f t="shared" ca="1" si="128"/>
        <v>0</v>
      </c>
      <c r="AA636" s="85">
        <f t="shared" ca="1" si="129"/>
        <v>4.109</v>
      </c>
      <c r="AB636" s="85">
        <f t="shared" ca="1" si="130"/>
        <v>2.254</v>
      </c>
    </row>
    <row r="637" spans="2:28">
      <c r="B637" s="98">
        <f>'115+740'!B638</f>
        <v>45696</v>
      </c>
      <c r="C637" s="97">
        <f t="shared" si="122"/>
        <v>1</v>
      </c>
      <c r="D637" s="96">
        <f t="shared" si="123"/>
        <v>1069</v>
      </c>
      <c r="E637" s="95">
        <f>VLOOKUP(B637,'115+740'!B638:AB996,3,FALSE)</f>
        <v>2420</v>
      </c>
      <c r="F637" s="92">
        <f t="shared" si="118"/>
        <v>3489</v>
      </c>
      <c r="G637" s="94">
        <f ca="1">VLOOKUP(B637,'115+740'!$B$15:$AB$757,20,FALSE)</f>
        <v>3419</v>
      </c>
      <c r="H637" s="94">
        <f ca="1">VLOOKUP(B637,'115+740'!$B$15:$AB$757,4,FALSE)</f>
        <v>230</v>
      </c>
      <c r="I637" s="91">
        <f t="shared" ca="1" si="119"/>
        <v>3259</v>
      </c>
      <c r="J637" s="91">
        <f ca="1">VLOOKUP(B637,'115+740'!$B$15:$AB$757,13,FALSE)</f>
        <v>-741</v>
      </c>
      <c r="K637" s="89">
        <f>'115+740'!Q638</f>
        <v>0</v>
      </c>
      <c r="L637" s="88">
        <f t="shared" ca="1" si="124"/>
        <v>781</v>
      </c>
      <c r="M637" s="93">
        <f ca="1">VLOOKUP(B637,'115+740'!$B$14:$AB$757,21,FALSE)</f>
        <v>3220</v>
      </c>
      <c r="N637" s="92">
        <f ca="1">VLOOKUP(B637,'115+740'!$B$15:$AB$757,5,FALSE)</f>
        <v>479</v>
      </c>
      <c r="O637" s="91">
        <f t="shared" ca="1" si="120"/>
        <v>3010</v>
      </c>
      <c r="P637" s="91">
        <f ca="1">VLOOKUP(B637,'115+740'!$B$15:$AB$757,14,FALSE)</f>
        <v>-990</v>
      </c>
      <c r="Q637" s="89">
        <f>'115+740'!R638</f>
        <v>2</v>
      </c>
      <c r="R637" s="88">
        <f t="shared" ca="1" si="125"/>
        <v>980</v>
      </c>
      <c r="S637" s="93">
        <f ca="1">VLOOKUP(B637,'115+740'!$B$14:$AB$757,22,FALSE)</f>
        <v>3528</v>
      </c>
      <c r="T637" s="92">
        <f ca="1">VLOOKUP(B637,'115+740'!$B$15:$AB$757,6,FALSE)</f>
        <v>201</v>
      </c>
      <c r="U637" s="91">
        <f t="shared" ca="1" si="121"/>
        <v>3288</v>
      </c>
      <c r="V637" s="90">
        <f ca="1">VLOOKUP(B637,'115+740'!$B$15:$AB$757,15,FALSE)</f>
        <v>-712</v>
      </c>
      <c r="W637" s="89">
        <f>'115+740'!S638</f>
        <v>0</v>
      </c>
      <c r="X637" s="88">
        <f t="shared" ca="1" si="126"/>
        <v>672</v>
      </c>
      <c r="Y637" s="87">
        <f t="shared" ca="1" si="127"/>
        <v>0</v>
      </c>
      <c r="Z637" s="86">
        <f t="shared" ca="1" si="128"/>
        <v>0</v>
      </c>
      <c r="AA637" s="85">
        <f t="shared" ca="1" si="129"/>
        <v>4.109</v>
      </c>
      <c r="AB637" s="85">
        <f t="shared" ca="1" si="130"/>
        <v>2.25</v>
      </c>
    </row>
    <row r="638" spans="2:28">
      <c r="B638" s="98">
        <f>'115+740'!B639</f>
        <v>45697</v>
      </c>
      <c r="C638" s="97">
        <f t="shared" si="122"/>
        <v>1</v>
      </c>
      <c r="D638" s="96">
        <f t="shared" si="123"/>
        <v>1069</v>
      </c>
      <c r="E638" s="95">
        <f>VLOOKUP(B638,'115+740'!B639:AB997,3,FALSE)</f>
        <v>2422</v>
      </c>
      <c r="F638" s="92">
        <f t="shared" si="118"/>
        <v>3491</v>
      </c>
      <c r="G638" s="94">
        <f ca="1">VLOOKUP(B638,'115+740'!$B$15:$AB$757,20,FALSE)</f>
        <v>3418</v>
      </c>
      <c r="H638" s="94">
        <f ca="1">VLOOKUP(B638,'115+740'!$B$15:$AB$757,4,FALSE)</f>
        <v>233</v>
      </c>
      <c r="I638" s="91">
        <f t="shared" ca="1" si="119"/>
        <v>3258</v>
      </c>
      <c r="J638" s="91">
        <f ca="1">VLOOKUP(B638,'115+740'!$B$15:$AB$757,13,FALSE)</f>
        <v>-742</v>
      </c>
      <c r="K638" s="89">
        <f>'115+740'!Q639</f>
        <v>1</v>
      </c>
      <c r="L638" s="88">
        <f t="shared" ca="1" si="124"/>
        <v>782</v>
      </c>
      <c r="M638" s="93">
        <f ca="1">VLOOKUP(B638,'115+740'!$B$14:$AB$757,21,FALSE)</f>
        <v>3220</v>
      </c>
      <c r="N638" s="92">
        <f ca="1">VLOOKUP(B638,'115+740'!$B$15:$AB$757,5,FALSE)</f>
        <v>481</v>
      </c>
      <c r="O638" s="91">
        <f t="shared" ca="1" si="120"/>
        <v>3010</v>
      </c>
      <c r="P638" s="91">
        <f ca="1">VLOOKUP(B638,'115+740'!$B$15:$AB$757,14,FALSE)</f>
        <v>-990</v>
      </c>
      <c r="Q638" s="89">
        <f>'115+740'!R639</f>
        <v>0</v>
      </c>
      <c r="R638" s="88">
        <f t="shared" ca="1" si="125"/>
        <v>980</v>
      </c>
      <c r="S638" s="93">
        <f ca="1">VLOOKUP(B638,'115+740'!$B$14:$AB$757,22,FALSE)</f>
        <v>3528</v>
      </c>
      <c r="T638" s="92">
        <f ca="1">VLOOKUP(B638,'115+740'!$B$15:$AB$757,6,FALSE)</f>
        <v>203</v>
      </c>
      <c r="U638" s="91">
        <f t="shared" ca="1" si="121"/>
        <v>3288</v>
      </c>
      <c r="V638" s="90">
        <f ca="1">VLOOKUP(B638,'115+740'!$B$15:$AB$757,15,FALSE)</f>
        <v>-712</v>
      </c>
      <c r="W638" s="89">
        <f>'115+740'!S639</f>
        <v>0</v>
      </c>
      <c r="X638" s="88">
        <f t="shared" ca="1" si="126"/>
        <v>672</v>
      </c>
      <c r="Y638" s="87">
        <f t="shared" ca="1" si="127"/>
        <v>0</v>
      </c>
      <c r="Z638" s="86">
        <f t="shared" ca="1" si="128"/>
        <v>0</v>
      </c>
      <c r="AA638" s="85">
        <f t="shared" ca="1" si="129"/>
        <v>4.109</v>
      </c>
      <c r="AB638" s="85">
        <f t="shared" ca="1" si="130"/>
        <v>2.25</v>
      </c>
    </row>
    <row r="639" spans="2:28">
      <c r="B639" s="98">
        <f>'115+740'!B640</f>
        <v>45698</v>
      </c>
      <c r="C639" s="97">
        <f t="shared" si="122"/>
        <v>1</v>
      </c>
      <c r="D639" s="96">
        <f t="shared" si="123"/>
        <v>1069</v>
      </c>
      <c r="E639" s="95">
        <f>VLOOKUP(B639,'115+740'!B640:AB998,3,FALSE)</f>
        <v>2424</v>
      </c>
      <c r="F639" s="92">
        <f t="shared" si="118"/>
        <v>3493</v>
      </c>
      <c r="G639" s="94">
        <f ca="1">VLOOKUP(B639,'115+740'!$B$15:$AB$757,20,FALSE)</f>
        <v>3418</v>
      </c>
      <c r="H639" s="94">
        <f ca="1">VLOOKUP(B639,'115+740'!$B$15:$AB$757,4,FALSE)</f>
        <v>235</v>
      </c>
      <c r="I639" s="91">
        <f t="shared" ca="1" si="119"/>
        <v>3258</v>
      </c>
      <c r="J639" s="91">
        <f ca="1">VLOOKUP(B639,'115+740'!$B$15:$AB$757,13,FALSE)</f>
        <v>-742</v>
      </c>
      <c r="K639" s="89">
        <f>'115+740'!Q640</f>
        <v>0</v>
      </c>
      <c r="L639" s="88">
        <f t="shared" ca="1" si="124"/>
        <v>782</v>
      </c>
      <c r="M639" s="93">
        <f ca="1">VLOOKUP(B639,'115+740'!$B$14:$AB$757,21,FALSE)</f>
        <v>3220</v>
      </c>
      <c r="N639" s="92">
        <f ca="1">VLOOKUP(B639,'115+740'!$B$15:$AB$757,5,FALSE)</f>
        <v>483</v>
      </c>
      <c r="O639" s="91">
        <f t="shared" ca="1" si="120"/>
        <v>3010</v>
      </c>
      <c r="P639" s="91">
        <f ca="1">VLOOKUP(B639,'115+740'!$B$15:$AB$757,14,FALSE)</f>
        <v>-990</v>
      </c>
      <c r="Q639" s="89">
        <f>'115+740'!R640</f>
        <v>0</v>
      </c>
      <c r="R639" s="88">
        <f t="shared" ca="1" si="125"/>
        <v>980</v>
      </c>
      <c r="S639" s="93">
        <f ca="1">VLOOKUP(B639,'115+740'!$B$14:$AB$757,22,FALSE)</f>
        <v>3528</v>
      </c>
      <c r="T639" s="92">
        <f ca="1">VLOOKUP(B639,'115+740'!$B$15:$AB$757,6,FALSE)</f>
        <v>205</v>
      </c>
      <c r="U639" s="91">
        <f t="shared" ca="1" si="121"/>
        <v>3288</v>
      </c>
      <c r="V639" s="90">
        <f ca="1">VLOOKUP(B639,'115+740'!$B$15:$AB$757,15,FALSE)</f>
        <v>-712</v>
      </c>
      <c r="W639" s="89">
        <f>'115+740'!S640</f>
        <v>0</v>
      </c>
      <c r="X639" s="88">
        <f t="shared" ca="1" si="126"/>
        <v>672</v>
      </c>
      <c r="Y639" s="87">
        <f t="shared" ca="1" si="127"/>
        <v>0</v>
      </c>
      <c r="Z639" s="86">
        <f t="shared" ca="1" si="128"/>
        <v>0</v>
      </c>
      <c r="AA639" s="85">
        <f t="shared" ca="1" si="129"/>
        <v>4.109</v>
      </c>
      <c r="AB639" s="85">
        <f t="shared" ca="1" si="130"/>
        <v>2.25</v>
      </c>
    </row>
    <row r="640" spans="2:28">
      <c r="B640" s="98">
        <f>'115+740'!B641</f>
        <v>45699</v>
      </c>
      <c r="C640" s="97">
        <f t="shared" si="122"/>
        <v>1</v>
      </c>
      <c r="D640" s="96">
        <f t="shared" si="123"/>
        <v>1069</v>
      </c>
      <c r="E640" s="95">
        <f>VLOOKUP(B640,'115+740'!B641:AB999,3,FALSE)</f>
        <v>2426</v>
      </c>
      <c r="F640" s="92">
        <f t="shared" si="118"/>
        <v>3495</v>
      </c>
      <c r="G640" s="94">
        <f ca="1">VLOOKUP(B640,'115+740'!$B$15:$AB$757,20,FALSE)</f>
        <v>3417</v>
      </c>
      <c r="H640" s="94">
        <f ca="1">VLOOKUP(B640,'115+740'!$B$15:$AB$757,4,FALSE)</f>
        <v>238</v>
      </c>
      <c r="I640" s="91">
        <f t="shared" ca="1" si="119"/>
        <v>3257</v>
      </c>
      <c r="J640" s="91">
        <f ca="1">VLOOKUP(B640,'115+740'!$B$15:$AB$757,13,FALSE)</f>
        <v>-743</v>
      </c>
      <c r="K640" s="89">
        <f>'115+740'!Q641</f>
        <v>1</v>
      </c>
      <c r="L640" s="88">
        <f t="shared" ca="1" si="124"/>
        <v>783</v>
      </c>
      <c r="M640" s="93">
        <f ca="1">VLOOKUP(B640,'115+740'!$B$14:$AB$757,21,FALSE)</f>
        <v>3220</v>
      </c>
      <c r="N640" s="92">
        <f ca="1">VLOOKUP(B640,'115+740'!$B$15:$AB$757,5,FALSE)</f>
        <v>485</v>
      </c>
      <c r="O640" s="91">
        <f t="shared" ca="1" si="120"/>
        <v>3010</v>
      </c>
      <c r="P640" s="91">
        <f ca="1">VLOOKUP(B640,'115+740'!$B$15:$AB$757,14,FALSE)</f>
        <v>-990</v>
      </c>
      <c r="Q640" s="89">
        <f>'115+740'!R641</f>
        <v>0</v>
      </c>
      <c r="R640" s="88">
        <f t="shared" ca="1" si="125"/>
        <v>980</v>
      </c>
      <c r="S640" s="93">
        <f ca="1">VLOOKUP(B640,'115+740'!$B$14:$AB$757,22,FALSE)</f>
        <v>3528</v>
      </c>
      <c r="T640" s="92">
        <f ca="1">VLOOKUP(B640,'115+740'!$B$15:$AB$757,6,FALSE)</f>
        <v>207</v>
      </c>
      <c r="U640" s="91">
        <f t="shared" ca="1" si="121"/>
        <v>3288</v>
      </c>
      <c r="V640" s="90">
        <f ca="1">VLOOKUP(B640,'115+740'!$B$15:$AB$757,15,FALSE)</f>
        <v>-712</v>
      </c>
      <c r="W640" s="89">
        <f>'115+740'!S641</f>
        <v>0</v>
      </c>
      <c r="X640" s="88">
        <f t="shared" ca="1" si="126"/>
        <v>672</v>
      </c>
      <c r="Y640" s="87">
        <f t="shared" ca="1" si="127"/>
        <v>0</v>
      </c>
      <c r="Z640" s="86">
        <f t="shared" ca="1" si="128"/>
        <v>0</v>
      </c>
      <c r="AA640" s="85">
        <f t="shared" ca="1" si="129"/>
        <v>4.109</v>
      </c>
      <c r="AB640" s="85">
        <f t="shared" ca="1" si="130"/>
        <v>2.25</v>
      </c>
    </row>
    <row r="641" spans="2:28">
      <c r="B641" s="98">
        <f>'115+740'!B642</f>
        <v>45700</v>
      </c>
      <c r="C641" s="97">
        <f t="shared" si="122"/>
        <v>1</v>
      </c>
      <c r="D641" s="96">
        <f t="shared" si="123"/>
        <v>1069</v>
      </c>
      <c r="E641" s="95">
        <f>VLOOKUP(B641,'115+740'!B642:AB1000,3,FALSE)</f>
        <v>2428</v>
      </c>
      <c r="F641" s="92">
        <f t="shared" si="118"/>
        <v>3497</v>
      </c>
      <c r="G641" s="94">
        <f ca="1">VLOOKUP(B641,'115+740'!$B$15:$AB$757,20,FALSE)</f>
        <v>3417</v>
      </c>
      <c r="H641" s="94">
        <f ca="1">VLOOKUP(B641,'115+740'!$B$15:$AB$757,4,FALSE)</f>
        <v>240</v>
      </c>
      <c r="I641" s="91">
        <f t="shared" ca="1" si="119"/>
        <v>3257</v>
      </c>
      <c r="J641" s="91">
        <f ca="1">VLOOKUP(B641,'115+740'!$B$15:$AB$757,13,FALSE)</f>
        <v>-743</v>
      </c>
      <c r="K641" s="89">
        <f>'115+740'!Q642</f>
        <v>0</v>
      </c>
      <c r="L641" s="88">
        <f t="shared" ca="1" si="124"/>
        <v>783</v>
      </c>
      <c r="M641" s="93">
        <f ca="1">VLOOKUP(B641,'115+740'!$B$14:$AB$757,21,FALSE)</f>
        <v>3220</v>
      </c>
      <c r="N641" s="92">
        <f ca="1">VLOOKUP(B641,'115+740'!$B$15:$AB$757,5,FALSE)</f>
        <v>487</v>
      </c>
      <c r="O641" s="91">
        <f t="shared" ca="1" si="120"/>
        <v>3010</v>
      </c>
      <c r="P641" s="91">
        <f ca="1">VLOOKUP(B641,'115+740'!$B$15:$AB$757,14,FALSE)</f>
        <v>-990</v>
      </c>
      <c r="Q641" s="89">
        <f>'115+740'!R642</f>
        <v>0</v>
      </c>
      <c r="R641" s="88">
        <f t="shared" ca="1" si="125"/>
        <v>980</v>
      </c>
      <c r="S641" s="93">
        <f ca="1">VLOOKUP(B641,'115+740'!$B$14:$AB$757,22,FALSE)</f>
        <v>3528</v>
      </c>
      <c r="T641" s="92">
        <f ca="1">VLOOKUP(B641,'115+740'!$B$15:$AB$757,6,FALSE)</f>
        <v>209</v>
      </c>
      <c r="U641" s="91">
        <f t="shared" ca="1" si="121"/>
        <v>3288</v>
      </c>
      <c r="V641" s="90">
        <f ca="1">VLOOKUP(B641,'115+740'!$B$15:$AB$757,15,FALSE)</f>
        <v>-712</v>
      </c>
      <c r="W641" s="89">
        <f>'115+740'!S642</f>
        <v>0</v>
      </c>
      <c r="X641" s="88">
        <f t="shared" ca="1" si="126"/>
        <v>672</v>
      </c>
      <c r="Y641" s="87">
        <f t="shared" ca="1" si="127"/>
        <v>0</v>
      </c>
      <c r="Z641" s="86">
        <f t="shared" ca="1" si="128"/>
        <v>0</v>
      </c>
      <c r="AA641" s="85">
        <f t="shared" ca="1" si="129"/>
        <v>4.109</v>
      </c>
      <c r="AB641" s="85">
        <f t="shared" ca="1" si="130"/>
        <v>2.25</v>
      </c>
    </row>
    <row r="642" spans="2:28">
      <c r="B642" s="98">
        <f>'115+740'!B643</f>
        <v>45701</v>
      </c>
      <c r="C642" s="97">
        <f t="shared" si="122"/>
        <v>1</v>
      </c>
      <c r="D642" s="96">
        <f t="shared" si="123"/>
        <v>1069</v>
      </c>
      <c r="E642" s="95">
        <f>VLOOKUP(B642,'115+740'!B643:AB1001,3,FALSE)</f>
        <v>2430</v>
      </c>
      <c r="F642" s="92">
        <f t="shared" si="118"/>
        <v>3499</v>
      </c>
      <c r="G642" s="94">
        <f ca="1">VLOOKUP(B642,'115+740'!$B$15:$AB$757,20,FALSE)</f>
        <v>3417</v>
      </c>
      <c r="H642" s="94">
        <f ca="1">VLOOKUP(B642,'115+740'!$B$15:$AB$757,4,FALSE)</f>
        <v>242</v>
      </c>
      <c r="I642" s="91">
        <f t="shared" ca="1" si="119"/>
        <v>3257</v>
      </c>
      <c r="J642" s="91">
        <f ca="1">VLOOKUP(B642,'115+740'!$B$15:$AB$757,13,FALSE)</f>
        <v>-743</v>
      </c>
      <c r="K642" s="89">
        <f>'115+740'!Q643</f>
        <v>0</v>
      </c>
      <c r="L642" s="88">
        <f t="shared" ca="1" si="124"/>
        <v>783</v>
      </c>
      <c r="M642" s="93">
        <f ca="1">VLOOKUP(B642,'115+740'!$B$14:$AB$757,21,FALSE)</f>
        <v>3219</v>
      </c>
      <c r="N642" s="92">
        <f ca="1">VLOOKUP(B642,'115+740'!$B$15:$AB$757,5,FALSE)</f>
        <v>490</v>
      </c>
      <c r="O642" s="91">
        <f t="shared" ca="1" si="120"/>
        <v>3009</v>
      </c>
      <c r="P642" s="91">
        <f ca="1">VLOOKUP(B642,'115+740'!$B$15:$AB$757,14,FALSE)</f>
        <v>-991</v>
      </c>
      <c r="Q642" s="89">
        <f>'115+740'!R643</f>
        <v>1</v>
      </c>
      <c r="R642" s="88">
        <f t="shared" ca="1" si="125"/>
        <v>981</v>
      </c>
      <c r="S642" s="93">
        <f ca="1">VLOOKUP(B642,'115+740'!$B$14:$AB$757,22,FALSE)</f>
        <v>3527</v>
      </c>
      <c r="T642" s="92">
        <f ca="1">VLOOKUP(B642,'115+740'!$B$15:$AB$757,6,FALSE)</f>
        <v>212</v>
      </c>
      <c r="U642" s="91">
        <f t="shared" ca="1" si="121"/>
        <v>3287</v>
      </c>
      <c r="V642" s="90">
        <f ca="1">VLOOKUP(B642,'115+740'!$B$15:$AB$757,15,FALSE)</f>
        <v>-713</v>
      </c>
      <c r="W642" s="89">
        <f>'115+740'!S643</f>
        <v>1</v>
      </c>
      <c r="X642" s="88">
        <f t="shared" ca="1" si="126"/>
        <v>673</v>
      </c>
      <c r="Y642" s="87">
        <f t="shared" ca="1" si="127"/>
        <v>-1</v>
      </c>
      <c r="Z642" s="86">
        <f t="shared" ca="1" si="128"/>
        <v>0</v>
      </c>
      <c r="AA642" s="85">
        <f t="shared" ca="1" si="129"/>
        <v>4.109</v>
      </c>
      <c r="AB642" s="85">
        <f t="shared" ca="1" si="130"/>
        <v>2.2480000000000002</v>
      </c>
    </row>
    <row r="643" spans="2:28">
      <c r="B643" s="98">
        <f>'115+740'!B644</f>
        <v>45702</v>
      </c>
      <c r="C643" s="97">
        <f t="shared" si="122"/>
        <v>1</v>
      </c>
      <c r="D643" s="96">
        <f t="shared" si="123"/>
        <v>1069</v>
      </c>
      <c r="E643" s="95">
        <f>VLOOKUP(B643,'115+740'!B644:AB1002,3,FALSE)</f>
        <v>2432</v>
      </c>
      <c r="F643" s="92">
        <f t="shared" si="118"/>
        <v>3501</v>
      </c>
      <c r="G643" s="94">
        <f ca="1">VLOOKUP(B643,'115+740'!$B$15:$AB$757,20,FALSE)</f>
        <v>3417</v>
      </c>
      <c r="H643" s="94">
        <f ca="1">VLOOKUP(B643,'115+740'!$B$15:$AB$757,4,FALSE)</f>
        <v>244</v>
      </c>
      <c r="I643" s="91">
        <f t="shared" ca="1" si="119"/>
        <v>3257</v>
      </c>
      <c r="J643" s="91">
        <f ca="1">VLOOKUP(B643,'115+740'!$B$15:$AB$757,13,FALSE)</f>
        <v>-743</v>
      </c>
      <c r="K643" s="89">
        <f>'115+740'!Q644</f>
        <v>0</v>
      </c>
      <c r="L643" s="88">
        <f t="shared" ca="1" si="124"/>
        <v>783</v>
      </c>
      <c r="M643" s="93">
        <f ca="1">VLOOKUP(B643,'115+740'!$B$14:$AB$757,21,FALSE)</f>
        <v>3219</v>
      </c>
      <c r="N643" s="92">
        <f ca="1">VLOOKUP(B643,'115+740'!$B$15:$AB$757,5,FALSE)</f>
        <v>492</v>
      </c>
      <c r="O643" s="91">
        <f t="shared" ca="1" si="120"/>
        <v>3009</v>
      </c>
      <c r="P643" s="91">
        <f ca="1">VLOOKUP(B643,'115+740'!$B$15:$AB$757,14,FALSE)</f>
        <v>-991</v>
      </c>
      <c r="Q643" s="89">
        <f>'115+740'!R644</f>
        <v>0</v>
      </c>
      <c r="R643" s="88">
        <f t="shared" ca="1" si="125"/>
        <v>981</v>
      </c>
      <c r="S643" s="93">
        <f ca="1">VLOOKUP(B643,'115+740'!$B$14:$AB$757,22,FALSE)</f>
        <v>3527</v>
      </c>
      <c r="T643" s="92">
        <f ca="1">VLOOKUP(B643,'115+740'!$B$15:$AB$757,6,FALSE)</f>
        <v>214</v>
      </c>
      <c r="U643" s="91">
        <f t="shared" ca="1" si="121"/>
        <v>3287</v>
      </c>
      <c r="V643" s="90">
        <f ca="1">VLOOKUP(B643,'115+740'!$B$15:$AB$757,15,FALSE)</f>
        <v>-713</v>
      </c>
      <c r="W643" s="89">
        <f>'115+740'!S644</f>
        <v>0</v>
      </c>
      <c r="X643" s="88">
        <f t="shared" ca="1" si="126"/>
        <v>673</v>
      </c>
      <c r="Y643" s="87">
        <f t="shared" ca="1" si="127"/>
        <v>0</v>
      </c>
      <c r="Z643" s="86">
        <f t="shared" ca="1" si="128"/>
        <v>0</v>
      </c>
      <c r="AA643" s="85">
        <f t="shared" ca="1" si="129"/>
        <v>4.109</v>
      </c>
      <c r="AB643" s="85">
        <f t="shared" ca="1" si="130"/>
        <v>2.2480000000000002</v>
      </c>
    </row>
    <row r="644" spans="2:28">
      <c r="B644" s="98">
        <f>'115+740'!B645</f>
        <v>45703</v>
      </c>
      <c r="C644" s="97">
        <f t="shared" si="122"/>
        <v>1</v>
      </c>
      <c r="D644" s="96">
        <f t="shared" si="123"/>
        <v>1069</v>
      </c>
      <c r="E644" s="95">
        <f>VLOOKUP(B644,'115+740'!B645:AB1003,3,FALSE)</f>
        <v>2434</v>
      </c>
      <c r="F644" s="92">
        <f t="shared" si="118"/>
        <v>3503</v>
      </c>
      <c r="G644" s="94">
        <f ca="1">VLOOKUP(B644,'115+740'!$B$15:$AB$757,20,FALSE)</f>
        <v>3416</v>
      </c>
      <c r="H644" s="94">
        <f ca="1">VLOOKUP(B644,'115+740'!$B$15:$AB$757,4,FALSE)</f>
        <v>247</v>
      </c>
      <c r="I644" s="91">
        <f t="shared" ca="1" si="119"/>
        <v>3256</v>
      </c>
      <c r="J644" s="91">
        <f ca="1">VLOOKUP(B644,'115+740'!$B$15:$AB$757,13,FALSE)</f>
        <v>-744</v>
      </c>
      <c r="K644" s="89">
        <f>'115+740'!Q645</f>
        <v>1</v>
      </c>
      <c r="L644" s="88">
        <f t="shared" ca="1" si="124"/>
        <v>784</v>
      </c>
      <c r="M644" s="93">
        <f ca="1">VLOOKUP(B644,'115+740'!$B$14:$AB$757,21,FALSE)</f>
        <v>3218</v>
      </c>
      <c r="N644" s="92">
        <f ca="1">VLOOKUP(B644,'115+740'!$B$15:$AB$757,5,FALSE)</f>
        <v>495</v>
      </c>
      <c r="O644" s="91">
        <f t="shared" ca="1" si="120"/>
        <v>3008</v>
      </c>
      <c r="P644" s="91">
        <f ca="1">VLOOKUP(B644,'115+740'!$B$15:$AB$757,14,FALSE)</f>
        <v>-992</v>
      </c>
      <c r="Q644" s="89">
        <f>'115+740'!R645</f>
        <v>1</v>
      </c>
      <c r="R644" s="88">
        <f t="shared" ca="1" si="125"/>
        <v>982</v>
      </c>
      <c r="S644" s="93">
        <f ca="1">VLOOKUP(B644,'115+740'!$B$14:$AB$757,22,FALSE)</f>
        <v>3527</v>
      </c>
      <c r="T644" s="92">
        <f ca="1">VLOOKUP(B644,'115+740'!$B$15:$AB$757,6,FALSE)</f>
        <v>216</v>
      </c>
      <c r="U644" s="91">
        <f t="shared" ca="1" si="121"/>
        <v>3287</v>
      </c>
      <c r="V644" s="90">
        <f ca="1">VLOOKUP(B644,'115+740'!$B$15:$AB$757,15,FALSE)</f>
        <v>-713</v>
      </c>
      <c r="W644" s="89">
        <f>'115+740'!S645</f>
        <v>0</v>
      </c>
      <c r="X644" s="88">
        <f t="shared" ca="1" si="126"/>
        <v>673</v>
      </c>
      <c r="Y644" s="87">
        <f t="shared" ca="1" si="127"/>
        <v>0</v>
      </c>
      <c r="Z644" s="86">
        <f t="shared" ca="1" si="128"/>
        <v>0</v>
      </c>
      <c r="AA644" s="85">
        <f t="shared" ca="1" si="129"/>
        <v>4.109</v>
      </c>
      <c r="AB644" s="85">
        <f t="shared" ca="1" si="130"/>
        <v>2.246</v>
      </c>
    </row>
    <row r="645" spans="2:28">
      <c r="B645" s="98">
        <f>'115+740'!B646</f>
        <v>45704</v>
      </c>
      <c r="C645" s="97">
        <f t="shared" si="122"/>
        <v>1</v>
      </c>
      <c r="D645" s="96">
        <f t="shared" si="123"/>
        <v>1069</v>
      </c>
      <c r="E645" s="95">
        <f>VLOOKUP(B645,'115+740'!B646:AB1004,3,FALSE)</f>
        <v>2436</v>
      </c>
      <c r="F645" s="92">
        <f t="shared" si="118"/>
        <v>3505</v>
      </c>
      <c r="G645" s="94">
        <f ca="1">VLOOKUP(B645,'115+740'!$B$15:$AB$757,20,FALSE)</f>
        <v>3416</v>
      </c>
      <c r="H645" s="94">
        <f ca="1">VLOOKUP(B645,'115+740'!$B$15:$AB$757,4,FALSE)</f>
        <v>249</v>
      </c>
      <c r="I645" s="91">
        <f t="shared" ca="1" si="119"/>
        <v>3256</v>
      </c>
      <c r="J645" s="91">
        <f ca="1">VLOOKUP(B645,'115+740'!$B$15:$AB$757,13,FALSE)</f>
        <v>-744</v>
      </c>
      <c r="K645" s="89">
        <f>'115+740'!Q646</f>
        <v>0</v>
      </c>
      <c r="L645" s="88">
        <f t="shared" ca="1" si="124"/>
        <v>784</v>
      </c>
      <c r="M645" s="93">
        <f ca="1">VLOOKUP(B645,'115+740'!$B$14:$AB$757,21,FALSE)</f>
        <v>3218</v>
      </c>
      <c r="N645" s="92">
        <f ca="1">VLOOKUP(B645,'115+740'!$B$15:$AB$757,5,FALSE)</f>
        <v>497</v>
      </c>
      <c r="O645" s="91">
        <f t="shared" ca="1" si="120"/>
        <v>3008</v>
      </c>
      <c r="P645" s="91">
        <f ca="1">VLOOKUP(B645,'115+740'!$B$15:$AB$757,14,FALSE)</f>
        <v>-992</v>
      </c>
      <c r="Q645" s="89">
        <f>'115+740'!R646</f>
        <v>0</v>
      </c>
      <c r="R645" s="88">
        <f t="shared" ca="1" si="125"/>
        <v>982</v>
      </c>
      <c r="S645" s="93">
        <f ca="1">VLOOKUP(B645,'115+740'!$B$14:$AB$757,22,FALSE)</f>
        <v>3527</v>
      </c>
      <c r="T645" s="92">
        <f ca="1">VLOOKUP(B645,'115+740'!$B$15:$AB$757,6,FALSE)</f>
        <v>218</v>
      </c>
      <c r="U645" s="91">
        <f t="shared" ca="1" si="121"/>
        <v>3287</v>
      </c>
      <c r="V645" s="90">
        <f ca="1">VLOOKUP(B645,'115+740'!$B$15:$AB$757,15,FALSE)</f>
        <v>-713</v>
      </c>
      <c r="W645" s="89">
        <f>'115+740'!S646</f>
        <v>0</v>
      </c>
      <c r="X645" s="88">
        <f t="shared" ca="1" si="126"/>
        <v>673</v>
      </c>
      <c r="Y645" s="87">
        <f t="shared" ca="1" si="127"/>
        <v>0</v>
      </c>
      <c r="Z645" s="86">
        <f t="shared" ca="1" si="128"/>
        <v>0</v>
      </c>
      <c r="AA645" s="85">
        <f t="shared" ca="1" si="129"/>
        <v>4.109</v>
      </c>
      <c r="AB645" s="85">
        <f t="shared" ca="1" si="130"/>
        <v>2.246</v>
      </c>
    </row>
    <row r="646" spans="2:28">
      <c r="B646" s="98">
        <f>'115+740'!B647</f>
        <v>45705</v>
      </c>
      <c r="C646" s="97">
        <f t="shared" si="122"/>
        <v>1</v>
      </c>
      <c r="D646" s="96">
        <f t="shared" si="123"/>
        <v>1069</v>
      </c>
      <c r="E646" s="95">
        <f>VLOOKUP(B646,'115+740'!B647:AB1005,3,FALSE)</f>
        <v>2438</v>
      </c>
      <c r="F646" s="92">
        <f t="shared" si="118"/>
        <v>3507</v>
      </c>
      <c r="G646" s="94">
        <f ca="1">VLOOKUP(B646,'115+740'!$B$15:$AB$757,20,FALSE)</f>
        <v>3416</v>
      </c>
      <c r="H646" s="94">
        <f ca="1">VLOOKUP(B646,'115+740'!$B$15:$AB$757,4,FALSE)</f>
        <v>251</v>
      </c>
      <c r="I646" s="91">
        <f t="shared" ca="1" si="119"/>
        <v>3256</v>
      </c>
      <c r="J646" s="91">
        <f ca="1">VLOOKUP(B646,'115+740'!$B$15:$AB$757,13,FALSE)</f>
        <v>-744</v>
      </c>
      <c r="K646" s="89">
        <f>'115+740'!Q647</f>
        <v>0</v>
      </c>
      <c r="L646" s="88">
        <f t="shared" ca="1" si="124"/>
        <v>784</v>
      </c>
      <c r="M646" s="93">
        <f ca="1">VLOOKUP(B646,'115+740'!$B$14:$AB$757,21,FALSE)</f>
        <v>3218</v>
      </c>
      <c r="N646" s="92">
        <f ca="1">VLOOKUP(B646,'115+740'!$B$15:$AB$757,5,FALSE)</f>
        <v>499</v>
      </c>
      <c r="O646" s="91">
        <f t="shared" ca="1" si="120"/>
        <v>3008</v>
      </c>
      <c r="P646" s="91">
        <f ca="1">VLOOKUP(B646,'115+740'!$B$15:$AB$757,14,FALSE)</f>
        <v>-992</v>
      </c>
      <c r="Q646" s="89">
        <f>'115+740'!R647</f>
        <v>0</v>
      </c>
      <c r="R646" s="88">
        <f t="shared" ca="1" si="125"/>
        <v>982</v>
      </c>
      <c r="S646" s="93">
        <f ca="1">VLOOKUP(B646,'115+740'!$B$14:$AB$757,22,FALSE)</f>
        <v>3527</v>
      </c>
      <c r="T646" s="92">
        <f ca="1">VLOOKUP(B646,'115+740'!$B$15:$AB$757,6,FALSE)</f>
        <v>220</v>
      </c>
      <c r="U646" s="91">
        <f t="shared" ca="1" si="121"/>
        <v>3287</v>
      </c>
      <c r="V646" s="90">
        <f ca="1">VLOOKUP(B646,'115+740'!$B$15:$AB$757,15,FALSE)</f>
        <v>-713</v>
      </c>
      <c r="W646" s="89">
        <f>'115+740'!S647</f>
        <v>0</v>
      </c>
      <c r="X646" s="88">
        <f t="shared" ca="1" si="126"/>
        <v>673</v>
      </c>
      <c r="Y646" s="87">
        <f t="shared" ca="1" si="127"/>
        <v>0</v>
      </c>
      <c r="Z646" s="86">
        <f t="shared" ca="1" si="128"/>
        <v>0</v>
      </c>
      <c r="AA646" s="85">
        <f t="shared" ca="1" si="129"/>
        <v>4.109</v>
      </c>
      <c r="AB646" s="85">
        <f t="shared" ca="1" si="130"/>
        <v>2.246</v>
      </c>
    </row>
    <row r="647" spans="2:28">
      <c r="B647" s="98">
        <f>'115+740'!B648</f>
        <v>45706</v>
      </c>
      <c r="C647" s="97">
        <f t="shared" si="122"/>
        <v>1</v>
      </c>
      <c r="D647" s="96">
        <f t="shared" si="123"/>
        <v>1069</v>
      </c>
      <c r="E647" s="95">
        <f>VLOOKUP(B647,'115+740'!B648:AB1006,3,FALSE)</f>
        <v>2440</v>
      </c>
      <c r="F647" s="92">
        <f t="shared" si="118"/>
        <v>3509</v>
      </c>
      <c r="G647" s="94">
        <f ca="1">VLOOKUP(B647,'115+740'!$B$15:$AB$757,20,FALSE)</f>
        <v>3414</v>
      </c>
      <c r="H647" s="94">
        <f ca="1">VLOOKUP(B647,'115+740'!$B$15:$AB$757,4,FALSE)</f>
        <v>255</v>
      </c>
      <c r="I647" s="91">
        <f t="shared" ca="1" si="119"/>
        <v>3254</v>
      </c>
      <c r="J647" s="91">
        <f ca="1">VLOOKUP(B647,'115+740'!$B$15:$AB$757,13,FALSE)</f>
        <v>-746</v>
      </c>
      <c r="K647" s="89">
        <f>'115+740'!Q648</f>
        <v>2</v>
      </c>
      <c r="L647" s="88">
        <f t="shared" ca="1" si="124"/>
        <v>786</v>
      </c>
      <c r="M647" s="93">
        <f ca="1">VLOOKUP(B647,'115+740'!$B$14:$AB$757,21,FALSE)</f>
        <v>3218</v>
      </c>
      <c r="N647" s="92">
        <f ca="1">VLOOKUP(B647,'115+740'!$B$15:$AB$757,5,FALSE)</f>
        <v>501</v>
      </c>
      <c r="O647" s="91">
        <f t="shared" ca="1" si="120"/>
        <v>3008</v>
      </c>
      <c r="P647" s="91">
        <f ca="1">VLOOKUP(B647,'115+740'!$B$15:$AB$757,14,FALSE)</f>
        <v>-992</v>
      </c>
      <c r="Q647" s="89">
        <f>'115+740'!R648</f>
        <v>0</v>
      </c>
      <c r="R647" s="88">
        <f t="shared" ca="1" si="125"/>
        <v>982</v>
      </c>
      <c r="S647" s="93">
        <f ca="1">VLOOKUP(B647,'115+740'!$B$14:$AB$757,22,FALSE)</f>
        <v>3527</v>
      </c>
      <c r="T647" s="92">
        <f ca="1">VLOOKUP(B647,'115+740'!$B$15:$AB$757,6,FALSE)</f>
        <v>222</v>
      </c>
      <c r="U647" s="91">
        <f t="shared" ca="1" si="121"/>
        <v>3287</v>
      </c>
      <c r="V647" s="90">
        <f ca="1">VLOOKUP(B647,'115+740'!$B$15:$AB$757,15,FALSE)</f>
        <v>-713</v>
      </c>
      <c r="W647" s="89">
        <f>'115+740'!S648</f>
        <v>0</v>
      </c>
      <c r="X647" s="88">
        <f t="shared" ca="1" si="126"/>
        <v>673</v>
      </c>
      <c r="Y647" s="87">
        <f t="shared" ca="1" si="127"/>
        <v>0</v>
      </c>
      <c r="Z647" s="86">
        <f t="shared" ca="1" si="128"/>
        <v>0</v>
      </c>
      <c r="AA647" s="85">
        <f t="shared" ca="1" si="129"/>
        <v>4.109</v>
      </c>
      <c r="AB647" s="85">
        <f t="shared" ca="1" si="130"/>
        <v>2.246</v>
      </c>
    </row>
    <row r="648" spans="2:28">
      <c r="B648" s="98">
        <f>'115+740'!B649</f>
        <v>45707</v>
      </c>
      <c r="C648" s="97">
        <f t="shared" si="122"/>
        <v>1</v>
      </c>
      <c r="D648" s="96">
        <f t="shared" si="123"/>
        <v>1069</v>
      </c>
      <c r="E648" s="95">
        <f>VLOOKUP(B648,'115+740'!B649:AB1007,3,FALSE)</f>
        <v>2442</v>
      </c>
      <c r="F648" s="92">
        <f t="shared" si="118"/>
        <v>3511</v>
      </c>
      <c r="G648" s="94">
        <f ca="1">VLOOKUP(B648,'115+740'!$B$15:$AB$757,20,FALSE)</f>
        <v>3411</v>
      </c>
      <c r="H648" s="94">
        <f ca="1">VLOOKUP(B648,'115+740'!$B$15:$AB$757,4,FALSE)</f>
        <v>260</v>
      </c>
      <c r="I648" s="91">
        <f t="shared" ca="1" si="119"/>
        <v>3251</v>
      </c>
      <c r="J648" s="91">
        <f ca="1">VLOOKUP(B648,'115+740'!$B$15:$AB$757,13,FALSE)</f>
        <v>-749</v>
      </c>
      <c r="K648" s="89">
        <f>'115+740'!Q649</f>
        <v>3</v>
      </c>
      <c r="L648" s="88">
        <f t="shared" ca="1" si="124"/>
        <v>789</v>
      </c>
      <c r="M648" s="93">
        <f ca="1">VLOOKUP(B648,'115+740'!$B$14:$AB$757,21,FALSE)</f>
        <v>3218</v>
      </c>
      <c r="N648" s="92">
        <f ca="1">VLOOKUP(B648,'115+740'!$B$15:$AB$757,5,FALSE)</f>
        <v>503</v>
      </c>
      <c r="O648" s="91">
        <f t="shared" ca="1" si="120"/>
        <v>3008</v>
      </c>
      <c r="P648" s="91">
        <f ca="1">VLOOKUP(B648,'115+740'!$B$15:$AB$757,14,FALSE)</f>
        <v>-992</v>
      </c>
      <c r="Q648" s="89">
        <f>'115+740'!R649</f>
        <v>0</v>
      </c>
      <c r="R648" s="88">
        <f t="shared" ca="1" si="125"/>
        <v>982</v>
      </c>
      <c r="S648" s="93">
        <f ca="1">VLOOKUP(B648,'115+740'!$B$14:$AB$757,22,FALSE)</f>
        <v>3527</v>
      </c>
      <c r="T648" s="92">
        <f ca="1">VLOOKUP(B648,'115+740'!$B$15:$AB$757,6,FALSE)</f>
        <v>224</v>
      </c>
      <c r="U648" s="91">
        <f t="shared" ca="1" si="121"/>
        <v>3287</v>
      </c>
      <c r="V648" s="90">
        <f ca="1">VLOOKUP(B648,'115+740'!$B$15:$AB$757,15,FALSE)</f>
        <v>-713</v>
      </c>
      <c r="W648" s="89">
        <f>'115+740'!S649</f>
        <v>0</v>
      </c>
      <c r="X648" s="88">
        <f t="shared" ca="1" si="126"/>
        <v>673</v>
      </c>
      <c r="Y648" s="87">
        <f t="shared" ca="1" si="127"/>
        <v>0</v>
      </c>
      <c r="Z648" s="86">
        <f t="shared" ca="1" si="128"/>
        <v>0</v>
      </c>
      <c r="AA648" s="85">
        <f t="shared" ca="1" si="129"/>
        <v>4.109</v>
      </c>
      <c r="AB648" s="85">
        <f t="shared" ca="1" si="130"/>
        <v>2.246</v>
      </c>
    </row>
    <row r="649" spans="2:28">
      <c r="B649" s="98">
        <f>'115+740'!B650</f>
        <v>45708</v>
      </c>
      <c r="C649" s="97">
        <f t="shared" si="122"/>
        <v>1</v>
      </c>
      <c r="D649" s="96">
        <f t="shared" si="123"/>
        <v>1069</v>
      </c>
      <c r="E649" s="95">
        <f>VLOOKUP(B649,'115+740'!B650:AB1008,3,FALSE)</f>
        <v>2444</v>
      </c>
      <c r="F649" s="92">
        <f t="shared" si="118"/>
        <v>3513</v>
      </c>
      <c r="G649" s="94">
        <f ca="1">VLOOKUP(B649,'115+740'!$B$15:$AB$757,20,FALSE)</f>
        <v>3409</v>
      </c>
      <c r="H649" s="94">
        <f ca="1">VLOOKUP(B649,'115+740'!$B$15:$AB$757,4,FALSE)</f>
        <v>264</v>
      </c>
      <c r="I649" s="91">
        <f t="shared" ca="1" si="119"/>
        <v>3249</v>
      </c>
      <c r="J649" s="91">
        <f ca="1">VLOOKUP(B649,'115+740'!$B$15:$AB$757,13,FALSE)</f>
        <v>-751</v>
      </c>
      <c r="K649" s="89">
        <f>'115+740'!Q650</f>
        <v>2</v>
      </c>
      <c r="L649" s="88">
        <f t="shared" ca="1" si="124"/>
        <v>791</v>
      </c>
      <c r="M649" s="93">
        <f ca="1">VLOOKUP(B649,'115+740'!$B$14:$AB$757,21,FALSE)</f>
        <v>3218</v>
      </c>
      <c r="N649" s="92">
        <f ca="1">VLOOKUP(B649,'115+740'!$B$15:$AB$757,5,FALSE)</f>
        <v>505</v>
      </c>
      <c r="O649" s="91">
        <f t="shared" ca="1" si="120"/>
        <v>3008</v>
      </c>
      <c r="P649" s="91">
        <f ca="1">VLOOKUP(B649,'115+740'!$B$15:$AB$757,14,FALSE)</f>
        <v>-992</v>
      </c>
      <c r="Q649" s="89">
        <f>'115+740'!R650</f>
        <v>0</v>
      </c>
      <c r="R649" s="88">
        <f t="shared" ca="1" si="125"/>
        <v>982</v>
      </c>
      <c r="S649" s="93">
        <f ca="1">VLOOKUP(B649,'115+740'!$B$14:$AB$757,22,FALSE)</f>
        <v>3525</v>
      </c>
      <c r="T649" s="92">
        <f ca="1">VLOOKUP(B649,'115+740'!$B$15:$AB$757,6,FALSE)</f>
        <v>228</v>
      </c>
      <c r="U649" s="91">
        <f t="shared" ca="1" si="121"/>
        <v>3285</v>
      </c>
      <c r="V649" s="90">
        <f ca="1">VLOOKUP(B649,'115+740'!$B$15:$AB$757,15,FALSE)</f>
        <v>-715</v>
      </c>
      <c r="W649" s="89">
        <f>'115+740'!S650</f>
        <v>2</v>
      </c>
      <c r="X649" s="88">
        <f t="shared" ca="1" si="126"/>
        <v>675</v>
      </c>
      <c r="Y649" s="87">
        <f t="shared" ca="1" si="127"/>
        <v>-2</v>
      </c>
      <c r="Z649" s="86">
        <f t="shared" ca="1" si="128"/>
        <v>0</v>
      </c>
      <c r="AA649" s="85">
        <f t="shared" ca="1" si="129"/>
        <v>4.109</v>
      </c>
      <c r="AB649" s="85">
        <f t="shared" ca="1" si="130"/>
        <v>2.246</v>
      </c>
    </row>
    <row r="650" spans="2:28">
      <c r="B650" s="98">
        <f>'115+740'!B651</f>
        <v>45709</v>
      </c>
      <c r="C650" s="97">
        <f t="shared" si="122"/>
        <v>1</v>
      </c>
      <c r="D650" s="96">
        <f t="shared" si="123"/>
        <v>1069</v>
      </c>
      <c r="E650" s="95">
        <f>VLOOKUP(B650,'115+740'!B651:AB1009,3,FALSE)</f>
        <v>2446</v>
      </c>
      <c r="F650" s="92">
        <f t="shared" si="118"/>
        <v>3515</v>
      </c>
      <c r="G650" s="94">
        <f ca="1">VLOOKUP(B650,'115+740'!$B$15:$AB$757,20,FALSE)</f>
        <v>3407</v>
      </c>
      <c r="H650" s="94">
        <f ca="1">VLOOKUP(B650,'115+740'!$B$15:$AB$757,4,FALSE)</f>
        <v>268</v>
      </c>
      <c r="I650" s="91">
        <f t="shared" ca="1" si="119"/>
        <v>3247</v>
      </c>
      <c r="J650" s="91">
        <f ca="1">VLOOKUP(B650,'115+740'!$B$15:$AB$757,13,FALSE)</f>
        <v>-753</v>
      </c>
      <c r="K650" s="89">
        <f>'115+740'!Q651</f>
        <v>2</v>
      </c>
      <c r="L650" s="88">
        <f t="shared" ca="1" si="124"/>
        <v>793</v>
      </c>
      <c r="M650" s="93">
        <f ca="1">VLOOKUP(B650,'115+740'!$B$14:$AB$757,21,FALSE)</f>
        <v>3218</v>
      </c>
      <c r="N650" s="92">
        <f ca="1">VLOOKUP(B650,'115+740'!$B$15:$AB$757,5,FALSE)</f>
        <v>507</v>
      </c>
      <c r="O650" s="91">
        <f t="shared" ca="1" si="120"/>
        <v>3008</v>
      </c>
      <c r="P650" s="91">
        <f ca="1">VLOOKUP(B650,'115+740'!$B$15:$AB$757,14,FALSE)</f>
        <v>-992</v>
      </c>
      <c r="Q650" s="89">
        <f>'115+740'!R651</f>
        <v>0</v>
      </c>
      <c r="R650" s="88">
        <f t="shared" ca="1" si="125"/>
        <v>982</v>
      </c>
      <c r="S650" s="93">
        <f ca="1">VLOOKUP(B650,'115+740'!$B$14:$AB$757,22,FALSE)</f>
        <v>3525</v>
      </c>
      <c r="T650" s="92">
        <f ca="1">VLOOKUP(B650,'115+740'!$B$15:$AB$757,6,FALSE)</f>
        <v>230</v>
      </c>
      <c r="U650" s="91">
        <f t="shared" ca="1" si="121"/>
        <v>3285</v>
      </c>
      <c r="V650" s="90">
        <f ca="1">VLOOKUP(B650,'115+740'!$B$15:$AB$757,15,FALSE)</f>
        <v>-715</v>
      </c>
      <c r="W650" s="89">
        <f>'115+740'!S651</f>
        <v>0</v>
      </c>
      <c r="X650" s="88">
        <f t="shared" ca="1" si="126"/>
        <v>675</v>
      </c>
      <c r="Y650" s="87">
        <f t="shared" ca="1" si="127"/>
        <v>0</v>
      </c>
      <c r="Z650" s="86">
        <f t="shared" ca="1" si="128"/>
        <v>0</v>
      </c>
      <c r="AA650" s="85">
        <f t="shared" ca="1" si="129"/>
        <v>4.109</v>
      </c>
      <c r="AB650" s="85">
        <f t="shared" ca="1" si="130"/>
        <v>2.246</v>
      </c>
    </row>
    <row r="651" spans="2:28">
      <c r="B651" s="98">
        <f>'115+740'!B652</f>
        <v>45710</v>
      </c>
      <c r="C651" s="97">
        <f t="shared" si="122"/>
        <v>1</v>
      </c>
      <c r="D651" s="96">
        <f t="shared" si="123"/>
        <v>1069</v>
      </c>
      <c r="E651" s="95">
        <f>VLOOKUP(B651,'115+740'!B652:AB1010,3,FALSE)</f>
        <v>2448</v>
      </c>
      <c r="F651" s="92">
        <f t="shared" si="118"/>
        <v>3517</v>
      </c>
      <c r="G651" s="94">
        <f ca="1">VLOOKUP(B651,'115+740'!$B$15:$AB$757,20,FALSE)</f>
        <v>3405</v>
      </c>
      <c r="H651" s="94">
        <f ca="1">VLOOKUP(B651,'115+740'!$B$15:$AB$757,4,FALSE)</f>
        <v>272</v>
      </c>
      <c r="I651" s="91">
        <f t="shared" ca="1" si="119"/>
        <v>3245</v>
      </c>
      <c r="J651" s="91">
        <f ca="1">VLOOKUP(B651,'115+740'!$B$15:$AB$757,13,FALSE)</f>
        <v>-755</v>
      </c>
      <c r="K651" s="89">
        <f>'115+740'!Q652</f>
        <v>2</v>
      </c>
      <c r="L651" s="88">
        <f t="shared" ca="1" si="124"/>
        <v>795</v>
      </c>
      <c r="M651" s="93">
        <f ca="1">VLOOKUP(B651,'115+740'!$B$14:$AB$757,21,FALSE)</f>
        <v>3218</v>
      </c>
      <c r="N651" s="92">
        <f ca="1">VLOOKUP(B651,'115+740'!$B$15:$AB$757,5,FALSE)</f>
        <v>509</v>
      </c>
      <c r="O651" s="91">
        <f t="shared" ca="1" si="120"/>
        <v>3008</v>
      </c>
      <c r="P651" s="91">
        <f ca="1">VLOOKUP(B651,'115+740'!$B$15:$AB$757,14,FALSE)</f>
        <v>-992</v>
      </c>
      <c r="Q651" s="89">
        <f>'115+740'!R652</f>
        <v>0</v>
      </c>
      <c r="R651" s="88">
        <f t="shared" ca="1" si="125"/>
        <v>982</v>
      </c>
      <c r="S651" s="93">
        <f ca="1">VLOOKUP(B651,'115+740'!$B$14:$AB$757,22,FALSE)</f>
        <v>3525</v>
      </c>
      <c r="T651" s="92">
        <f ca="1">VLOOKUP(B651,'115+740'!$B$15:$AB$757,6,FALSE)</f>
        <v>232</v>
      </c>
      <c r="U651" s="91">
        <f t="shared" ca="1" si="121"/>
        <v>3285</v>
      </c>
      <c r="V651" s="90">
        <f ca="1">VLOOKUP(B651,'115+740'!$B$15:$AB$757,15,FALSE)</f>
        <v>-715</v>
      </c>
      <c r="W651" s="89">
        <f>'115+740'!S652</f>
        <v>0</v>
      </c>
      <c r="X651" s="88">
        <f t="shared" ca="1" si="126"/>
        <v>675</v>
      </c>
      <c r="Y651" s="87">
        <f t="shared" ca="1" si="127"/>
        <v>0</v>
      </c>
      <c r="Z651" s="86">
        <f t="shared" ca="1" si="128"/>
        <v>0</v>
      </c>
      <c r="AA651" s="85">
        <f t="shared" ca="1" si="129"/>
        <v>4.109</v>
      </c>
      <c r="AB651" s="85">
        <f t="shared" ca="1" si="130"/>
        <v>2.246</v>
      </c>
    </row>
    <row r="652" spans="2:28">
      <c r="B652" s="98">
        <f>'115+740'!B653</f>
        <v>45711</v>
      </c>
      <c r="C652" s="97">
        <f t="shared" si="122"/>
        <v>1</v>
      </c>
      <c r="D652" s="96">
        <f t="shared" si="123"/>
        <v>1069</v>
      </c>
      <c r="E652" s="95">
        <f>VLOOKUP(B652,'115+740'!B653:AB1011,3,FALSE)</f>
        <v>2450</v>
      </c>
      <c r="F652" s="92">
        <f t="shared" si="118"/>
        <v>3519</v>
      </c>
      <c r="G652" s="94">
        <f ca="1">VLOOKUP(B652,'115+740'!$B$15:$AB$757,20,FALSE)</f>
        <v>3403</v>
      </c>
      <c r="H652" s="94">
        <f ca="1">VLOOKUP(B652,'115+740'!$B$15:$AB$757,4,FALSE)</f>
        <v>276</v>
      </c>
      <c r="I652" s="91">
        <f t="shared" ca="1" si="119"/>
        <v>3243</v>
      </c>
      <c r="J652" s="91">
        <f ca="1">VLOOKUP(B652,'115+740'!$B$15:$AB$757,13,FALSE)</f>
        <v>-757</v>
      </c>
      <c r="K652" s="89">
        <f>'115+740'!Q653</f>
        <v>2</v>
      </c>
      <c r="L652" s="88">
        <f t="shared" ca="1" si="124"/>
        <v>797</v>
      </c>
      <c r="M652" s="93">
        <f ca="1">VLOOKUP(B652,'115+740'!$B$14:$AB$757,21,FALSE)</f>
        <v>3217</v>
      </c>
      <c r="N652" s="92">
        <f ca="1">VLOOKUP(B652,'115+740'!$B$15:$AB$757,5,FALSE)</f>
        <v>512</v>
      </c>
      <c r="O652" s="91">
        <f t="shared" ca="1" si="120"/>
        <v>3007</v>
      </c>
      <c r="P652" s="91">
        <f ca="1">VLOOKUP(B652,'115+740'!$B$15:$AB$757,14,FALSE)</f>
        <v>-993</v>
      </c>
      <c r="Q652" s="89">
        <f>'115+740'!R653</f>
        <v>1</v>
      </c>
      <c r="R652" s="88">
        <f t="shared" ca="1" si="125"/>
        <v>983</v>
      </c>
      <c r="S652" s="93">
        <f ca="1">VLOOKUP(B652,'115+740'!$B$14:$AB$757,22,FALSE)</f>
        <v>3525</v>
      </c>
      <c r="T652" s="92">
        <f ca="1">VLOOKUP(B652,'115+740'!$B$15:$AB$757,6,FALSE)</f>
        <v>234</v>
      </c>
      <c r="U652" s="91">
        <f t="shared" ca="1" si="121"/>
        <v>3285</v>
      </c>
      <c r="V652" s="90">
        <f ca="1">VLOOKUP(B652,'115+740'!$B$15:$AB$757,15,FALSE)</f>
        <v>-715</v>
      </c>
      <c r="W652" s="89">
        <f>'115+740'!S653</f>
        <v>0</v>
      </c>
      <c r="X652" s="88">
        <f t="shared" ca="1" si="126"/>
        <v>675</v>
      </c>
      <c r="Y652" s="87">
        <f t="shared" ca="1" si="127"/>
        <v>0</v>
      </c>
      <c r="Z652" s="86">
        <f t="shared" ca="1" si="128"/>
        <v>0</v>
      </c>
      <c r="AA652" s="85">
        <f t="shared" ca="1" si="129"/>
        <v>4.109</v>
      </c>
      <c r="AB652" s="85">
        <f t="shared" ca="1" si="130"/>
        <v>2.2440000000000002</v>
      </c>
    </row>
    <row r="653" spans="2:28">
      <c r="B653" s="98">
        <f>'115+740'!B654</f>
        <v>45712</v>
      </c>
      <c r="C653" s="97">
        <f t="shared" si="122"/>
        <v>1</v>
      </c>
      <c r="D653" s="96">
        <f t="shared" si="123"/>
        <v>1069</v>
      </c>
      <c r="E653" s="95">
        <f>VLOOKUP(B653,'115+740'!B654:AB1012,3,FALSE)</f>
        <v>2452</v>
      </c>
      <c r="F653" s="92">
        <f t="shared" ref="F653:F709" si="131">D653+E653</f>
        <v>3521</v>
      </c>
      <c r="G653" s="94">
        <f ca="1">VLOOKUP(B653,'115+740'!$B$15:$AB$757,20,FALSE)</f>
        <v>3401</v>
      </c>
      <c r="H653" s="94">
        <f ca="1">VLOOKUP(B653,'115+740'!$B$15:$AB$757,4,FALSE)</f>
        <v>280</v>
      </c>
      <c r="I653" s="91">
        <f t="shared" ref="I653:I709" ca="1" si="132">F653-H653</f>
        <v>3241</v>
      </c>
      <c r="J653" s="91">
        <f ca="1">VLOOKUP(B653,'115+740'!$B$15:$AB$757,13,FALSE)</f>
        <v>-759</v>
      </c>
      <c r="K653" s="89">
        <f>'115+740'!Q654</f>
        <v>2</v>
      </c>
      <c r="L653" s="88">
        <f t="shared" ca="1" si="124"/>
        <v>799</v>
      </c>
      <c r="M653" s="93">
        <f ca="1">VLOOKUP(B653,'115+740'!$B$14:$AB$757,21,FALSE)</f>
        <v>3217</v>
      </c>
      <c r="N653" s="92">
        <f ca="1">VLOOKUP(B653,'115+740'!$B$15:$AB$757,5,FALSE)</f>
        <v>514</v>
      </c>
      <c r="O653" s="91">
        <f t="shared" ref="O653:O709" ca="1" si="133">F653-N653</f>
        <v>3007</v>
      </c>
      <c r="P653" s="91">
        <f ca="1">VLOOKUP(B653,'115+740'!$B$15:$AB$757,14,FALSE)</f>
        <v>-993</v>
      </c>
      <c r="Q653" s="89">
        <f>'115+740'!R654</f>
        <v>0</v>
      </c>
      <c r="R653" s="88">
        <f t="shared" ca="1" si="125"/>
        <v>983</v>
      </c>
      <c r="S653" s="93">
        <f ca="1">VLOOKUP(B653,'115+740'!$B$14:$AB$757,22,FALSE)</f>
        <v>3525</v>
      </c>
      <c r="T653" s="92">
        <f ca="1">VLOOKUP(B653,'115+740'!$B$15:$AB$757,6,FALSE)</f>
        <v>236</v>
      </c>
      <c r="U653" s="91">
        <f t="shared" ref="U653:U709" ca="1" si="134">F653-T653</f>
        <v>3285</v>
      </c>
      <c r="V653" s="90">
        <f ca="1">VLOOKUP(B653,'115+740'!$B$15:$AB$757,15,FALSE)</f>
        <v>-715</v>
      </c>
      <c r="W653" s="89">
        <f>'115+740'!S654</f>
        <v>0</v>
      </c>
      <c r="X653" s="88">
        <f t="shared" ca="1" si="126"/>
        <v>675</v>
      </c>
      <c r="Y653" s="87">
        <f t="shared" ca="1" si="127"/>
        <v>0</v>
      </c>
      <c r="Z653" s="86">
        <f t="shared" ca="1" si="128"/>
        <v>0</v>
      </c>
      <c r="AA653" s="85">
        <f t="shared" ca="1" si="129"/>
        <v>4.109</v>
      </c>
      <c r="AB653" s="85">
        <f t="shared" ca="1" si="130"/>
        <v>2.2440000000000002</v>
      </c>
    </row>
    <row r="654" spans="2:28">
      <c r="B654" s="98">
        <f>'115+740'!B655</f>
        <v>45713</v>
      </c>
      <c r="C654" s="97">
        <f t="shared" ref="C654:C718" si="135">B654-B653</f>
        <v>1</v>
      </c>
      <c r="D654" s="96">
        <f t="shared" ref="D654:D709" si="136">D653</f>
        <v>1069</v>
      </c>
      <c r="E654" s="95">
        <f>VLOOKUP(B654,'115+740'!B655:AB1013,3,FALSE)</f>
        <v>2454</v>
      </c>
      <c r="F654" s="92">
        <f t="shared" si="131"/>
        <v>3523</v>
      </c>
      <c r="G654" s="94">
        <f ca="1">VLOOKUP(B654,'115+740'!$B$15:$AB$757,20,FALSE)</f>
        <v>3399</v>
      </c>
      <c r="H654" s="94">
        <f ca="1">VLOOKUP(B654,'115+740'!$B$15:$AB$757,4,FALSE)</f>
        <v>284</v>
      </c>
      <c r="I654" s="91">
        <f t="shared" ca="1" si="132"/>
        <v>3239</v>
      </c>
      <c r="J654" s="91">
        <f ca="1">VLOOKUP(B654,'115+740'!$B$15:$AB$757,13,FALSE)</f>
        <v>-761</v>
      </c>
      <c r="K654" s="89">
        <f>'115+740'!Q655</f>
        <v>2</v>
      </c>
      <c r="L654" s="88">
        <f t="shared" ref="L654:L709" ca="1" si="137">+K654+L653</f>
        <v>801</v>
      </c>
      <c r="M654" s="93">
        <f ca="1">VLOOKUP(B654,'115+740'!$B$14:$AB$757,21,FALSE)</f>
        <v>3217</v>
      </c>
      <c r="N654" s="92">
        <f ca="1">VLOOKUP(B654,'115+740'!$B$15:$AB$757,5,FALSE)</f>
        <v>516</v>
      </c>
      <c r="O654" s="91">
        <f t="shared" ca="1" si="133"/>
        <v>3007</v>
      </c>
      <c r="P654" s="91">
        <f ca="1">VLOOKUP(B654,'115+740'!$B$15:$AB$757,14,FALSE)</f>
        <v>-993</v>
      </c>
      <c r="Q654" s="89">
        <f>'115+740'!R655</f>
        <v>0</v>
      </c>
      <c r="R654" s="88">
        <f t="shared" ref="R654:R709" ca="1" si="138">+Q654+R653</f>
        <v>983</v>
      </c>
      <c r="S654" s="93">
        <f ca="1">VLOOKUP(B654,'115+740'!$B$14:$AB$757,22,FALSE)</f>
        <v>3525</v>
      </c>
      <c r="T654" s="92">
        <f ca="1">VLOOKUP(B654,'115+740'!$B$15:$AB$757,6,FALSE)</f>
        <v>238</v>
      </c>
      <c r="U654" s="91">
        <f t="shared" ca="1" si="134"/>
        <v>3285</v>
      </c>
      <c r="V654" s="90">
        <f ca="1">VLOOKUP(B654,'115+740'!$B$15:$AB$757,15,FALSE)</f>
        <v>-715</v>
      </c>
      <c r="W654" s="89">
        <f>'115+740'!S655</f>
        <v>0</v>
      </c>
      <c r="X654" s="88">
        <f t="shared" ref="X654:X709" ca="1" si="139">+W654+X653</f>
        <v>675</v>
      </c>
      <c r="Y654" s="87">
        <f t="shared" ref="Y654:Y709" ca="1" si="140">S654-S653</f>
        <v>0</v>
      </c>
      <c r="Z654" s="86">
        <f t="shared" ref="Z654:Z718" ca="1" si="141">IF(Y654&gt;0,Y654,0)/1000</f>
        <v>0</v>
      </c>
      <c r="AA654" s="85">
        <f t="shared" ref="AA654:AA709" ca="1" si="142">AA653+Z654</f>
        <v>4.109</v>
      </c>
      <c r="AB654" s="85">
        <f t="shared" ref="AB654:AB709" ca="1" si="143">(M654-$M$13-R654)/1000</f>
        <v>2.2440000000000002</v>
      </c>
    </row>
    <row r="655" spans="2:28">
      <c r="B655" s="98">
        <f>'115+740'!B656</f>
        <v>45714</v>
      </c>
      <c r="C655" s="97">
        <f t="shared" si="135"/>
        <v>1</v>
      </c>
      <c r="D655" s="96">
        <f t="shared" si="136"/>
        <v>1069</v>
      </c>
      <c r="E655" s="95">
        <f>VLOOKUP(B655,'115+740'!B656:AB1014,3,FALSE)</f>
        <v>2456</v>
      </c>
      <c r="F655" s="92">
        <f t="shared" si="131"/>
        <v>3525</v>
      </c>
      <c r="G655" s="94">
        <f ca="1">VLOOKUP(B655,'115+740'!$B$15:$AB$757,20,FALSE)</f>
        <v>3396</v>
      </c>
      <c r="H655" s="94">
        <f ca="1">VLOOKUP(B655,'115+740'!$B$15:$AB$757,4,FALSE)</f>
        <v>289</v>
      </c>
      <c r="I655" s="91">
        <f t="shared" ca="1" si="132"/>
        <v>3236</v>
      </c>
      <c r="J655" s="91">
        <f ca="1">VLOOKUP(B655,'115+740'!$B$15:$AB$757,13,FALSE)</f>
        <v>-764</v>
      </c>
      <c r="K655" s="89">
        <f>'115+740'!Q656</f>
        <v>3</v>
      </c>
      <c r="L655" s="88">
        <f t="shared" ca="1" si="137"/>
        <v>804</v>
      </c>
      <c r="M655" s="93">
        <f ca="1">VLOOKUP(B655,'115+740'!$B$14:$AB$757,21,FALSE)</f>
        <v>3217</v>
      </c>
      <c r="N655" s="92">
        <f ca="1">VLOOKUP(B655,'115+740'!$B$15:$AB$757,5,FALSE)</f>
        <v>518</v>
      </c>
      <c r="O655" s="91">
        <f t="shared" ca="1" si="133"/>
        <v>3007</v>
      </c>
      <c r="P655" s="91">
        <f ca="1">VLOOKUP(B655,'115+740'!$B$15:$AB$757,14,FALSE)</f>
        <v>-993</v>
      </c>
      <c r="Q655" s="89">
        <f>'115+740'!R656</f>
        <v>0</v>
      </c>
      <c r="R655" s="88">
        <f t="shared" ca="1" si="138"/>
        <v>983</v>
      </c>
      <c r="S655" s="93">
        <f ca="1">VLOOKUP(B655,'115+740'!$B$14:$AB$757,22,FALSE)</f>
        <v>3525</v>
      </c>
      <c r="T655" s="92">
        <f ca="1">VLOOKUP(B655,'115+740'!$B$15:$AB$757,6,FALSE)</f>
        <v>240</v>
      </c>
      <c r="U655" s="91">
        <f t="shared" ca="1" si="134"/>
        <v>3285</v>
      </c>
      <c r="V655" s="90">
        <f ca="1">VLOOKUP(B655,'115+740'!$B$15:$AB$757,15,FALSE)</f>
        <v>-715</v>
      </c>
      <c r="W655" s="89">
        <f>'115+740'!S656</f>
        <v>0</v>
      </c>
      <c r="X655" s="88">
        <f t="shared" ca="1" si="139"/>
        <v>675</v>
      </c>
      <c r="Y655" s="87">
        <f t="shared" ca="1" si="140"/>
        <v>0</v>
      </c>
      <c r="Z655" s="86">
        <f t="shared" ca="1" si="141"/>
        <v>0</v>
      </c>
      <c r="AA655" s="85">
        <f t="shared" ca="1" si="142"/>
        <v>4.109</v>
      </c>
      <c r="AB655" s="85">
        <f t="shared" ca="1" si="143"/>
        <v>2.2440000000000002</v>
      </c>
    </row>
    <row r="656" spans="2:28">
      <c r="B656" s="98">
        <f>'115+740'!B657</f>
        <v>45715</v>
      </c>
      <c r="C656" s="97">
        <f t="shared" si="135"/>
        <v>1</v>
      </c>
      <c r="D656" s="96">
        <f t="shared" si="136"/>
        <v>1069</v>
      </c>
      <c r="E656" s="95">
        <f>VLOOKUP(B656,'115+740'!B657:AB1015,3,FALSE)</f>
        <v>2458</v>
      </c>
      <c r="F656" s="92">
        <f t="shared" si="131"/>
        <v>3527</v>
      </c>
      <c r="G656" s="94">
        <f ca="1">VLOOKUP(B656,'115+740'!$B$15:$AB$757,20,FALSE)</f>
        <v>3726</v>
      </c>
      <c r="H656" s="94">
        <f ca="1">VLOOKUP(B656,'115+740'!$B$15:$AB$757,4,FALSE)</f>
        <v>301</v>
      </c>
      <c r="I656" s="91">
        <f t="shared" ca="1" si="132"/>
        <v>3226</v>
      </c>
      <c r="J656" s="91">
        <f ca="1">VLOOKUP(B656,'115+740'!$B$15:$AB$757,13,FALSE)</f>
        <v>-774</v>
      </c>
      <c r="K656" s="89">
        <f>'115+740'!Q657</f>
        <v>10</v>
      </c>
      <c r="L656" s="88">
        <f t="shared" ca="1" si="137"/>
        <v>814</v>
      </c>
      <c r="M656" s="93">
        <f ca="1">VLOOKUP(B656,'115+740'!$B$14:$AB$757,21,FALSE)</f>
        <v>3547</v>
      </c>
      <c r="N656" s="92">
        <f ca="1">VLOOKUP(B656,'115+740'!$B$15:$AB$757,5,FALSE)</f>
        <v>530</v>
      </c>
      <c r="O656" s="91">
        <f t="shared" ca="1" si="133"/>
        <v>2997</v>
      </c>
      <c r="P656" s="91">
        <f ca="1">VLOOKUP(B656,'115+740'!$B$15:$AB$757,14,FALSE)</f>
        <v>-1003</v>
      </c>
      <c r="Q656" s="89">
        <f>'115+740'!R657</f>
        <v>10</v>
      </c>
      <c r="R656" s="88">
        <f t="shared" ca="1" si="138"/>
        <v>993</v>
      </c>
      <c r="S656" s="93">
        <f ca="1">VLOOKUP(B656,'115+740'!$B$14:$AB$757,22,FALSE)</f>
        <v>3860</v>
      </c>
      <c r="T656" s="92">
        <f ca="1">VLOOKUP(B656,'115+740'!$B$15:$AB$757,6,FALSE)</f>
        <v>247</v>
      </c>
      <c r="U656" s="91">
        <f t="shared" ca="1" si="134"/>
        <v>3280</v>
      </c>
      <c r="V656" s="90">
        <f ca="1">VLOOKUP(B656,'115+740'!$B$15:$AB$757,15,FALSE)</f>
        <v>-720</v>
      </c>
      <c r="W656" s="89">
        <f>'115+740'!S657</f>
        <v>5</v>
      </c>
      <c r="X656" s="88">
        <f t="shared" ca="1" si="139"/>
        <v>680</v>
      </c>
      <c r="Y656" s="87">
        <f t="shared" ca="1" si="140"/>
        <v>335</v>
      </c>
      <c r="Z656" s="86">
        <f t="shared" ca="1" si="141"/>
        <v>0.33500000000000002</v>
      </c>
      <c r="AA656" s="85">
        <f t="shared" ca="1" si="142"/>
        <v>4.444</v>
      </c>
      <c r="AB656" s="85">
        <f t="shared" ca="1" si="143"/>
        <v>2.5640000000000001</v>
      </c>
    </row>
    <row r="657" spans="2:28">
      <c r="B657" s="98">
        <f>'115+740'!B658</f>
        <v>45716</v>
      </c>
      <c r="C657" s="97">
        <f t="shared" si="135"/>
        <v>1</v>
      </c>
      <c r="D657" s="96">
        <f t="shared" si="136"/>
        <v>1069</v>
      </c>
      <c r="E657" s="95">
        <f>VLOOKUP(B657,'115+740'!B658:AB1016,3,FALSE)</f>
        <v>2460</v>
      </c>
      <c r="F657" s="92">
        <f t="shared" si="131"/>
        <v>3529</v>
      </c>
      <c r="G657" s="94">
        <f ca="1">VLOOKUP(B657,'115+740'!$B$15:$AB$757,20,FALSE)</f>
        <v>3716</v>
      </c>
      <c r="H657" s="94">
        <f ca="1">VLOOKUP(B657,'115+740'!$B$15:$AB$757,4,FALSE)</f>
        <v>313</v>
      </c>
      <c r="I657" s="91">
        <f t="shared" ca="1" si="132"/>
        <v>3216</v>
      </c>
      <c r="J657" s="91">
        <f ca="1">VLOOKUP(B657,'115+740'!$B$15:$AB$757,13,FALSE)</f>
        <v>-784</v>
      </c>
      <c r="K657" s="89">
        <f>'115+740'!Q658</f>
        <v>10</v>
      </c>
      <c r="L657" s="88">
        <f t="shared" ca="1" si="137"/>
        <v>824</v>
      </c>
      <c r="M657" s="93">
        <f ca="1">VLOOKUP(B657,'115+740'!$B$14:$AB$757,21,FALSE)</f>
        <v>3537</v>
      </c>
      <c r="N657" s="92">
        <f ca="1">VLOOKUP(B657,'115+740'!$B$15:$AB$757,5,FALSE)</f>
        <v>542</v>
      </c>
      <c r="O657" s="91">
        <f t="shared" ca="1" si="133"/>
        <v>2987</v>
      </c>
      <c r="P657" s="91">
        <f ca="1">VLOOKUP(B657,'115+740'!$B$15:$AB$757,14,FALSE)</f>
        <v>-1013</v>
      </c>
      <c r="Q657" s="89">
        <f>'115+740'!R658</f>
        <v>10</v>
      </c>
      <c r="R657" s="88">
        <f t="shared" ca="1" si="138"/>
        <v>1003</v>
      </c>
      <c r="S657" s="93">
        <f ca="1">VLOOKUP(B657,'115+740'!$B$14:$AB$757,22,FALSE)</f>
        <v>3854</v>
      </c>
      <c r="T657" s="92">
        <f ca="1">VLOOKUP(B657,'115+740'!$B$15:$AB$757,6,FALSE)</f>
        <v>255</v>
      </c>
      <c r="U657" s="91">
        <f t="shared" ca="1" si="134"/>
        <v>3274</v>
      </c>
      <c r="V657" s="90">
        <f ca="1">VLOOKUP(B657,'115+740'!$B$15:$AB$757,15,FALSE)</f>
        <v>-726</v>
      </c>
      <c r="W657" s="89">
        <f>'115+740'!S658</f>
        <v>6</v>
      </c>
      <c r="X657" s="88">
        <f t="shared" ca="1" si="139"/>
        <v>686</v>
      </c>
      <c r="Y657" s="87">
        <f t="shared" ca="1" si="140"/>
        <v>-6</v>
      </c>
      <c r="Z657" s="86">
        <f t="shared" ca="1" si="141"/>
        <v>0</v>
      </c>
      <c r="AA657" s="85">
        <f t="shared" ca="1" si="142"/>
        <v>4.444</v>
      </c>
      <c r="AB657" s="85">
        <f t="shared" ca="1" si="143"/>
        <v>2.544</v>
      </c>
    </row>
    <row r="658" spans="2:28">
      <c r="B658" s="98">
        <f>'115+740'!B659</f>
        <v>45717</v>
      </c>
      <c r="C658" s="97">
        <f t="shared" si="135"/>
        <v>1</v>
      </c>
      <c r="D658" s="96">
        <f t="shared" si="136"/>
        <v>1069</v>
      </c>
      <c r="E658" s="95">
        <f>VLOOKUP(B658,'115+740'!B659:AB1017,3,FALSE)</f>
        <v>2462</v>
      </c>
      <c r="F658" s="92">
        <f t="shared" si="131"/>
        <v>3531</v>
      </c>
      <c r="G658" s="94">
        <f ca="1">VLOOKUP(B658,'115+740'!$B$15:$AB$757,20,FALSE)</f>
        <v>3706</v>
      </c>
      <c r="H658" s="94">
        <f ca="1">VLOOKUP(B658,'115+740'!$B$15:$AB$757,4,FALSE)</f>
        <v>325</v>
      </c>
      <c r="I658" s="91">
        <f t="shared" ca="1" si="132"/>
        <v>3206</v>
      </c>
      <c r="J658" s="91">
        <f ca="1">VLOOKUP(B658,'115+740'!$B$15:$AB$757,13,FALSE)</f>
        <v>-794</v>
      </c>
      <c r="K658" s="89">
        <f>'115+740'!Q659</f>
        <v>10</v>
      </c>
      <c r="L658" s="88">
        <f t="shared" ca="1" si="137"/>
        <v>834</v>
      </c>
      <c r="M658" s="93">
        <f ca="1">VLOOKUP(B658,'115+740'!$B$14:$AB$757,21,FALSE)</f>
        <v>3527</v>
      </c>
      <c r="N658" s="92">
        <f ca="1">VLOOKUP(B658,'115+740'!$B$15:$AB$757,5,FALSE)</f>
        <v>554</v>
      </c>
      <c r="O658" s="91">
        <f t="shared" ca="1" si="133"/>
        <v>2977</v>
      </c>
      <c r="P658" s="91">
        <f ca="1">VLOOKUP(B658,'115+740'!$B$15:$AB$757,14,FALSE)</f>
        <v>-1023</v>
      </c>
      <c r="Q658" s="89">
        <f>'115+740'!R659</f>
        <v>10</v>
      </c>
      <c r="R658" s="88">
        <f t="shared" ca="1" si="138"/>
        <v>1013</v>
      </c>
      <c r="S658" s="93">
        <f ca="1">VLOOKUP(B658,'115+740'!$B$14:$AB$757,22,FALSE)</f>
        <v>3847</v>
      </c>
      <c r="T658" s="92">
        <f ca="1">VLOOKUP(B658,'115+740'!$B$15:$AB$757,6,FALSE)</f>
        <v>264</v>
      </c>
      <c r="U658" s="91">
        <f t="shared" ca="1" si="134"/>
        <v>3267</v>
      </c>
      <c r="V658" s="90">
        <f ca="1">VLOOKUP(B658,'115+740'!$B$15:$AB$757,15,FALSE)</f>
        <v>-733</v>
      </c>
      <c r="W658" s="89">
        <f>'115+740'!S659</f>
        <v>7</v>
      </c>
      <c r="X658" s="88">
        <f t="shared" ca="1" si="139"/>
        <v>693</v>
      </c>
      <c r="Y658" s="87">
        <f t="shared" ca="1" si="140"/>
        <v>-7</v>
      </c>
      <c r="Z658" s="86">
        <f t="shared" ca="1" si="141"/>
        <v>0</v>
      </c>
      <c r="AA658" s="85">
        <f t="shared" ca="1" si="142"/>
        <v>4.444</v>
      </c>
      <c r="AB658" s="85">
        <f t="shared" ca="1" si="143"/>
        <v>2.524</v>
      </c>
    </row>
    <row r="659" spans="2:28">
      <c r="B659" s="98">
        <f>'115+740'!B660</f>
        <v>45718</v>
      </c>
      <c r="C659" s="97">
        <f t="shared" si="135"/>
        <v>1</v>
      </c>
      <c r="D659" s="96">
        <f t="shared" si="136"/>
        <v>1069</v>
      </c>
      <c r="E659" s="95">
        <f>VLOOKUP(B659,'115+740'!B660:AB1018,3,FALSE)</f>
        <v>2464</v>
      </c>
      <c r="F659" s="92">
        <f t="shared" si="131"/>
        <v>3533</v>
      </c>
      <c r="G659" s="94">
        <f ca="1">VLOOKUP(B659,'115+740'!$B$15:$AB$757,20,FALSE)</f>
        <v>3696</v>
      </c>
      <c r="H659" s="94">
        <f ca="1">VLOOKUP(B659,'115+740'!$B$15:$AB$757,4,FALSE)</f>
        <v>337</v>
      </c>
      <c r="I659" s="91">
        <f t="shared" ca="1" si="132"/>
        <v>3196</v>
      </c>
      <c r="J659" s="91">
        <f ca="1">VLOOKUP(B659,'115+740'!$B$15:$AB$757,13,FALSE)</f>
        <v>-804</v>
      </c>
      <c r="K659" s="89">
        <f>'115+740'!Q660</f>
        <v>10</v>
      </c>
      <c r="L659" s="88">
        <f t="shared" ca="1" si="137"/>
        <v>844</v>
      </c>
      <c r="M659" s="93">
        <f ca="1">VLOOKUP(B659,'115+740'!$B$14:$AB$757,21,FALSE)</f>
        <v>3517</v>
      </c>
      <c r="N659" s="92">
        <f ca="1">VLOOKUP(B659,'115+740'!$B$15:$AB$757,5,FALSE)</f>
        <v>566</v>
      </c>
      <c r="O659" s="91">
        <f t="shared" ca="1" si="133"/>
        <v>2967</v>
      </c>
      <c r="P659" s="91">
        <f ca="1">VLOOKUP(B659,'115+740'!$B$15:$AB$757,14,FALSE)</f>
        <v>-1033</v>
      </c>
      <c r="Q659" s="89">
        <f>'115+740'!R660</f>
        <v>10</v>
      </c>
      <c r="R659" s="88">
        <f t="shared" ca="1" si="138"/>
        <v>1023</v>
      </c>
      <c r="S659" s="93">
        <f ca="1">VLOOKUP(B659,'115+740'!$B$14:$AB$757,22,FALSE)</f>
        <v>3838</v>
      </c>
      <c r="T659" s="92">
        <f ca="1">VLOOKUP(B659,'115+740'!$B$15:$AB$757,6,FALSE)</f>
        <v>275</v>
      </c>
      <c r="U659" s="91">
        <f t="shared" ca="1" si="134"/>
        <v>3258</v>
      </c>
      <c r="V659" s="90">
        <f ca="1">VLOOKUP(B659,'115+740'!$B$15:$AB$757,15,FALSE)</f>
        <v>-742</v>
      </c>
      <c r="W659" s="89">
        <f>'115+740'!S660</f>
        <v>9</v>
      </c>
      <c r="X659" s="88">
        <f t="shared" ca="1" si="139"/>
        <v>702</v>
      </c>
      <c r="Y659" s="87">
        <f t="shared" ca="1" si="140"/>
        <v>-9</v>
      </c>
      <c r="Z659" s="86">
        <f t="shared" ca="1" si="141"/>
        <v>0</v>
      </c>
      <c r="AA659" s="85">
        <f t="shared" ca="1" si="142"/>
        <v>4.444</v>
      </c>
      <c r="AB659" s="85">
        <f t="shared" ca="1" si="143"/>
        <v>2.504</v>
      </c>
    </row>
    <row r="660" spans="2:28">
      <c r="B660" s="98">
        <f>'115+740'!B661</f>
        <v>45719</v>
      </c>
      <c r="C660" s="97">
        <f t="shared" si="135"/>
        <v>1</v>
      </c>
      <c r="D660" s="96">
        <f t="shared" si="136"/>
        <v>1069</v>
      </c>
      <c r="E660" s="95">
        <f>VLOOKUP(B660,'115+740'!B661:AB1019,3,FALSE)</f>
        <v>2466</v>
      </c>
      <c r="F660" s="92">
        <f t="shared" si="131"/>
        <v>3535</v>
      </c>
      <c r="G660" s="94">
        <f ca="1">VLOOKUP(B660,'115+740'!$B$15:$AB$757,20,FALSE)</f>
        <v>3686</v>
      </c>
      <c r="H660" s="94">
        <f ca="1">VLOOKUP(B660,'115+740'!$B$15:$AB$757,4,FALSE)</f>
        <v>349</v>
      </c>
      <c r="I660" s="91">
        <f t="shared" ca="1" si="132"/>
        <v>3186</v>
      </c>
      <c r="J660" s="91">
        <f ca="1">VLOOKUP(B660,'115+740'!$B$15:$AB$757,13,FALSE)</f>
        <v>-814</v>
      </c>
      <c r="K660" s="89">
        <f>'115+740'!Q661</f>
        <v>10</v>
      </c>
      <c r="L660" s="88">
        <f t="shared" ca="1" si="137"/>
        <v>854</v>
      </c>
      <c r="M660" s="93">
        <f ca="1">VLOOKUP(B660,'115+740'!$B$14:$AB$757,21,FALSE)</f>
        <v>3507</v>
      </c>
      <c r="N660" s="92">
        <f ca="1">VLOOKUP(B660,'115+740'!$B$15:$AB$757,5,FALSE)</f>
        <v>578</v>
      </c>
      <c r="O660" s="91">
        <f t="shared" ca="1" si="133"/>
        <v>2957</v>
      </c>
      <c r="P660" s="91">
        <f ca="1">VLOOKUP(B660,'115+740'!$B$15:$AB$757,14,FALSE)</f>
        <v>-1043</v>
      </c>
      <c r="Q660" s="89">
        <f>'115+740'!R661</f>
        <v>10</v>
      </c>
      <c r="R660" s="88">
        <f t="shared" ca="1" si="138"/>
        <v>1033</v>
      </c>
      <c r="S660" s="93">
        <f ca="1">VLOOKUP(B660,'115+740'!$B$14:$AB$757,22,FALSE)</f>
        <v>3832</v>
      </c>
      <c r="T660" s="92">
        <f ca="1">VLOOKUP(B660,'115+740'!$B$15:$AB$757,6,FALSE)</f>
        <v>283</v>
      </c>
      <c r="U660" s="91">
        <f t="shared" ca="1" si="134"/>
        <v>3252</v>
      </c>
      <c r="V660" s="90">
        <f ca="1">VLOOKUP(B660,'115+740'!$B$15:$AB$757,15,FALSE)</f>
        <v>-748</v>
      </c>
      <c r="W660" s="89">
        <f>'115+740'!S661</f>
        <v>6</v>
      </c>
      <c r="X660" s="88">
        <f t="shared" ca="1" si="139"/>
        <v>708</v>
      </c>
      <c r="Y660" s="87">
        <f t="shared" ca="1" si="140"/>
        <v>-6</v>
      </c>
      <c r="Z660" s="86">
        <f t="shared" ca="1" si="141"/>
        <v>0</v>
      </c>
      <c r="AA660" s="85">
        <f t="shared" ca="1" si="142"/>
        <v>4.444</v>
      </c>
      <c r="AB660" s="85">
        <f t="shared" ca="1" si="143"/>
        <v>2.484</v>
      </c>
    </row>
    <row r="661" spans="2:28">
      <c r="B661" s="98">
        <f>'115+740'!B662</f>
        <v>45720</v>
      </c>
      <c r="C661" s="97">
        <f t="shared" si="135"/>
        <v>1</v>
      </c>
      <c r="D661" s="96">
        <f t="shared" si="136"/>
        <v>1069</v>
      </c>
      <c r="E661" s="95">
        <f>VLOOKUP(B661,'115+740'!B662:AB1020,3,FALSE)</f>
        <v>2468</v>
      </c>
      <c r="F661" s="92">
        <f t="shared" si="131"/>
        <v>3537</v>
      </c>
      <c r="G661" s="94">
        <f ca="1">VLOOKUP(B661,'115+740'!$B$15:$AB$757,20,FALSE)</f>
        <v>3976</v>
      </c>
      <c r="H661" s="94">
        <f ca="1">VLOOKUP(B661,'115+740'!$B$15:$AB$757,4,FALSE)</f>
        <v>361</v>
      </c>
      <c r="I661" s="91">
        <f t="shared" ca="1" si="132"/>
        <v>3176</v>
      </c>
      <c r="J661" s="91">
        <f ca="1">VLOOKUP(B661,'115+740'!$B$15:$AB$757,13,FALSE)</f>
        <v>-824</v>
      </c>
      <c r="K661" s="89">
        <f>'115+740'!Q662</f>
        <v>10</v>
      </c>
      <c r="L661" s="88">
        <f t="shared" ca="1" si="137"/>
        <v>864</v>
      </c>
      <c r="M661" s="93">
        <f ca="1">VLOOKUP(B661,'115+740'!$B$14:$AB$757,21,FALSE)</f>
        <v>3797</v>
      </c>
      <c r="N661" s="92">
        <f ca="1">VLOOKUP(B661,'115+740'!$B$15:$AB$757,5,FALSE)</f>
        <v>590</v>
      </c>
      <c r="O661" s="91">
        <f t="shared" ca="1" si="133"/>
        <v>2947</v>
      </c>
      <c r="P661" s="91">
        <f ca="1">VLOOKUP(B661,'115+740'!$B$15:$AB$757,14,FALSE)</f>
        <v>-1053</v>
      </c>
      <c r="Q661" s="89">
        <f>'115+740'!R662</f>
        <v>10</v>
      </c>
      <c r="R661" s="88">
        <f t="shared" ca="1" si="138"/>
        <v>1043</v>
      </c>
      <c r="S661" s="93">
        <f ca="1">VLOOKUP(B661,'115+740'!$B$14:$AB$757,22,FALSE)</f>
        <v>4124</v>
      </c>
      <c r="T661" s="92">
        <f ca="1">VLOOKUP(B661,'115+740'!$B$15:$AB$757,6,FALSE)</f>
        <v>293</v>
      </c>
      <c r="U661" s="91">
        <f t="shared" ca="1" si="134"/>
        <v>3244</v>
      </c>
      <c r="V661" s="90">
        <f ca="1">VLOOKUP(B661,'115+740'!$B$15:$AB$757,15,FALSE)</f>
        <v>-756</v>
      </c>
      <c r="W661" s="89">
        <f>'115+740'!S662</f>
        <v>8</v>
      </c>
      <c r="X661" s="88">
        <f t="shared" ca="1" si="139"/>
        <v>716</v>
      </c>
      <c r="Y661" s="87">
        <f t="shared" ca="1" si="140"/>
        <v>292</v>
      </c>
      <c r="Z661" s="86">
        <f t="shared" ca="1" si="141"/>
        <v>0.29199999999999998</v>
      </c>
      <c r="AA661" s="85">
        <f t="shared" ca="1" si="142"/>
        <v>4.7359999999999998</v>
      </c>
      <c r="AB661" s="85">
        <f t="shared" ca="1" si="143"/>
        <v>2.7639999999999998</v>
      </c>
    </row>
    <row r="662" spans="2:28">
      <c r="B662" s="98">
        <f>'115+740'!B663</f>
        <v>45721</v>
      </c>
      <c r="C662" s="97">
        <f t="shared" si="135"/>
        <v>1</v>
      </c>
      <c r="D662" s="96">
        <f t="shared" si="136"/>
        <v>1069</v>
      </c>
      <c r="E662" s="95">
        <f>VLOOKUP(B662,'115+740'!B663:AB1021,3,FALSE)</f>
        <v>2470</v>
      </c>
      <c r="F662" s="92">
        <f t="shared" si="131"/>
        <v>3539</v>
      </c>
      <c r="G662" s="94">
        <f ca="1">VLOOKUP(B662,'115+740'!$B$15:$AB$757,20,FALSE)</f>
        <v>3966</v>
      </c>
      <c r="H662" s="94">
        <f ca="1">VLOOKUP(B662,'115+740'!$B$15:$AB$757,4,FALSE)</f>
        <v>373</v>
      </c>
      <c r="I662" s="91">
        <f t="shared" ca="1" si="132"/>
        <v>3166</v>
      </c>
      <c r="J662" s="91">
        <f ca="1">VLOOKUP(B662,'115+740'!$B$15:$AB$757,13,FALSE)</f>
        <v>-834</v>
      </c>
      <c r="K662" s="89">
        <f>'115+740'!Q663</f>
        <v>10</v>
      </c>
      <c r="L662" s="88">
        <f t="shared" ca="1" si="137"/>
        <v>874</v>
      </c>
      <c r="M662" s="93">
        <f ca="1">VLOOKUP(B662,'115+740'!$B$14:$AB$757,21,FALSE)</f>
        <v>3787</v>
      </c>
      <c r="N662" s="92">
        <f ca="1">VLOOKUP(B662,'115+740'!$B$15:$AB$757,5,FALSE)</f>
        <v>602</v>
      </c>
      <c r="O662" s="91">
        <f t="shared" ca="1" si="133"/>
        <v>2937</v>
      </c>
      <c r="P662" s="91">
        <f ca="1">VLOOKUP(B662,'115+740'!$B$15:$AB$757,14,FALSE)</f>
        <v>-1063</v>
      </c>
      <c r="Q662" s="89">
        <f>'115+740'!R663</f>
        <v>10</v>
      </c>
      <c r="R662" s="88">
        <f t="shared" ca="1" si="138"/>
        <v>1053</v>
      </c>
      <c r="S662" s="93">
        <f ca="1">VLOOKUP(B662,'115+740'!$B$14:$AB$757,22,FALSE)</f>
        <v>4118</v>
      </c>
      <c r="T662" s="92">
        <f ca="1">VLOOKUP(B662,'115+740'!$B$15:$AB$757,6,FALSE)</f>
        <v>301</v>
      </c>
      <c r="U662" s="91">
        <f t="shared" ca="1" si="134"/>
        <v>3238</v>
      </c>
      <c r="V662" s="90">
        <f ca="1">VLOOKUP(B662,'115+740'!$B$15:$AB$757,15,FALSE)</f>
        <v>-762</v>
      </c>
      <c r="W662" s="89">
        <f>'115+740'!S663</f>
        <v>6</v>
      </c>
      <c r="X662" s="88">
        <f t="shared" ca="1" si="139"/>
        <v>722</v>
      </c>
      <c r="Y662" s="87">
        <f t="shared" ca="1" si="140"/>
        <v>-6</v>
      </c>
      <c r="Z662" s="86">
        <f t="shared" ca="1" si="141"/>
        <v>0</v>
      </c>
      <c r="AA662" s="85">
        <f t="shared" ca="1" si="142"/>
        <v>4.7359999999999998</v>
      </c>
      <c r="AB662" s="85">
        <f t="shared" ca="1" si="143"/>
        <v>2.7440000000000002</v>
      </c>
    </row>
    <row r="663" spans="2:28">
      <c r="B663" s="98">
        <f>'115+740'!B664</f>
        <v>45722</v>
      </c>
      <c r="C663" s="97">
        <f t="shared" si="135"/>
        <v>1</v>
      </c>
      <c r="D663" s="96">
        <f t="shared" si="136"/>
        <v>1069</v>
      </c>
      <c r="E663" s="95">
        <f>VLOOKUP(B663,'115+740'!B664:AB1022,3,FALSE)</f>
        <v>2472</v>
      </c>
      <c r="F663" s="92">
        <f t="shared" si="131"/>
        <v>3541</v>
      </c>
      <c r="G663" s="94">
        <f ca="1">VLOOKUP(B663,'115+740'!$B$15:$AB$757,20,FALSE)</f>
        <v>3956</v>
      </c>
      <c r="H663" s="94">
        <f ca="1">VLOOKUP(B663,'115+740'!$B$15:$AB$757,4,FALSE)</f>
        <v>385</v>
      </c>
      <c r="I663" s="91">
        <f t="shared" ca="1" si="132"/>
        <v>3156</v>
      </c>
      <c r="J663" s="91">
        <f ca="1">VLOOKUP(B663,'115+740'!$B$15:$AB$757,13,FALSE)</f>
        <v>-844</v>
      </c>
      <c r="K663" s="89">
        <f>'115+740'!Q664</f>
        <v>10</v>
      </c>
      <c r="L663" s="88">
        <f t="shared" ca="1" si="137"/>
        <v>884</v>
      </c>
      <c r="M663" s="93">
        <f ca="1">VLOOKUP(B663,'115+740'!$B$14:$AB$757,21,FALSE)</f>
        <v>3777</v>
      </c>
      <c r="N663" s="92">
        <f ca="1">VLOOKUP(B663,'115+740'!$B$15:$AB$757,5,FALSE)</f>
        <v>614</v>
      </c>
      <c r="O663" s="91">
        <f t="shared" ca="1" si="133"/>
        <v>2927</v>
      </c>
      <c r="P663" s="91">
        <f ca="1">VLOOKUP(B663,'115+740'!$B$15:$AB$757,14,FALSE)</f>
        <v>-1073</v>
      </c>
      <c r="Q663" s="89">
        <f>'115+740'!R664</f>
        <v>10</v>
      </c>
      <c r="R663" s="88">
        <f t="shared" ca="1" si="138"/>
        <v>1063</v>
      </c>
      <c r="S663" s="93">
        <f ca="1">VLOOKUP(B663,'115+740'!$B$14:$AB$757,22,FALSE)</f>
        <v>4109</v>
      </c>
      <c r="T663" s="92">
        <f ca="1">VLOOKUP(B663,'115+740'!$B$15:$AB$757,6,FALSE)</f>
        <v>312</v>
      </c>
      <c r="U663" s="91">
        <f t="shared" ca="1" si="134"/>
        <v>3229</v>
      </c>
      <c r="V663" s="90">
        <f ca="1">VLOOKUP(B663,'115+740'!$B$15:$AB$757,15,FALSE)</f>
        <v>-771</v>
      </c>
      <c r="W663" s="89">
        <f>'115+740'!S664</f>
        <v>9</v>
      </c>
      <c r="X663" s="88">
        <f t="shared" ca="1" si="139"/>
        <v>731</v>
      </c>
      <c r="Y663" s="87">
        <f t="shared" ca="1" si="140"/>
        <v>-9</v>
      </c>
      <c r="Z663" s="86">
        <f t="shared" ca="1" si="141"/>
        <v>0</v>
      </c>
      <c r="AA663" s="85">
        <f t="shared" ca="1" si="142"/>
        <v>4.7359999999999998</v>
      </c>
      <c r="AB663" s="85">
        <f t="shared" ca="1" si="143"/>
        <v>2.7240000000000002</v>
      </c>
    </row>
    <row r="664" spans="2:28">
      <c r="B664" s="98">
        <f>'115+740'!B665</f>
        <v>45723</v>
      </c>
      <c r="C664" s="97">
        <f t="shared" si="135"/>
        <v>1</v>
      </c>
      <c r="D664" s="96">
        <f t="shared" si="136"/>
        <v>1069</v>
      </c>
      <c r="E664" s="95">
        <f>VLOOKUP(B664,'115+740'!B665:AB1023,3,FALSE)</f>
        <v>2474</v>
      </c>
      <c r="F664" s="92">
        <f t="shared" si="131"/>
        <v>3543</v>
      </c>
      <c r="G664" s="94">
        <f ca="1">VLOOKUP(B664,'115+740'!$B$15:$AB$757,20,FALSE)</f>
        <v>3946</v>
      </c>
      <c r="H664" s="94">
        <f ca="1">VLOOKUP(B664,'115+740'!$B$15:$AB$757,4,FALSE)</f>
        <v>397</v>
      </c>
      <c r="I664" s="91">
        <f t="shared" ca="1" si="132"/>
        <v>3146</v>
      </c>
      <c r="J664" s="91">
        <f ca="1">VLOOKUP(B664,'115+740'!$B$15:$AB$757,13,FALSE)</f>
        <v>-854</v>
      </c>
      <c r="K664" s="89">
        <f>'115+740'!Q665</f>
        <v>10</v>
      </c>
      <c r="L664" s="88">
        <f t="shared" ca="1" si="137"/>
        <v>894</v>
      </c>
      <c r="M664" s="93">
        <f ca="1">VLOOKUP(B664,'115+740'!$B$14:$AB$757,21,FALSE)</f>
        <v>3767</v>
      </c>
      <c r="N664" s="92">
        <f ca="1">VLOOKUP(B664,'115+740'!$B$15:$AB$757,5,FALSE)</f>
        <v>626</v>
      </c>
      <c r="O664" s="91">
        <f t="shared" ca="1" si="133"/>
        <v>2917</v>
      </c>
      <c r="P664" s="91">
        <f ca="1">VLOOKUP(B664,'115+740'!$B$15:$AB$757,14,FALSE)</f>
        <v>-1083</v>
      </c>
      <c r="Q664" s="89">
        <f>'115+740'!R665</f>
        <v>10</v>
      </c>
      <c r="R664" s="88">
        <f t="shared" ca="1" si="138"/>
        <v>1073</v>
      </c>
      <c r="S664" s="93">
        <f ca="1">VLOOKUP(B664,'115+740'!$B$14:$AB$757,22,FALSE)</f>
        <v>4100</v>
      </c>
      <c r="T664" s="92">
        <f ca="1">VLOOKUP(B664,'115+740'!$B$15:$AB$757,6,FALSE)</f>
        <v>323</v>
      </c>
      <c r="U664" s="91">
        <f t="shared" ca="1" si="134"/>
        <v>3220</v>
      </c>
      <c r="V664" s="90">
        <f ca="1">VLOOKUP(B664,'115+740'!$B$15:$AB$757,15,FALSE)</f>
        <v>-780</v>
      </c>
      <c r="W664" s="89">
        <f>'115+740'!S665</f>
        <v>9</v>
      </c>
      <c r="X664" s="88">
        <f t="shared" ca="1" si="139"/>
        <v>740</v>
      </c>
      <c r="Y664" s="87">
        <f t="shared" ca="1" si="140"/>
        <v>-9</v>
      </c>
      <c r="Z664" s="86">
        <f t="shared" ca="1" si="141"/>
        <v>0</v>
      </c>
      <c r="AA664" s="85">
        <f t="shared" ca="1" si="142"/>
        <v>4.7359999999999998</v>
      </c>
      <c r="AB664" s="85">
        <f t="shared" ca="1" si="143"/>
        <v>2.7040000000000002</v>
      </c>
    </row>
    <row r="665" spans="2:28">
      <c r="B665" s="98">
        <f>'115+740'!B666</f>
        <v>45724</v>
      </c>
      <c r="C665" s="97">
        <f t="shared" si="135"/>
        <v>1</v>
      </c>
      <c r="D665" s="96">
        <f t="shared" si="136"/>
        <v>1069</v>
      </c>
      <c r="E665" s="95">
        <f>VLOOKUP(B665,'115+740'!B666:AB1024,3,FALSE)</f>
        <v>2476</v>
      </c>
      <c r="F665" s="92">
        <f t="shared" si="131"/>
        <v>3545</v>
      </c>
      <c r="G665" s="94">
        <f ca="1">VLOOKUP(B665,'115+740'!$B$15:$AB$757,20,FALSE)</f>
        <v>3936</v>
      </c>
      <c r="H665" s="94">
        <f ca="1">VLOOKUP(B665,'115+740'!$B$15:$AB$757,4,FALSE)</f>
        <v>409</v>
      </c>
      <c r="I665" s="91">
        <f t="shared" ca="1" si="132"/>
        <v>3136</v>
      </c>
      <c r="J665" s="91">
        <f ca="1">VLOOKUP(B665,'115+740'!$B$15:$AB$757,13,FALSE)</f>
        <v>-864</v>
      </c>
      <c r="K665" s="89">
        <f>'115+740'!Q666</f>
        <v>10</v>
      </c>
      <c r="L665" s="88">
        <f t="shared" ca="1" si="137"/>
        <v>904</v>
      </c>
      <c r="M665" s="93">
        <f ca="1">VLOOKUP(B665,'115+740'!$B$14:$AB$757,21,FALSE)</f>
        <v>3757</v>
      </c>
      <c r="N665" s="92">
        <f ca="1">VLOOKUP(B665,'115+740'!$B$15:$AB$757,5,FALSE)</f>
        <v>638</v>
      </c>
      <c r="O665" s="91">
        <f t="shared" ca="1" si="133"/>
        <v>2907</v>
      </c>
      <c r="P665" s="91">
        <f ca="1">VLOOKUP(B665,'115+740'!$B$15:$AB$757,14,FALSE)</f>
        <v>-1093</v>
      </c>
      <c r="Q665" s="89">
        <f>'115+740'!R666</f>
        <v>10</v>
      </c>
      <c r="R665" s="88">
        <f t="shared" ca="1" si="138"/>
        <v>1083</v>
      </c>
      <c r="S665" s="93">
        <f ca="1">VLOOKUP(B665,'115+740'!$B$14:$AB$757,22,FALSE)</f>
        <v>4091</v>
      </c>
      <c r="T665" s="92">
        <f ca="1">VLOOKUP(B665,'115+740'!$B$15:$AB$757,6,FALSE)</f>
        <v>334</v>
      </c>
      <c r="U665" s="91">
        <f t="shared" ca="1" si="134"/>
        <v>3211</v>
      </c>
      <c r="V665" s="90">
        <f ca="1">VLOOKUP(B665,'115+740'!$B$15:$AB$757,15,FALSE)</f>
        <v>-789</v>
      </c>
      <c r="W665" s="89">
        <f>'115+740'!S666</f>
        <v>9</v>
      </c>
      <c r="X665" s="88">
        <f t="shared" ca="1" si="139"/>
        <v>749</v>
      </c>
      <c r="Y665" s="87">
        <f t="shared" ca="1" si="140"/>
        <v>-9</v>
      </c>
      <c r="Z665" s="86">
        <f t="shared" ca="1" si="141"/>
        <v>0</v>
      </c>
      <c r="AA665" s="85">
        <f t="shared" ca="1" si="142"/>
        <v>4.7359999999999998</v>
      </c>
      <c r="AB665" s="85">
        <f t="shared" ca="1" si="143"/>
        <v>2.6840000000000002</v>
      </c>
    </row>
    <row r="666" spans="2:28">
      <c r="B666" s="98">
        <f>'115+740'!B667</f>
        <v>45725</v>
      </c>
      <c r="C666" s="97">
        <f t="shared" si="135"/>
        <v>1</v>
      </c>
      <c r="D666" s="96">
        <f t="shared" si="136"/>
        <v>1069</v>
      </c>
      <c r="E666" s="95">
        <f>VLOOKUP(B666,'115+740'!B667:AB1025,3,FALSE)</f>
        <v>2478</v>
      </c>
      <c r="F666" s="92">
        <f t="shared" si="131"/>
        <v>3547</v>
      </c>
      <c r="G666" s="94">
        <f ca="1">VLOOKUP(B666,'115+740'!$B$15:$AB$757,20,FALSE)</f>
        <v>4266</v>
      </c>
      <c r="H666" s="94">
        <f ca="1">VLOOKUP(B666,'115+740'!$B$15:$AB$757,4,FALSE)</f>
        <v>421</v>
      </c>
      <c r="I666" s="91">
        <f t="shared" ca="1" si="132"/>
        <v>3126</v>
      </c>
      <c r="J666" s="91">
        <f ca="1">VLOOKUP(B666,'115+740'!$B$15:$AB$757,13,FALSE)</f>
        <v>-874</v>
      </c>
      <c r="K666" s="89">
        <f>'115+740'!Q667</f>
        <v>10</v>
      </c>
      <c r="L666" s="88">
        <f t="shared" ca="1" si="137"/>
        <v>914</v>
      </c>
      <c r="M666" s="93">
        <f ca="1">VLOOKUP(B666,'115+740'!$B$14:$AB$757,21,FALSE)</f>
        <v>4089</v>
      </c>
      <c r="N666" s="92">
        <f ca="1">VLOOKUP(B666,'115+740'!$B$15:$AB$757,5,FALSE)</f>
        <v>648</v>
      </c>
      <c r="O666" s="91">
        <f t="shared" ca="1" si="133"/>
        <v>2899</v>
      </c>
      <c r="P666" s="91">
        <f ca="1">VLOOKUP(B666,'115+740'!$B$15:$AB$757,14,FALSE)</f>
        <v>-1101</v>
      </c>
      <c r="Q666" s="89">
        <f>'115+740'!R667</f>
        <v>8</v>
      </c>
      <c r="R666" s="88">
        <f t="shared" ca="1" si="138"/>
        <v>1091</v>
      </c>
      <c r="S666" s="93">
        <f ca="1">VLOOKUP(B666,'115+740'!$B$14:$AB$757,22,FALSE)</f>
        <v>4426</v>
      </c>
      <c r="T666" s="92">
        <f ca="1">VLOOKUP(B666,'115+740'!$B$15:$AB$757,6,FALSE)</f>
        <v>341</v>
      </c>
      <c r="U666" s="91">
        <f t="shared" ca="1" si="134"/>
        <v>3206</v>
      </c>
      <c r="V666" s="90">
        <f ca="1">VLOOKUP(B666,'115+740'!$B$15:$AB$757,15,FALSE)</f>
        <v>-794</v>
      </c>
      <c r="W666" s="89">
        <f>'115+740'!S667</f>
        <v>5</v>
      </c>
      <c r="X666" s="88">
        <f t="shared" ca="1" si="139"/>
        <v>754</v>
      </c>
      <c r="Y666" s="87">
        <f t="shared" ca="1" si="140"/>
        <v>335</v>
      </c>
      <c r="Z666" s="86">
        <f t="shared" ca="1" si="141"/>
        <v>0.33500000000000002</v>
      </c>
      <c r="AA666" s="85">
        <f t="shared" ca="1" si="142"/>
        <v>5.0709999999999997</v>
      </c>
      <c r="AB666" s="85">
        <f t="shared" ca="1" si="143"/>
        <v>3.008</v>
      </c>
    </row>
    <row r="667" spans="2:28">
      <c r="B667" s="98">
        <f>'115+740'!B668</f>
        <v>45726</v>
      </c>
      <c r="C667" s="97">
        <f t="shared" si="135"/>
        <v>1</v>
      </c>
      <c r="D667" s="96">
        <f t="shared" si="136"/>
        <v>1069</v>
      </c>
      <c r="E667" s="95">
        <f>VLOOKUP(B667,'115+740'!B668:AB1026,3,FALSE)</f>
        <v>2480</v>
      </c>
      <c r="F667" s="92">
        <f t="shared" si="131"/>
        <v>3549</v>
      </c>
      <c r="G667" s="94">
        <f ca="1">VLOOKUP(B667,'115+740'!$B$15:$AB$757,20,FALSE)</f>
        <v>4256</v>
      </c>
      <c r="H667" s="94">
        <f ca="1">VLOOKUP(B667,'115+740'!$B$15:$AB$757,4,FALSE)</f>
        <v>433</v>
      </c>
      <c r="I667" s="91">
        <f t="shared" ca="1" si="132"/>
        <v>3116</v>
      </c>
      <c r="J667" s="91">
        <f ca="1">VLOOKUP(B667,'115+740'!$B$15:$AB$757,13,FALSE)</f>
        <v>-884</v>
      </c>
      <c r="K667" s="89">
        <f>'115+740'!Q668</f>
        <v>10</v>
      </c>
      <c r="L667" s="88">
        <f t="shared" ca="1" si="137"/>
        <v>924</v>
      </c>
      <c r="M667" s="93">
        <f ca="1">VLOOKUP(B667,'115+740'!$B$14:$AB$757,21,FALSE)</f>
        <v>4079</v>
      </c>
      <c r="N667" s="92">
        <f ca="1">VLOOKUP(B667,'115+740'!$B$15:$AB$757,5,FALSE)</f>
        <v>660</v>
      </c>
      <c r="O667" s="91">
        <f t="shared" ca="1" si="133"/>
        <v>2889</v>
      </c>
      <c r="P667" s="91">
        <f ca="1">VLOOKUP(B667,'115+740'!$B$15:$AB$757,14,FALSE)</f>
        <v>-1111</v>
      </c>
      <c r="Q667" s="89">
        <f>'115+740'!R668</f>
        <v>10</v>
      </c>
      <c r="R667" s="88">
        <f t="shared" ca="1" si="138"/>
        <v>1101</v>
      </c>
      <c r="S667" s="93">
        <f ca="1">VLOOKUP(B667,'115+740'!$B$14:$AB$757,22,FALSE)</f>
        <v>4418</v>
      </c>
      <c r="T667" s="92">
        <f ca="1">VLOOKUP(B667,'115+740'!$B$15:$AB$757,6,FALSE)</f>
        <v>351</v>
      </c>
      <c r="U667" s="91">
        <f t="shared" ca="1" si="134"/>
        <v>3198</v>
      </c>
      <c r="V667" s="90">
        <f ca="1">VLOOKUP(B667,'115+740'!$B$15:$AB$757,15,FALSE)</f>
        <v>-802</v>
      </c>
      <c r="W667" s="89">
        <f>'115+740'!S668</f>
        <v>8</v>
      </c>
      <c r="X667" s="88">
        <f t="shared" ca="1" si="139"/>
        <v>762</v>
      </c>
      <c r="Y667" s="87">
        <f t="shared" ca="1" si="140"/>
        <v>-8</v>
      </c>
      <c r="Z667" s="86">
        <f t="shared" ca="1" si="141"/>
        <v>0</v>
      </c>
      <c r="AA667" s="85">
        <f t="shared" ca="1" si="142"/>
        <v>5.0709999999999997</v>
      </c>
      <c r="AB667" s="85">
        <f t="shared" ca="1" si="143"/>
        <v>2.988</v>
      </c>
    </row>
    <row r="668" spans="2:28">
      <c r="B668" s="98">
        <f>'115+740'!B669</f>
        <v>45727</v>
      </c>
      <c r="C668" s="97">
        <f t="shared" si="135"/>
        <v>1</v>
      </c>
      <c r="D668" s="96">
        <f t="shared" si="136"/>
        <v>1069</v>
      </c>
      <c r="E668" s="95">
        <f>VLOOKUP(B668,'115+740'!B669:AB1027,3,FALSE)</f>
        <v>2482</v>
      </c>
      <c r="F668" s="92">
        <f t="shared" si="131"/>
        <v>3551</v>
      </c>
      <c r="G668" s="94">
        <f ca="1">VLOOKUP(B668,'115+740'!$B$15:$AB$757,20,FALSE)</f>
        <v>4246</v>
      </c>
      <c r="H668" s="94">
        <f ca="1">VLOOKUP(B668,'115+740'!$B$15:$AB$757,4,FALSE)</f>
        <v>445</v>
      </c>
      <c r="I668" s="91">
        <f t="shared" ca="1" si="132"/>
        <v>3106</v>
      </c>
      <c r="J668" s="91">
        <f ca="1">VLOOKUP(B668,'115+740'!$B$15:$AB$757,13,FALSE)</f>
        <v>-894</v>
      </c>
      <c r="K668" s="89">
        <f>'115+740'!Q669</f>
        <v>10</v>
      </c>
      <c r="L668" s="88">
        <f t="shared" ca="1" si="137"/>
        <v>934</v>
      </c>
      <c r="M668" s="93">
        <f ca="1">VLOOKUP(B668,'115+740'!$B$14:$AB$757,21,FALSE)</f>
        <v>4069</v>
      </c>
      <c r="N668" s="92">
        <f ca="1">VLOOKUP(B668,'115+740'!$B$15:$AB$757,5,FALSE)</f>
        <v>672</v>
      </c>
      <c r="O668" s="91">
        <f t="shared" ca="1" si="133"/>
        <v>2879</v>
      </c>
      <c r="P668" s="91">
        <f ca="1">VLOOKUP(B668,'115+740'!$B$15:$AB$757,14,FALSE)</f>
        <v>-1121</v>
      </c>
      <c r="Q668" s="89">
        <f>'115+740'!R669</f>
        <v>10</v>
      </c>
      <c r="R668" s="88">
        <f t="shared" ca="1" si="138"/>
        <v>1111</v>
      </c>
      <c r="S668" s="93">
        <f ca="1">VLOOKUP(B668,'115+740'!$B$14:$AB$757,22,FALSE)</f>
        <v>4411</v>
      </c>
      <c r="T668" s="92">
        <f ca="1">VLOOKUP(B668,'115+740'!$B$15:$AB$757,6,FALSE)</f>
        <v>360</v>
      </c>
      <c r="U668" s="91">
        <f t="shared" ca="1" si="134"/>
        <v>3191</v>
      </c>
      <c r="V668" s="90">
        <f ca="1">VLOOKUP(B668,'115+740'!$B$15:$AB$757,15,FALSE)</f>
        <v>-809</v>
      </c>
      <c r="W668" s="89">
        <f>'115+740'!S669</f>
        <v>7</v>
      </c>
      <c r="X668" s="88">
        <f t="shared" ca="1" si="139"/>
        <v>769</v>
      </c>
      <c r="Y668" s="87">
        <f t="shared" ca="1" si="140"/>
        <v>-7</v>
      </c>
      <c r="Z668" s="86">
        <f t="shared" ca="1" si="141"/>
        <v>0</v>
      </c>
      <c r="AA668" s="85">
        <f t="shared" ca="1" si="142"/>
        <v>5.0709999999999997</v>
      </c>
      <c r="AB668" s="85">
        <f t="shared" ca="1" si="143"/>
        <v>2.968</v>
      </c>
    </row>
    <row r="669" spans="2:28">
      <c r="B669" s="98">
        <f>'115+740'!B670</f>
        <v>45728</v>
      </c>
      <c r="C669" s="97">
        <f t="shared" si="135"/>
        <v>1</v>
      </c>
      <c r="D669" s="96">
        <f t="shared" si="136"/>
        <v>1069</v>
      </c>
      <c r="E669" s="95">
        <f>VLOOKUP(B669,'115+740'!B670:AB1028,3,FALSE)</f>
        <v>2484</v>
      </c>
      <c r="F669" s="92">
        <f t="shared" si="131"/>
        <v>3553</v>
      </c>
      <c r="G669" s="94">
        <f ca="1">VLOOKUP(B669,'115+740'!$B$15:$AB$757,20,FALSE)</f>
        <v>4236</v>
      </c>
      <c r="H669" s="94">
        <f ca="1">VLOOKUP(B669,'115+740'!$B$15:$AB$757,4,FALSE)</f>
        <v>457</v>
      </c>
      <c r="I669" s="91">
        <f t="shared" ca="1" si="132"/>
        <v>3096</v>
      </c>
      <c r="J669" s="91">
        <f ca="1">VLOOKUP(B669,'115+740'!$B$15:$AB$757,13,FALSE)</f>
        <v>-904</v>
      </c>
      <c r="K669" s="89">
        <f>'115+740'!Q670</f>
        <v>10</v>
      </c>
      <c r="L669" s="88">
        <f t="shared" ca="1" si="137"/>
        <v>944</v>
      </c>
      <c r="M669" s="93">
        <f ca="1">VLOOKUP(B669,'115+740'!$B$14:$AB$757,21,FALSE)</f>
        <v>4059</v>
      </c>
      <c r="N669" s="92">
        <f ca="1">VLOOKUP(B669,'115+740'!$B$15:$AB$757,5,FALSE)</f>
        <v>684</v>
      </c>
      <c r="O669" s="91">
        <f t="shared" ca="1" si="133"/>
        <v>2869</v>
      </c>
      <c r="P669" s="91">
        <f ca="1">VLOOKUP(B669,'115+740'!$B$15:$AB$757,14,FALSE)</f>
        <v>-1131</v>
      </c>
      <c r="Q669" s="89">
        <f>'115+740'!R670</f>
        <v>10</v>
      </c>
      <c r="R669" s="88">
        <f t="shared" ca="1" si="138"/>
        <v>1121</v>
      </c>
      <c r="S669" s="93">
        <f ca="1">VLOOKUP(B669,'115+740'!$B$14:$AB$757,22,FALSE)</f>
        <v>4405</v>
      </c>
      <c r="T669" s="92">
        <f ca="1">VLOOKUP(B669,'115+740'!$B$15:$AB$757,6,FALSE)</f>
        <v>368</v>
      </c>
      <c r="U669" s="91">
        <f t="shared" ca="1" si="134"/>
        <v>3185</v>
      </c>
      <c r="V669" s="90">
        <f ca="1">VLOOKUP(B669,'115+740'!$B$15:$AB$757,15,FALSE)</f>
        <v>-815</v>
      </c>
      <c r="W669" s="89">
        <f>'115+740'!S670</f>
        <v>6</v>
      </c>
      <c r="X669" s="88">
        <f t="shared" ca="1" si="139"/>
        <v>775</v>
      </c>
      <c r="Y669" s="87">
        <f t="shared" ca="1" si="140"/>
        <v>-6</v>
      </c>
      <c r="Z669" s="86">
        <f t="shared" ca="1" si="141"/>
        <v>0</v>
      </c>
      <c r="AA669" s="85">
        <f t="shared" ca="1" si="142"/>
        <v>5.0709999999999997</v>
      </c>
      <c r="AB669" s="85">
        <f t="shared" ca="1" si="143"/>
        <v>2.948</v>
      </c>
    </row>
    <row r="670" spans="2:28">
      <c r="B670" s="98">
        <f>'115+740'!B671</f>
        <v>45729</v>
      </c>
      <c r="C670" s="97">
        <f t="shared" si="135"/>
        <v>1</v>
      </c>
      <c r="D670" s="96">
        <f t="shared" si="136"/>
        <v>1069</v>
      </c>
      <c r="E670" s="95">
        <f>VLOOKUP(B670,'115+740'!B671:AB1029,3,FALSE)</f>
        <v>2486</v>
      </c>
      <c r="F670" s="92">
        <f t="shared" si="131"/>
        <v>3555</v>
      </c>
      <c r="G670" s="94">
        <f ca="1">VLOOKUP(B670,'115+740'!$B$15:$AB$757,20,FALSE)</f>
        <v>4226</v>
      </c>
      <c r="H670" s="94">
        <f ca="1">VLOOKUP(B670,'115+740'!$B$15:$AB$757,4,FALSE)</f>
        <v>469</v>
      </c>
      <c r="I670" s="91">
        <f t="shared" ca="1" si="132"/>
        <v>3086</v>
      </c>
      <c r="J670" s="91">
        <f ca="1">VLOOKUP(B670,'115+740'!$B$15:$AB$757,13,FALSE)</f>
        <v>-914</v>
      </c>
      <c r="K670" s="89">
        <f>'115+740'!Q671</f>
        <v>10</v>
      </c>
      <c r="L670" s="88">
        <f t="shared" ca="1" si="137"/>
        <v>954</v>
      </c>
      <c r="M670" s="93">
        <f ca="1">VLOOKUP(B670,'115+740'!$B$14:$AB$757,21,FALSE)</f>
        <v>4050</v>
      </c>
      <c r="N670" s="92">
        <f ca="1">VLOOKUP(B670,'115+740'!$B$15:$AB$757,5,FALSE)</f>
        <v>695</v>
      </c>
      <c r="O670" s="91">
        <f t="shared" ca="1" si="133"/>
        <v>2860</v>
      </c>
      <c r="P670" s="91">
        <f ca="1">VLOOKUP(B670,'115+740'!$B$15:$AB$757,14,FALSE)</f>
        <v>-1140</v>
      </c>
      <c r="Q670" s="89">
        <f>'115+740'!R671</f>
        <v>9</v>
      </c>
      <c r="R670" s="88">
        <f t="shared" ca="1" si="138"/>
        <v>1130</v>
      </c>
      <c r="S670" s="93">
        <f ca="1">VLOOKUP(B670,'115+740'!$B$14:$AB$757,22,FALSE)</f>
        <v>4397</v>
      </c>
      <c r="T670" s="92">
        <f ca="1">VLOOKUP(B670,'115+740'!$B$15:$AB$757,6,FALSE)</f>
        <v>378</v>
      </c>
      <c r="U670" s="91">
        <f t="shared" ca="1" si="134"/>
        <v>3177</v>
      </c>
      <c r="V670" s="90">
        <f ca="1">VLOOKUP(B670,'115+740'!$B$15:$AB$757,15,FALSE)</f>
        <v>-823</v>
      </c>
      <c r="W670" s="89">
        <f>'115+740'!S671</f>
        <v>8</v>
      </c>
      <c r="X670" s="88">
        <f t="shared" ca="1" si="139"/>
        <v>783</v>
      </c>
      <c r="Y670" s="87">
        <f t="shared" ca="1" si="140"/>
        <v>-8</v>
      </c>
      <c r="Z670" s="86">
        <f t="shared" ca="1" si="141"/>
        <v>0</v>
      </c>
      <c r="AA670" s="85">
        <f t="shared" ca="1" si="142"/>
        <v>5.0709999999999997</v>
      </c>
      <c r="AB670" s="85">
        <f t="shared" ca="1" si="143"/>
        <v>2.93</v>
      </c>
    </row>
    <row r="671" spans="2:28">
      <c r="B671" s="98">
        <f>'115+740'!B672</f>
        <v>45730</v>
      </c>
      <c r="C671" s="97">
        <f t="shared" si="135"/>
        <v>1</v>
      </c>
      <c r="D671" s="96">
        <f t="shared" si="136"/>
        <v>1069</v>
      </c>
      <c r="E671" s="95">
        <f>VLOOKUP(B671,'115+740'!B672:AB1030,3,FALSE)</f>
        <v>2488</v>
      </c>
      <c r="F671" s="92">
        <f t="shared" si="131"/>
        <v>3557</v>
      </c>
      <c r="G671" s="94">
        <f ca="1">VLOOKUP(B671,'115+740'!$B$15:$AB$757,20,FALSE)</f>
        <v>4516</v>
      </c>
      <c r="H671" s="94">
        <f ca="1">VLOOKUP(B671,'115+740'!$B$15:$AB$757,4,FALSE)</f>
        <v>481</v>
      </c>
      <c r="I671" s="91">
        <f t="shared" ca="1" si="132"/>
        <v>3076</v>
      </c>
      <c r="J671" s="91">
        <f ca="1">VLOOKUP(B671,'115+740'!$B$15:$AB$757,13,FALSE)</f>
        <v>-924</v>
      </c>
      <c r="K671" s="89">
        <f>'115+740'!Q672</f>
        <v>10</v>
      </c>
      <c r="L671" s="88">
        <f t="shared" ca="1" si="137"/>
        <v>964</v>
      </c>
      <c r="M671" s="93">
        <f ca="1">VLOOKUP(B671,'115+740'!$B$14:$AB$757,21,FALSE)</f>
        <v>4340</v>
      </c>
      <c r="N671" s="92">
        <f ca="1">VLOOKUP(B671,'115+740'!$B$15:$AB$757,5,FALSE)</f>
        <v>707</v>
      </c>
      <c r="O671" s="91">
        <f t="shared" ca="1" si="133"/>
        <v>2850</v>
      </c>
      <c r="P671" s="91">
        <f ca="1">VLOOKUP(B671,'115+740'!$B$15:$AB$757,14,FALSE)</f>
        <v>-1150</v>
      </c>
      <c r="Q671" s="89">
        <f>'115+740'!R672</f>
        <v>10</v>
      </c>
      <c r="R671" s="88">
        <f t="shared" ca="1" si="138"/>
        <v>1140</v>
      </c>
      <c r="S671" s="93">
        <f ca="1">VLOOKUP(B671,'115+740'!$B$14:$AB$757,22,FALSE)</f>
        <v>4689</v>
      </c>
      <c r="T671" s="92">
        <f ca="1">VLOOKUP(B671,'115+740'!$B$15:$AB$757,6,FALSE)</f>
        <v>388</v>
      </c>
      <c r="U671" s="91">
        <f t="shared" ca="1" si="134"/>
        <v>3169</v>
      </c>
      <c r="V671" s="90">
        <f ca="1">VLOOKUP(B671,'115+740'!$B$15:$AB$757,15,FALSE)</f>
        <v>-831</v>
      </c>
      <c r="W671" s="89">
        <f>'115+740'!S672</f>
        <v>8</v>
      </c>
      <c r="X671" s="88">
        <f t="shared" ca="1" si="139"/>
        <v>791</v>
      </c>
      <c r="Y671" s="87">
        <f t="shared" ca="1" si="140"/>
        <v>292</v>
      </c>
      <c r="Z671" s="86">
        <f t="shared" ca="1" si="141"/>
        <v>0.29199999999999998</v>
      </c>
      <c r="AA671" s="85">
        <f t="shared" ca="1" si="142"/>
        <v>5.3629999999999995</v>
      </c>
      <c r="AB671" s="85">
        <f t="shared" ca="1" si="143"/>
        <v>3.21</v>
      </c>
    </row>
    <row r="672" spans="2:28">
      <c r="B672" s="98">
        <f>'115+740'!B673</f>
        <v>45731</v>
      </c>
      <c r="C672" s="97">
        <f t="shared" si="135"/>
        <v>1</v>
      </c>
      <c r="D672" s="96">
        <f t="shared" si="136"/>
        <v>1069</v>
      </c>
      <c r="E672" s="95">
        <f>VLOOKUP(B672,'115+740'!B673:AB1031,3,FALSE)</f>
        <v>2490</v>
      </c>
      <c r="F672" s="92">
        <f t="shared" si="131"/>
        <v>3559</v>
      </c>
      <c r="G672" s="94">
        <f ca="1">VLOOKUP(B672,'115+740'!$B$15:$AB$757,20,FALSE)</f>
        <v>4506</v>
      </c>
      <c r="H672" s="94">
        <f ca="1">VLOOKUP(B672,'115+740'!$B$15:$AB$757,4,FALSE)</f>
        <v>493</v>
      </c>
      <c r="I672" s="91">
        <f t="shared" ca="1" si="132"/>
        <v>3066</v>
      </c>
      <c r="J672" s="91">
        <f ca="1">VLOOKUP(B672,'115+740'!$B$15:$AB$757,13,FALSE)</f>
        <v>-934</v>
      </c>
      <c r="K672" s="89">
        <f>'115+740'!Q673</f>
        <v>10</v>
      </c>
      <c r="L672" s="88">
        <f t="shared" ca="1" si="137"/>
        <v>974</v>
      </c>
      <c r="M672" s="93">
        <f ca="1">VLOOKUP(B672,'115+740'!$B$14:$AB$757,21,FALSE)</f>
        <v>4330</v>
      </c>
      <c r="N672" s="92">
        <f ca="1">VLOOKUP(B672,'115+740'!$B$15:$AB$757,5,FALSE)</f>
        <v>719</v>
      </c>
      <c r="O672" s="91">
        <f t="shared" ca="1" si="133"/>
        <v>2840</v>
      </c>
      <c r="P672" s="91">
        <f ca="1">VLOOKUP(B672,'115+740'!$B$15:$AB$757,14,FALSE)</f>
        <v>-1160</v>
      </c>
      <c r="Q672" s="89">
        <f>'115+740'!R673</f>
        <v>10</v>
      </c>
      <c r="R672" s="88">
        <f t="shared" ca="1" si="138"/>
        <v>1150</v>
      </c>
      <c r="S672" s="93">
        <f ca="1">VLOOKUP(B672,'115+740'!$B$14:$AB$757,22,FALSE)</f>
        <v>4679</v>
      </c>
      <c r="T672" s="92">
        <f ca="1">VLOOKUP(B672,'115+740'!$B$15:$AB$757,6,FALSE)</f>
        <v>400</v>
      </c>
      <c r="U672" s="91">
        <f t="shared" ca="1" si="134"/>
        <v>3159</v>
      </c>
      <c r="V672" s="90">
        <f ca="1">VLOOKUP(B672,'115+740'!$B$15:$AB$757,15,FALSE)</f>
        <v>-841</v>
      </c>
      <c r="W672" s="89">
        <f>'115+740'!S673</f>
        <v>10</v>
      </c>
      <c r="X672" s="88">
        <f t="shared" ca="1" si="139"/>
        <v>801</v>
      </c>
      <c r="Y672" s="87">
        <f t="shared" ca="1" si="140"/>
        <v>-10</v>
      </c>
      <c r="Z672" s="86">
        <f t="shared" ca="1" si="141"/>
        <v>0</v>
      </c>
      <c r="AA672" s="85">
        <f t="shared" ca="1" si="142"/>
        <v>5.3629999999999995</v>
      </c>
      <c r="AB672" s="85">
        <f t="shared" ca="1" si="143"/>
        <v>3.19</v>
      </c>
    </row>
    <row r="673" spans="2:28">
      <c r="B673" s="98">
        <f>'115+740'!B674</f>
        <v>45732</v>
      </c>
      <c r="C673" s="97">
        <f t="shared" si="135"/>
        <v>1</v>
      </c>
      <c r="D673" s="96">
        <f t="shared" si="136"/>
        <v>1069</v>
      </c>
      <c r="E673" s="95">
        <f>VLOOKUP(B673,'115+740'!B674:AB1032,3,FALSE)</f>
        <v>2492</v>
      </c>
      <c r="F673" s="92">
        <f t="shared" si="131"/>
        <v>3561</v>
      </c>
      <c r="G673" s="94">
        <f ca="1">VLOOKUP(B673,'115+740'!$B$15:$AB$757,20,FALSE)</f>
        <v>4496</v>
      </c>
      <c r="H673" s="94">
        <f ca="1">VLOOKUP(B673,'115+740'!$B$15:$AB$757,4,FALSE)</f>
        <v>505</v>
      </c>
      <c r="I673" s="91">
        <f t="shared" ca="1" si="132"/>
        <v>3056</v>
      </c>
      <c r="J673" s="91">
        <f ca="1">VLOOKUP(B673,'115+740'!$B$15:$AB$757,13,FALSE)</f>
        <v>-944</v>
      </c>
      <c r="K673" s="89">
        <f>'115+740'!Q674</f>
        <v>10</v>
      </c>
      <c r="L673" s="88">
        <f t="shared" ca="1" si="137"/>
        <v>984</v>
      </c>
      <c r="M673" s="93">
        <f ca="1">VLOOKUP(B673,'115+740'!$B$14:$AB$757,21,FALSE)</f>
        <v>4320</v>
      </c>
      <c r="N673" s="92">
        <f ca="1">VLOOKUP(B673,'115+740'!$B$15:$AB$757,5,FALSE)</f>
        <v>731</v>
      </c>
      <c r="O673" s="91">
        <f t="shared" ca="1" si="133"/>
        <v>2830</v>
      </c>
      <c r="P673" s="91">
        <f ca="1">VLOOKUP(B673,'115+740'!$B$15:$AB$757,14,FALSE)</f>
        <v>-1170</v>
      </c>
      <c r="Q673" s="89">
        <f>'115+740'!R674</f>
        <v>10</v>
      </c>
      <c r="R673" s="88">
        <f t="shared" ca="1" si="138"/>
        <v>1160</v>
      </c>
      <c r="S673" s="93">
        <f ca="1">VLOOKUP(B673,'115+740'!$B$14:$AB$757,22,FALSE)</f>
        <v>4670</v>
      </c>
      <c r="T673" s="92">
        <f ca="1">VLOOKUP(B673,'115+740'!$B$15:$AB$757,6,FALSE)</f>
        <v>411</v>
      </c>
      <c r="U673" s="91">
        <f t="shared" ca="1" si="134"/>
        <v>3150</v>
      </c>
      <c r="V673" s="90">
        <f ca="1">VLOOKUP(B673,'115+740'!$B$15:$AB$757,15,FALSE)</f>
        <v>-850</v>
      </c>
      <c r="W673" s="89">
        <f>'115+740'!S674</f>
        <v>9</v>
      </c>
      <c r="X673" s="88">
        <f t="shared" ca="1" si="139"/>
        <v>810</v>
      </c>
      <c r="Y673" s="87">
        <f t="shared" ca="1" si="140"/>
        <v>-9</v>
      </c>
      <c r="Z673" s="86">
        <f t="shared" ca="1" si="141"/>
        <v>0</v>
      </c>
      <c r="AA673" s="85">
        <f t="shared" ca="1" si="142"/>
        <v>5.3629999999999995</v>
      </c>
      <c r="AB673" s="85">
        <f t="shared" ca="1" si="143"/>
        <v>3.17</v>
      </c>
    </row>
    <row r="674" spans="2:28">
      <c r="B674" s="98">
        <f>'115+740'!B675</f>
        <v>45733</v>
      </c>
      <c r="C674" s="97">
        <f t="shared" si="135"/>
        <v>1</v>
      </c>
      <c r="D674" s="96">
        <f t="shared" si="136"/>
        <v>1069</v>
      </c>
      <c r="E674" s="95">
        <f>VLOOKUP(B674,'115+740'!B675:AB1033,3,FALSE)</f>
        <v>2494</v>
      </c>
      <c r="F674" s="92">
        <f t="shared" si="131"/>
        <v>3563</v>
      </c>
      <c r="G674" s="94">
        <f ca="1">VLOOKUP(B674,'115+740'!$B$15:$AB$757,20,FALSE)</f>
        <v>4486</v>
      </c>
      <c r="H674" s="94">
        <f ca="1">VLOOKUP(B674,'115+740'!$B$15:$AB$757,4,FALSE)</f>
        <v>517</v>
      </c>
      <c r="I674" s="91">
        <f t="shared" ca="1" si="132"/>
        <v>3046</v>
      </c>
      <c r="J674" s="91">
        <f ca="1">VLOOKUP(B674,'115+740'!$B$15:$AB$757,13,FALSE)</f>
        <v>-954</v>
      </c>
      <c r="K674" s="89">
        <f>'115+740'!Q675</f>
        <v>10</v>
      </c>
      <c r="L674" s="88">
        <f t="shared" ca="1" si="137"/>
        <v>994</v>
      </c>
      <c r="M674" s="93">
        <f ca="1">VLOOKUP(B674,'115+740'!$B$14:$AB$757,21,FALSE)</f>
        <v>4310</v>
      </c>
      <c r="N674" s="92">
        <f ca="1">VLOOKUP(B674,'115+740'!$B$15:$AB$757,5,FALSE)</f>
        <v>743</v>
      </c>
      <c r="O674" s="91">
        <f t="shared" ca="1" si="133"/>
        <v>2820</v>
      </c>
      <c r="P674" s="91">
        <f ca="1">VLOOKUP(B674,'115+740'!$B$15:$AB$757,14,FALSE)</f>
        <v>-1180</v>
      </c>
      <c r="Q674" s="89">
        <f>'115+740'!R675</f>
        <v>10</v>
      </c>
      <c r="R674" s="88">
        <f t="shared" ca="1" si="138"/>
        <v>1170</v>
      </c>
      <c r="S674" s="93">
        <f ca="1">VLOOKUP(B674,'115+740'!$B$14:$AB$757,22,FALSE)</f>
        <v>4660</v>
      </c>
      <c r="T674" s="92">
        <f ca="1">VLOOKUP(B674,'115+740'!$B$15:$AB$757,6,FALSE)</f>
        <v>423</v>
      </c>
      <c r="U674" s="91">
        <f t="shared" ca="1" si="134"/>
        <v>3140</v>
      </c>
      <c r="V674" s="90">
        <f ca="1">VLOOKUP(B674,'115+740'!$B$15:$AB$757,15,FALSE)</f>
        <v>-860</v>
      </c>
      <c r="W674" s="89">
        <f>'115+740'!S675</f>
        <v>10</v>
      </c>
      <c r="X674" s="88">
        <f t="shared" ca="1" si="139"/>
        <v>820</v>
      </c>
      <c r="Y674" s="87">
        <f t="shared" ca="1" si="140"/>
        <v>-10</v>
      </c>
      <c r="Z674" s="86">
        <f t="shared" ca="1" si="141"/>
        <v>0</v>
      </c>
      <c r="AA674" s="85">
        <f t="shared" ca="1" si="142"/>
        <v>5.3629999999999995</v>
      </c>
      <c r="AB674" s="85">
        <f t="shared" ca="1" si="143"/>
        <v>3.15</v>
      </c>
    </row>
    <row r="675" spans="2:28">
      <c r="B675" s="98">
        <f>'115+740'!B676</f>
        <v>45734</v>
      </c>
      <c r="C675" s="97">
        <f t="shared" si="135"/>
        <v>1</v>
      </c>
      <c r="D675" s="96">
        <f t="shared" si="136"/>
        <v>1069</v>
      </c>
      <c r="E675" s="95">
        <f>VLOOKUP(B675,'115+740'!B676:AB1034,3,FALSE)</f>
        <v>2496</v>
      </c>
      <c r="F675" s="92">
        <f t="shared" si="131"/>
        <v>3565</v>
      </c>
      <c r="G675" s="94">
        <f ca="1">VLOOKUP(B675,'115+740'!$B$15:$AB$757,20,FALSE)</f>
        <v>4476</v>
      </c>
      <c r="H675" s="94">
        <f ca="1">VLOOKUP(B675,'115+740'!$B$15:$AB$757,4,FALSE)</f>
        <v>529</v>
      </c>
      <c r="I675" s="91">
        <f t="shared" ca="1" si="132"/>
        <v>3036</v>
      </c>
      <c r="J675" s="91">
        <f ca="1">VLOOKUP(B675,'115+740'!$B$15:$AB$757,13,FALSE)</f>
        <v>-964</v>
      </c>
      <c r="K675" s="89">
        <f>'115+740'!Q676</f>
        <v>10</v>
      </c>
      <c r="L675" s="88">
        <f t="shared" ca="1" si="137"/>
        <v>1004</v>
      </c>
      <c r="M675" s="93">
        <f ca="1">VLOOKUP(B675,'115+740'!$B$14:$AB$757,21,FALSE)</f>
        <v>4300</v>
      </c>
      <c r="N675" s="92">
        <f ca="1">VLOOKUP(B675,'115+740'!$B$15:$AB$757,5,FALSE)</f>
        <v>755</v>
      </c>
      <c r="O675" s="91">
        <f t="shared" ca="1" si="133"/>
        <v>2810</v>
      </c>
      <c r="P675" s="91">
        <f ca="1">VLOOKUP(B675,'115+740'!$B$15:$AB$757,14,FALSE)</f>
        <v>-1190</v>
      </c>
      <c r="Q675" s="89">
        <f>'115+740'!R676</f>
        <v>10</v>
      </c>
      <c r="R675" s="88">
        <f t="shared" ca="1" si="138"/>
        <v>1180</v>
      </c>
      <c r="S675" s="93">
        <f ca="1">VLOOKUP(B675,'115+740'!$B$14:$AB$757,22,FALSE)</f>
        <v>4654</v>
      </c>
      <c r="T675" s="92">
        <f ca="1">VLOOKUP(B675,'115+740'!$B$15:$AB$757,6,FALSE)</f>
        <v>431</v>
      </c>
      <c r="U675" s="91">
        <f t="shared" ca="1" si="134"/>
        <v>3134</v>
      </c>
      <c r="V675" s="90">
        <f ca="1">VLOOKUP(B675,'115+740'!$B$15:$AB$757,15,FALSE)</f>
        <v>-866</v>
      </c>
      <c r="W675" s="89">
        <f>'115+740'!S676</f>
        <v>6</v>
      </c>
      <c r="X675" s="88">
        <f t="shared" ca="1" si="139"/>
        <v>826</v>
      </c>
      <c r="Y675" s="87">
        <f t="shared" ca="1" si="140"/>
        <v>-6</v>
      </c>
      <c r="Z675" s="86">
        <f t="shared" ca="1" si="141"/>
        <v>0</v>
      </c>
      <c r="AA675" s="85">
        <f t="shared" ca="1" si="142"/>
        <v>5.3629999999999995</v>
      </c>
      <c r="AB675" s="85">
        <f t="shared" ca="1" si="143"/>
        <v>3.13</v>
      </c>
    </row>
    <row r="676" spans="2:28">
      <c r="B676" s="98">
        <f>'115+740'!B677</f>
        <v>45735</v>
      </c>
      <c r="C676" s="97">
        <f t="shared" si="135"/>
        <v>1</v>
      </c>
      <c r="D676" s="96">
        <f t="shared" si="136"/>
        <v>1069</v>
      </c>
      <c r="E676" s="95">
        <f>VLOOKUP(B676,'115+740'!B677:AB1035,3,FALSE)</f>
        <v>2498</v>
      </c>
      <c r="F676" s="92">
        <f t="shared" si="131"/>
        <v>3567</v>
      </c>
      <c r="G676" s="94">
        <f ca="1">VLOOKUP(B676,'115+740'!$B$15:$AB$757,20,FALSE)</f>
        <v>4766</v>
      </c>
      <c r="H676" s="94">
        <f ca="1">VLOOKUP(B676,'115+740'!$B$15:$AB$757,4,FALSE)</f>
        <v>541</v>
      </c>
      <c r="I676" s="91">
        <f t="shared" ca="1" si="132"/>
        <v>3026</v>
      </c>
      <c r="J676" s="91">
        <f ca="1">VLOOKUP(B676,'115+740'!$B$15:$AB$757,13,FALSE)</f>
        <v>-974</v>
      </c>
      <c r="K676" s="89">
        <f>'115+740'!Q677</f>
        <v>10</v>
      </c>
      <c r="L676" s="88">
        <f t="shared" ca="1" si="137"/>
        <v>1014</v>
      </c>
      <c r="M676" s="93">
        <f ca="1">VLOOKUP(B676,'115+740'!$B$14:$AB$757,21,FALSE)</f>
        <v>4592</v>
      </c>
      <c r="N676" s="92">
        <f ca="1">VLOOKUP(B676,'115+740'!$B$15:$AB$757,5,FALSE)</f>
        <v>765</v>
      </c>
      <c r="O676" s="91">
        <f t="shared" ca="1" si="133"/>
        <v>2802</v>
      </c>
      <c r="P676" s="91">
        <f ca="1">VLOOKUP(B676,'115+740'!$B$15:$AB$757,14,FALSE)</f>
        <v>-1198</v>
      </c>
      <c r="Q676" s="89">
        <f>'115+740'!R677</f>
        <v>8</v>
      </c>
      <c r="R676" s="88">
        <f t="shared" ca="1" si="138"/>
        <v>1188</v>
      </c>
      <c r="S676" s="93">
        <f ca="1">VLOOKUP(B676,'115+740'!$B$14:$AB$757,22,FALSE)</f>
        <v>4945</v>
      </c>
      <c r="T676" s="92">
        <f ca="1">VLOOKUP(B676,'115+740'!$B$15:$AB$757,6,FALSE)</f>
        <v>442</v>
      </c>
      <c r="U676" s="91">
        <f t="shared" ca="1" si="134"/>
        <v>3125</v>
      </c>
      <c r="V676" s="90">
        <f ca="1">VLOOKUP(B676,'115+740'!$B$15:$AB$757,15,FALSE)</f>
        <v>-875</v>
      </c>
      <c r="W676" s="89">
        <f>'115+740'!S677</f>
        <v>9</v>
      </c>
      <c r="X676" s="88">
        <f t="shared" ca="1" si="139"/>
        <v>835</v>
      </c>
      <c r="Y676" s="87">
        <f t="shared" ca="1" si="140"/>
        <v>291</v>
      </c>
      <c r="Z676" s="86">
        <f t="shared" ca="1" si="141"/>
        <v>0.29099999999999998</v>
      </c>
      <c r="AA676" s="85">
        <f t="shared" ca="1" si="142"/>
        <v>5.6539999999999999</v>
      </c>
      <c r="AB676" s="85">
        <f t="shared" ca="1" si="143"/>
        <v>3.4140000000000001</v>
      </c>
    </row>
    <row r="677" spans="2:28">
      <c r="B677" s="98">
        <f>'115+740'!B678</f>
        <v>45736</v>
      </c>
      <c r="C677" s="97">
        <f t="shared" si="135"/>
        <v>1</v>
      </c>
      <c r="D677" s="96">
        <f t="shared" si="136"/>
        <v>1069</v>
      </c>
      <c r="E677" s="95">
        <f>VLOOKUP(B677,'115+740'!B678:AB1036,3,FALSE)</f>
        <v>2500</v>
      </c>
      <c r="F677" s="92">
        <f t="shared" si="131"/>
        <v>3569</v>
      </c>
      <c r="G677" s="94">
        <f ca="1">VLOOKUP(B677,'115+740'!$B$15:$AB$757,20,FALSE)</f>
        <v>4756</v>
      </c>
      <c r="H677" s="94">
        <f ca="1">VLOOKUP(B677,'115+740'!$B$15:$AB$757,4,FALSE)</f>
        <v>553</v>
      </c>
      <c r="I677" s="91">
        <f t="shared" ca="1" si="132"/>
        <v>3016</v>
      </c>
      <c r="J677" s="91">
        <f ca="1">VLOOKUP(B677,'115+740'!$B$15:$AB$757,13,FALSE)</f>
        <v>-984</v>
      </c>
      <c r="K677" s="89">
        <f>'115+740'!Q678</f>
        <v>10</v>
      </c>
      <c r="L677" s="88">
        <f t="shared" ca="1" si="137"/>
        <v>1024</v>
      </c>
      <c r="M677" s="93">
        <f ca="1">VLOOKUP(B677,'115+740'!$B$14:$AB$757,21,FALSE)</f>
        <v>4582</v>
      </c>
      <c r="N677" s="92">
        <f ca="1">VLOOKUP(B677,'115+740'!$B$15:$AB$757,5,FALSE)</f>
        <v>777</v>
      </c>
      <c r="O677" s="91">
        <f t="shared" ca="1" si="133"/>
        <v>2792</v>
      </c>
      <c r="P677" s="91">
        <f ca="1">VLOOKUP(B677,'115+740'!$B$15:$AB$757,14,FALSE)</f>
        <v>-1208</v>
      </c>
      <c r="Q677" s="89">
        <f>'115+740'!R678</f>
        <v>10</v>
      </c>
      <c r="R677" s="88">
        <f t="shared" ca="1" si="138"/>
        <v>1198</v>
      </c>
      <c r="S677" s="93">
        <f ca="1">VLOOKUP(B677,'115+740'!$B$14:$AB$757,22,FALSE)</f>
        <v>4935</v>
      </c>
      <c r="T677" s="92">
        <f ca="1">VLOOKUP(B677,'115+740'!$B$15:$AB$757,6,FALSE)</f>
        <v>454</v>
      </c>
      <c r="U677" s="91">
        <f t="shared" ca="1" si="134"/>
        <v>3115</v>
      </c>
      <c r="V677" s="90">
        <f ca="1">VLOOKUP(B677,'115+740'!$B$15:$AB$757,15,FALSE)</f>
        <v>-885</v>
      </c>
      <c r="W677" s="89">
        <f>'115+740'!S678</f>
        <v>10</v>
      </c>
      <c r="X677" s="88">
        <f t="shared" ca="1" si="139"/>
        <v>845</v>
      </c>
      <c r="Y677" s="87">
        <f t="shared" ca="1" si="140"/>
        <v>-10</v>
      </c>
      <c r="Z677" s="86">
        <f t="shared" ca="1" si="141"/>
        <v>0</v>
      </c>
      <c r="AA677" s="85">
        <f t="shared" ca="1" si="142"/>
        <v>5.6539999999999999</v>
      </c>
      <c r="AB677" s="85">
        <f t="shared" ca="1" si="143"/>
        <v>3.3940000000000001</v>
      </c>
    </row>
    <row r="678" spans="2:28">
      <c r="B678" s="98">
        <f>'115+740'!B679</f>
        <v>45737</v>
      </c>
      <c r="C678" s="97">
        <f t="shared" si="135"/>
        <v>1</v>
      </c>
      <c r="D678" s="96">
        <f t="shared" si="136"/>
        <v>1069</v>
      </c>
      <c r="E678" s="95">
        <f>VLOOKUP(B678,'115+740'!B679:AB1037,3,FALSE)</f>
        <v>2502</v>
      </c>
      <c r="F678" s="92">
        <f t="shared" si="131"/>
        <v>3571</v>
      </c>
      <c r="G678" s="94">
        <f ca="1">VLOOKUP(B678,'115+740'!$B$15:$AB$757,20,FALSE)</f>
        <v>4746</v>
      </c>
      <c r="H678" s="94">
        <f ca="1">VLOOKUP(B678,'115+740'!$B$15:$AB$757,4,FALSE)</f>
        <v>565</v>
      </c>
      <c r="I678" s="91">
        <f t="shared" ca="1" si="132"/>
        <v>3006</v>
      </c>
      <c r="J678" s="91">
        <f ca="1">VLOOKUP(B678,'115+740'!$B$15:$AB$757,13,FALSE)</f>
        <v>-994</v>
      </c>
      <c r="K678" s="89">
        <f>'115+740'!Q679</f>
        <v>10</v>
      </c>
      <c r="L678" s="88">
        <f t="shared" ca="1" si="137"/>
        <v>1034</v>
      </c>
      <c r="M678" s="93">
        <f ca="1">VLOOKUP(B678,'115+740'!$B$14:$AB$757,21,FALSE)</f>
        <v>4572</v>
      </c>
      <c r="N678" s="92">
        <f ca="1">VLOOKUP(B678,'115+740'!$B$15:$AB$757,5,FALSE)</f>
        <v>789</v>
      </c>
      <c r="O678" s="91">
        <f t="shared" ca="1" si="133"/>
        <v>2782</v>
      </c>
      <c r="P678" s="91">
        <f ca="1">VLOOKUP(B678,'115+740'!$B$15:$AB$757,14,FALSE)</f>
        <v>-1218</v>
      </c>
      <c r="Q678" s="89">
        <f>'115+740'!R679</f>
        <v>10</v>
      </c>
      <c r="R678" s="88">
        <f t="shared" ca="1" si="138"/>
        <v>1208</v>
      </c>
      <c r="S678" s="93">
        <f ca="1">VLOOKUP(B678,'115+740'!$B$14:$AB$757,22,FALSE)</f>
        <v>4926</v>
      </c>
      <c r="T678" s="92">
        <f ca="1">VLOOKUP(B678,'115+740'!$B$15:$AB$757,6,FALSE)</f>
        <v>465</v>
      </c>
      <c r="U678" s="91">
        <f t="shared" ca="1" si="134"/>
        <v>3106</v>
      </c>
      <c r="V678" s="90">
        <f ca="1">VLOOKUP(B678,'115+740'!$B$15:$AB$757,15,FALSE)</f>
        <v>-894</v>
      </c>
      <c r="W678" s="89">
        <f>'115+740'!S679</f>
        <v>9</v>
      </c>
      <c r="X678" s="88">
        <f t="shared" ca="1" si="139"/>
        <v>854</v>
      </c>
      <c r="Y678" s="87">
        <f t="shared" ca="1" si="140"/>
        <v>-9</v>
      </c>
      <c r="Z678" s="86">
        <f t="shared" ca="1" si="141"/>
        <v>0</v>
      </c>
      <c r="AA678" s="85">
        <f t="shared" ca="1" si="142"/>
        <v>5.6539999999999999</v>
      </c>
      <c r="AB678" s="85">
        <f t="shared" ca="1" si="143"/>
        <v>3.3740000000000001</v>
      </c>
    </row>
    <row r="679" spans="2:28">
      <c r="B679" s="98">
        <f>'115+740'!B680</f>
        <v>45738</v>
      </c>
      <c r="C679" s="97">
        <f t="shared" si="135"/>
        <v>1</v>
      </c>
      <c r="D679" s="96">
        <f t="shared" si="136"/>
        <v>1069</v>
      </c>
      <c r="E679" s="95">
        <f>VLOOKUP(B679,'115+740'!B680:AB1038,3,FALSE)</f>
        <v>2504</v>
      </c>
      <c r="F679" s="92">
        <f t="shared" si="131"/>
        <v>3573</v>
      </c>
      <c r="G679" s="94">
        <f ca="1">VLOOKUP(B679,'115+740'!$B$15:$AB$757,20,FALSE)</f>
        <v>4736</v>
      </c>
      <c r="H679" s="94">
        <f ca="1">VLOOKUP(B679,'115+740'!$B$15:$AB$757,4,FALSE)</f>
        <v>577</v>
      </c>
      <c r="I679" s="91">
        <f t="shared" ca="1" si="132"/>
        <v>2996</v>
      </c>
      <c r="J679" s="91">
        <f ca="1">VLOOKUP(B679,'115+740'!$B$15:$AB$757,13,FALSE)</f>
        <v>-1004</v>
      </c>
      <c r="K679" s="89">
        <f>'115+740'!Q680</f>
        <v>10</v>
      </c>
      <c r="L679" s="88">
        <f t="shared" ca="1" si="137"/>
        <v>1044</v>
      </c>
      <c r="M679" s="93">
        <f ca="1">VLOOKUP(B679,'115+740'!$B$14:$AB$757,21,FALSE)</f>
        <v>4562</v>
      </c>
      <c r="N679" s="92">
        <f ca="1">VLOOKUP(B679,'115+740'!$B$15:$AB$757,5,FALSE)</f>
        <v>801</v>
      </c>
      <c r="O679" s="91">
        <f t="shared" ca="1" si="133"/>
        <v>2772</v>
      </c>
      <c r="P679" s="91">
        <f ca="1">VLOOKUP(B679,'115+740'!$B$15:$AB$757,14,FALSE)</f>
        <v>-1228</v>
      </c>
      <c r="Q679" s="89">
        <f>'115+740'!R680</f>
        <v>10</v>
      </c>
      <c r="R679" s="88">
        <f t="shared" ca="1" si="138"/>
        <v>1218</v>
      </c>
      <c r="S679" s="93">
        <f ca="1">VLOOKUP(B679,'115+740'!$B$14:$AB$757,22,FALSE)</f>
        <v>4916</v>
      </c>
      <c r="T679" s="92">
        <f ca="1">VLOOKUP(B679,'115+740'!$B$15:$AB$757,6,FALSE)</f>
        <v>477</v>
      </c>
      <c r="U679" s="91">
        <f t="shared" ca="1" si="134"/>
        <v>3096</v>
      </c>
      <c r="V679" s="90">
        <f ca="1">VLOOKUP(B679,'115+740'!$B$15:$AB$757,15,FALSE)</f>
        <v>-904</v>
      </c>
      <c r="W679" s="89">
        <f>'115+740'!S680</f>
        <v>10</v>
      </c>
      <c r="X679" s="88">
        <f t="shared" ca="1" si="139"/>
        <v>864</v>
      </c>
      <c r="Y679" s="87">
        <f t="shared" ca="1" si="140"/>
        <v>-10</v>
      </c>
      <c r="Z679" s="86">
        <f t="shared" ca="1" si="141"/>
        <v>0</v>
      </c>
      <c r="AA679" s="85">
        <f t="shared" ca="1" si="142"/>
        <v>5.6539999999999999</v>
      </c>
      <c r="AB679" s="85">
        <f t="shared" ca="1" si="143"/>
        <v>3.3540000000000001</v>
      </c>
    </row>
    <row r="680" spans="2:28">
      <c r="B680" s="98">
        <f>'115+740'!B681</f>
        <v>45739</v>
      </c>
      <c r="C680" s="97">
        <f t="shared" si="135"/>
        <v>1</v>
      </c>
      <c r="D680" s="96">
        <f t="shared" si="136"/>
        <v>1069</v>
      </c>
      <c r="E680" s="95">
        <f>VLOOKUP(B680,'115+740'!B681:AB1039,3,FALSE)</f>
        <v>2506</v>
      </c>
      <c r="F680" s="92">
        <f t="shared" si="131"/>
        <v>3575</v>
      </c>
      <c r="G680" s="94">
        <f ca="1">VLOOKUP(B680,'115+740'!$B$15:$AB$757,20,FALSE)</f>
        <v>4726</v>
      </c>
      <c r="H680" s="94">
        <f ca="1">VLOOKUP(B680,'115+740'!$B$15:$AB$757,4,FALSE)</f>
        <v>589</v>
      </c>
      <c r="I680" s="91">
        <f t="shared" ca="1" si="132"/>
        <v>2986</v>
      </c>
      <c r="J680" s="91">
        <f ca="1">VLOOKUP(B680,'115+740'!$B$15:$AB$757,13,FALSE)</f>
        <v>-1014</v>
      </c>
      <c r="K680" s="89">
        <f>'115+740'!Q681</f>
        <v>10</v>
      </c>
      <c r="L680" s="88">
        <f t="shared" ca="1" si="137"/>
        <v>1054</v>
      </c>
      <c r="M680" s="93">
        <f ca="1">VLOOKUP(B680,'115+740'!$B$14:$AB$757,21,FALSE)</f>
        <v>4552</v>
      </c>
      <c r="N680" s="92">
        <f ca="1">VLOOKUP(B680,'115+740'!$B$15:$AB$757,5,FALSE)</f>
        <v>813</v>
      </c>
      <c r="O680" s="91">
        <f t="shared" ca="1" si="133"/>
        <v>2762</v>
      </c>
      <c r="P680" s="91">
        <f ca="1">VLOOKUP(B680,'115+740'!$B$15:$AB$757,14,FALSE)</f>
        <v>-1238</v>
      </c>
      <c r="Q680" s="89">
        <f>'115+740'!R681</f>
        <v>10</v>
      </c>
      <c r="R680" s="88">
        <f t="shared" ca="1" si="138"/>
        <v>1228</v>
      </c>
      <c r="S680" s="93">
        <f ca="1">VLOOKUP(B680,'115+740'!$B$14:$AB$757,22,FALSE)</f>
        <v>4909</v>
      </c>
      <c r="T680" s="92">
        <f ca="1">VLOOKUP(B680,'115+740'!$B$15:$AB$757,6,FALSE)</f>
        <v>486</v>
      </c>
      <c r="U680" s="91">
        <f t="shared" ca="1" si="134"/>
        <v>3089</v>
      </c>
      <c r="V680" s="90">
        <f ca="1">VLOOKUP(B680,'115+740'!$B$15:$AB$757,15,FALSE)</f>
        <v>-911</v>
      </c>
      <c r="W680" s="89">
        <f>'115+740'!S681</f>
        <v>7</v>
      </c>
      <c r="X680" s="88">
        <f t="shared" ca="1" si="139"/>
        <v>871</v>
      </c>
      <c r="Y680" s="87">
        <f t="shared" ca="1" si="140"/>
        <v>-7</v>
      </c>
      <c r="Z680" s="86">
        <f t="shared" ca="1" si="141"/>
        <v>0</v>
      </c>
      <c r="AA680" s="85">
        <f t="shared" ca="1" si="142"/>
        <v>5.6539999999999999</v>
      </c>
      <c r="AB680" s="85">
        <f t="shared" ca="1" si="143"/>
        <v>3.3340000000000001</v>
      </c>
    </row>
    <row r="681" spans="2:28">
      <c r="B681" s="98">
        <f>'115+740'!B682</f>
        <v>45740</v>
      </c>
      <c r="C681" s="97">
        <f t="shared" si="135"/>
        <v>1</v>
      </c>
      <c r="D681" s="96">
        <f t="shared" si="136"/>
        <v>1069</v>
      </c>
      <c r="E681" s="95">
        <f>VLOOKUP(B681,'115+740'!B682:AB1040,3,FALSE)</f>
        <v>2508</v>
      </c>
      <c r="F681" s="92">
        <f t="shared" si="131"/>
        <v>3577</v>
      </c>
      <c r="G681" s="94">
        <f ca="1">VLOOKUP(B681,'115+740'!$B$15:$AB$757,20,FALSE)</f>
        <v>5016</v>
      </c>
      <c r="H681" s="94">
        <f ca="1">VLOOKUP(B681,'115+740'!$B$15:$AB$757,4,FALSE)</f>
        <v>601</v>
      </c>
      <c r="I681" s="91">
        <f t="shared" ca="1" si="132"/>
        <v>2976</v>
      </c>
      <c r="J681" s="91">
        <f ca="1">VLOOKUP(B681,'115+740'!$B$15:$AB$757,13,FALSE)</f>
        <v>-1024</v>
      </c>
      <c r="K681" s="89">
        <f>'115+740'!Q682</f>
        <v>10</v>
      </c>
      <c r="L681" s="88">
        <f t="shared" ca="1" si="137"/>
        <v>1064</v>
      </c>
      <c r="M681" s="93">
        <f ca="1">VLOOKUP(B681,'115+740'!$B$14:$AB$757,21,FALSE)</f>
        <v>4842</v>
      </c>
      <c r="N681" s="92">
        <f ca="1">VLOOKUP(B681,'115+740'!$B$15:$AB$757,5,FALSE)</f>
        <v>825</v>
      </c>
      <c r="O681" s="91">
        <f t="shared" ca="1" si="133"/>
        <v>2752</v>
      </c>
      <c r="P681" s="91">
        <f ca="1">VLOOKUP(B681,'115+740'!$B$15:$AB$757,14,FALSE)</f>
        <v>-1248</v>
      </c>
      <c r="Q681" s="89">
        <f>'115+740'!R682</f>
        <v>10</v>
      </c>
      <c r="R681" s="88">
        <f t="shared" ca="1" si="138"/>
        <v>1238</v>
      </c>
      <c r="S681" s="93">
        <f ca="1">VLOOKUP(B681,'115+740'!$B$14:$AB$757,22,FALSE)</f>
        <v>5199</v>
      </c>
      <c r="T681" s="92">
        <f ca="1">VLOOKUP(B681,'115+740'!$B$15:$AB$757,6,FALSE)</f>
        <v>498</v>
      </c>
      <c r="U681" s="91">
        <f t="shared" ca="1" si="134"/>
        <v>3079</v>
      </c>
      <c r="V681" s="90">
        <f ca="1">VLOOKUP(B681,'115+740'!$B$15:$AB$757,15,FALSE)</f>
        <v>-921</v>
      </c>
      <c r="W681" s="89">
        <f>'115+740'!S682</f>
        <v>10</v>
      </c>
      <c r="X681" s="88">
        <f t="shared" ca="1" si="139"/>
        <v>881</v>
      </c>
      <c r="Y681" s="87">
        <f t="shared" ca="1" si="140"/>
        <v>290</v>
      </c>
      <c r="Z681" s="86">
        <f t="shared" ca="1" si="141"/>
        <v>0.28999999999999998</v>
      </c>
      <c r="AA681" s="85">
        <f t="shared" ca="1" si="142"/>
        <v>5.944</v>
      </c>
      <c r="AB681" s="85">
        <f t="shared" ca="1" si="143"/>
        <v>3.6139999999999999</v>
      </c>
    </row>
    <row r="682" spans="2:28">
      <c r="B682" s="98">
        <f>'115+740'!B683</f>
        <v>45741</v>
      </c>
      <c r="C682" s="97">
        <f t="shared" si="135"/>
        <v>1</v>
      </c>
      <c r="D682" s="96">
        <f t="shared" si="136"/>
        <v>1069</v>
      </c>
      <c r="E682" s="95">
        <f>VLOOKUP(B682,'115+740'!B683:AB1041,3,FALSE)</f>
        <v>2510</v>
      </c>
      <c r="F682" s="92">
        <f t="shared" si="131"/>
        <v>3579</v>
      </c>
      <c r="G682" s="94">
        <f ca="1">VLOOKUP(B682,'115+740'!$B$15:$AB$757,20,FALSE)</f>
        <v>5006</v>
      </c>
      <c r="H682" s="94">
        <f ca="1">VLOOKUP(B682,'115+740'!$B$15:$AB$757,4,FALSE)</f>
        <v>613</v>
      </c>
      <c r="I682" s="91">
        <f t="shared" ca="1" si="132"/>
        <v>2966</v>
      </c>
      <c r="J682" s="91">
        <f ca="1">VLOOKUP(B682,'115+740'!$B$15:$AB$757,13,FALSE)</f>
        <v>-1034</v>
      </c>
      <c r="K682" s="89">
        <f>'115+740'!Q683</f>
        <v>10</v>
      </c>
      <c r="L682" s="88">
        <f t="shared" ca="1" si="137"/>
        <v>1074</v>
      </c>
      <c r="M682" s="93">
        <f ca="1">VLOOKUP(B682,'115+740'!$B$14:$AB$757,21,FALSE)</f>
        <v>4832</v>
      </c>
      <c r="N682" s="92">
        <f ca="1">VLOOKUP(B682,'115+740'!$B$15:$AB$757,5,FALSE)</f>
        <v>837</v>
      </c>
      <c r="O682" s="91">
        <f t="shared" ca="1" si="133"/>
        <v>2742</v>
      </c>
      <c r="P682" s="91">
        <f ca="1">VLOOKUP(B682,'115+740'!$B$15:$AB$757,14,FALSE)</f>
        <v>-1258</v>
      </c>
      <c r="Q682" s="89">
        <f>'115+740'!R683</f>
        <v>10</v>
      </c>
      <c r="R682" s="88">
        <f t="shared" ca="1" si="138"/>
        <v>1248</v>
      </c>
      <c r="S682" s="93">
        <f ca="1">VLOOKUP(B682,'115+740'!$B$14:$AB$757,22,FALSE)</f>
        <v>5193</v>
      </c>
      <c r="T682" s="92">
        <f ca="1">VLOOKUP(B682,'115+740'!$B$15:$AB$757,6,FALSE)</f>
        <v>506</v>
      </c>
      <c r="U682" s="91">
        <f t="shared" ca="1" si="134"/>
        <v>3073</v>
      </c>
      <c r="V682" s="90">
        <f ca="1">VLOOKUP(B682,'115+740'!$B$15:$AB$757,15,FALSE)</f>
        <v>-927</v>
      </c>
      <c r="W682" s="89">
        <f>'115+740'!S683</f>
        <v>6</v>
      </c>
      <c r="X682" s="88">
        <f t="shared" ca="1" si="139"/>
        <v>887</v>
      </c>
      <c r="Y682" s="87">
        <f t="shared" ca="1" si="140"/>
        <v>-6</v>
      </c>
      <c r="Z682" s="86">
        <f t="shared" ca="1" si="141"/>
        <v>0</v>
      </c>
      <c r="AA682" s="85">
        <f t="shared" ca="1" si="142"/>
        <v>5.944</v>
      </c>
      <c r="AB682" s="85">
        <f t="shared" ca="1" si="143"/>
        <v>3.5939999999999999</v>
      </c>
    </row>
    <row r="683" spans="2:28">
      <c r="B683" s="98">
        <f>'115+740'!B684</f>
        <v>45742</v>
      </c>
      <c r="C683" s="97">
        <f t="shared" si="135"/>
        <v>1</v>
      </c>
      <c r="D683" s="96">
        <f t="shared" si="136"/>
        <v>1069</v>
      </c>
      <c r="E683" s="95">
        <f>VLOOKUP(B683,'115+740'!B684:AB1042,3,FALSE)</f>
        <v>2512</v>
      </c>
      <c r="F683" s="92">
        <f t="shared" si="131"/>
        <v>3581</v>
      </c>
      <c r="G683" s="94">
        <f ca="1">VLOOKUP(B683,'115+740'!$B$15:$AB$757,20,FALSE)</f>
        <v>4996</v>
      </c>
      <c r="H683" s="94">
        <f ca="1">VLOOKUP(B683,'115+740'!$B$15:$AB$757,4,FALSE)</f>
        <v>625</v>
      </c>
      <c r="I683" s="91">
        <f t="shared" ca="1" si="132"/>
        <v>2956</v>
      </c>
      <c r="J683" s="91">
        <f ca="1">VLOOKUP(B683,'115+740'!$B$15:$AB$757,13,FALSE)</f>
        <v>-1044</v>
      </c>
      <c r="K683" s="89">
        <f>'115+740'!Q684</f>
        <v>10</v>
      </c>
      <c r="L683" s="88">
        <f t="shared" ca="1" si="137"/>
        <v>1084</v>
      </c>
      <c r="M683" s="93">
        <f ca="1">VLOOKUP(B683,'115+740'!$B$14:$AB$757,21,FALSE)</f>
        <v>4822</v>
      </c>
      <c r="N683" s="92">
        <f ca="1">VLOOKUP(B683,'115+740'!$B$15:$AB$757,5,FALSE)</f>
        <v>849</v>
      </c>
      <c r="O683" s="91">
        <f t="shared" ca="1" si="133"/>
        <v>2732</v>
      </c>
      <c r="P683" s="91">
        <f ca="1">VLOOKUP(B683,'115+740'!$B$15:$AB$757,14,FALSE)</f>
        <v>-1268</v>
      </c>
      <c r="Q683" s="89">
        <f>'115+740'!R684</f>
        <v>10</v>
      </c>
      <c r="R683" s="88">
        <f t="shared" ca="1" si="138"/>
        <v>1258</v>
      </c>
      <c r="S683" s="93">
        <f ca="1">VLOOKUP(B683,'115+740'!$B$14:$AB$757,22,FALSE)</f>
        <v>5183</v>
      </c>
      <c r="T683" s="92">
        <f ca="1">VLOOKUP(B683,'115+740'!$B$15:$AB$757,6,FALSE)</f>
        <v>518</v>
      </c>
      <c r="U683" s="91">
        <f t="shared" ca="1" si="134"/>
        <v>3063</v>
      </c>
      <c r="V683" s="90">
        <f ca="1">VLOOKUP(B683,'115+740'!$B$15:$AB$757,15,FALSE)</f>
        <v>-937</v>
      </c>
      <c r="W683" s="89">
        <f>'115+740'!S684</f>
        <v>10</v>
      </c>
      <c r="X683" s="88">
        <f t="shared" ca="1" si="139"/>
        <v>897</v>
      </c>
      <c r="Y683" s="87">
        <f t="shared" ca="1" si="140"/>
        <v>-10</v>
      </c>
      <c r="Z683" s="86">
        <f t="shared" ca="1" si="141"/>
        <v>0</v>
      </c>
      <c r="AA683" s="85">
        <f t="shared" ca="1" si="142"/>
        <v>5.944</v>
      </c>
      <c r="AB683" s="85">
        <f t="shared" ca="1" si="143"/>
        <v>3.5739999999999998</v>
      </c>
    </row>
    <row r="684" spans="2:28">
      <c r="B684" s="98">
        <f>'115+740'!B685</f>
        <v>45743</v>
      </c>
      <c r="C684" s="97">
        <f t="shared" si="135"/>
        <v>1</v>
      </c>
      <c r="D684" s="96">
        <f t="shared" si="136"/>
        <v>1069</v>
      </c>
      <c r="E684" s="95">
        <f>VLOOKUP(B684,'115+740'!B685:AB1043,3,FALSE)</f>
        <v>2514</v>
      </c>
      <c r="F684" s="92">
        <f t="shared" si="131"/>
        <v>3583</v>
      </c>
      <c r="G684" s="94">
        <f ca="1">VLOOKUP(B684,'115+740'!$B$15:$AB$757,20,FALSE)</f>
        <v>4986</v>
      </c>
      <c r="H684" s="94">
        <f ca="1">VLOOKUP(B684,'115+740'!$B$15:$AB$757,4,FALSE)</f>
        <v>637</v>
      </c>
      <c r="I684" s="91">
        <f t="shared" ca="1" si="132"/>
        <v>2946</v>
      </c>
      <c r="J684" s="91">
        <f ca="1">VLOOKUP(B684,'115+740'!$B$15:$AB$757,13,FALSE)</f>
        <v>-1054</v>
      </c>
      <c r="K684" s="89">
        <f>'115+740'!Q685</f>
        <v>10</v>
      </c>
      <c r="L684" s="88">
        <f t="shared" ca="1" si="137"/>
        <v>1094</v>
      </c>
      <c r="M684" s="93">
        <f ca="1">VLOOKUP(B684,'115+740'!$B$14:$AB$757,21,FALSE)</f>
        <v>4812</v>
      </c>
      <c r="N684" s="92">
        <f ca="1">VLOOKUP(B684,'115+740'!$B$15:$AB$757,5,FALSE)</f>
        <v>861</v>
      </c>
      <c r="O684" s="91">
        <f t="shared" ca="1" si="133"/>
        <v>2722</v>
      </c>
      <c r="P684" s="91">
        <f ca="1">VLOOKUP(B684,'115+740'!$B$15:$AB$757,14,FALSE)</f>
        <v>-1278</v>
      </c>
      <c r="Q684" s="89">
        <f>'115+740'!R685</f>
        <v>10</v>
      </c>
      <c r="R684" s="88">
        <f t="shared" ca="1" si="138"/>
        <v>1268</v>
      </c>
      <c r="S684" s="93">
        <f ca="1">VLOOKUP(B684,'115+740'!$B$14:$AB$757,22,FALSE)</f>
        <v>5175</v>
      </c>
      <c r="T684" s="92">
        <f ca="1">VLOOKUP(B684,'115+740'!$B$15:$AB$757,6,FALSE)</f>
        <v>528</v>
      </c>
      <c r="U684" s="91">
        <f t="shared" ca="1" si="134"/>
        <v>3055</v>
      </c>
      <c r="V684" s="90">
        <f ca="1">VLOOKUP(B684,'115+740'!$B$15:$AB$757,15,FALSE)</f>
        <v>-945</v>
      </c>
      <c r="W684" s="89">
        <f>'115+740'!S685</f>
        <v>8</v>
      </c>
      <c r="X684" s="88">
        <f t="shared" ca="1" si="139"/>
        <v>905</v>
      </c>
      <c r="Y684" s="87">
        <f t="shared" ca="1" si="140"/>
        <v>-8</v>
      </c>
      <c r="Z684" s="86">
        <f t="shared" ca="1" si="141"/>
        <v>0</v>
      </c>
      <c r="AA684" s="85">
        <f t="shared" ca="1" si="142"/>
        <v>5.944</v>
      </c>
      <c r="AB684" s="85">
        <f t="shared" ca="1" si="143"/>
        <v>3.5539999999999998</v>
      </c>
    </row>
    <row r="685" spans="2:28">
      <c r="B685" s="98">
        <f>'115+740'!B686</f>
        <v>45744</v>
      </c>
      <c r="C685" s="97">
        <f t="shared" si="135"/>
        <v>1</v>
      </c>
      <c r="D685" s="96">
        <f t="shared" si="136"/>
        <v>1069</v>
      </c>
      <c r="E685" s="95">
        <f>VLOOKUP(B685,'115+740'!B686:AB1044,3,FALSE)</f>
        <v>2516</v>
      </c>
      <c r="F685" s="92">
        <f t="shared" si="131"/>
        <v>3585</v>
      </c>
      <c r="G685" s="94">
        <f ca="1">VLOOKUP(B685,'115+740'!$B$15:$AB$757,20,FALSE)</f>
        <v>4976</v>
      </c>
      <c r="H685" s="94">
        <f ca="1">VLOOKUP(B685,'115+740'!$B$15:$AB$757,4,FALSE)</f>
        <v>649</v>
      </c>
      <c r="I685" s="91">
        <f t="shared" ca="1" si="132"/>
        <v>2936</v>
      </c>
      <c r="J685" s="91">
        <f ca="1">VLOOKUP(B685,'115+740'!$B$15:$AB$757,13,FALSE)</f>
        <v>-1064</v>
      </c>
      <c r="K685" s="89">
        <f>'115+740'!Q686</f>
        <v>10</v>
      </c>
      <c r="L685" s="88">
        <f t="shared" ca="1" si="137"/>
        <v>1104</v>
      </c>
      <c r="M685" s="93">
        <f ca="1">VLOOKUP(B685,'115+740'!$B$14:$AB$757,21,FALSE)</f>
        <v>4802</v>
      </c>
      <c r="N685" s="92">
        <f ca="1">VLOOKUP(B685,'115+740'!$B$15:$AB$757,5,FALSE)</f>
        <v>873</v>
      </c>
      <c r="O685" s="91">
        <f t="shared" ca="1" si="133"/>
        <v>2712</v>
      </c>
      <c r="P685" s="91">
        <f ca="1">VLOOKUP(B685,'115+740'!$B$15:$AB$757,14,FALSE)</f>
        <v>-1288</v>
      </c>
      <c r="Q685" s="89">
        <f>'115+740'!R686</f>
        <v>10</v>
      </c>
      <c r="R685" s="88">
        <f t="shared" ca="1" si="138"/>
        <v>1278</v>
      </c>
      <c r="S685" s="93">
        <f ca="1">VLOOKUP(B685,'115+740'!$B$14:$AB$757,22,FALSE)</f>
        <v>5165</v>
      </c>
      <c r="T685" s="92">
        <f ca="1">VLOOKUP(B685,'115+740'!$B$15:$AB$757,6,FALSE)</f>
        <v>540</v>
      </c>
      <c r="U685" s="91">
        <f t="shared" ca="1" si="134"/>
        <v>3045</v>
      </c>
      <c r="V685" s="90">
        <f ca="1">VLOOKUP(B685,'115+740'!$B$15:$AB$757,15,FALSE)</f>
        <v>-955</v>
      </c>
      <c r="W685" s="89">
        <f>'115+740'!S686</f>
        <v>10</v>
      </c>
      <c r="X685" s="88">
        <f t="shared" ca="1" si="139"/>
        <v>915</v>
      </c>
      <c r="Y685" s="87">
        <f t="shared" ca="1" si="140"/>
        <v>-10</v>
      </c>
      <c r="Z685" s="86">
        <f t="shared" ca="1" si="141"/>
        <v>0</v>
      </c>
      <c r="AA685" s="85">
        <f t="shared" ca="1" si="142"/>
        <v>5.944</v>
      </c>
      <c r="AB685" s="85">
        <f t="shared" ca="1" si="143"/>
        <v>3.5339999999999998</v>
      </c>
    </row>
    <row r="686" spans="2:28">
      <c r="B686" s="98">
        <f>'115+740'!B687</f>
        <v>45745</v>
      </c>
      <c r="C686" s="97">
        <f t="shared" si="135"/>
        <v>1</v>
      </c>
      <c r="D686" s="96">
        <f t="shared" si="136"/>
        <v>1069</v>
      </c>
      <c r="E686" s="95">
        <f>VLOOKUP(B686,'115+740'!B687:AB1045,3,FALSE)</f>
        <v>2518</v>
      </c>
      <c r="F686" s="92">
        <f t="shared" si="131"/>
        <v>3587</v>
      </c>
      <c r="G686" s="94">
        <f ca="1">VLOOKUP(B686,'115+740'!$B$15:$AB$757,20,FALSE)</f>
        <v>5266</v>
      </c>
      <c r="H686" s="94">
        <f ca="1">VLOOKUP(B686,'115+740'!$B$15:$AB$757,4,FALSE)</f>
        <v>661</v>
      </c>
      <c r="I686" s="91">
        <f t="shared" ca="1" si="132"/>
        <v>2926</v>
      </c>
      <c r="J686" s="91">
        <f ca="1">VLOOKUP(B686,'115+740'!$B$15:$AB$757,13,FALSE)</f>
        <v>-1074</v>
      </c>
      <c r="K686" s="89">
        <f>'115+740'!Q687</f>
        <v>10</v>
      </c>
      <c r="L686" s="88">
        <f t="shared" ca="1" si="137"/>
        <v>1114</v>
      </c>
      <c r="M686" s="93">
        <f ca="1">VLOOKUP(B686,'115+740'!$B$14:$AB$757,21,FALSE)</f>
        <v>5092</v>
      </c>
      <c r="N686" s="92">
        <f ca="1">VLOOKUP(B686,'115+740'!$B$15:$AB$757,5,FALSE)</f>
        <v>885</v>
      </c>
      <c r="O686" s="91">
        <f t="shared" ca="1" si="133"/>
        <v>2702</v>
      </c>
      <c r="P686" s="91">
        <f ca="1">VLOOKUP(B686,'115+740'!$B$15:$AB$757,14,FALSE)</f>
        <v>-1298</v>
      </c>
      <c r="Q686" s="89">
        <f>'115+740'!R687</f>
        <v>10</v>
      </c>
      <c r="R686" s="88">
        <f t="shared" ca="1" si="138"/>
        <v>1288</v>
      </c>
      <c r="S686" s="93">
        <f ca="1">VLOOKUP(B686,'115+740'!$B$14:$AB$757,22,FALSE)</f>
        <v>5455</v>
      </c>
      <c r="T686" s="92">
        <f ca="1">VLOOKUP(B686,'115+740'!$B$15:$AB$757,6,FALSE)</f>
        <v>552</v>
      </c>
      <c r="U686" s="91">
        <f t="shared" ca="1" si="134"/>
        <v>3035</v>
      </c>
      <c r="V686" s="90">
        <f ca="1">VLOOKUP(B686,'115+740'!$B$15:$AB$757,15,FALSE)</f>
        <v>-965</v>
      </c>
      <c r="W686" s="89">
        <f>'115+740'!S687</f>
        <v>10</v>
      </c>
      <c r="X686" s="88">
        <f t="shared" ca="1" si="139"/>
        <v>925</v>
      </c>
      <c r="Y686" s="87">
        <f t="shared" ca="1" si="140"/>
        <v>290</v>
      </c>
      <c r="Z686" s="86">
        <f t="shared" ca="1" si="141"/>
        <v>0.28999999999999998</v>
      </c>
      <c r="AA686" s="85">
        <f t="shared" ca="1" si="142"/>
        <v>6.234</v>
      </c>
      <c r="AB686" s="85">
        <f t="shared" ca="1" si="143"/>
        <v>3.8140000000000001</v>
      </c>
    </row>
    <row r="687" spans="2:28">
      <c r="B687" s="98">
        <f>'115+740'!B688</f>
        <v>45746</v>
      </c>
      <c r="C687" s="97">
        <f t="shared" si="135"/>
        <v>1</v>
      </c>
      <c r="D687" s="96">
        <f t="shared" si="136"/>
        <v>1069</v>
      </c>
      <c r="E687" s="95">
        <f>VLOOKUP(B687,'115+740'!B688:AB1046,3,FALSE)</f>
        <v>2520</v>
      </c>
      <c r="F687" s="92">
        <f t="shared" si="131"/>
        <v>3589</v>
      </c>
      <c r="G687" s="94">
        <f ca="1">VLOOKUP(B687,'115+740'!$B$15:$AB$757,20,FALSE)</f>
        <v>5256</v>
      </c>
      <c r="H687" s="94">
        <f ca="1">VLOOKUP(B687,'115+740'!$B$15:$AB$757,4,FALSE)</f>
        <v>673</v>
      </c>
      <c r="I687" s="91">
        <f t="shared" ca="1" si="132"/>
        <v>2916</v>
      </c>
      <c r="J687" s="91">
        <f ca="1">VLOOKUP(B687,'115+740'!$B$15:$AB$757,13,FALSE)</f>
        <v>-1084</v>
      </c>
      <c r="K687" s="89">
        <f>'115+740'!Q688</f>
        <v>10</v>
      </c>
      <c r="L687" s="88">
        <f t="shared" ca="1" si="137"/>
        <v>1124</v>
      </c>
      <c r="M687" s="93">
        <f ca="1">VLOOKUP(B687,'115+740'!$B$14:$AB$757,21,FALSE)</f>
        <v>5082</v>
      </c>
      <c r="N687" s="92">
        <f ca="1">VLOOKUP(B687,'115+740'!$B$15:$AB$757,5,FALSE)</f>
        <v>897</v>
      </c>
      <c r="O687" s="91">
        <f t="shared" ca="1" si="133"/>
        <v>2692</v>
      </c>
      <c r="P687" s="91">
        <f ca="1">VLOOKUP(B687,'115+740'!$B$15:$AB$757,14,FALSE)</f>
        <v>-1308</v>
      </c>
      <c r="Q687" s="89">
        <f>'115+740'!R688</f>
        <v>10</v>
      </c>
      <c r="R687" s="88">
        <f t="shared" ca="1" si="138"/>
        <v>1298</v>
      </c>
      <c r="S687" s="93">
        <f ca="1">VLOOKUP(B687,'115+740'!$B$14:$AB$757,22,FALSE)</f>
        <v>5446</v>
      </c>
      <c r="T687" s="92">
        <f ca="1">VLOOKUP(B687,'115+740'!$B$15:$AB$757,6,FALSE)</f>
        <v>563</v>
      </c>
      <c r="U687" s="91">
        <f t="shared" ca="1" si="134"/>
        <v>3026</v>
      </c>
      <c r="V687" s="90">
        <f ca="1">VLOOKUP(B687,'115+740'!$B$15:$AB$757,15,FALSE)</f>
        <v>-974</v>
      </c>
      <c r="W687" s="89">
        <f>'115+740'!S688</f>
        <v>9</v>
      </c>
      <c r="X687" s="88">
        <f t="shared" ca="1" si="139"/>
        <v>934</v>
      </c>
      <c r="Y687" s="87">
        <f t="shared" ca="1" si="140"/>
        <v>-9</v>
      </c>
      <c r="Z687" s="86">
        <f t="shared" ca="1" si="141"/>
        <v>0</v>
      </c>
      <c r="AA687" s="85">
        <f t="shared" ca="1" si="142"/>
        <v>6.234</v>
      </c>
      <c r="AB687" s="85">
        <f t="shared" ca="1" si="143"/>
        <v>3.794</v>
      </c>
    </row>
    <row r="688" spans="2:28">
      <c r="B688" s="98">
        <f>'115+740'!B689</f>
        <v>45747</v>
      </c>
      <c r="C688" s="97">
        <f t="shared" si="135"/>
        <v>1</v>
      </c>
      <c r="D688" s="96">
        <f t="shared" si="136"/>
        <v>1069</v>
      </c>
      <c r="E688" s="95">
        <f>VLOOKUP(B688,'115+740'!B689:AB1047,3,FALSE)</f>
        <v>2522</v>
      </c>
      <c r="F688" s="92">
        <f t="shared" si="131"/>
        <v>3591</v>
      </c>
      <c r="G688" s="94">
        <f ca="1">VLOOKUP(B688,'115+740'!$B$15:$AB$757,20,FALSE)</f>
        <v>5246</v>
      </c>
      <c r="H688" s="94">
        <f ca="1">VLOOKUP(B688,'115+740'!$B$15:$AB$757,4,FALSE)</f>
        <v>685</v>
      </c>
      <c r="I688" s="91">
        <f t="shared" ca="1" si="132"/>
        <v>2906</v>
      </c>
      <c r="J688" s="91">
        <f ca="1">VLOOKUP(B688,'115+740'!$B$15:$AB$757,13,FALSE)</f>
        <v>-1094</v>
      </c>
      <c r="K688" s="89">
        <f>'115+740'!Q689</f>
        <v>10</v>
      </c>
      <c r="L688" s="88">
        <f t="shared" ca="1" si="137"/>
        <v>1134</v>
      </c>
      <c r="M688" s="93">
        <f ca="1">VLOOKUP(B688,'115+740'!$B$14:$AB$757,21,FALSE)</f>
        <v>5072</v>
      </c>
      <c r="N688" s="92">
        <f ca="1">VLOOKUP(B688,'115+740'!$B$15:$AB$757,5,FALSE)</f>
        <v>909</v>
      </c>
      <c r="O688" s="91">
        <f t="shared" ca="1" si="133"/>
        <v>2682</v>
      </c>
      <c r="P688" s="91">
        <f ca="1">VLOOKUP(B688,'115+740'!$B$15:$AB$757,14,FALSE)</f>
        <v>-1318</v>
      </c>
      <c r="Q688" s="89">
        <f>'115+740'!R689</f>
        <v>10</v>
      </c>
      <c r="R688" s="88">
        <f t="shared" ca="1" si="138"/>
        <v>1308</v>
      </c>
      <c r="S688" s="93">
        <f ca="1">VLOOKUP(B688,'115+740'!$B$14:$AB$757,22,FALSE)</f>
        <v>5436</v>
      </c>
      <c r="T688" s="92">
        <f ca="1">VLOOKUP(B688,'115+740'!$B$15:$AB$757,6,FALSE)</f>
        <v>575</v>
      </c>
      <c r="U688" s="91">
        <f t="shared" ca="1" si="134"/>
        <v>3016</v>
      </c>
      <c r="V688" s="90">
        <f ca="1">VLOOKUP(B688,'115+740'!$B$15:$AB$757,15,FALSE)</f>
        <v>-984</v>
      </c>
      <c r="W688" s="89">
        <f>'115+740'!S689</f>
        <v>10</v>
      </c>
      <c r="X688" s="88">
        <f t="shared" ca="1" si="139"/>
        <v>944</v>
      </c>
      <c r="Y688" s="87">
        <f t="shared" ca="1" si="140"/>
        <v>-10</v>
      </c>
      <c r="Z688" s="86">
        <f t="shared" ca="1" si="141"/>
        <v>0</v>
      </c>
      <c r="AA688" s="85">
        <f t="shared" ca="1" si="142"/>
        <v>6.234</v>
      </c>
      <c r="AB688" s="85">
        <f t="shared" ca="1" si="143"/>
        <v>3.774</v>
      </c>
    </row>
    <row r="689" spans="2:28">
      <c r="B689" s="98">
        <f>'115+740'!B690</f>
        <v>45748</v>
      </c>
      <c r="C689" s="97">
        <f t="shared" si="135"/>
        <v>1</v>
      </c>
      <c r="D689" s="96">
        <f t="shared" si="136"/>
        <v>1069</v>
      </c>
      <c r="E689" s="95">
        <f>VLOOKUP(B689,'115+740'!B690:AB1048,3,FALSE)</f>
        <v>2524</v>
      </c>
      <c r="F689" s="92">
        <f t="shared" si="131"/>
        <v>3593</v>
      </c>
      <c r="G689" s="94">
        <f ca="1">VLOOKUP(B689,'115+740'!$B$15:$AB$757,20,FALSE)</f>
        <v>5236</v>
      </c>
      <c r="H689" s="94">
        <f ca="1">VLOOKUP(B689,'115+740'!$B$15:$AB$757,4,FALSE)</f>
        <v>697</v>
      </c>
      <c r="I689" s="91">
        <f t="shared" ca="1" si="132"/>
        <v>2896</v>
      </c>
      <c r="J689" s="91">
        <f ca="1">VLOOKUP(B689,'115+740'!$B$15:$AB$757,13,FALSE)</f>
        <v>-1104</v>
      </c>
      <c r="K689" s="89">
        <f>'115+740'!Q690</f>
        <v>10</v>
      </c>
      <c r="L689" s="88">
        <f t="shared" ca="1" si="137"/>
        <v>1144</v>
      </c>
      <c r="M689" s="93">
        <f ca="1">VLOOKUP(B689,'115+740'!$B$14:$AB$757,21,FALSE)</f>
        <v>5062</v>
      </c>
      <c r="N689" s="92">
        <f ca="1">VLOOKUP(B689,'115+740'!$B$15:$AB$757,5,FALSE)</f>
        <v>921</v>
      </c>
      <c r="O689" s="91">
        <f t="shared" ca="1" si="133"/>
        <v>2672</v>
      </c>
      <c r="P689" s="91">
        <f ca="1">VLOOKUP(B689,'115+740'!$B$15:$AB$757,14,FALSE)</f>
        <v>-1328</v>
      </c>
      <c r="Q689" s="89">
        <f>'115+740'!R690</f>
        <v>10</v>
      </c>
      <c r="R689" s="88">
        <f t="shared" ca="1" si="138"/>
        <v>1318</v>
      </c>
      <c r="S689" s="93">
        <f ca="1">VLOOKUP(B689,'115+740'!$B$14:$AB$757,22,FALSE)</f>
        <v>5430</v>
      </c>
      <c r="T689" s="92">
        <f ca="1">VLOOKUP(B689,'115+740'!$B$15:$AB$757,6,FALSE)</f>
        <v>583</v>
      </c>
      <c r="U689" s="91">
        <f t="shared" ca="1" si="134"/>
        <v>3010</v>
      </c>
      <c r="V689" s="90">
        <f ca="1">VLOOKUP(B689,'115+740'!$B$15:$AB$757,15,FALSE)</f>
        <v>-990</v>
      </c>
      <c r="W689" s="89">
        <f>'115+740'!S690</f>
        <v>6</v>
      </c>
      <c r="X689" s="88">
        <f t="shared" ca="1" si="139"/>
        <v>950</v>
      </c>
      <c r="Y689" s="87">
        <f t="shared" ca="1" si="140"/>
        <v>-6</v>
      </c>
      <c r="Z689" s="86">
        <f t="shared" ca="1" si="141"/>
        <v>0</v>
      </c>
      <c r="AA689" s="85">
        <f t="shared" ca="1" si="142"/>
        <v>6.234</v>
      </c>
      <c r="AB689" s="85">
        <f t="shared" ca="1" si="143"/>
        <v>3.754</v>
      </c>
    </row>
    <row r="690" spans="2:28">
      <c r="B690" s="98">
        <f>'115+740'!B691</f>
        <v>45749</v>
      </c>
      <c r="C690" s="97">
        <f t="shared" si="135"/>
        <v>1</v>
      </c>
      <c r="D690" s="96">
        <f t="shared" si="136"/>
        <v>1069</v>
      </c>
      <c r="E690" s="95">
        <f>VLOOKUP(B690,'115+740'!B691:AB1049,3,FALSE)</f>
        <v>2526</v>
      </c>
      <c r="F690" s="92">
        <f t="shared" si="131"/>
        <v>3595</v>
      </c>
      <c r="G690" s="94">
        <f ca="1">VLOOKUP(B690,'115+740'!$B$15:$AB$757,20,FALSE)</f>
        <v>5226</v>
      </c>
      <c r="H690" s="94">
        <f ca="1">VLOOKUP(B690,'115+740'!$B$15:$AB$757,4,FALSE)</f>
        <v>709</v>
      </c>
      <c r="I690" s="91">
        <f t="shared" ca="1" si="132"/>
        <v>2886</v>
      </c>
      <c r="J690" s="91">
        <f ca="1">VLOOKUP(B690,'115+740'!$B$15:$AB$757,13,FALSE)</f>
        <v>-1114</v>
      </c>
      <c r="K690" s="89">
        <f>'115+740'!Q691</f>
        <v>10</v>
      </c>
      <c r="L690" s="88">
        <f t="shared" ca="1" si="137"/>
        <v>1154</v>
      </c>
      <c r="M690" s="93">
        <f ca="1">VLOOKUP(B690,'115+740'!$B$14:$AB$757,21,FALSE)</f>
        <v>5052</v>
      </c>
      <c r="N690" s="92">
        <f ca="1">VLOOKUP(B690,'115+740'!$B$15:$AB$757,5,FALSE)</f>
        <v>933</v>
      </c>
      <c r="O690" s="91">
        <f t="shared" ca="1" si="133"/>
        <v>2662</v>
      </c>
      <c r="P690" s="91">
        <f ca="1">VLOOKUP(B690,'115+740'!$B$15:$AB$757,14,FALSE)</f>
        <v>-1338</v>
      </c>
      <c r="Q690" s="89">
        <f>'115+740'!R691</f>
        <v>10</v>
      </c>
      <c r="R690" s="88">
        <f t="shared" ca="1" si="138"/>
        <v>1328</v>
      </c>
      <c r="S690" s="93">
        <f ca="1">VLOOKUP(B690,'115+740'!$B$14:$AB$757,22,FALSE)</f>
        <v>5422</v>
      </c>
      <c r="T690" s="92">
        <f ca="1">VLOOKUP(B690,'115+740'!$B$15:$AB$757,6,FALSE)</f>
        <v>593</v>
      </c>
      <c r="U690" s="91">
        <f t="shared" ca="1" si="134"/>
        <v>3002</v>
      </c>
      <c r="V690" s="90">
        <f ca="1">VLOOKUP(B690,'115+740'!$B$15:$AB$757,15,FALSE)</f>
        <v>-998</v>
      </c>
      <c r="W690" s="89">
        <f>'115+740'!S691</f>
        <v>8</v>
      </c>
      <c r="X690" s="88">
        <f t="shared" ca="1" si="139"/>
        <v>958</v>
      </c>
      <c r="Y690" s="87">
        <f t="shared" ca="1" si="140"/>
        <v>-8</v>
      </c>
      <c r="Z690" s="86">
        <f t="shared" ca="1" si="141"/>
        <v>0</v>
      </c>
      <c r="AA690" s="85">
        <f t="shared" ca="1" si="142"/>
        <v>6.234</v>
      </c>
      <c r="AB690" s="85">
        <f t="shared" ca="1" si="143"/>
        <v>3.734</v>
      </c>
    </row>
    <row r="691" spans="2:28">
      <c r="B691" s="98">
        <f>'115+740'!B692</f>
        <v>45750</v>
      </c>
      <c r="C691" s="97">
        <f t="shared" si="135"/>
        <v>1</v>
      </c>
      <c r="D691" s="96">
        <f t="shared" si="136"/>
        <v>1069</v>
      </c>
      <c r="E691" s="95">
        <f>VLOOKUP(B691,'115+740'!B692:AB1050,3,FALSE)</f>
        <v>2528</v>
      </c>
      <c r="F691" s="92">
        <f t="shared" si="131"/>
        <v>3597</v>
      </c>
      <c r="G691" s="94">
        <f ca="1">VLOOKUP(B691,'115+740'!$B$15:$AB$757,20,FALSE)</f>
        <v>5216</v>
      </c>
      <c r="H691" s="94">
        <f ca="1">VLOOKUP(B691,'115+740'!$B$15:$AB$757,4,FALSE)</f>
        <v>721</v>
      </c>
      <c r="I691" s="91">
        <f t="shared" ca="1" si="132"/>
        <v>2876</v>
      </c>
      <c r="J691" s="91">
        <f ca="1">VLOOKUP(B691,'115+740'!$B$15:$AB$757,13,FALSE)</f>
        <v>-1124</v>
      </c>
      <c r="K691" s="89">
        <f>'115+740'!Q692</f>
        <v>10</v>
      </c>
      <c r="L691" s="88">
        <f t="shared" ca="1" si="137"/>
        <v>1164</v>
      </c>
      <c r="M691" s="93">
        <f ca="1">VLOOKUP(B691,'115+740'!$B$14:$AB$757,21,FALSE)</f>
        <v>5042</v>
      </c>
      <c r="N691" s="92">
        <f ca="1">VLOOKUP(B691,'115+740'!$B$15:$AB$757,5,FALSE)</f>
        <v>945</v>
      </c>
      <c r="O691" s="91">
        <f t="shared" ca="1" si="133"/>
        <v>2652</v>
      </c>
      <c r="P691" s="91">
        <f ca="1">VLOOKUP(B691,'115+740'!$B$15:$AB$757,14,FALSE)</f>
        <v>-1348</v>
      </c>
      <c r="Q691" s="89">
        <f>'115+740'!R692</f>
        <v>10</v>
      </c>
      <c r="R691" s="88">
        <f t="shared" ca="1" si="138"/>
        <v>1338</v>
      </c>
      <c r="S691" s="93">
        <f ca="1">VLOOKUP(B691,'115+740'!$B$14:$AB$757,22,FALSE)</f>
        <v>5415</v>
      </c>
      <c r="T691" s="92">
        <f ca="1">VLOOKUP(B691,'115+740'!$B$15:$AB$757,6,FALSE)</f>
        <v>602</v>
      </c>
      <c r="U691" s="91">
        <f t="shared" ca="1" si="134"/>
        <v>2995</v>
      </c>
      <c r="V691" s="90">
        <f ca="1">VLOOKUP(B691,'115+740'!$B$15:$AB$757,15,FALSE)</f>
        <v>-1005</v>
      </c>
      <c r="W691" s="89">
        <f>'115+740'!S692</f>
        <v>7</v>
      </c>
      <c r="X691" s="88">
        <f t="shared" ca="1" si="139"/>
        <v>965</v>
      </c>
      <c r="Y691" s="87">
        <f t="shared" ca="1" si="140"/>
        <v>-7</v>
      </c>
      <c r="Z691" s="86">
        <f t="shared" ca="1" si="141"/>
        <v>0</v>
      </c>
      <c r="AA691" s="85">
        <f t="shared" ca="1" si="142"/>
        <v>6.234</v>
      </c>
      <c r="AB691" s="85">
        <f t="shared" ca="1" si="143"/>
        <v>3.714</v>
      </c>
    </row>
    <row r="692" spans="2:28">
      <c r="B692" s="98">
        <f>'115+740'!B693</f>
        <v>45751</v>
      </c>
      <c r="C692" s="97">
        <f t="shared" si="135"/>
        <v>1</v>
      </c>
      <c r="D692" s="96">
        <f t="shared" si="136"/>
        <v>1069</v>
      </c>
      <c r="E692" s="95">
        <f>VLOOKUP(B692,'115+740'!B693:AB1051,3,FALSE)</f>
        <v>2530</v>
      </c>
      <c r="F692" s="92">
        <f t="shared" si="131"/>
        <v>3599</v>
      </c>
      <c r="G692" s="94">
        <f ca="1">VLOOKUP(B692,'115+740'!$B$15:$AB$757,20,FALSE)</f>
        <v>5206</v>
      </c>
      <c r="H692" s="94">
        <f ca="1">VLOOKUP(B692,'115+740'!$B$15:$AB$757,4,FALSE)</f>
        <v>733</v>
      </c>
      <c r="I692" s="91">
        <f t="shared" ca="1" si="132"/>
        <v>2866</v>
      </c>
      <c r="J692" s="91">
        <f ca="1">VLOOKUP(B692,'115+740'!$B$15:$AB$757,13,FALSE)</f>
        <v>-1134</v>
      </c>
      <c r="K692" s="89">
        <f>'115+740'!Q693</f>
        <v>10</v>
      </c>
      <c r="L692" s="88">
        <f t="shared" ca="1" si="137"/>
        <v>1174</v>
      </c>
      <c r="M692" s="93">
        <f ca="1">VLOOKUP(B692,'115+740'!$B$14:$AB$757,21,FALSE)</f>
        <v>5032</v>
      </c>
      <c r="N692" s="92">
        <f ca="1">VLOOKUP(B692,'115+740'!$B$15:$AB$757,5,FALSE)</f>
        <v>957</v>
      </c>
      <c r="O692" s="91">
        <f t="shared" ca="1" si="133"/>
        <v>2642</v>
      </c>
      <c r="P692" s="91">
        <f ca="1">VLOOKUP(B692,'115+740'!$B$15:$AB$757,14,FALSE)</f>
        <v>-1358</v>
      </c>
      <c r="Q692" s="89">
        <f>'115+740'!R693</f>
        <v>10</v>
      </c>
      <c r="R692" s="88">
        <f t="shared" ca="1" si="138"/>
        <v>1348</v>
      </c>
      <c r="S692" s="93">
        <f ca="1">VLOOKUP(B692,'115+740'!$B$14:$AB$757,22,FALSE)</f>
        <v>5405</v>
      </c>
      <c r="T692" s="92">
        <f ca="1">VLOOKUP(B692,'115+740'!$B$15:$AB$757,6,FALSE)</f>
        <v>614</v>
      </c>
      <c r="U692" s="91">
        <f t="shared" ca="1" si="134"/>
        <v>2985</v>
      </c>
      <c r="V692" s="90">
        <f ca="1">VLOOKUP(B692,'115+740'!$B$15:$AB$757,15,FALSE)</f>
        <v>-1015</v>
      </c>
      <c r="W692" s="89">
        <f>'115+740'!S693</f>
        <v>10</v>
      </c>
      <c r="X692" s="88">
        <f t="shared" ca="1" si="139"/>
        <v>975</v>
      </c>
      <c r="Y692" s="87">
        <f t="shared" ca="1" si="140"/>
        <v>-10</v>
      </c>
      <c r="Z692" s="86">
        <f t="shared" ca="1" si="141"/>
        <v>0</v>
      </c>
      <c r="AA692" s="85">
        <f t="shared" ca="1" si="142"/>
        <v>6.234</v>
      </c>
      <c r="AB692" s="85">
        <f t="shared" ca="1" si="143"/>
        <v>3.694</v>
      </c>
    </row>
    <row r="693" spans="2:28">
      <c r="B693" s="98">
        <f>'115+740'!B694</f>
        <v>45752</v>
      </c>
      <c r="C693" s="97">
        <f t="shared" si="135"/>
        <v>1</v>
      </c>
      <c r="D693" s="96">
        <f t="shared" si="136"/>
        <v>1069</v>
      </c>
      <c r="E693" s="95">
        <f>VLOOKUP(B693,'115+740'!B694:AB1052,3,FALSE)</f>
        <v>2532</v>
      </c>
      <c r="F693" s="92">
        <f t="shared" si="131"/>
        <v>3601</v>
      </c>
      <c r="G693" s="94">
        <f ca="1">VLOOKUP(B693,'115+740'!$B$15:$AB$757,20,FALSE)</f>
        <v>5496</v>
      </c>
      <c r="H693" s="94">
        <f ca="1">VLOOKUP(B693,'115+740'!$B$15:$AB$757,4,FALSE)</f>
        <v>745</v>
      </c>
      <c r="I693" s="91">
        <f t="shared" ca="1" si="132"/>
        <v>2856</v>
      </c>
      <c r="J693" s="91">
        <f ca="1">VLOOKUP(B693,'115+740'!$B$15:$AB$757,13,FALSE)</f>
        <v>-1144</v>
      </c>
      <c r="K693" s="89">
        <f>'115+740'!Q694</f>
        <v>10</v>
      </c>
      <c r="L693" s="88">
        <f t="shared" ca="1" si="137"/>
        <v>1184</v>
      </c>
      <c r="M693" s="93">
        <f ca="1">VLOOKUP(B693,'115+740'!$B$14:$AB$757,21,FALSE)</f>
        <v>5322</v>
      </c>
      <c r="N693" s="92">
        <f ca="1">VLOOKUP(B693,'115+740'!$B$15:$AB$757,5,FALSE)</f>
        <v>969</v>
      </c>
      <c r="O693" s="91">
        <f t="shared" ca="1" si="133"/>
        <v>2632</v>
      </c>
      <c r="P693" s="91">
        <f ca="1">VLOOKUP(B693,'115+740'!$B$15:$AB$757,14,FALSE)</f>
        <v>-1368</v>
      </c>
      <c r="Q693" s="89">
        <f>'115+740'!R694</f>
        <v>10</v>
      </c>
      <c r="R693" s="88">
        <f t="shared" ca="1" si="138"/>
        <v>1358</v>
      </c>
      <c r="S693" s="93">
        <f ca="1">VLOOKUP(B693,'115+740'!$B$14:$AB$757,22,FALSE)</f>
        <v>5696</v>
      </c>
      <c r="T693" s="92">
        <f ca="1">VLOOKUP(B693,'115+740'!$B$15:$AB$757,6,FALSE)</f>
        <v>625</v>
      </c>
      <c r="U693" s="91">
        <f t="shared" ca="1" si="134"/>
        <v>2976</v>
      </c>
      <c r="V693" s="90">
        <f ca="1">VLOOKUP(B693,'115+740'!$B$15:$AB$757,15,FALSE)</f>
        <v>-1024</v>
      </c>
      <c r="W693" s="89">
        <f>'115+740'!S694</f>
        <v>9</v>
      </c>
      <c r="X693" s="88">
        <f t="shared" ca="1" si="139"/>
        <v>984</v>
      </c>
      <c r="Y693" s="87">
        <f t="shared" ca="1" si="140"/>
        <v>291</v>
      </c>
      <c r="Z693" s="86">
        <f t="shared" ca="1" si="141"/>
        <v>0.29099999999999998</v>
      </c>
      <c r="AA693" s="85">
        <f t="shared" ca="1" si="142"/>
        <v>6.5250000000000004</v>
      </c>
      <c r="AB693" s="85">
        <f t="shared" ca="1" si="143"/>
        <v>3.9740000000000002</v>
      </c>
    </row>
    <row r="694" spans="2:28">
      <c r="B694" s="98">
        <f>'115+740'!B695</f>
        <v>45755</v>
      </c>
      <c r="C694" s="97">
        <f t="shared" si="135"/>
        <v>3</v>
      </c>
      <c r="D694" s="96">
        <f t="shared" si="136"/>
        <v>1069</v>
      </c>
      <c r="E694" s="95">
        <f>VLOOKUP(B694,'115+740'!B695:AB1053,3,FALSE)</f>
        <v>2534</v>
      </c>
      <c r="F694" s="92">
        <f t="shared" si="131"/>
        <v>3603</v>
      </c>
      <c r="G694" s="94">
        <f ca="1">VLOOKUP(B694,'115+740'!$B$15:$AB$757,20,FALSE)</f>
        <v>5472</v>
      </c>
      <c r="H694" s="94">
        <f ca="1">VLOOKUP(B694,'115+740'!$B$15:$AB$757,4,FALSE)</f>
        <v>771</v>
      </c>
      <c r="I694" s="91">
        <f t="shared" ca="1" si="132"/>
        <v>2832</v>
      </c>
      <c r="J694" s="91">
        <f ca="1">VLOOKUP(B694,'115+740'!$B$15:$AB$757,13,FALSE)</f>
        <v>-1168</v>
      </c>
      <c r="K694" s="89">
        <f>'115+740'!Q695</f>
        <v>24</v>
      </c>
      <c r="L694" s="88">
        <f t="shared" ca="1" si="137"/>
        <v>1208</v>
      </c>
      <c r="M694" s="93">
        <f ca="1">VLOOKUP(B694,'115+740'!$B$14:$AB$757,21,FALSE)</f>
        <v>5296</v>
      </c>
      <c r="N694" s="92">
        <f ca="1">VLOOKUP(B694,'115+740'!$B$15:$AB$757,5,FALSE)</f>
        <v>997</v>
      </c>
      <c r="O694" s="91">
        <f t="shared" ca="1" si="133"/>
        <v>2606</v>
      </c>
      <c r="P694" s="91">
        <f ca="1">VLOOKUP(B694,'115+740'!$B$15:$AB$757,14,FALSE)</f>
        <v>-1394</v>
      </c>
      <c r="Q694" s="89">
        <f>'115+740'!R695</f>
        <v>26</v>
      </c>
      <c r="R694" s="88">
        <f t="shared" ca="1" si="138"/>
        <v>1384</v>
      </c>
      <c r="S694" s="93">
        <f ca="1">VLOOKUP(B694,'115+740'!$B$14:$AB$757,22,FALSE)</f>
        <v>5670</v>
      </c>
      <c r="T694" s="92">
        <f ca="1">VLOOKUP(B694,'115+740'!$B$15:$AB$757,6,FALSE)</f>
        <v>653</v>
      </c>
      <c r="U694" s="91">
        <f t="shared" ca="1" si="134"/>
        <v>2950</v>
      </c>
      <c r="V694" s="90">
        <f ca="1">VLOOKUP(B694,'115+740'!$B$15:$AB$757,15,FALSE)</f>
        <v>-1050</v>
      </c>
      <c r="W694" s="89">
        <f>'115+740'!S695</f>
        <v>26</v>
      </c>
      <c r="X694" s="88">
        <f t="shared" ca="1" si="139"/>
        <v>1010</v>
      </c>
      <c r="Y694" s="87">
        <f t="shared" ca="1" si="140"/>
        <v>-26</v>
      </c>
      <c r="Z694" s="86">
        <f t="shared" ca="1" si="141"/>
        <v>0</v>
      </c>
      <c r="AA694" s="85">
        <f t="shared" ca="1" si="142"/>
        <v>6.5250000000000004</v>
      </c>
      <c r="AB694" s="85">
        <f t="shared" ca="1" si="143"/>
        <v>3.9220000000000002</v>
      </c>
    </row>
    <row r="695" spans="2:28">
      <c r="B695" s="98">
        <f>'115+740'!B696</f>
        <v>45759</v>
      </c>
      <c r="C695" s="97">
        <f t="shared" si="135"/>
        <v>4</v>
      </c>
      <c r="D695" s="96">
        <f t="shared" si="136"/>
        <v>1069</v>
      </c>
      <c r="E695" s="95">
        <f>VLOOKUP(B695,'115+740'!B696:AB1054,3,FALSE)</f>
        <v>2536</v>
      </c>
      <c r="F695" s="92">
        <f t="shared" si="131"/>
        <v>3605</v>
      </c>
      <c r="G695" s="94">
        <f ca="1">VLOOKUP(B695,'115+740'!$B$15:$AB$757,20,FALSE)</f>
        <v>5437</v>
      </c>
      <c r="H695" s="94">
        <f ca="1">VLOOKUP(B695,'115+740'!$B$15:$AB$757,4,FALSE)</f>
        <v>808</v>
      </c>
      <c r="I695" s="91">
        <f t="shared" ca="1" si="132"/>
        <v>2797</v>
      </c>
      <c r="J695" s="91">
        <f ca="1">VLOOKUP(B695,'115+740'!$B$15:$AB$757,13,FALSE)</f>
        <v>-1203</v>
      </c>
      <c r="K695" s="89">
        <f>'115+740'!Q696</f>
        <v>35</v>
      </c>
      <c r="L695" s="88">
        <f t="shared" ca="1" si="137"/>
        <v>1243</v>
      </c>
      <c r="M695" s="93">
        <f ca="1">VLOOKUP(B695,'115+740'!$B$14:$AB$757,21,FALSE)</f>
        <v>5266</v>
      </c>
      <c r="N695" s="92">
        <f ca="1">VLOOKUP(B695,'115+740'!$B$15:$AB$757,5,FALSE)</f>
        <v>1029</v>
      </c>
      <c r="O695" s="91">
        <f t="shared" ca="1" si="133"/>
        <v>2576</v>
      </c>
      <c r="P695" s="91">
        <f ca="1">VLOOKUP(B695,'115+740'!$B$15:$AB$757,14,FALSE)</f>
        <v>-1424</v>
      </c>
      <c r="Q695" s="89">
        <f>'115+740'!R696</f>
        <v>30</v>
      </c>
      <c r="R695" s="88">
        <f t="shared" ca="1" si="138"/>
        <v>1414</v>
      </c>
      <c r="S695" s="93">
        <f ca="1">VLOOKUP(B695,'115+740'!$B$14:$AB$757,22,FALSE)</f>
        <v>5636</v>
      </c>
      <c r="T695" s="92">
        <f ca="1">VLOOKUP(B695,'115+740'!$B$15:$AB$757,6,FALSE)</f>
        <v>689</v>
      </c>
      <c r="U695" s="91">
        <f t="shared" ca="1" si="134"/>
        <v>2916</v>
      </c>
      <c r="V695" s="90">
        <f ca="1">VLOOKUP(B695,'115+740'!$B$15:$AB$757,15,FALSE)</f>
        <v>-1084</v>
      </c>
      <c r="W695" s="89">
        <f>'115+740'!S696</f>
        <v>34</v>
      </c>
      <c r="X695" s="88">
        <f t="shared" ca="1" si="139"/>
        <v>1044</v>
      </c>
      <c r="Y695" s="87">
        <f t="shared" ca="1" si="140"/>
        <v>-34</v>
      </c>
      <c r="Z695" s="86">
        <f t="shared" ca="1" si="141"/>
        <v>0</v>
      </c>
      <c r="AA695" s="85">
        <f t="shared" ca="1" si="142"/>
        <v>6.5250000000000004</v>
      </c>
      <c r="AB695" s="85">
        <f t="shared" ca="1" si="143"/>
        <v>3.8620000000000001</v>
      </c>
    </row>
    <row r="696" spans="2:28">
      <c r="B696" s="98">
        <f>'115+740'!B697</f>
        <v>45762</v>
      </c>
      <c r="C696" s="97">
        <f t="shared" si="135"/>
        <v>3</v>
      </c>
      <c r="D696" s="96">
        <f t="shared" si="136"/>
        <v>1069</v>
      </c>
      <c r="E696" s="95">
        <f>VLOOKUP(B696,'115+740'!B697:AB1055,3,FALSE)</f>
        <v>2538</v>
      </c>
      <c r="F696" s="92">
        <f t="shared" si="131"/>
        <v>3607</v>
      </c>
      <c r="G696" s="94">
        <f ca="1">VLOOKUP(B696,'115+740'!$B$15:$AB$757,20,FALSE)</f>
        <v>5415</v>
      </c>
      <c r="H696" s="94">
        <f ca="1">VLOOKUP(B696,'115+740'!$B$15:$AB$757,4,FALSE)</f>
        <v>832</v>
      </c>
      <c r="I696" s="91">
        <f t="shared" ca="1" si="132"/>
        <v>2775</v>
      </c>
      <c r="J696" s="91">
        <f ca="1">VLOOKUP(B696,'115+740'!$B$15:$AB$757,13,FALSE)</f>
        <v>-1225</v>
      </c>
      <c r="K696" s="89">
        <f>'115+740'!Q697</f>
        <v>22</v>
      </c>
      <c r="L696" s="88">
        <f t="shared" ca="1" si="137"/>
        <v>1265</v>
      </c>
      <c r="M696" s="93">
        <f ca="1">VLOOKUP(B696,'115+740'!$B$14:$AB$757,21,FALSE)</f>
        <v>5246</v>
      </c>
      <c r="N696" s="92">
        <f ca="1">VLOOKUP(B696,'115+740'!$B$15:$AB$757,5,FALSE)</f>
        <v>1051</v>
      </c>
      <c r="O696" s="91">
        <f t="shared" ca="1" si="133"/>
        <v>2556</v>
      </c>
      <c r="P696" s="91">
        <f ca="1">VLOOKUP(B696,'115+740'!$B$15:$AB$757,14,FALSE)</f>
        <v>-1444</v>
      </c>
      <c r="Q696" s="89">
        <f>'115+740'!R697</f>
        <v>20</v>
      </c>
      <c r="R696" s="88">
        <f t="shared" ca="1" si="138"/>
        <v>1434</v>
      </c>
      <c r="S696" s="93">
        <f ca="1">VLOOKUP(B696,'115+740'!$B$14:$AB$757,22,FALSE)</f>
        <v>5611</v>
      </c>
      <c r="T696" s="92">
        <f ca="1">VLOOKUP(B696,'115+740'!$B$15:$AB$757,6,FALSE)</f>
        <v>716</v>
      </c>
      <c r="U696" s="91">
        <f t="shared" ca="1" si="134"/>
        <v>2891</v>
      </c>
      <c r="V696" s="90">
        <f ca="1">VLOOKUP(B696,'115+740'!$B$15:$AB$757,15,FALSE)</f>
        <v>-1109</v>
      </c>
      <c r="W696" s="89">
        <f>'115+740'!S697</f>
        <v>25</v>
      </c>
      <c r="X696" s="88">
        <f t="shared" ca="1" si="139"/>
        <v>1069</v>
      </c>
      <c r="Y696" s="87">
        <f t="shared" ca="1" si="140"/>
        <v>-25</v>
      </c>
      <c r="Z696" s="86">
        <f t="shared" ca="1" si="141"/>
        <v>0</v>
      </c>
      <c r="AA696" s="85">
        <f t="shared" ca="1" si="142"/>
        <v>6.5250000000000004</v>
      </c>
      <c r="AB696" s="85">
        <f t="shared" ca="1" si="143"/>
        <v>3.8220000000000001</v>
      </c>
    </row>
    <row r="697" spans="2:28">
      <c r="B697" s="98">
        <f>'115+740'!B698</f>
        <v>45766</v>
      </c>
      <c r="C697" s="97">
        <f t="shared" si="135"/>
        <v>4</v>
      </c>
      <c r="D697" s="96">
        <f t="shared" si="136"/>
        <v>1069</v>
      </c>
      <c r="E697" s="95">
        <f>VLOOKUP(B697,'115+740'!B698:AB1056,3,FALSE)</f>
        <v>2540</v>
      </c>
      <c r="F697" s="92">
        <f t="shared" si="131"/>
        <v>3609</v>
      </c>
      <c r="G697" s="94">
        <f ca="1">VLOOKUP(B697,'115+740'!$B$15:$AB$757,20,FALSE)</f>
        <v>5382</v>
      </c>
      <c r="H697" s="94">
        <f ca="1">VLOOKUP(B697,'115+740'!$B$15:$AB$757,4,FALSE)</f>
        <v>867</v>
      </c>
      <c r="I697" s="91">
        <f t="shared" ca="1" si="132"/>
        <v>2742</v>
      </c>
      <c r="J697" s="91">
        <f ca="1">VLOOKUP(B697,'115+740'!$B$15:$AB$757,13,FALSE)</f>
        <v>-1258</v>
      </c>
      <c r="K697" s="89">
        <f>'115+740'!Q698</f>
        <v>33</v>
      </c>
      <c r="L697" s="88">
        <f t="shared" ca="1" si="137"/>
        <v>1298</v>
      </c>
      <c r="M697" s="93">
        <f ca="1">VLOOKUP(B697,'115+740'!$B$14:$AB$757,21,FALSE)</f>
        <v>5226</v>
      </c>
      <c r="N697" s="92">
        <f ca="1">VLOOKUP(B697,'115+740'!$B$15:$AB$757,5,FALSE)</f>
        <v>1073</v>
      </c>
      <c r="O697" s="91">
        <f t="shared" ca="1" si="133"/>
        <v>2536</v>
      </c>
      <c r="P697" s="91">
        <f ca="1">VLOOKUP(B697,'115+740'!$B$15:$AB$757,14,FALSE)</f>
        <v>-1464</v>
      </c>
      <c r="Q697" s="89">
        <f>'115+740'!R698</f>
        <v>20</v>
      </c>
      <c r="R697" s="88">
        <f t="shared" ca="1" si="138"/>
        <v>1454</v>
      </c>
      <c r="S697" s="93">
        <f ca="1">VLOOKUP(B697,'115+740'!$B$14:$AB$757,22,FALSE)</f>
        <v>5579</v>
      </c>
      <c r="T697" s="92">
        <f ca="1">VLOOKUP(B697,'115+740'!$B$15:$AB$757,6,FALSE)</f>
        <v>750</v>
      </c>
      <c r="U697" s="91">
        <f t="shared" ca="1" si="134"/>
        <v>2859</v>
      </c>
      <c r="V697" s="90">
        <f ca="1">VLOOKUP(B697,'115+740'!$B$15:$AB$757,15,FALSE)</f>
        <v>-1141</v>
      </c>
      <c r="W697" s="89">
        <f>'115+740'!S698</f>
        <v>32</v>
      </c>
      <c r="X697" s="88">
        <f t="shared" ca="1" si="139"/>
        <v>1101</v>
      </c>
      <c r="Y697" s="87">
        <f t="shared" ca="1" si="140"/>
        <v>-32</v>
      </c>
      <c r="Z697" s="86">
        <f t="shared" ca="1" si="141"/>
        <v>0</v>
      </c>
      <c r="AA697" s="85">
        <f t="shared" ca="1" si="142"/>
        <v>6.5250000000000004</v>
      </c>
      <c r="AB697" s="85">
        <f t="shared" ca="1" si="143"/>
        <v>3.782</v>
      </c>
    </row>
    <row r="698" spans="2:28">
      <c r="B698" s="98">
        <f>'115+740'!B699</f>
        <v>45769</v>
      </c>
      <c r="C698" s="97">
        <f t="shared" si="135"/>
        <v>3</v>
      </c>
      <c r="D698" s="96">
        <f t="shared" si="136"/>
        <v>1069</v>
      </c>
      <c r="E698" s="95">
        <f>VLOOKUP(B698,'115+740'!B699:AB1057,3,FALSE)</f>
        <v>2542</v>
      </c>
      <c r="F698" s="92">
        <f t="shared" si="131"/>
        <v>3611</v>
      </c>
      <c r="G698" s="94">
        <f ca="1">VLOOKUP(B698,'115+740'!$B$15:$AB$757,20,FALSE)</f>
        <v>5360</v>
      </c>
      <c r="H698" s="94">
        <f ca="1">VLOOKUP(B698,'115+740'!$B$15:$AB$757,4,FALSE)</f>
        <v>891</v>
      </c>
      <c r="I698" s="91">
        <f t="shared" ca="1" si="132"/>
        <v>2720</v>
      </c>
      <c r="J698" s="91">
        <f ca="1">VLOOKUP(B698,'115+740'!$B$15:$AB$757,13,FALSE)</f>
        <v>-1280</v>
      </c>
      <c r="K698" s="89">
        <f>'115+740'!Q699</f>
        <v>22</v>
      </c>
      <c r="L698" s="88">
        <f t="shared" ca="1" si="137"/>
        <v>1320</v>
      </c>
      <c r="M698" s="93">
        <f ca="1">VLOOKUP(B698,'115+740'!$B$14:$AB$757,21,FALSE)</f>
        <v>5199</v>
      </c>
      <c r="N698" s="92">
        <f ca="1">VLOOKUP(B698,'115+740'!$B$15:$AB$757,5,FALSE)</f>
        <v>1102</v>
      </c>
      <c r="O698" s="91">
        <f t="shared" ca="1" si="133"/>
        <v>2509</v>
      </c>
      <c r="P698" s="91">
        <f ca="1">VLOOKUP(B698,'115+740'!$B$15:$AB$757,14,FALSE)</f>
        <v>-1491</v>
      </c>
      <c r="Q698" s="89">
        <f>'115+740'!R699</f>
        <v>27</v>
      </c>
      <c r="R698" s="88">
        <f t="shared" ca="1" si="138"/>
        <v>1481</v>
      </c>
      <c r="S698" s="93">
        <f ca="1">VLOOKUP(B698,'115+740'!$B$14:$AB$757,22,FALSE)</f>
        <v>5566</v>
      </c>
      <c r="T698" s="92">
        <f ca="1">VLOOKUP(B698,'115+740'!$B$15:$AB$757,6,FALSE)</f>
        <v>765</v>
      </c>
      <c r="U698" s="91">
        <f t="shared" ca="1" si="134"/>
        <v>2846</v>
      </c>
      <c r="V698" s="90">
        <f ca="1">VLOOKUP(B698,'115+740'!$B$15:$AB$757,15,FALSE)</f>
        <v>-1154</v>
      </c>
      <c r="W698" s="89">
        <f>'115+740'!S699</f>
        <v>13</v>
      </c>
      <c r="X698" s="88">
        <f t="shared" ca="1" si="139"/>
        <v>1114</v>
      </c>
      <c r="Y698" s="87">
        <f t="shared" ca="1" si="140"/>
        <v>-13</v>
      </c>
      <c r="Z698" s="86">
        <f t="shared" ca="1" si="141"/>
        <v>0</v>
      </c>
      <c r="AA698" s="85">
        <f t="shared" ca="1" si="142"/>
        <v>6.5250000000000004</v>
      </c>
      <c r="AB698" s="85">
        <f t="shared" ca="1" si="143"/>
        <v>3.7280000000000002</v>
      </c>
    </row>
    <row r="699" spans="2:28">
      <c r="B699" s="98">
        <f>'115+740'!B700</f>
        <v>45773</v>
      </c>
      <c r="C699" s="97">
        <f t="shared" si="135"/>
        <v>4</v>
      </c>
      <c r="D699" s="96">
        <f t="shared" si="136"/>
        <v>1069</v>
      </c>
      <c r="E699" s="95">
        <f>VLOOKUP(B699,'115+740'!B700:AB1058,3,FALSE)</f>
        <v>2544</v>
      </c>
      <c r="F699" s="92">
        <f t="shared" si="131"/>
        <v>3613</v>
      </c>
      <c r="G699" s="94">
        <f ca="1">VLOOKUP(B699,'115+740'!$B$15:$AB$757,20,FALSE)</f>
        <v>5329</v>
      </c>
      <c r="H699" s="94">
        <f ca="1">VLOOKUP(B699,'115+740'!$B$15:$AB$757,4,FALSE)</f>
        <v>924</v>
      </c>
      <c r="I699" s="91">
        <f t="shared" ca="1" si="132"/>
        <v>2689</v>
      </c>
      <c r="J699" s="91">
        <f ca="1">VLOOKUP(B699,'115+740'!$B$15:$AB$757,13,FALSE)</f>
        <v>-1311</v>
      </c>
      <c r="K699" s="89">
        <f>'115+740'!Q700</f>
        <v>31</v>
      </c>
      <c r="L699" s="88">
        <f t="shared" ca="1" si="137"/>
        <v>1351</v>
      </c>
      <c r="M699" s="93">
        <f ca="1">VLOOKUP(B699,'115+740'!$B$14:$AB$757,21,FALSE)</f>
        <v>5169</v>
      </c>
      <c r="N699" s="92">
        <f ca="1">VLOOKUP(B699,'115+740'!$B$15:$AB$757,5,FALSE)</f>
        <v>1134</v>
      </c>
      <c r="O699" s="91">
        <f t="shared" ca="1" si="133"/>
        <v>2479</v>
      </c>
      <c r="P699" s="91">
        <f ca="1">VLOOKUP(B699,'115+740'!$B$15:$AB$757,14,FALSE)</f>
        <v>-1521</v>
      </c>
      <c r="Q699" s="89">
        <f>'115+740'!R700</f>
        <v>30</v>
      </c>
      <c r="R699" s="88">
        <f t="shared" ca="1" si="138"/>
        <v>1511</v>
      </c>
      <c r="S699" s="93">
        <f ca="1">VLOOKUP(B699,'115+740'!$B$14:$AB$757,22,FALSE)</f>
        <v>5548</v>
      </c>
      <c r="T699" s="92">
        <f ca="1">VLOOKUP(B699,'115+740'!$B$15:$AB$757,6,FALSE)</f>
        <v>785</v>
      </c>
      <c r="U699" s="91">
        <f t="shared" ca="1" si="134"/>
        <v>2828</v>
      </c>
      <c r="V699" s="90">
        <f ca="1">VLOOKUP(B699,'115+740'!$B$15:$AB$757,15,FALSE)</f>
        <v>-1172</v>
      </c>
      <c r="W699" s="89">
        <f>'115+740'!S700</f>
        <v>18</v>
      </c>
      <c r="X699" s="88">
        <f t="shared" ca="1" si="139"/>
        <v>1132</v>
      </c>
      <c r="Y699" s="87">
        <f t="shared" ca="1" si="140"/>
        <v>-18</v>
      </c>
      <c r="Z699" s="86">
        <f t="shared" ca="1" si="141"/>
        <v>0</v>
      </c>
      <c r="AA699" s="85">
        <f t="shared" ca="1" si="142"/>
        <v>6.5250000000000004</v>
      </c>
      <c r="AB699" s="85">
        <f t="shared" ca="1" si="143"/>
        <v>3.6680000000000001</v>
      </c>
    </row>
    <row r="700" spans="2:28">
      <c r="B700" s="98">
        <f>'115+740'!B701</f>
        <v>45776</v>
      </c>
      <c r="C700" s="97">
        <f t="shared" si="135"/>
        <v>3</v>
      </c>
      <c r="D700" s="96">
        <f t="shared" si="136"/>
        <v>1069</v>
      </c>
      <c r="E700" s="95">
        <f>VLOOKUP(B700,'115+740'!B701:AB1059,3,FALSE)</f>
        <v>2546</v>
      </c>
      <c r="F700" s="92">
        <f t="shared" si="131"/>
        <v>3615</v>
      </c>
      <c r="G700" s="94">
        <f ca="1">VLOOKUP(B700,'115+740'!$B$15:$AB$757,20,FALSE)</f>
        <v>5313</v>
      </c>
      <c r="H700" s="94">
        <f ca="1">VLOOKUP(B700,'115+740'!$B$15:$AB$757,4,FALSE)</f>
        <v>942</v>
      </c>
      <c r="I700" s="91">
        <f t="shared" ca="1" si="132"/>
        <v>2673</v>
      </c>
      <c r="J700" s="91">
        <f ca="1">VLOOKUP(B700,'115+740'!$B$15:$AB$757,13,FALSE)</f>
        <v>-1327</v>
      </c>
      <c r="K700" s="89">
        <f>'115+740'!Q701</f>
        <v>16</v>
      </c>
      <c r="L700" s="88">
        <f t="shared" ca="1" si="137"/>
        <v>1367</v>
      </c>
      <c r="M700" s="93">
        <f ca="1">VLOOKUP(B700,'115+740'!$B$14:$AB$757,21,FALSE)</f>
        <v>5144</v>
      </c>
      <c r="N700" s="92">
        <f ca="1">VLOOKUP(B700,'115+740'!$B$15:$AB$757,5,FALSE)</f>
        <v>1161</v>
      </c>
      <c r="O700" s="91">
        <f t="shared" ca="1" si="133"/>
        <v>2454</v>
      </c>
      <c r="P700" s="91">
        <f ca="1">VLOOKUP(B700,'115+740'!$B$15:$AB$757,14,FALSE)</f>
        <v>-1546</v>
      </c>
      <c r="Q700" s="89">
        <f>'115+740'!R701</f>
        <v>25</v>
      </c>
      <c r="R700" s="88">
        <f t="shared" ca="1" si="138"/>
        <v>1536</v>
      </c>
      <c r="S700" s="93">
        <f ca="1">VLOOKUP(B700,'115+740'!$B$14:$AB$757,22,FALSE)</f>
        <v>5530</v>
      </c>
      <c r="T700" s="92">
        <f ca="1">VLOOKUP(B700,'115+740'!$B$15:$AB$757,6,FALSE)</f>
        <v>805</v>
      </c>
      <c r="U700" s="91">
        <f t="shared" ca="1" si="134"/>
        <v>2810</v>
      </c>
      <c r="V700" s="90">
        <f ca="1">VLOOKUP(B700,'115+740'!$B$15:$AB$757,15,FALSE)</f>
        <v>-1190</v>
      </c>
      <c r="W700" s="89">
        <f>'115+740'!S701</f>
        <v>18</v>
      </c>
      <c r="X700" s="88">
        <f t="shared" ca="1" si="139"/>
        <v>1150</v>
      </c>
      <c r="Y700" s="87">
        <f t="shared" ca="1" si="140"/>
        <v>-18</v>
      </c>
      <c r="Z700" s="86">
        <f t="shared" ca="1" si="141"/>
        <v>0</v>
      </c>
      <c r="AA700" s="85">
        <f t="shared" ca="1" si="142"/>
        <v>6.5250000000000004</v>
      </c>
      <c r="AB700" s="85">
        <f t="shared" ca="1" si="143"/>
        <v>3.6179999999999999</v>
      </c>
    </row>
    <row r="701" spans="2:28">
      <c r="B701" s="98">
        <f>'115+740'!B702</f>
        <v>45780</v>
      </c>
      <c r="C701" s="97">
        <f t="shared" si="135"/>
        <v>4</v>
      </c>
      <c r="D701" s="96">
        <f t="shared" si="136"/>
        <v>1069</v>
      </c>
      <c r="E701" s="95">
        <f>VLOOKUP(B701,'115+740'!B702:AB1060,3,FALSE)</f>
        <v>2548</v>
      </c>
      <c r="F701" s="92">
        <f t="shared" si="131"/>
        <v>3617</v>
      </c>
      <c r="G701" s="94">
        <f ca="1">VLOOKUP(B701,'115+740'!$B$15:$AB$757,20,FALSE)</f>
        <v>5291</v>
      </c>
      <c r="H701" s="94">
        <f ca="1">VLOOKUP(B701,'115+740'!$B$15:$AB$757,4,FALSE)</f>
        <v>966</v>
      </c>
      <c r="I701" s="91">
        <f t="shared" ca="1" si="132"/>
        <v>2651</v>
      </c>
      <c r="J701" s="91">
        <f ca="1">VLOOKUP(B701,'115+740'!$B$15:$AB$757,13,FALSE)</f>
        <v>-1349</v>
      </c>
      <c r="K701" s="89">
        <f>'115+740'!Q702</f>
        <v>22</v>
      </c>
      <c r="L701" s="88">
        <f t="shared" ca="1" si="137"/>
        <v>1389</v>
      </c>
      <c r="M701" s="93">
        <f ca="1">VLOOKUP(B701,'115+740'!$B$14:$AB$757,21,FALSE)</f>
        <v>5111</v>
      </c>
      <c r="N701" s="92">
        <f ca="1">VLOOKUP(B701,'115+740'!$B$15:$AB$757,5,FALSE)</f>
        <v>1196</v>
      </c>
      <c r="O701" s="91">
        <f t="shared" ca="1" si="133"/>
        <v>2421</v>
      </c>
      <c r="P701" s="91">
        <f ca="1">VLOOKUP(B701,'115+740'!$B$15:$AB$757,14,FALSE)</f>
        <v>-1579</v>
      </c>
      <c r="Q701" s="89">
        <f>'115+740'!R702</f>
        <v>33</v>
      </c>
      <c r="R701" s="88">
        <f t="shared" ca="1" si="138"/>
        <v>1569</v>
      </c>
      <c r="S701" s="93">
        <f ca="1">VLOOKUP(B701,'115+740'!$B$14:$AB$757,22,FALSE)</f>
        <v>5512</v>
      </c>
      <c r="T701" s="92">
        <f ca="1">VLOOKUP(B701,'115+740'!$B$15:$AB$757,6,FALSE)</f>
        <v>825</v>
      </c>
      <c r="U701" s="91">
        <f t="shared" ca="1" si="134"/>
        <v>2792</v>
      </c>
      <c r="V701" s="90">
        <f ca="1">VLOOKUP(B701,'115+740'!$B$15:$AB$757,15,FALSE)</f>
        <v>-1208</v>
      </c>
      <c r="W701" s="89">
        <f>'115+740'!S702</f>
        <v>18</v>
      </c>
      <c r="X701" s="88">
        <f t="shared" ca="1" si="139"/>
        <v>1168</v>
      </c>
      <c r="Y701" s="87">
        <f t="shared" ca="1" si="140"/>
        <v>-18</v>
      </c>
      <c r="Z701" s="86">
        <f t="shared" ca="1" si="141"/>
        <v>0</v>
      </c>
      <c r="AA701" s="85">
        <f t="shared" ca="1" si="142"/>
        <v>6.5250000000000004</v>
      </c>
      <c r="AB701" s="85">
        <f t="shared" ca="1" si="143"/>
        <v>3.552</v>
      </c>
    </row>
    <row r="702" spans="2:28">
      <c r="B702" s="98">
        <f>'115+740'!B703</f>
        <v>45787</v>
      </c>
      <c r="C702" s="97">
        <f t="shared" si="135"/>
        <v>7</v>
      </c>
      <c r="D702" s="96">
        <f t="shared" si="136"/>
        <v>1069</v>
      </c>
      <c r="E702" s="95">
        <f>VLOOKUP(B702,'115+740'!B703:AB1061,3,FALSE)</f>
        <v>2550</v>
      </c>
      <c r="F702" s="92">
        <f t="shared" si="131"/>
        <v>3619</v>
      </c>
      <c r="G702" s="94">
        <f ca="1">VLOOKUP(B702,'115+740'!$B$15:$AB$757,20,FALSE)</f>
        <v>5266</v>
      </c>
      <c r="H702" s="94">
        <f ca="1">VLOOKUP(B702,'115+740'!$B$15:$AB$757,4,FALSE)</f>
        <v>993</v>
      </c>
      <c r="I702" s="91">
        <f t="shared" ca="1" si="132"/>
        <v>2626</v>
      </c>
      <c r="J702" s="91">
        <f ca="1">VLOOKUP(B702,'115+740'!$B$15:$AB$757,13,FALSE)</f>
        <v>-1374</v>
      </c>
      <c r="K702" s="89">
        <f>'115+740'!Q703</f>
        <v>25</v>
      </c>
      <c r="L702" s="88">
        <f t="shared" ca="1" si="137"/>
        <v>1414</v>
      </c>
      <c r="M702" s="93">
        <f ca="1">VLOOKUP(B702,'115+740'!$B$14:$AB$757,21,FALSE)</f>
        <v>5076</v>
      </c>
      <c r="N702" s="92">
        <f ca="1">VLOOKUP(B702,'115+740'!$B$15:$AB$757,5,FALSE)</f>
        <v>1233</v>
      </c>
      <c r="O702" s="91">
        <f t="shared" ca="1" si="133"/>
        <v>2386</v>
      </c>
      <c r="P702" s="91">
        <f ca="1">VLOOKUP(B702,'115+740'!$B$15:$AB$757,14,FALSE)</f>
        <v>-1614</v>
      </c>
      <c r="Q702" s="89">
        <f>'115+740'!R703</f>
        <v>35</v>
      </c>
      <c r="R702" s="88">
        <f t="shared" ca="1" si="138"/>
        <v>1604</v>
      </c>
      <c r="S702" s="93">
        <f ca="1">VLOOKUP(B702,'115+740'!$B$14:$AB$757,22,FALSE)</f>
        <v>5490</v>
      </c>
      <c r="T702" s="92">
        <f ca="1">VLOOKUP(B702,'115+740'!$B$15:$AB$757,6,FALSE)</f>
        <v>849</v>
      </c>
      <c r="U702" s="91">
        <f t="shared" ca="1" si="134"/>
        <v>2770</v>
      </c>
      <c r="V702" s="90">
        <f ca="1">VLOOKUP(B702,'115+740'!$B$15:$AB$757,15,FALSE)</f>
        <v>-1230</v>
      </c>
      <c r="W702" s="89">
        <f>'115+740'!S703</f>
        <v>22</v>
      </c>
      <c r="X702" s="88">
        <f t="shared" ca="1" si="139"/>
        <v>1190</v>
      </c>
      <c r="Y702" s="87">
        <f t="shared" ca="1" si="140"/>
        <v>-22</v>
      </c>
      <c r="Z702" s="86">
        <f t="shared" ca="1" si="141"/>
        <v>0</v>
      </c>
      <c r="AA702" s="85">
        <f t="shared" ca="1" si="142"/>
        <v>6.5250000000000004</v>
      </c>
      <c r="AB702" s="85">
        <f t="shared" ca="1" si="143"/>
        <v>3.4820000000000002</v>
      </c>
    </row>
    <row r="703" spans="2:28">
      <c r="B703" s="98">
        <f>'115+740'!B704</f>
        <v>45794</v>
      </c>
      <c r="C703" s="97">
        <f t="shared" si="135"/>
        <v>7</v>
      </c>
      <c r="D703" s="96">
        <f t="shared" si="136"/>
        <v>1069</v>
      </c>
      <c r="E703" s="95">
        <f>VLOOKUP(B703,'115+740'!B704:AB1062,3,FALSE)</f>
        <v>2552</v>
      </c>
      <c r="F703" s="92">
        <f t="shared" si="131"/>
        <v>3621</v>
      </c>
      <c r="G703" s="94">
        <f ca="1">VLOOKUP(B703,'115+740'!$B$15:$AB$757,20,FALSE)</f>
        <v>5242</v>
      </c>
      <c r="H703" s="94">
        <f ca="1">VLOOKUP(B703,'115+740'!$B$15:$AB$757,4,FALSE)</f>
        <v>1019</v>
      </c>
      <c r="I703" s="91">
        <f t="shared" ca="1" si="132"/>
        <v>2602</v>
      </c>
      <c r="J703" s="91">
        <f ca="1">VLOOKUP(B703,'115+740'!$B$15:$AB$757,13,FALSE)</f>
        <v>-1398</v>
      </c>
      <c r="K703" s="89">
        <f>'115+740'!Q704</f>
        <v>24</v>
      </c>
      <c r="L703" s="88">
        <f t="shared" ca="1" si="137"/>
        <v>1438</v>
      </c>
      <c r="M703" s="93">
        <f ca="1">VLOOKUP(B703,'115+740'!$B$14:$AB$757,21,FALSE)</f>
        <v>5046</v>
      </c>
      <c r="N703" s="92">
        <f ca="1">VLOOKUP(B703,'115+740'!$B$15:$AB$757,5,FALSE)</f>
        <v>1265</v>
      </c>
      <c r="O703" s="91">
        <f t="shared" ca="1" si="133"/>
        <v>2356</v>
      </c>
      <c r="P703" s="91">
        <f ca="1">VLOOKUP(B703,'115+740'!$B$15:$AB$757,14,FALSE)</f>
        <v>-1644</v>
      </c>
      <c r="Q703" s="89">
        <f>'115+740'!R704</f>
        <v>30</v>
      </c>
      <c r="R703" s="88">
        <f t="shared" ca="1" si="138"/>
        <v>1634</v>
      </c>
      <c r="S703" s="93">
        <f ca="1">VLOOKUP(B703,'115+740'!$B$14:$AB$757,22,FALSE)</f>
        <v>5470</v>
      </c>
      <c r="T703" s="92">
        <f ca="1">VLOOKUP(B703,'115+740'!$B$15:$AB$757,6,FALSE)</f>
        <v>871</v>
      </c>
      <c r="U703" s="91">
        <f t="shared" ca="1" si="134"/>
        <v>2750</v>
      </c>
      <c r="V703" s="90">
        <f ca="1">VLOOKUP(B703,'115+740'!$B$15:$AB$757,15,FALSE)</f>
        <v>-1250</v>
      </c>
      <c r="W703" s="89">
        <f>'115+740'!S704</f>
        <v>20</v>
      </c>
      <c r="X703" s="88">
        <f t="shared" ca="1" si="139"/>
        <v>1210</v>
      </c>
      <c r="Y703" s="87">
        <f t="shared" ca="1" si="140"/>
        <v>-20</v>
      </c>
      <c r="Z703" s="86">
        <f t="shared" ca="1" si="141"/>
        <v>0</v>
      </c>
      <c r="AA703" s="85">
        <f t="shared" ca="1" si="142"/>
        <v>6.5250000000000004</v>
      </c>
      <c r="AB703" s="85">
        <f t="shared" ca="1" si="143"/>
        <v>3.4220000000000002</v>
      </c>
    </row>
    <row r="704" spans="2:28">
      <c r="B704" s="98">
        <f>'115+740'!B705</f>
        <v>45801</v>
      </c>
      <c r="C704" s="97">
        <f t="shared" si="135"/>
        <v>7</v>
      </c>
      <c r="D704" s="96">
        <f t="shared" si="136"/>
        <v>1069</v>
      </c>
      <c r="E704" s="95">
        <f>VLOOKUP(B704,'115+740'!B705:AB1063,3,FALSE)</f>
        <v>2554</v>
      </c>
      <c r="F704" s="92">
        <f t="shared" si="131"/>
        <v>3623</v>
      </c>
      <c r="G704" s="94">
        <f ca="1">VLOOKUP(B704,'115+740'!$B$15:$AB$757,20,FALSE)</f>
        <v>5220</v>
      </c>
      <c r="H704" s="94">
        <f ca="1">VLOOKUP(B704,'115+740'!$B$15:$AB$757,4,FALSE)</f>
        <v>1043</v>
      </c>
      <c r="I704" s="91">
        <f t="shared" ca="1" si="132"/>
        <v>2580</v>
      </c>
      <c r="J704" s="91">
        <f ca="1">VLOOKUP(B704,'115+740'!$B$15:$AB$757,13,FALSE)</f>
        <v>-1420</v>
      </c>
      <c r="K704" s="89">
        <f>'115+740'!Q705</f>
        <v>22</v>
      </c>
      <c r="L704" s="88">
        <f t="shared" ca="1" si="137"/>
        <v>1460</v>
      </c>
      <c r="M704" s="93">
        <f ca="1">VLOOKUP(B704,'115+740'!$B$14:$AB$757,21,FALSE)</f>
        <v>5022</v>
      </c>
      <c r="N704" s="92">
        <f ca="1">VLOOKUP(B704,'115+740'!$B$15:$AB$757,5,FALSE)</f>
        <v>1291</v>
      </c>
      <c r="O704" s="91">
        <f t="shared" ca="1" si="133"/>
        <v>2332</v>
      </c>
      <c r="P704" s="91">
        <f ca="1">VLOOKUP(B704,'115+740'!$B$15:$AB$757,14,FALSE)</f>
        <v>-1668</v>
      </c>
      <c r="Q704" s="89">
        <f>'115+740'!R705</f>
        <v>24</v>
      </c>
      <c r="R704" s="88">
        <f t="shared" ca="1" si="138"/>
        <v>1658</v>
      </c>
      <c r="S704" s="93">
        <f ca="1">VLOOKUP(B704,'115+740'!$B$14:$AB$757,22,FALSE)</f>
        <v>5452</v>
      </c>
      <c r="T704" s="92">
        <f ca="1">VLOOKUP(B704,'115+740'!$B$15:$AB$757,6,FALSE)</f>
        <v>891</v>
      </c>
      <c r="U704" s="91">
        <f t="shared" ca="1" si="134"/>
        <v>2732</v>
      </c>
      <c r="V704" s="90">
        <f ca="1">VLOOKUP(B704,'115+740'!$B$15:$AB$757,15,FALSE)</f>
        <v>-1268</v>
      </c>
      <c r="W704" s="89">
        <f>'115+740'!S705</f>
        <v>18</v>
      </c>
      <c r="X704" s="88">
        <f t="shared" ca="1" si="139"/>
        <v>1228</v>
      </c>
      <c r="Y704" s="87">
        <f t="shared" ca="1" si="140"/>
        <v>-18</v>
      </c>
      <c r="Z704" s="86">
        <f t="shared" ca="1" si="141"/>
        <v>0</v>
      </c>
      <c r="AA704" s="85">
        <f t="shared" ca="1" si="142"/>
        <v>6.5250000000000004</v>
      </c>
      <c r="AB704" s="85">
        <f t="shared" ca="1" si="143"/>
        <v>3.3740000000000001</v>
      </c>
    </row>
    <row r="705" spans="2:28">
      <c r="B705" s="98">
        <f>'115+740'!B706</f>
        <v>45808</v>
      </c>
      <c r="C705" s="97">
        <f t="shared" si="135"/>
        <v>7</v>
      </c>
      <c r="D705" s="96">
        <f t="shared" si="136"/>
        <v>1069</v>
      </c>
      <c r="E705" s="95">
        <f>VLOOKUP(B705,'115+740'!B706:AB1064,3,FALSE)</f>
        <v>2556</v>
      </c>
      <c r="F705" s="92">
        <f t="shared" si="131"/>
        <v>3625</v>
      </c>
      <c r="G705" s="94">
        <f ca="1">VLOOKUP(B705,'115+740'!$B$15:$AB$757,20,FALSE)</f>
        <v>5200</v>
      </c>
      <c r="H705" s="94">
        <f ca="1">VLOOKUP(B705,'115+740'!$B$15:$AB$757,4,FALSE)</f>
        <v>1065</v>
      </c>
      <c r="I705" s="91">
        <f t="shared" ca="1" si="132"/>
        <v>2560</v>
      </c>
      <c r="J705" s="91">
        <f ca="1">VLOOKUP(B705,'115+740'!$B$15:$AB$757,13,FALSE)</f>
        <v>-1440</v>
      </c>
      <c r="K705" s="89">
        <f>'115+740'!Q706</f>
        <v>20</v>
      </c>
      <c r="L705" s="88">
        <f t="shared" ca="1" si="137"/>
        <v>1480</v>
      </c>
      <c r="M705" s="93">
        <f ca="1">VLOOKUP(B705,'115+740'!$B$14:$AB$757,21,FALSE)</f>
        <v>5000</v>
      </c>
      <c r="N705" s="92">
        <f ca="1">VLOOKUP(B705,'115+740'!$B$15:$AB$757,5,FALSE)</f>
        <v>1315</v>
      </c>
      <c r="O705" s="91">
        <f t="shared" ca="1" si="133"/>
        <v>2310</v>
      </c>
      <c r="P705" s="91">
        <f ca="1">VLOOKUP(B705,'115+740'!$B$15:$AB$757,14,FALSE)</f>
        <v>-1690</v>
      </c>
      <c r="Q705" s="89">
        <f>'115+740'!R706</f>
        <v>22</v>
      </c>
      <c r="R705" s="88">
        <f t="shared" ca="1" si="138"/>
        <v>1680</v>
      </c>
      <c r="S705" s="93">
        <f ca="1">VLOOKUP(B705,'115+740'!$B$14:$AB$757,22,FALSE)</f>
        <v>5438</v>
      </c>
      <c r="T705" s="92">
        <f ca="1">VLOOKUP(B705,'115+740'!$B$15:$AB$757,6,FALSE)</f>
        <v>907</v>
      </c>
      <c r="U705" s="91">
        <f t="shared" ca="1" si="134"/>
        <v>2718</v>
      </c>
      <c r="V705" s="90">
        <f ca="1">VLOOKUP(B705,'115+740'!$B$15:$AB$757,15,FALSE)</f>
        <v>-1282</v>
      </c>
      <c r="W705" s="89">
        <f>'115+740'!S706</f>
        <v>14</v>
      </c>
      <c r="X705" s="88">
        <f t="shared" ca="1" si="139"/>
        <v>1242</v>
      </c>
      <c r="Y705" s="87">
        <f t="shared" ca="1" si="140"/>
        <v>-14</v>
      </c>
      <c r="Z705" s="86">
        <f t="shared" ca="1" si="141"/>
        <v>0</v>
      </c>
      <c r="AA705" s="85">
        <f t="shared" ca="1" si="142"/>
        <v>6.5250000000000004</v>
      </c>
      <c r="AB705" s="85">
        <f t="shared" ca="1" si="143"/>
        <v>3.33</v>
      </c>
    </row>
    <row r="706" spans="2:28">
      <c r="B706" s="98">
        <f>'115+740'!B707</f>
        <v>45815</v>
      </c>
      <c r="C706" s="97">
        <f t="shared" si="135"/>
        <v>7</v>
      </c>
      <c r="D706" s="96">
        <f t="shared" si="136"/>
        <v>1069</v>
      </c>
      <c r="E706" s="95">
        <f>VLOOKUP(B706,'115+740'!B707:AB1065,3,FALSE)</f>
        <v>2558</v>
      </c>
      <c r="F706" s="92">
        <f t="shared" si="131"/>
        <v>3627</v>
      </c>
      <c r="G706" s="94">
        <f ca="1">VLOOKUP(B706,'115+740'!$B$15:$AB$757,20,FALSE)</f>
        <v>5184</v>
      </c>
      <c r="H706" s="94">
        <f ca="1">VLOOKUP(B706,'115+740'!$B$15:$AB$757,4,FALSE)</f>
        <v>1083</v>
      </c>
      <c r="I706" s="91">
        <f t="shared" ca="1" si="132"/>
        <v>2544</v>
      </c>
      <c r="J706" s="91">
        <f ca="1">VLOOKUP(B706,'115+740'!$B$15:$AB$757,13,FALSE)</f>
        <v>-1456</v>
      </c>
      <c r="K706" s="89">
        <f>'115+740'!Q707</f>
        <v>16</v>
      </c>
      <c r="L706" s="88">
        <f t="shared" ca="1" si="137"/>
        <v>1496</v>
      </c>
      <c r="M706" s="93">
        <f ca="1">VLOOKUP(B706,'115+740'!$B$14:$AB$757,21,FALSE)</f>
        <v>4985</v>
      </c>
      <c r="N706" s="92">
        <f ca="1">VLOOKUP(B706,'115+740'!$B$15:$AB$757,5,FALSE)</f>
        <v>1332</v>
      </c>
      <c r="O706" s="91">
        <f t="shared" ca="1" si="133"/>
        <v>2295</v>
      </c>
      <c r="P706" s="91">
        <f ca="1">VLOOKUP(B706,'115+740'!$B$15:$AB$757,14,FALSE)</f>
        <v>-1705</v>
      </c>
      <c r="Q706" s="89">
        <f>'115+740'!R707</f>
        <v>15</v>
      </c>
      <c r="R706" s="88">
        <f t="shared" ca="1" si="138"/>
        <v>1695</v>
      </c>
      <c r="S706" s="93">
        <f ca="1">VLOOKUP(B706,'115+740'!$B$14:$AB$757,22,FALSE)</f>
        <v>5424</v>
      </c>
      <c r="T706" s="92">
        <f ca="1">VLOOKUP(B706,'115+740'!$B$15:$AB$757,6,FALSE)</f>
        <v>923</v>
      </c>
      <c r="U706" s="91">
        <f t="shared" ca="1" si="134"/>
        <v>2704</v>
      </c>
      <c r="V706" s="90">
        <f ca="1">VLOOKUP(B706,'115+740'!$B$15:$AB$757,15,FALSE)</f>
        <v>-1296</v>
      </c>
      <c r="W706" s="89">
        <f>'115+740'!S707</f>
        <v>14</v>
      </c>
      <c r="X706" s="88">
        <f t="shared" ca="1" si="139"/>
        <v>1256</v>
      </c>
      <c r="Y706" s="87">
        <f t="shared" ca="1" si="140"/>
        <v>-14</v>
      </c>
      <c r="Z706" s="86">
        <f t="shared" ca="1" si="141"/>
        <v>0</v>
      </c>
      <c r="AA706" s="85">
        <f t="shared" ca="1" si="142"/>
        <v>6.5250000000000004</v>
      </c>
      <c r="AB706" s="85">
        <f t="shared" ca="1" si="143"/>
        <v>3.3</v>
      </c>
    </row>
    <row r="707" spans="2:28">
      <c r="B707" s="98">
        <f>'115+740'!B708</f>
        <v>45822</v>
      </c>
      <c r="C707" s="97">
        <f t="shared" si="135"/>
        <v>7</v>
      </c>
      <c r="D707" s="96">
        <f t="shared" si="136"/>
        <v>1069</v>
      </c>
      <c r="E707" s="95">
        <f>VLOOKUP(B707,'115+740'!B708:AB1066,3,FALSE)</f>
        <v>2560</v>
      </c>
      <c r="F707" s="92">
        <f t="shared" si="131"/>
        <v>3629</v>
      </c>
      <c r="G707" s="94">
        <f ca="1">VLOOKUP(B707,'115+740'!$B$15:$AB$757,20,FALSE)</f>
        <v>5169</v>
      </c>
      <c r="H707" s="94">
        <f ca="1">VLOOKUP(B707,'115+740'!$B$15:$AB$757,4,FALSE)</f>
        <v>1100</v>
      </c>
      <c r="I707" s="91">
        <f t="shared" ca="1" si="132"/>
        <v>2529</v>
      </c>
      <c r="J707" s="91">
        <f ca="1">VLOOKUP(B707,'115+740'!$B$15:$AB$757,13,FALSE)</f>
        <v>-1471</v>
      </c>
      <c r="K707" s="89">
        <f>'115+740'!Q708</f>
        <v>15</v>
      </c>
      <c r="L707" s="88">
        <f t="shared" ca="1" si="137"/>
        <v>1511</v>
      </c>
      <c r="M707" s="93">
        <f ca="1">VLOOKUP(B707,'115+740'!$B$14:$AB$757,21,FALSE)</f>
        <v>4973</v>
      </c>
      <c r="N707" s="92">
        <f ca="1">VLOOKUP(B707,'115+740'!$B$15:$AB$757,5,FALSE)</f>
        <v>1346</v>
      </c>
      <c r="O707" s="91">
        <f t="shared" ca="1" si="133"/>
        <v>2283</v>
      </c>
      <c r="P707" s="91">
        <f ca="1">VLOOKUP(B707,'115+740'!$B$15:$AB$757,14,FALSE)</f>
        <v>-1717</v>
      </c>
      <c r="Q707" s="89">
        <f>'115+740'!R708</f>
        <v>12</v>
      </c>
      <c r="R707" s="88">
        <f t="shared" ca="1" si="138"/>
        <v>1707</v>
      </c>
      <c r="S707" s="93">
        <f ca="1">VLOOKUP(B707,'115+740'!$B$14:$AB$757,22,FALSE)</f>
        <v>5411</v>
      </c>
      <c r="T707" s="92">
        <f ca="1">VLOOKUP(B707,'115+740'!$B$15:$AB$757,6,FALSE)</f>
        <v>938</v>
      </c>
      <c r="U707" s="91">
        <f t="shared" ca="1" si="134"/>
        <v>2691</v>
      </c>
      <c r="V707" s="90">
        <f ca="1">VLOOKUP(B707,'115+740'!$B$15:$AB$757,15,FALSE)</f>
        <v>-1309</v>
      </c>
      <c r="W707" s="89">
        <f>'115+740'!S708</f>
        <v>13</v>
      </c>
      <c r="X707" s="88">
        <f t="shared" ca="1" si="139"/>
        <v>1269</v>
      </c>
      <c r="Y707" s="87">
        <f t="shared" ca="1" si="140"/>
        <v>-13</v>
      </c>
      <c r="Z707" s="86">
        <f t="shared" ca="1" si="141"/>
        <v>0</v>
      </c>
      <c r="AA707" s="85">
        <f t="shared" ca="1" si="142"/>
        <v>6.5250000000000004</v>
      </c>
      <c r="AB707" s="85">
        <f t="shared" ca="1" si="143"/>
        <v>3.2759999999999998</v>
      </c>
    </row>
    <row r="708" spans="2:28">
      <c r="B708" s="98">
        <f>'115+740'!B709</f>
        <v>45829</v>
      </c>
      <c r="C708" s="97">
        <f t="shared" si="135"/>
        <v>7</v>
      </c>
      <c r="D708" s="96">
        <f t="shared" si="136"/>
        <v>1069</v>
      </c>
      <c r="E708" s="95">
        <f>VLOOKUP(B708,'115+740'!B709:AB1067,3,FALSE)</f>
        <v>2562</v>
      </c>
      <c r="F708" s="92">
        <f t="shared" si="131"/>
        <v>3631</v>
      </c>
      <c r="G708" s="94">
        <f ca="1">VLOOKUP(B708,'115+740'!$B$15:$AB$757,20,FALSE)</f>
        <v>5157</v>
      </c>
      <c r="H708" s="94">
        <f ca="1">VLOOKUP(B708,'115+740'!$B$15:$AB$757,4,FALSE)</f>
        <v>1114</v>
      </c>
      <c r="I708" s="91">
        <f t="shared" ca="1" si="132"/>
        <v>2517</v>
      </c>
      <c r="J708" s="91">
        <f ca="1">VLOOKUP(B708,'115+740'!$B$15:$AB$757,13,FALSE)</f>
        <v>-1483</v>
      </c>
      <c r="K708" s="89">
        <f>'115+740'!Q709</f>
        <v>12</v>
      </c>
      <c r="L708" s="88">
        <f t="shared" ca="1" si="137"/>
        <v>1523</v>
      </c>
      <c r="M708" s="93">
        <f ca="1">VLOOKUP(B708,'115+740'!$B$14:$AB$757,21,FALSE)</f>
        <v>4959</v>
      </c>
      <c r="N708" s="92">
        <f ca="1">VLOOKUP(B708,'115+740'!$B$15:$AB$757,5,FALSE)</f>
        <v>1362</v>
      </c>
      <c r="O708" s="91">
        <f t="shared" ca="1" si="133"/>
        <v>2269</v>
      </c>
      <c r="P708" s="91">
        <f ca="1">VLOOKUP(B708,'115+740'!$B$15:$AB$757,14,FALSE)</f>
        <v>-1731</v>
      </c>
      <c r="Q708" s="89">
        <f>'115+740'!R709</f>
        <v>14</v>
      </c>
      <c r="R708" s="88">
        <f t="shared" ca="1" si="138"/>
        <v>1721</v>
      </c>
      <c r="S708" s="93">
        <f ca="1">VLOOKUP(B708,'115+740'!$B$14:$AB$757,22,FALSE)</f>
        <v>5398</v>
      </c>
      <c r="T708" s="92">
        <f ca="1">VLOOKUP(B708,'115+740'!$B$15:$AB$757,6,FALSE)</f>
        <v>953</v>
      </c>
      <c r="U708" s="91">
        <f t="shared" ca="1" si="134"/>
        <v>2678</v>
      </c>
      <c r="V708" s="90">
        <f ca="1">VLOOKUP(B708,'115+740'!$B$15:$AB$757,15,FALSE)</f>
        <v>-1322</v>
      </c>
      <c r="W708" s="89">
        <f>'115+740'!S709</f>
        <v>13</v>
      </c>
      <c r="X708" s="88">
        <f t="shared" ca="1" si="139"/>
        <v>1282</v>
      </c>
      <c r="Y708" s="87">
        <f t="shared" ca="1" si="140"/>
        <v>-13</v>
      </c>
      <c r="Z708" s="86">
        <f t="shared" ca="1" si="141"/>
        <v>0</v>
      </c>
      <c r="AA708" s="85">
        <f t="shared" ca="1" si="142"/>
        <v>6.5250000000000004</v>
      </c>
      <c r="AB708" s="85">
        <f t="shared" ca="1" si="143"/>
        <v>3.2480000000000002</v>
      </c>
    </row>
    <row r="709" spans="2:28">
      <c r="B709" s="98">
        <f>'115+740'!B710</f>
        <v>45836</v>
      </c>
      <c r="C709" s="97">
        <f t="shared" si="135"/>
        <v>7</v>
      </c>
      <c r="D709" s="96">
        <f t="shared" si="136"/>
        <v>1069</v>
      </c>
      <c r="E709" s="95">
        <f>VLOOKUP(B709,'115+740'!B710:AB1068,3,FALSE)</f>
        <v>2564</v>
      </c>
      <c r="F709" s="92">
        <f t="shared" si="131"/>
        <v>3633</v>
      </c>
      <c r="G709" s="94">
        <f ca="1">VLOOKUP(B709,'115+740'!$B$15:$AB$757,20,FALSE)</f>
        <v>5144</v>
      </c>
      <c r="H709" s="94">
        <f ca="1">VLOOKUP(B709,'115+740'!$B$15:$AB$757,4,FALSE)</f>
        <v>1129</v>
      </c>
      <c r="I709" s="91">
        <f t="shared" ca="1" si="132"/>
        <v>2504</v>
      </c>
      <c r="J709" s="91">
        <f ca="1">VLOOKUP(B709,'115+740'!$B$15:$AB$757,13,FALSE)</f>
        <v>-1496</v>
      </c>
      <c r="K709" s="89">
        <f>'115+740'!Q710</f>
        <v>13</v>
      </c>
      <c r="L709" s="88">
        <f t="shared" ca="1" si="137"/>
        <v>1536</v>
      </c>
      <c r="M709" s="93">
        <f ca="1">VLOOKUP(B709,'115+740'!$B$14:$AB$757,21,FALSE)</f>
        <v>4949</v>
      </c>
      <c r="N709" s="92">
        <f ca="1">VLOOKUP(B709,'115+740'!$B$15:$AB$757,5,FALSE)</f>
        <v>1374</v>
      </c>
      <c r="O709" s="91">
        <f t="shared" ca="1" si="133"/>
        <v>2259</v>
      </c>
      <c r="P709" s="91">
        <f ca="1">VLOOKUP(B709,'115+740'!$B$15:$AB$757,14,FALSE)</f>
        <v>-1741</v>
      </c>
      <c r="Q709" s="89">
        <f>'115+740'!R710</f>
        <v>10</v>
      </c>
      <c r="R709" s="88">
        <f t="shared" ca="1" si="138"/>
        <v>1731</v>
      </c>
      <c r="S709" s="93">
        <f ca="1">VLOOKUP(B709,'115+740'!$B$14:$AB$757,22,FALSE)</f>
        <v>5386</v>
      </c>
      <c r="T709" s="92">
        <f ca="1">VLOOKUP(B709,'115+740'!$B$15:$AB$757,6,FALSE)</f>
        <v>967</v>
      </c>
      <c r="U709" s="91">
        <f t="shared" ca="1" si="134"/>
        <v>2666</v>
      </c>
      <c r="V709" s="90">
        <f ca="1">VLOOKUP(B709,'115+740'!$B$15:$AB$757,15,FALSE)</f>
        <v>-1334</v>
      </c>
      <c r="W709" s="89">
        <f>'115+740'!S710</f>
        <v>12</v>
      </c>
      <c r="X709" s="88">
        <f t="shared" ca="1" si="139"/>
        <v>1294</v>
      </c>
      <c r="Y709" s="87">
        <f t="shared" ca="1" si="140"/>
        <v>-12</v>
      </c>
      <c r="Z709" s="86">
        <f t="shared" ca="1" si="141"/>
        <v>0</v>
      </c>
      <c r="AA709" s="85">
        <f t="shared" ca="1" si="142"/>
        <v>6.5250000000000004</v>
      </c>
      <c r="AB709" s="85">
        <f t="shared" ca="1" si="143"/>
        <v>3.2280000000000002</v>
      </c>
    </row>
    <row r="710" spans="2:28">
      <c r="B710" s="98">
        <f>'115+740'!B711</f>
        <v>45843</v>
      </c>
      <c r="C710" s="97">
        <f t="shared" si="135"/>
        <v>7</v>
      </c>
      <c r="D710" s="96">
        <f t="shared" ref="D710:D718" si="144">D709</f>
        <v>1069</v>
      </c>
      <c r="E710" s="95">
        <f>VLOOKUP(B710,'115+740'!B711:AB1069,3,FALSE)</f>
        <v>2566</v>
      </c>
      <c r="F710" s="92">
        <f t="shared" ref="F710:F718" si="145">D710+E710</f>
        <v>3635</v>
      </c>
      <c r="G710" s="94">
        <f ca="1">VLOOKUP(B710,'115+740'!$B$15:$AB$757,20,FALSE)</f>
        <v>5133</v>
      </c>
      <c r="H710" s="94">
        <f ca="1">VLOOKUP(B710,'115+740'!$B$15:$AB$757,4,FALSE)</f>
        <v>1142</v>
      </c>
      <c r="I710" s="91">
        <f t="shared" ref="I710:I718" ca="1" si="146">F710-H710</f>
        <v>2493</v>
      </c>
      <c r="J710" s="91">
        <f ca="1">VLOOKUP(B710,'115+740'!$B$15:$AB$757,13,FALSE)</f>
        <v>-1507</v>
      </c>
      <c r="K710" s="89">
        <f>'115+740'!Q711</f>
        <v>11</v>
      </c>
      <c r="L710" s="88">
        <f t="shared" ref="L710:L718" ca="1" si="147">+K710+L709</f>
        <v>1547</v>
      </c>
      <c r="M710" s="93">
        <f ca="1">VLOOKUP(B710,'115+740'!$B$14:$AB$757,21,FALSE)</f>
        <v>4931</v>
      </c>
      <c r="N710" s="92">
        <f ca="1">VLOOKUP(B710,'115+740'!$B$15:$AB$757,5,FALSE)</f>
        <v>1394</v>
      </c>
      <c r="O710" s="91">
        <f t="shared" ref="O710:O718" ca="1" si="148">F710-N710</f>
        <v>2241</v>
      </c>
      <c r="P710" s="91">
        <f ca="1">VLOOKUP(B710,'115+740'!$B$15:$AB$757,14,FALSE)</f>
        <v>-1759</v>
      </c>
      <c r="Q710" s="89">
        <f>'115+740'!R711</f>
        <v>18</v>
      </c>
      <c r="R710" s="88">
        <f t="shared" ref="R710:R718" ca="1" si="149">+Q710+R709</f>
        <v>1749</v>
      </c>
      <c r="S710" s="93">
        <f ca="1">VLOOKUP(B710,'115+740'!$B$14:$AB$757,22,FALSE)</f>
        <v>5376</v>
      </c>
      <c r="T710" s="92">
        <f ca="1">VLOOKUP(B710,'115+740'!$B$15:$AB$757,6,FALSE)</f>
        <v>979</v>
      </c>
      <c r="U710" s="91">
        <f t="shared" ref="U710:U718" ca="1" si="150">F710-T710</f>
        <v>2656</v>
      </c>
      <c r="V710" s="90">
        <f ca="1">VLOOKUP(B710,'115+740'!$B$15:$AB$757,15,FALSE)</f>
        <v>-1344</v>
      </c>
      <c r="W710" s="89">
        <f>'115+740'!S711</f>
        <v>10</v>
      </c>
      <c r="X710" s="88">
        <f t="shared" ref="X710:X718" ca="1" si="151">+W710+X709</f>
        <v>1304</v>
      </c>
      <c r="Y710" s="87">
        <f t="shared" ref="Y710:Y718" ca="1" si="152">S710-S709</f>
        <v>-10</v>
      </c>
      <c r="Z710" s="86">
        <f t="shared" ca="1" si="141"/>
        <v>0</v>
      </c>
      <c r="AA710" s="85">
        <f t="shared" ref="AA710:AA718" ca="1" si="153">AA709+Z710</f>
        <v>6.5250000000000004</v>
      </c>
      <c r="AB710" s="85">
        <f t="shared" ref="AB710:AB718" ca="1" si="154">(M710-$M$13-R710)/1000</f>
        <v>3.1920000000000002</v>
      </c>
    </row>
    <row r="711" spans="2:28">
      <c r="B711" s="98">
        <f>'115+740'!B712</f>
        <v>45850</v>
      </c>
      <c r="C711" s="97">
        <f t="shared" si="135"/>
        <v>7</v>
      </c>
      <c r="D711" s="96">
        <f t="shared" si="144"/>
        <v>1069</v>
      </c>
      <c r="E711" s="95">
        <f>VLOOKUP(B711,'115+740'!B712:AB1070,3,FALSE)</f>
        <v>2568</v>
      </c>
      <c r="F711" s="92">
        <f t="shared" si="145"/>
        <v>3637</v>
      </c>
      <c r="G711" s="94">
        <f ca="1">VLOOKUP(B711,'115+740'!$B$15:$AB$757,20,FALSE)</f>
        <v>5123</v>
      </c>
      <c r="H711" s="94">
        <f ca="1">VLOOKUP(B711,'115+740'!$B$15:$AB$757,4,FALSE)</f>
        <v>1154</v>
      </c>
      <c r="I711" s="91">
        <f t="shared" ca="1" si="146"/>
        <v>2483</v>
      </c>
      <c r="J711" s="91">
        <f ca="1">VLOOKUP(B711,'115+740'!$B$15:$AB$757,13,FALSE)</f>
        <v>-1517</v>
      </c>
      <c r="K711" s="89">
        <f>'115+740'!Q712</f>
        <v>10</v>
      </c>
      <c r="L711" s="88">
        <f t="shared" ca="1" si="147"/>
        <v>1557</v>
      </c>
      <c r="M711" s="93">
        <f ca="1">VLOOKUP(B711,'115+740'!$B$14:$AB$757,21,FALSE)</f>
        <v>4921</v>
      </c>
      <c r="N711" s="92">
        <f ca="1">VLOOKUP(B711,'115+740'!$B$15:$AB$757,5,FALSE)</f>
        <v>1406</v>
      </c>
      <c r="O711" s="91">
        <f t="shared" ca="1" si="148"/>
        <v>2231</v>
      </c>
      <c r="P711" s="91">
        <f ca="1">VLOOKUP(B711,'115+740'!$B$15:$AB$757,14,FALSE)</f>
        <v>-1769</v>
      </c>
      <c r="Q711" s="89">
        <f>'115+740'!R712</f>
        <v>10</v>
      </c>
      <c r="R711" s="88">
        <f t="shared" ca="1" si="149"/>
        <v>1759</v>
      </c>
      <c r="S711" s="93">
        <f ca="1">VLOOKUP(B711,'115+740'!$B$14:$AB$757,22,FALSE)</f>
        <v>5369</v>
      </c>
      <c r="T711" s="92">
        <f ca="1">VLOOKUP(B711,'115+740'!$B$15:$AB$757,6,FALSE)</f>
        <v>988</v>
      </c>
      <c r="U711" s="91">
        <f t="shared" ca="1" si="150"/>
        <v>2649</v>
      </c>
      <c r="V711" s="90">
        <f ca="1">VLOOKUP(B711,'115+740'!$B$15:$AB$757,15,FALSE)</f>
        <v>-1351</v>
      </c>
      <c r="W711" s="89">
        <f>'115+740'!S712</f>
        <v>7</v>
      </c>
      <c r="X711" s="88">
        <f t="shared" ca="1" si="151"/>
        <v>1311</v>
      </c>
      <c r="Y711" s="87">
        <f t="shared" ca="1" si="152"/>
        <v>-7</v>
      </c>
      <c r="Z711" s="86">
        <f t="shared" ca="1" si="141"/>
        <v>0</v>
      </c>
      <c r="AA711" s="85">
        <f t="shared" ca="1" si="153"/>
        <v>6.5250000000000004</v>
      </c>
      <c r="AB711" s="85">
        <f t="shared" ca="1" si="154"/>
        <v>3.1720000000000002</v>
      </c>
    </row>
    <row r="712" spans="2:28">
      <c r="B712" s="98">
        <f>'115+740'!B713</f>
        <v>45857</v>
      </c>
      <c r="C712" s="97">
        <f t="shared" si="135"/>
        <v>7</v>
      </c>
      <c r="D712" s="96">
        <f t="shared" si="144"/>
        <v>1069</v>
      </c>
      <c r="E712" s="95">
        <f>VLOOKUP(B712,'115+740'!B713:AB1071,3,FALSE)</f>
        <v>2570</v>
      </c>
      <c r="F712" s="92">
        <f t="shared" si="145"/>
        <v>3639</v>
      </c>
      <c r="G712" s="94">
        <f ca="1">VLOOKUP(B712,'115+740'!$B$15:$AB$757,20,FALSE)</f>
        <v>5115</v>
      </c>
      <c r="H712" s="94">
        <f ca="1">VLOOKUP(B712,'115+740'!$B$15:$AB$757,4,FALSE)</f>
        <v>1164</v>
      </c>
      <c r="I712" s="91">
        <f t="shared" ca="1" si="146"/>
        <v>2475</v>
      </c>
      <c r="J712" s="91">
        <f ca="1">VLOOKUP(B712,'115+740'!$B$15:$AB$757,13,FALSE)</f>
        <v>-1525</v>
      </c>
      <c r="K712" s="89">
        <f>'115+740'!Q713</f>
        <v>8</v>
      </c>
      <c r="L712" s="88">
        <f t="shared" ca="1" si="147"/>
        <v>1565</v>
      </c>
      <c r="M712" s="93">
        <f ca="1">VLOOKUP(B712,'115+740'!$B$14:$AB$757,21,FALSE)</f>
        <v>4912</v>
      </c>
      <c r="N712" s="92">
        <f ca="1">VLOOKUP(B712,'115+740'!$B$15:$AB$757,5,FALSE)</f>
        <v>1417</v>
      </c>
      <c r="O712" s="91">
        <f t="shared" ca="1" si="148"/>
        <v>2222</v>
      </c>
      <c r="P712" s="91">
        <f ca="1">VLOOKUP(B712,'115+740'!$B$15:$AB$757,14,FALSE)</f>
        <v>-1778</v>
      </c>
      <c r="Q712" s="89">
        <f>'115+740'!R713</f>
        <v>9</v>
      </c>
      <c r="R712" s="88">
        <f t="shared" ca="1" si="149"/>
        <v>1768</v>
      </c>
      <c r="S712" s="93">
        <f ca="1">VLOOKUP(B712,'115+740'!$B$14:$AB$757,22,FALSE)</f>
        <v>5362</v>
      </c>
      <c r="T712" s="92">
        <f ca="1">VLOOKUP(B712,'115+740'!$B$15:$AB$757,6,FALSE)</f>
        <v>997</v>
      </c>
      <c r="U712" s="91">
        <f t="shared" ca="1" si="150"/>
        <v>2642</v>
      </c>
      <c r="V712" s="90">
        <f ca="1">VLOOKUP(B712,'115+740'!$B$15:$AB$757,15,FALSE)</f>
        <v>-1358</v>
      </c>
      <c r="W712" s="89">
        <f>'115+740'!S713</f>
        <v>7</v>
      </c>
      <c r="X712" s="88">
        <f t="shared" ca="1" si="151"/>
        <v>1318</v>
      </c>
      <c r="Y712" s="87">
        <f t="shared" ca="1" si="152"/>
        <v>-7</v>
      </c>
      <c r="Z712" s="86">
        <f t="shared" ca="1" si="141"/>
        <v>0</v>
      </c>
      <c r="AA712" s="85">
        <f t="shared" ca="1" si="153"/>
        <v>6.5250000000000004</v>
      </c>
      <c r="AB712" s="85">
        <f t="shared" ca="1" si="154"/>
        <v>3.1539999999999999</v>
      </c>
    </row>
    <row r="713" spans="2:28">
      <c r="B713" s="98">
        <f>'115+740'!B714</f>
        <v>45864</v>
      </c>
      <c r="C713" s="97">
        <f t="shared" si="135"/>
        <v>7</v>
      </c>
      <c r="D713" s="96">
        <f t="shared" si="144"/>
        <v>1069</v>
      </c>
      <c r="E713" s="95">
        <f>VLOOKUP(B713,'115+740'!B714:AB1072,3,FALSE)</f>
        <v>2572</v>
      </c>
      <c r="F713" s="92">
        <f t="shared" si="145"/>
        <v>3641</v>
      </c>
      <c r="G713" s="94">
        <f ca="1">VLOOKUP(B713,'115+740'!$B$15:$AB$757,20,FALSE)</f>
        <v>5107</v>
      </c>
      <c r="H713" s="94">
        <f ca="1">VLOOKUP(B713,'115+740'!$B$15:$AB$757,4,FALSE)</f>
        <v>1174</v>
      </c>
      <c r="I713" s="91">
        <f t="shared" ca="1" si="146"/>
        <v>2467</v>
      </c>
      <c r="J713" s="91">
        <f ca="1">VLOOKUP(B713,'115+740'!$B$15:$AB$757,13,FALSE)</f>
        <v>-1533</v>
      </c>
      <c r="K713" s="89">
        <f>'115+740'!Q714</f>
        <v>8</v>
      </c>
      <c r="L713" s="88">
        <f t="shared" ca="1" si="147"/>
        <v>1573</v>
      </c>
      <c r="M713" s="93">
        <f ca="1">VLOOKUP(B713,'115+740'!$B$14:$AB$757,21,FALSE)</f>
        <v>4906</v>
      </c>
      <c r="N713" s="92">
        <f ca="1">VLOOKUP(B713,'115+740'!$B$15:$AB$757,5,FALSE)</f>
        <v>1425</v>
      </c>
      <c r="O713" s="91">
        <f t="shared" ca="1" si="148"/>
        <v>2216</v>
      </c>
      <c r="P713" s="91">
        <f ca="1">VLOOKUP(B713,'115+740'!$B$15:$AB$757,14,FALSE)</f>
        <v>-1784</v>
      </c>
      <c r="Q713" s="89">
        <f>'115+740'!R714</f>
        <v>6</v>
      </c>
      <c r="R713" s="88">
        <f t="shared" ca="1" si="149"/>
        <v>1774</v>
      </c>
      <c r="S713" s="93">
        <f ca="1">VLOOKUP(B713,'115+740'!$B$14:$AB$757,22,FALSE)</f>
        <v>5357</v>
      </c>
      <c r="T713" s="92">
        <f ca="1">VLOOKUP(B713,'115+740'!$B$15:$AB$757,6,FALSE)</f>
        <v>1004</v>
      </c>
      <c r="U713" s="91">
        <f t="shared" ca="1" si="150"/>
        <v>2637</v>
      </c>
      <c r="V713" s="90">
        <f ca="1">VLOOKUP(B713,'115+740'!$B$15:$AB$757,15,FALSE)</f>
        <v>-1363</v>
      </c>
      <c r="W713" s="89">
        <f>'115+740'!S714</f>
        <v>5</v>
      </c>
      <c r="X713" s="88">
        <f t="shared" ca="1" si="151"/>
        <v>1323</v>
      </c>
      <c r="Y713" s="87">
        <f t="shared" ca="1" si="152"/>
        <v>-5</v>
      </c>
      <c r="Z713" s="86">
        <f t="shared" ca="1" si="141"/>
        <v>0</v>
      </c>
      <c r="AA713" s="85">
        <f t="shared" ca="1" si="153"/>
        <v>6.5250000000000004</v>
      </c>
      <c r="AB713" s="85">
        <f t="shared" ca="1" si="154"/>
        <v>3.1419999999999999</v>
      </c>
    </row>
    <row r="714" spans="2:28">
      <c r="B714" s="98">
        <f>'115+740'!B715</f>
        <v>0</v>
      </c>
      <c r="C714" s="97">
        <f t="shared" si="135"/>
        <v>-45864</v>
      </c>
      <c r="D714" s="96">
        <f t="shared" si="144"/>
        <v>1069</v>
      </c>
      <c r="E714" s="95" t="e">
        <f>VLOOKUP(B714,'115+740'!B715:AB1073,3,FALSE)</f>
        <v>#N/A</v>
      </c>
      <c r="F714" s="92" t="e">
        <f t="shared" si="145"/>
        <v>#N/A</v>
      </c>
      <c r="G714" s="94" t="e">
        <f>VLOOKUP(B714,'115+740'!$B$15:$AB$757,20,FALSE)</f>
        <v>#N/A</v>
      </c>
      <c r="H714" s="94" t="e">
        <f>VLOOKUP(B714,'115+740'!$B$15:$AB$757,4,FALSE)</f>
        <v>#N/A</v>
      </c>
      <c r="I714" s="91" t="e">
        <f t="shared" si="146"/>
        <v>#N/A</v>
      </c>
      <c r="J714" s="91" t="e">
        <f>VLOOKUP(B714,'115+740'!$B$15:$AB$757,13,FALSE)</f>
        <v>#N/A</v>
      </c>
      <c r="K714" s="89">
        <f>'115+740'!Q715</f>
        <v>0</v>
      </c>
      <c r="L714" s="88">
        <f t="shared" ca="1" si="147"/>
        <v>1573</v>
      </c>
      <c r="M714" s="93" t="e">
        <f>VLOOKUP(B714,'115+740'!$B$14:$AB$757,21,FALSE)</f>
        <v>#N/A</v>
      </c>
      <c r="N714" s="92" t="e">
        <f>VLOOKUP(B714,'115+740'!$B$15:$AB$757,5,FALSE)</f>
        <v>#N/A</v>
      </c>
      <c r="O714" s="91" t="e">
        <f t="shared" si="148"/>
        <v>#N/A</v>
      </c>
      <c r="P714" s="91" t="e">
        <f>VLOOKUP(B714,'115+740'!$B$15:$AB$757,14,FALSE)</f>
        <v>#N/A</v>
      </c>
      <c r="Q714" s="89">
        <f>'115+740'!R715</f>
        <v>0</v>
      </c>
      <c r="R714" s="88">
        <f t="shared" ca="1" si="149"/>
        <v>1774</v>
      </c>
      <c r="S714" s="93" t="e">
        <f>VLOOKUP(B714,'115+740'!$B$14:$AB$757,22,FALSE)</f>
        <v>#N/A</v>
      </c>
      <c r="T714" s="92" t="e">
        <f>VLOOKUP(B714,'115+740'!$B$15:$AB$757,6,FALSE)</f>
        <v>#N/A</v>
      </c>
      <c r="U714" s="91" t="e">
        <f t="shared" si="150"/>
        <v>#N/A</v>
      </c>
      <c r="V714" s="90" t="e">
        <f>VLOOKUP(B714,'115+740'!$B$15:$AB$757,15,FALSE)</f>
        <v>#N/A</v>
      </c>
      <c r="W714" s="89">
        <f>'115+740'!S715</f>
        <v>0</v>
      </c>
      <c r="X714" s="88">
        <f t="shared" ca="1" si="151"/>
        <v>1323</v>
      </c>
      <c r="Y714" s="87" t="e">
        <f t="shared" ca="1" si="152"/>
        <v>#N/A</v>
      </c>
      <c r="Z714" s="86" t="e">
        <f t="shared" ca="1" si="141"/>
        <v>#N/A</v>
      </c>
      <c r="AA714" s="85" t="e">
        <f t="shared" ca="1" si="153"/>
        <v>#N/A</v>
      </c>
      <c r="AB714" s="85" t="e">
        <f t="shared" ca="1" si="154"/>
        <v>#N/A</v>
      </c>
    </row>
    <row r="715" spans="2:28">
      <c r="B715" s="98">
        <f>'115+740'!B716</f>
        <v>0</v>
      </c>
      <c r="C715" s="97">
        <f t="shared" si="135"/>
        <v>0</v>
      </c>
      <c r="D715" s="96">
        <f t="shared" si="144"/>
        <v>1069</v>
      </c>
      <c r="E715" s="95" t="e">
        <f>VLOOKUP(B715,'115+740'!B716:AB1074,3,FALSE)</f>
        <v>#N/A</v>
      </c>
      <c r="F715" s="92" t="e">
        <f t="shared" si="145"/>
        <v>#N/A</v>
      </c>
      <c r="G715" s="94" t="e">
        <f>VLOOKUP(B715,'115+740'!$B$15:$AB$757,20,FALSE)</f>
        <v>#N/A</v>
      </c>
      <c r="H715" s="94" t="e">
        <f>VLOOKUP(B715,'115+740'!$B$15:$AB$757,4,FALSE)</f>
        <v>#N/A</v>
      </c>
      <c r="I715" s="91" t="e">
        <f t="shared" si="146"/>
        <v>#N/A</v>
      </c>
      <c r="J715" s="91" t="e">
        <f>VLOOKUP(B715,'115+740'!$B$15:$AB$757,13,FALSE)</f>
        <v>#N/A</v>
      </c>
      <c r="K715" s="89">
        <f>'115+740'!Q716</f>
        <v>0</v>
      </c>
      <c r="L715" s="88">
        <f t="shared" ca="1" si="147"/>
        <v>1573</v>
      </c>
      <c r="M715" s="93" t="e">
        <f>VLOOKUP(B715,'115+740'!$B$14:$AB$757,21,FALSE)</f>
        <v>#N/A</v>
      </c>
      <c r="N715" s="92" t="e">
        <f>VLOOKUP(B715,'115+740'!$B$15:$AB$757,5,FALSE)</f>
        <v>#N/A</v>
      </c>
      <c r="O715" s="91" t="e">
        <f t="shared" si="148"/>
        <v>#N/A</v>
      </c>
      <c r="P715" s="91" t="e">
        <f>VLOOKUP(B715,'115+740'!$B$15:$AB$757,14,FALSE)</f>
        <v>#N/A</v>
      </c>
      <c r="Q715" s="89">
        <f>'115+740'!R716</f>
        <v>0</v>
      </c>
      <c r="R715" s="88">
        <f t="shared" ca="1" si="149"/>
        <v>1774</v>
      </c>
      <c r="S715" s="93" t="e">
        <f>VLOOKUP(B715,'115+740'!$B$14:$AB$757,22,FALSE)</f>
        <v>#N/A</v>
      </c>
      <c r="T715" s="92" t="e">
        <f>VLOOKUP(B715,'115+740'!$B$15:$AB$757,6,FALSE)</f>
        <v>#N/A</v>
      </c>
      <c r="U715" s="91" t="e">
        <f t="shared" si="150"/>
        <v>#N/A</v>
      </c>
      <c r="V715" s="90" t="e">
        <f>VLOOKUP(B715,'115+740'!$B$15:$AB$757,15,FALSE)</f>
        <v>#N/A</v>
      </c>
      <c r="W715" s="89">
        <f>'115+740'!S716</f>
        <v>0</v>
      </c>
      <c r="X715" s="88">
        <f t="shared" ca="1" si="151"/>
        <v>1323</v>
      </c>
      <c r="Y715" s="87" t="e">
        <f t="shared" si="152"/>
        <v>#N/A</v>
      </c>
      <c r="Z715" s="86" t="e">
        <f t="shared" si="141"/>
        <v>#N/A</v>
      </c>
      <c r="AA715" s="85" t="e">
        <f t="shared" ca="1" si="153"/>
        <v>#N/A</v>
      </c>
      <c r="AB715" s="85" t="e">
        <f t="shared" ca="1" si="154"/>
        <v>#N/A</v>
      </c>
    </row>
    <row r="716" spans="2:28">
      <c r="B716" s="98">
        <f>'115+740'!B717</f>
        <v>0</v>
      </c>
      <c r="C716" s="97">
        <f t="shared" si="135"/>
        <v>0</v>
      </c>
      <c r="D716" s="96">
        <f t="shared" si="144"/>
        <v>1069</v>
      </c>
      <c r="E716" s="95" t="e">
        <f>VLOOKUP(B716,'115+740'!B717:AB1075,3,FALSE)</f>
        <v>#N/A</v>
      </c>
      <c r="F716" s="92" t="e">
        <f t="shared" si="145"/>
        <v>#N/A</v>
      </c>
      <c r="G716" s="94" t="e">
        <f>VLOOKUP(B716,'115+740'!$B$15:$AB$757,20,FALSE)</f>
        <v>#N/A</v>
      </c>
      <c r="H716" s="94" t="e">
        <f>VLOOKUP(B716,'115+740'!$B$15:$AB$757,4,FALSE)</f>
        <v>#N/A</v>
      </c>
      <c r="I716" s="91" t="e">
        <f t="shared" si="146"/>
        <v>#N/A</v>
      </c>
      <c r="J716" s="91" t="e">
        <f>VLOOKUP(B716,'115+740'!$B$15:$AB$757,13,FALSE)</f>
        <v>#N/A</v>
      </c>
      <c r="K716" s="89">
        <f>'115+740'!Q717</f>
        <v>0</v>
      </c>
      <c r="L716" s="88">
        <f t="shared" ca="1" si="147"/>
        <v>1573</v>
      </c>
      <c r="M716" s="93" t="e">
        <f>VLOOKUP(B716,'115+740'!$B$14:$AB$757,21,FALSE)</f>
        <v>#N/A</v>
      </c>
      <c r="N716" s="92" t="e">
        <f>VLOOKUP(B716,'115+740'!$B$15:$AB$757,5,FALSE)</f>
        <v>#N/A</v>
      </c>
      <c r="O716" s="91" t="e">
        <f t="shared" si="148"/>
        <v>#N/A</v>
      </c>
      <c r="P716" s="91" t="e">
        <f>VLOOKUP(B716,'115+740'!$B$15:$AB$757,14,FALSE)</f>
        <v>#N/A</v>
      </c>
      <c r="Q716" s="89">
        <f>'115+740'!R717</f>
        <v>0</v>
      </c>
      <c r="R716" s="88">
        <f t="shared" ca="1" si="149"/>
        <v>1774</v>
      </c>
      <c r="S716" s="93" t="e">
        <f>VLOOKUP(B716,'115+740'!$B$14:$AB$757,22,FALSE)</f>
        <v>#N/A</v>
      </c>
      <c r="T716" s="92" t="e">
        <f>VLOOKUP(B716,'115+740'!$B$15:$AB$757,6,FALSE)</f>
        <v>#N/A</v>
      </c>
      <c r="U716" s="91" t="e">
        <f t="shared" si="150"/>
        <v>#N/A</v>
      </c>
      <c r="V716" s="90" t="e">
        <f>VLOOKUP(B716,'115+740'!$B$15:$AB$757,15,FALSE)</f>
        <v>#N/A</v>
      </c>
      <c r="W716" s="89">
        <f>'115+740'!S717</f>
        <v>0</v>
      </c>
      <c r="X716" s="88">
        <f t="shared" ca="1" si="151"/>
        <v>1323</v>
      </c>
      <c r="Y716" s="87" t="e">
        <f t="shared" si="152"/>
        <v>#N/A</v>
      </c>
      <c r="Z716" s="86" t="e">
        <f t="shared" si="141"/>
        <v>#N/A</v>
      </c>
      <c r="AA716" s="85" t="e">
        <f t="shared" ca="1" si="153"/>
        <v>#N/A</v>
      </c>
      <c r="AB716" s="85" t="e">
        <f t="shared" ca="1" si="154"/>
        <v>#N/A</v>
      </c>
    </row>
    <row r="717" spans="2:28">
      <c r="B717" s="98">
        <f>'115+740'!B718</f>
        <v>0</v>
      </c>
      <c r="C717" s="97">
        <f t="shared" si="135"/>
        <v>0</v>
      </c>
      <c r="D717" s="96">
        <f t="shared" si="144"/>
        <v>1069</v>
      </c>
      <c r="E717" s="95" t="e">
        <f>VLOOKUP(B717,'115+740'!B718:AB1076,3,FALSE)</f>
        <v>#N/A</v>
      </c>
      <c r="F717" s="92" t="e">
        <f t="shared" si="145"/>
        <v>#N/A</v>
      </c>
      <c r="G717" s="94" t="e">
        <f>VLOOKUP(B717,'115+740'!$B$15:$AB$757,20,FALSE)</f>
        <v>#N/A</v>
      </c>
      <c r="H717" s="94" t="e">
        <f>VLOOKUP(B717,'115+740'!$B$15:$AB$757,4,FALSE)</f>
        <v>#N/A</v>
      </c>
      <c r="I717" s="91" t="e">
        <f t="shared" si="146"/>
        <v>#N/A</v>
      </c>
      <c r="J717" s="91" t="e">
        <f>VLOOKUP(B717,'115+740'!$B$15:$AB$757,13,FALSE)</f>
        <v>#N/A</v>
      </c>
      <c r="K717" s="89">
        <f>'115+740'!Q718</f>
        <v>0</v>
      </c>
      <c r="L717" s="88">
        <f t="shared" ca="1" si="147"/>
        <v>1573</v>
      </c>
      <c r="M717" s="93" t="e">
        <f>VLOOKUP(B717,'115+740'!$B$14:$AB$757,21,FALSE)</f>
        <v>#N/A</v>
      </c>
      <c r="N717" s="92" t="e">
        <f>VLOOKUP(B717,'115+740'!$B$15:$AB$757,5,FALSE)</f>
        <v>#N/A</v>
      </c>
      <c r="O717" s="91" t="e">
        <f t="shared" si="148"/>
        <v>#N/A</v>
      </c>
      <c r="P717" s="91" t="e">
        <f>VLOOKUP(B717,'115+740'!$B$15:$AB$757,14,FALSE)</f>
        <v>#N/A</v>
      </c>
      <c r="Q717" s="89">
        <f>'115+740'!R718</f>
        <v>0</v>
      </c>
      <c r="R717" s="88">
        <f t="shared" ca="1" si="149"/>
        <v>1774</v>
      </c>
      <c r="S717" s="93" t="e">
        <f>VLOOKUP(B717,'115+740'!$B$14:$AB$757,22,FALSE)</f>
        <v>#N/A</v>
      </c>
      <c r="T717" s="92" t="e">
        <f>VLOOKUP(B717,'115+740'!$B$15:$AB$757,6,FALSE)</f>
        <v>#N/A</v>
      </c>
      <c r="U717" s="91" t="e">
        <f t="shared" si="150"/>
        <v>#N/A</v>
      </c>
      <c r="V717" s="90" t="e">
        <f>VLOOKUP(B717,'115+740'!$B$15:$AB$757,15,FALSE)</f>
        <v>#N/A</v>
      </c>
      <c r="W717" s="89">
        <f>'115+740'!S718</f>
        <v>0</v>
      </c>
      <c r="X717" s="88">
        <f t="shared" ca="1" si="151"/>
        <v>1323</v>
      </c>
      <c r="Y717" s="87" t="e">
        <f t="shared" si="152"/>
        <v>#N/A</v>
      </c>
      <c r="Z717" s="86" t="e">
        <f t="shared" si="141"/>
        <v>#N/A</v>
      </c>
      <c r="AA717" s="85" t="e">
        <f t="shared" ca="1" si="153"/>
        <v>#N/A</v>
      </c>
      <c r="AB717" s="85" t="e">
        <f t="shared" ca="1" si="154"/>
        <v>#N/A</v>
      </c>
    </row>
    <row r="718" spans="2:28">
      <c r="B718" s="98">
        <f>'115+740'!B719</f>
        <v>0</v>
      </c>
      <c r="C718" s="97">
        <f t="shared" si="135"/>
        <v>0</v>
      </c>
      <c r="D718" s="96">
        <f t="shared" si="144"/>
        <v>1069</v>
      </c>
      <c r="E718" s="95" t="e">
        <f>VLOOKUP(B718,'115+740'!B719:AB1077,3,FALSE)</f>
        <v>#N/A</v>
      </c>
      <c r="F718" s="92" t="e">
        <f t="shared" si="145"/>
        <v>#N/A</v>
      </c>
      <c r="G718" s="94" t="e">
        <f>VLOOKUP(B718,'115+740'!$B$15:$AB$757,20,FALSE)</f>
        <v>#N/A</v>
      </c>
      <c r="H718" s="94" t="e">
        <f>VLOOKUP(B718,'115+740'!$B$15:$AB$757,4,FALSE)</f>
        <v>#N/A</v>
      </c>
      <c r="I718" s="91" t="e">
        <f t="shared" si="146"/>
        <v>#N/A</v>
      </c>
      <c r="J718" s="91" t="e">
        <f>VLOOKUP(B718,'115+740'!$B$15:$AB$757,13,FALSE)</f>
        <v>#N/A</v>
      </c>
      <c r="K718" s="89">
        <f>'115+740'!Q719</f>
        <v>0</v>
      </c>
      <c r="L718" s="88">
        <f t="shared" ca="1" si="147"/>
        <v>1573</v>
      </c>
      <c r="M718" s="93" t="e">
        <f>VLOOKUP(B718,'115+740'!$B$14:$AB$757,21,FALSE)</f>
        <v>#N/A</v>
      </c>
      <c r="N718" s="92" t="e">
        <f>VLOOKUP(B718,'115+740'!$B$15:$AB$757,5,FALSE)</f>
        <v>#N/A</v>
      </c>
      <c r="O718" s="91" t="e">
        <f t="shared" si="148"/>
        <v>#N/A</v>
      </c>
      <c r="P718" s="91" t="e">
        <f>VLOOKUP(B718,'115+740'!$B$15:$AB$757,14,FALSE)</f>
        <v>#N/A</v>
      </c>
      <c r="Q718" s="89">
        <f>'115+740'!R719</f>
        <v>0</v>
      </c>
      <c r="R718" s="88">
        <f t="shared" ca="1" si="149"/>
        <v>1774</v>
      </c>
      <c r="S718" s="93" t="e">
        <f>VLOOKUP(B718,'115+740'!$B$14:$AB$757,22,FALSE)</f>
        <v>#N/A</v>
      </c>
      <c r="T718" s="92" t="e">
        <f>VLOOKUP(B718,'115+740'!$B$15:$AB$757,6,FALSE)</f>
        <v>#N/A</v>
      </c>
      <c r="U718" s="91" t="e">
        <f t="shared" si="150"/>
        <v>#N/A</v>
      </c>
      <c r="V718" s="90" t="e">
        <f>VLOOKUP(B718,'115+740'!$B$15:$AB$757,15,FALSE)</f>
        <v>#N/A</v>
      </c>
      <c r="W718" s="89">
        <f>'115+740'!S719</f>
        <v>0</v>
      </c>
      <c r="X718" s="88">
        <f t="shared" ca="1" si="151"/>
        <v>1323</v>
      </c>
      <c r="Y718" s="87" t="e">
        <f t="shared" si="152"/>
        <v>#N/A</v>
      </c>
      <c r="Z718" s="86" t="e">
        <f t="shared" si="141"/>
        <v>#N/A</v>
      </c>
      <c r="AA718" s="85" t="e">
        <f t="shared" ca="1" si="153"/>
        <v>#N/A</v>
      </c>
      <c r="AB718" s="85" t="e">
        <f t="shared" ca="1" si="154"/>
        <v>#N/A</v>
      </c>
    </row>
    <row r="719" spans="2:28">
      <c r="B719" s="98">
        <f>'115+740'!B720</f>
        <v>0</v>
      </c>
      <c r="C719" s="97">
        <f t="shared" ref="C719:C731" si="155">B719-B718</f>
        <v>0</v>
      </c>
      <c r="D719" s="96">
        <f t="shared" ref="D719:D731" si="156">D718</f>
        <v>1069</v>
      </c>
      <c r="E719" s="95" t="e">
        <f>VLOOKUP(B719,'115+740'!B720:AB1078,3,FALSE)</f>
        <v>#N/A</v>
      </c>
      <c r="F719" s="92" t="e">
        <f t="shared" ref="F719:F731" si="157">D719+E719</f>
        <v>#N/A</v>
      </c>
      <c r="G719" s="94" t="e">
        <f>VLOOKUP(B719,'115+740'!$B$15:$AB$757,20,FALSE)</f>
        <v>#N/A</v>
      </c>
      <c r="H719" s="94" t="e">
        <f>VLOOKUP(B719,'115+740'!$B$15:$AB$757,4,FALSE)</f>
        <v>#N/A</v>
      </c>
      <c r="I719" s="91" t="e">
        <f t="shared" ref="I719:I731" si="158">F719-H719</f>
        <v>#N/A</v>
      </c>
      <c r="J719" s="91" t="e">
        <f>VLOOKUP(B719,'115+740'!$B$15:$AB$757,13,FALSE)</f>
        <v>#N/A</v>
      </c>
      <c r="K719" s="89">
        <f>'115+740'!Q720</f>
        <v>0</v>
      </c>
      <c r="L719" s="88">
        <f t="shared" ref="L719:L731" ca="1" si="159">+K719+L718</f>
        <v>1573</v>
      </c>
      <c r="M719" s="93" t="e">
        <f>VLOOKUP(B719,'115+740'!$B$14:$AB$757,21,FALSE)</f>
        <v>#N/A</v>
      </c>
      <c r="N719" s="92" t="e">
        <f>VLOOKUP(B719,'115+740'!$B$15:$AB$757,5,FALSE)</f>
        <v>#N/A</v>
      </c>
      <c r="O719" s="91" t="e">
        <f t="shared" ref="O719:O731" si="160">F719-N719</f>
        <v>#N/A</v>
      </c>
      <c r="P719" s="91" t="e">
        <f>VLOOKUP(B719,'115+740'!$B$15:$AB$757,14,FALSE)</f>
        <v>#N/A</v>
      </c>
      <c r="Q719" s="89">
        <f>'115+740'!R720</f>
        <v>0</v>
      </c>
      <c r="R719" s="88">
        <f t="shared" ref="R719:R731" ca="1" si="161">+Q719+R718</f>
        <v>1774</v>
      </c>
      <c r="S719" s="93" t="e">
        <f>VLOOKUP(B719,'115+740'!$B$14:$AB$757,22,FALSE)</f>
        <v>#N/A</v>
      </c>
      <c r="T719" s="92" t="e">
        <f>VLOOKUP(B719,'115+740'!$B$15:$AB$757,6,FALSE)</f>
        <v>#N/A</v>
      </c>
      <c r="U719" s="91" t="e">
        <f t="shared" ref="U719:U731" si="162">F719-T719</f>
        <v>#N/A</v>
      </c>
      <c r="V719" s="90" t="e">
        <f>VLOOKUP(B719,'115+740'!$B$15:$AB$757,15,FALSE)</f>
        <v>#N/A</v>
      </c>
      <c r="W719" s="89">
        <f>'115+740'!S720</f>
        <v>0</v>
      </c>
      <c r="X719" s="88">
        <f t="shared" ref="X719:X731" ca="1" si="163">+W719+X718</f>
        <v>1323</v>
      </c>
      <c r="Y719" s="87" t="e">
        <f t="shared" ref="Y719:Y731" si="164">S719-S718</f>
        <v>#N/A</v>
      </c>
      <c r="Z719" s="86" t="e">
        <f t="shared" ref="Z719:Z731" si="165">IF(Y719&gt;0,Y719,0)/1000</f>
        <v>#N/A</v>
      </c>
      <c r="AA719" s="85" t="e">
        <f t="shared" ref="AA719:AA731" ca="1" si="166">AA718+Z719</f>
        <v>#N/A</v>
      </c>
      <c r="AB719" s="85" t="e">
        <f t="shared" ref="AB719:AB731" ca="1" si="167">(M719-$M$13-R719)/1000</f>
        <v>#N/A</v>
      </c>
    </row>
    <row r="720" spans="2:28">
      <c r="B720" s="98">
        <f>'115+740'!B721</f>
        <v>0</v>
      </c>
      <c r="C720" s="97">
        <f t="shared" si="155"/>
        <v>0</v>
      </c>
      <c r="D720" s="96">
        <f t="shared" si="156"/>
        <v>1069</v>
      </c>
      <c r="E720" s="95" t="e">
        <f>VLOOKUP(B720,'115+740'!B721:AB1079,3,FALSE)</f>
        <v>#N/A</v>
      </c>
      <c r="F720" s="92" t="e">
        <f t="shared" si="157"/>
        <v>#N/A</v>
      </c>
      <c r="G720" s="94" t="e">
        <f>VLOOKUP(B720,'115+740'!$B$15:$AB$757,20,FALSE)</f>
        <v>#N/A</v>
      </c>
      <c r="H720" s="94" t="e">
        <f>VLOOKUP(B720,'115+740'!$B$15:$AB$757,4,FALSE)</f>
        <v>#N/A</v>
      </c>
      <c r="I720" s="91" t="e">
        <f t="shared" si="158"/>
        <v>#N/A</v>
      </c>
      <c r="J720" s="91" t="e">
        <f>VLOOKUP(B720,'115+740'!$B$15:$AB$757,13,FALSE)</f>
        <v>#N/A</v>
      </c>
      <c r="K720" s="89">
        <f>'115+740'!Q721</f>
        <v>0</v>
      </c>
      <c r="L720" s="88">
        <f t="shared" ca="1" si="159"/>
        <v>1573</v>
      </c>
      <c r="M720" s="93" t="e">
        <f>VLOOKUP(B720,'115+740'!$B$14:$AB$757,21,FALSE)</f>
        <v>#N/A</v>
      </c>
      <c r="N720" s="92" t="e">
        <f>VLOOKUP(B720,'115+740'!$B$15:$AB$757,5,FALSE)</f>
        <v>#N/A</v>
      </c>
      <c r="O720" s="91" t="e">
        <f t="shared" si="160"/>
        <v>#N/A</v>
      </c>
      <c r="P720" s="91" t="e">
        <f>VLOOKUP(B720,'115+740'!$B$15:$AB$757,14,FALSE)</f>
        <v>#N/A</v>
      </c>
      <c r="Q720" s="89">
        <f>'115+740'!R721</f>
        <v>0</v>
      </c>
      <c r="R720" s="88">
        <f t="shared" ca="1" si="161"/>
        <v>1774</v>
      </c>
      <c r="S720" s="93" t="e">
        <f>VLOOKUP(B720,'115+740'!$B$14:$AB$757,22,FALSE)</f>
        <v>#N/A</v>
      </c>
      <c r="T720" s="92" t="e">
        <f>VLOOKUP(B720,'115+740'!$B$15:$AB$757,6,FALSE)</f>
        <v>#N/A</v>
      </c>
      <c r="U720" s="91" t="e">
        <f t="shared" si="162"/>
        <v>#N/A</v>
      </c>
      <c r="V720" s="90" t="e">
        <f>VLOOKUP(B720,'115+740'!$B$15:$AB$757,15,FALSE)</f>
        <v>#N/A</v>
      </c>
      <c r="W720" s="89">
        <f>'115+740'!S721</f>
        <v>0</v>
      </c>
      <c r="X720" s="88">
        <f t="shared" ca="1" si="163"/>
        <v>1323</v>
      </c>
      <c r="Y720" s="87" t="e">
        <f t="shared" si="164"/>
        <v>#N/A</v>
      </c>
      <c r="Z720" s="86" t="e">
        <f t="shared" si="165"/>
        <v>#N/A</v>
      </c>
      <c r="AA720" s="85" t="e">
        <f t="shared" ca="1" si="166"/>
        <v>#N/A</v>
      </c>
      <c r="AB720" s="85" t="e">
        <f t="shared" ca="1" si="167"/>
        <v>#N/A</v>
      </c>
    </row>
    <row r="721" spans="2:28">
      <c r="B721" s="98">
        <f>'115+740'!B722</f>
        <v>0</v>
      </c>
      <c r="C721" s="97">
        <f t="shared" si="155"/>
        <v>0</v>
      </c>
      <c r="D721" s="96">
        <f t="shared" si="156"/>
        <v>1069</v>
      </c>
      <c r="E721" s="95" t="e">
        <f>VLOOKUP(B721,'115+740'!B722:AB1080,3,FALSE)</f>
        <v>#N/A</v>
      </c>
      <c r="F721" s="92" t="e">
        <f t="shared" si="157"/>
        <v>#N/A</v>
      </c>
      <c r="G721" s="94" t="e">
        <f>VLOOKUP(B721,'115+740'!$B$15:$AB$757,20,FALSE)</f>
        <v>#N/A</v>
      </c>
      <c r="H721" s="94" t="e">
        <f>VLOOKUP(B721,'115+740'!$B$15:$AB$757,4,FALSE)</f>
        <v>#N/A</v>
      </c>
      <c r="I721" s="91" t="e">
        <f t="shared" si="158"/>
        <v>#N/A</v>
      </c>
      <c r="J721" s="91" t="e">
        <f>VLOOKUP(B721,'115+740'!$B$15:$AB$757,13,FALSE)</f>
        <v>#N/A</v>
      </c>
      <c r="K721" s="89">
        <f>'115+740'!Q722</f>
        <v>0</v>
      </c>
      <c r="L721" s="88">
        <f t="shared" ca="1" si="159"/>
        <v>1573</v>
      </c>
      <c r="M721" s="93" t="e">
        <f>VLOOKUP(B721,'115+740'!$B$14:$AB$757,21,FALSE)</f>
        <v>#N/A</v>
      </c>
      <c r="N721" s="92" t="e">
        <f>VLOOKUP(B721,'115+740'!$B$15:$AB$757,5,FALSE)</f>
        <v>#N/A</v>
      </c>
      <c r="O721" s="91" t="e">
        <f t="shared" si="160"/>
        <v>#N/A</v>
      </c>
      <c r="P721" s="91" t="e">
        <f>VLOOKUP(B721,'115+740'!$B$15:$AB$757,14,FALSE)</f>
        <v>#N/A</v>
      </c>
      <c r="Q721" s="89">
        <f>'115+740'!R722</f>
        <v>0</v>
      </c>
      <c r="R721" s="88">
        <f t="shared" ca="1" si="161"/>
        <v>1774</v>
      </c>
      <c r="S721" s="93" t="e">
        <f>VLOOKUP(B721,'115+740'!$B$14:$AB$757,22,FALSE)</f>
        <v>#N/A</v>
      </c>
      <c r="T721" s="92" t="e">
        <f>VLOOKUP(B721,'115+740'!$B$15:$AB$757,6,FALSE)</f>
        <v>#N/A</v>
      </c>
      <c r="U721" s="91" t="e">
        <f t="shared" si="162"/>
        <v>#N/A</v>
      </c>
      <c r="V721" s="90" t="e">
        <f>VLOOKUP(B721,'115+740'!$B$15:$AB$757,15,FALSE)</f>
        <v>#N/A</v>
      </c>
      <c r="W721" s="89">
        <f>'115+740'!S722</f>
        <v>0</v>
      </c>
      <c r="X721" s="88">
        <f t="shared" ca="1" si="163"/>
        <v>1323</v>
      </c>
      <c r="Y721" s="87" t="e">
        <f t="shared" si="164"/>
        <v>#N/A</v>
      </c>
      <c r="Z721" s="86" t="e">
        <f t="shared" si="165"/>
        <v>#N/A</v>
      </c>
      <c r="AA721" s="85" t="e">
        <f t="shared" ca="1" si="166"/>
        <v>#N/A</v>
      </c>
      <c r="AB721" s="85" t="e">
        <f t="shared" ca="1" si="167"/>
        <v>#N/A</v>
      </c>
    </row>
    <row r="722" spans="2:28">
      <c r="B722" s="98">
        <f>'115+740'!B723</f>
        <v>0</v>
      </c>
      <c r="C722" s="97">
        <f t="shared" si="155"/>
        <v>0</v>
      </c>
      <c r="D722" s="96">
        <f t="shared" si="156"/>
        <v>1069</v>
      </c>
      <c r="E722" s="95" t="e">
        <f>VLOOKUP(B722,'115+740'!B723:AB1081,3,FALSE)</f>
        <v>#N/A</v>
      </c>
      <c r="F722" s="92" t="e">
        <f t="shared" si="157"/>
        <v>#N/A</v>
      </c>
      <c r="G722" s="94" t="e">
        <f>VLOOKUP(B722,'115+740'!$B$15:$AB$757,20,FALSE)</f>
        <v>#N/A</v>
      </c>
      <c r="H722" s="94" t="e">
        <f>VLOOKUP(B722,'115+740'!$B$15:$AB$757,4,FALSE)</f>
        <v>#N/A</v>
      </c>
      <c r="I722" s="91" t="e">
        <f t="shared" si="158"/>
        <v>#N/A</v>
      </c>
      <c r="J722" s="91" t="e">
        <f>VLOOKUP(B722,'115+740'!$B$15:$AB$757,13,FALSE)</f>
        <v>#N/A</v>
      </c>
      <c r="K722" s="89">
        <f>'115+740'!Q723</f>
        <v>0</v>
      </c>
      <c r="L722" s="88">
        <f t="shared" ca="1" si="159"/>
        <v>1573</v>
      </c>
      <c r="M722" s="93" t="e">
        <f>VLOOKUP(B722,'115+740'!$B$14:$AB$757,21,FALSE)</f>
        <v>#N/A</v>
      </c>
      <c r="N722" s="92" t="e">
        <f>VLOOKUP(B722,'115+740'!$B$15:$AB$757,5,FALSE)</f>
        <v>#N/A</v>
      </c>
      <c r="O722" s="91" t="e">
        <f t="shared" si="160"/>
        <v>#N/A</v>
      </c>
      <c r="P722" s="91" t="e">
        <f>VLOOKUP(B722,'115+740'!$B$15:$AB$757,14,FALSE)</f>
        <v>#N/A</v>
      </c>
      <c r="Q722" s="89">
        <f>'115+740'!R723</f>
        <v>0</v>
      </c>
      <c r="R722" s="88">
        <f t="shared" ca="1" si="161"/>
        <v>1774</v>
      </c>
      <c r="S722" s="93" t="e">
        <f>VLOOKUP(B722,'115+740'!$B$14:$AB$757,22,FALSE)</f>
        <v>#N/A</v>
      </c>
      <c r="T722" s="92" t="e">
        <f>VLOOKUP(B722,'115+740'!$B$15:$AB$757,6,FALSE)</f>
        <v>#N/A</v>
      </c>
      <c r="U722" s="91" t="e">
        <f t="shared" si="162"/>
        <v>#N/A</v>
      </c>
      <c r="V722" s="90" t="e">
        <f>VLOOKUP(B722,'115+740'!$B$15:$AB$757,15,FALSE)</f>
        <v>#N/A</v>
      </c>
      <c r="W722" s="89">
        <f>'115+740'!S723</f>
        <v>0</v>
      </c>
      <c r="X722" s="88">
        <f t="shared" ca="1" si="163"/>
        <v>1323</v>
      </c>
      <c r="Y722" s="87" t="e">
        <f t="shared" si="164"/>
        <v>#N/A</v>
      </c>
      <c r="Z722" s="86" t="e">
        <f t="shared" si="165"/>
        <v>#N/A</v>
      </c>
      <c r="AA722" s="85" t="e">
        <f t="shared" ca="1" si="166"/>
        <v>#N/A</v>
      </c>
      <c r="AB722" s="85" t="e">
        <f t="shared" ca="1" si="167"/>
        <v>#N/A</v>
      </c>
    </row>
    <row r="723" spans="2:28">
      <c r="B723" s="98">
        <f>'115+740'!B724</f>
        <v>0</v>
      </c>
      <c r="C723" s="97">
        <f t="shared" si="155"/>
        <v>0</v>
      </c>
      <c r="D723" s="96">
        <f t="shared" si="156"/>
        <v>1069</v>
      </c>
      <c r="E723" s="95" t="e">
        <f>VLOOKUP(B723,'115+740'!B724:AB1082,3,FALSE)</f>
        <v>#N/A</v>
      </c>
      <c r="F723" s="92" t="e">
        <f t="shared" si="157"/>
        <v>#N/A</v>
      </c>
      <c r="G723" s="94" t="e">
        <f>VLOOKUP(B723,'115+740'!$B$15:$AB$757,20,FALSE)</f>
        <v>#N/A</v>
      </c>
      <c r="H723" s="94" t="e">
        <f>VLOOKUP(B723,'115+740'!$B$15:$AB$757,4,FALSE)</f>
        <v>#N/A</v>
      </c>
      <c r="I723" s="91" t="e">
        <f t="shared" si="158"/>
        <v>#N/A</v>
      </c>
      <c r="J723" s="91" t="e">
        <f>VLOOKUP(B723,'115+740'!$B$15:$AB$757,13,FALSE)</f>
        <v>#N/A</v>
      </c>
      <c r="K723" s="89">
        <f>'115+740'!Q724</f>
        <v>0</v>
      </c>
      <c r="L723" s="88">
        <f t="shared" ca="1" si="159"/>
        <v>1573</v>
      </c>
      <c r="M723" s="93" t="e">
        <f>VLOOKUP(B723,'115+740'!$B$14:$AB$757,21,FALSE)</f>
        <v>#N/A</v>
      </c>
      <c r="N723" s="92" t="e">
        <f>VLOOKUP(B723,'115+740'!$B$15:$AB$757,5,FALSE)</f>
        <v>#N/A</v>
      </c>
      <c r="O723" s="91" t="e">
        <f t="shared" si="160"/>
        <v>#N/A</v>
      </c>
      <c r="P723" s="91" t="e">
        <f>VLOOKUP(B723,'115+740'!$B$15:$AB$757,14,FALSE)</f>
        <v>#N/A</v>
      </c>
      <c r="Q723" s="89">
        <f>'115+740'!R724</f>
        <v>0</v>
      </c>
      <c r="R723" s="88">
        <f t="shared" ca="1" si="161"/>
        <v>1774</v>
      </c>
      <c r="S723" s="93" t="e">
        <f>VLOOKUP(B723,'115+740'!$B$14:$AB$757,22,FALSE)</f>
        <v>#N/A</v>
      </c>
      <c r="T723" s="92" t="e">
        <f>VLOOKUP(B723,'115+740'!$B$15:$AB$757,6,FALSE)</f>
        <v>#N/A</v>
      </c>
      <c r="U723" s="91" t="e">
        <f t="shared" si="162"/>
        <v>#N/A</v>
      </c>
      <c r="V723" s="90" t="e">
        <f>VLOOKUP(B723,'115+740'!$B$15:$AB$757,15,FALSE)</f>
        <v>#N/A</v>
      </c>
      <c r="W723" s="89">
        <f>'115+740'!S724</f>
        <v>0</v>
      </c>
      <c r="X723" s="88">
        <f t="shared" ca="1" si="163"/>
        <v>1323</v>
      </c>
      <c r="Y723" s="87" t="e">
        <f t="shared" si="164"/>
        <v>#N/A</v>
      </c>
      <c r="Z723" s="86" t="e">
        <f t="shared" si="165"/>
        <v>#N/A</v>
      </c>
      <c r="AA723" s="85" t="e">
        <f t="shared" ca="1" si="166"/>
        <v>#N/A</v>
      </c>
      <c r="AB723" s="85" t="e">
        <f t="shared" ca="1" si="167"/>
        <v>#N/A</v>
      </c>
    </row>
    <row r="724" spans="2:28">
      <c r="B724" s="98">
        <f>'115+740'!B725</f>
        <v>0</v>
      </c>
      <c r="C724" s="97">
        <f t="shared" si="155"/>
        <v>0</v>
      </c>
      <c r="D724" s="96">
        <f t="shared" si="156"/>
        <v>1069</v>
      </c>
      <c r="E724" s="95" t="e">
        <f>VLOOKUP(B724,'115+740'!B725:AB1083,3,FALSE)</f>
        <v>#N/A</v>
      </c>
      <c r="F724" s="92" t="e">
        <f t="shared" si="157"/>
        <v>#N/A</v>
      </c>
      <c r="G724" s="94" t="e">
        <f>VLOOKUP(B724,'115+740'!$B$15:$AB$757,20,FALSE)</f>
        <v>#N/A</v>
      </c>
      <c r="H724" s="94" t="e">
        <f>VLOOKUP(B724,'115+740'!$B$15:$AB$757,4,FALSE)</f>
        <v>#N/A</v>
      </c>
      <c r="I724" s="91" t="e">
        <f t="shared" si="158"/>
        <v>#N/A</v>
      </c>
      <c r="J724" s="91" t="e">
        <f>VLOOKUP(B724,'115+740'!$B$15:$AB$757,13,FALSE)</f>
        <v>#N/A</v>
      </c>
      <c r="K724" s="89">
        <f>'115+740'!Q725</f>
        <v>0</v>
      </c>
      <c r="L724" s="88">
        <f t="shared" ca="1" si="159"/>
        <v>1573</v>
      </c>
      <c r="M724" s="93" t="e">
        <f>VLOOKUP(B724,'115+740'!$B$14:$AB$757,21,FALSE)</f>
        <v>#N/A</v>
      </c>
      <c r="N724" s="92" t="e">
        <f>VLOOKUP(B724,'115+740'!$B$15:$AB$757,5,FALSE)</f>
        <v>#N/A</v>
      </c>
      <c r="O724" s="91" t="e">
        <f t="shared" si="160"/>
        <v>#N/A</v>
      </c>
      <c r="P724" s="91" t="e">
        <f>VLOOKUP(B724,'115+740'!$B$15:$AB$757,14,FALSE)</f>
        <v>#N/A</v>
      </c>
      <c r="Q724" s="89">
        <f>'115+740'!R725</f>
        <v>0</v>
      </c>
      <c r="R724" s="88">
        <f t="shared" ca="1" si="161"/>
        <v>1774</v>
      </c>
      <c r="S724" s="93" t="e">
        <f>VLOOKUP(B724,'115+740'!$B$14:$AB$757,22,FALSE)</f>
        <v>#N/A</v>
      </c>
      <c r="T724" s="92" t="e">
        <f>VLOOKUP(B724,'115+740'!$B$15:$AB$757,6,FALSE)</f>
        <v>#N/A</v>
      </c>
      <c r="U724" s="91" t="e">
        <f t="shared" si="162"/>
        <v>#N/A</v>
      </c>
      <c r="V724" s="90" t="e">
        <f>VLOOKUP(B724,'115+740'!$B$15:$AB$757,15,FALSE)</f>
        <v>#N/A</v>
      </c>
      <c r="W724" s="89">
        <f>'115+740'!S725</f>
        <v>0</v>
      </c>
      <c r="X724" s="88">
        <f t="shared" ca="1" si="163"/>
        <v>1323</v>
      </c>
      <c r="Y724" s="87" t="e">
        <f t="shared" si="164"/>
        <v>#N/A</v>
      </c>
      <c r="Z724" s="86" t="e">
        <f t="shared" si="165"/>
        <v>#N/A</v>
      </c>
      <c r="AA724" s="85" t="e">
        <f t="shared" ca="1" si="166"/>
        <v>#N/A</v>
      </c>
      <c r="AB724" s="85" t="e">
        <f t="shared" ca="1" si="167"/>
        <v>#N/A</v>
      </c>
    </row>
    <row r="725" spans="2:28">
      <c r="B725" s="98">
        <f>'115+740'!B726</f>
        <v>0</v>
      </c>
      <c r="C725" s="97">
        <f t="shared" si="155"/>
        <v>0</v>
      </c>
      <c r="D725" s="96">
        <f t="shared" si="156"/>
        <v>1069</v>
      </c>
      <c r="E725" s="95" t="e">
        <f>VLOOKUP(B725,'115+740'!B726:AB1084,3,FALSE)</f>
        <v>#N/A</v>
      </c>
      <c r="F725" s="92" t="e">
        <f t="shared" si="157"/>
        <v>#N/A</v>
      </c>
      <c r="G725" s="94" t="e">
        <f>VLOOKUP(B725,'115+740'!$B$15:$AB$757,20,FALSE)</f>
        <v>#N/A</v>
      </c>
      <c r="H725" s="94" t="e">
        <f>VLOOKUP(B725,'115+740'!$B$15:$AB$757,4,FALSE)</f>
        <v>#N/A</v>
      </c>
      <c r="I725" s="91" t="e">
        <f t="shared" si="158"/>
        <v>#N/A</v>
      </c>
      <c r="J725" s="91" t="e">
        <f>VLOOKUP(B725,'115+740'!$B$15:$AB$757,13,FALSE)</f>
        <v>#N/A</v>
      </c>
      <c r="K725" s="89">
        <f>'115+740'!Q726</f>
        <v>0</v>
      </c>
      <c r="L725" s="88">
        <f t="shared" ca="1" si="159"/>
        <v>1573</v>
      </c>
      <c r="M725" s="93" t="e">
        <f>VLOOKUP(B725,'115+740'!$B$14:$AB$757,21,FALSE)</f>
        <v>#N/A</v>
      </c>
      <c r="N725" s="92" t="e">
        <f>VLOOKUP(B725,'115+740'!$B$15:$AB$757,5,FALSE)</f>
        <v>#N/A</v>
      </c>
      <c r="O725" s="91" t="e">
        <f t="shared" si="160"/>
        <v>#N/A</v>
      </c>
      <c r="P725" s="91" t="e">
        <f>VLOOKUP(B725,'115+740'!$B$15:$AB$757,14,FALSE)</f>
        <v>#N/A</v>
      </c>
      <c r="Q725" s="89">
        <f>'115+740'!R726</f>
        <v>0</v>
      </c>
      <c r="R725" s="88">
        <f t="shared" ca="1" si="161"/>
        <v>1774</v>
      </c>
      <c r="S725" s="93" t="e">
        <f>VLOOKUP(B725,'115+740'!$B$14:$AB$757,22,FALSE)</f>
        <v>#N/A</v>
      </c>
      <c r="T725" s="92" t="e">
        <f>VLOOKUP(B725,'115+740'!$B$15:$AB$757,6,FALSE)</f>
        <v>#N/A</v>
      </c>
      <c r="U725" s="91" t="e">
        <f t="shared" si="162"/>
        <v>#N/A</v>
      </c>
      <c r="V725" s="90" t="e">
        <f>VLOOKUP(B725,'115+740'!$B$15:$AB$757,15,FALSE)</f>
        <v>#N/A</v>
      </c>
      <c r="W725" s="89">
        <f>'115+740'!S726</f>
        <v>0</v>
      </c>
      <c r="X725" s="88">
        <f t="shared" ca="1" si="163"/>
        <v>1323</v>
      </c>
      <c r="Y725" s="87" t="e">
        <f t="shared" si="164"/>
        <v>#N/A</v>
      </c>
      <c r="Z725" s="86" t="e">
        <f t="shared" si="165"/>
        <v>#N/A</v>
      </c>
      <c r="AA725" s="85" t="e">
        <f t="shared" ca="1" si="166"/>
        <v>#N/A</v>
      </c>
      <c r="AB725" s="85" t="e">
        <f t="shared" ca="1" si="167"/>
        <v>#N/A</v>
      </c>
    </row>
    <row r="726" spans="2:28">
      <c r="B726" s="98">
        <f>'115+740'!B727</f>
        <v>0</v>
      </c>
      <c r="C726" s="97">
        <f t="shared" si="155"/>
        <v>0</v>
      </c>
      <c r="D726" s="96">
        <f t="shared" si="156"/>
        <v>1069</v>
      </c>
      <c r="E726" s="95" t="e">
        <f>VLOOKUP(B726,'115+740'!B727:AB1085,3,FALSE)</f>
        <v>#N/A</v>
      </c>
      <c r="F726" s="92" t="e">
        <f t="shared" si="157"/>
        <v>#N/A</v>
      </c>
      <c r="G726" s="94" t="e">
        <f>VLOOKUP(B726,'115+740'!$B$15:$AB$757,20,FALSE)</f>
        <v>#N/A</v>
      </c>
      <c r="H726" s="94" t="e">
        <f>VLOOKUP(B726,'115+740'!$B$15:$AB$757,4,FALSE)</f>
        <v>#N/A</v>
      </c>
      <c r="I726" s="91" t="e">
        <f t="shared" si="158"/>
        <v>#N/A</v>
      </c>
      <c r="J726" s="91" t="e">
        <f>VLOOKUP(B726,'115+740'!$B$15:$AB$757,13,FALSE)</f>
        <v>#N/A</v>
      </c>
      <c r="K726" s="89">
        <f>'115+740'!Q727</f>
        <v>0</v>
      </c>
      <c r="L726" s="88">
        <f t="shared" ca="1" si="159"/>
        <v>1573</v>
      </c>
      <c r="M726" s="93" t="e">
        <f>VLOOKUP(B726,'115+740'!$B$14:$AB$757,21,FALSE)</f>
        <v>#N/A</v>
      </c>
      <c r="N726" s="92" t="e">
        <f>VLOOKUP(B726,'115+740'!$B$15:$AB$757,5,FALSE)</f>
        <v>#N/A</v>
      </c>
      <c r="O726" s="91" t="e">
        <f t="shared" si="160"/>
        <v>#N/A</v>
      </c>
      <c r="P726" s="91" t="e">
        <f>VLOOKUP(B726,'115+740'!$B$15:$AB$757,14,FALSE)</f>
        <v>#N/A</v>
      </c>
      <c r="Q726" s="89">
        <f>'115+740'!R727</f>
        <v>0</v>
      </c>
      <c r="R726" s="88">
        <f t="shared" ca="1" si="161"/>
        <v>1774</v>
      </c>
      <c r="S726" s="93" t="e">
        <f>VLOOKUP(B726,'115+740'!$B$14:$AB$757,22,FALSE)</f>
        <v>#N/A</v>
      </c>
      <c r="T726" s="92" t="e">
        <f>VLOOKUP(B726,'115+740'!$B$15:$AB$757,6,FALSE)</f>
        <v>#N/A</v>
      </c>
      <c r="U726" s="91" t="e">
        <f t="shared" si="162"/>
        <v>#N/A</v>
      </c>
      <c r="V726" s="90" t="e">
        <f>VLOOKUP(B726,'115+740'!$B$15:$AB$757,15,FALSE)</f>
        <v>#N/A</v>
      </c>
      <c r="W726" s="89">
        <f>'115+740'!S727</f>
        <v>0</v>
      </c>
      <c r="X726" s="88">
        <f t="shared" ca="1" si="163"/>
        <v>1323</v>
      </c>
      <c r="Y726" s="87" t="e">
        <f t="shared" si="164"/>
        <v>#N/A</v>
      </c>
      <c r="Z726" s="86" t="e">
        <f t="shared" si="165"/>
        <v>#N/A</v>
      </c>
      <c r="AA726" s="85" t="e">
        <f t="shared" ca="1" si="166"/>
        <v>#N/A</v>
      </c>
      <c r="AB726" s="85" t="e">
        <f t="shared" ca="1" si="167"/>
        <v>#N/A</v>
      </c>
    </row>
    <row r="727" spans="2:28">
      <c r="B727" s="98">
        <f>'115+740'!B728</f>
        <v>0</v>
      </c>
      <c r="C727" s="97">
        <f t="shared" si="155"/>
        <v>0</v>
      </c>
      <c r="D727" s="96">
        <f t="shared" si="156"/>
        <v>1069</v>
      </c>
      <c r="E727" s="95" t="e">
        <f>VLOOKUP(B727,'115+740'!B728:AB1086,3,FALSE)</f>
        <v>#N/A</v>
      </c>
      <c r="F727" s="92" t="e">
        <f t="shared" si="157"/>
        <v>#N/A</v>
      </c>
      <c r="G727" s="94" t="e">
        <f>VLOOKUP(B727,'115+740'!$B$15:$AB$757,20,FALSE)</f>
        <v>#N/A</v>
      </c>
      <c r="H727" s="94" t="e">
        <f>VLOOKUP(B727,'115+740'!$B$15:$AB$757,4,FALSE)</f>
        <v>#N/A</v>
      </c>
      <c r="I727" s="91" t="e">
        <f t="shared" si="158"/>
        <v>#N/A</v>
      </c>
      <c r="J727" s="91" t="e">
        <f>VLOOKUP(B727,'115+740'!$B$15:$AB$757,13,FALSE)</f>
        <v>#N/A</v>
      </c>
      <c r="K727" s="89">
        <f>'115+740'!Q728</f>
        <v>0</v>
      </c>
      <c r="L727" s="88">
        <f t="shared" ca="1" si="159"/>
        <v>1573</v>
      </c>
      <c r="M727" s="93" t="e">
        <f>VLOOKUP(B727,'115+740'!$B$14:$AB$757,21,FALSE)</f>
        <v>#N/A</v>
      </c>
      <c r="N727" s="92" t="e">
        <f>VLOOKUP(B727,'115+740'!$B$15:$AB$757,5,FALSE)</f>
        <v>#N/A</v>
      </c>
      <c r="O727" s="91" t="e">
        <f t="shared" si="160"/>
        <v>#N/A</v>
      </c>
      <c r="P727" s="91" t="e">
        <f>VLOOKUP(B727,'115+740'!$B$15:$AB$757,14,FALSE)</f>
        <v>#N/A</v>
      </c>
      <c r="Q727" s="89">
        <f>'115+740'!R728</f>
        <v>0</v>
      </c>
      <c r="R727" s="88">
        <f t="shared" ca="1" si="161"/>
        <v>1774</v>
      </c>
      <c r="S727" s="93" t="e">
        <f>VLOOKUP(B727,'115+740'!$B$14:$AB$757,22,FALSE)</f>
        <v>#N/A</v>
      </c>
      <c r="T727" s="92" t="e">
        <f>VLOOKUP(B727,'115+740'!$B$15:$AB$757,6,FALSE)</f>
        <v>#N/A</v>
      </c>
      <c r="U727" s="91" t="e">
        <f t="shared" si="162"/>
        <v>#N/A</v>
      </c>
      <c r="V727" s="90" t="e">
        <f>VLOOKUP(B727,'115+740'!$B$15:$AB$757,15,FALSE)</f>
        <v>#N/A</v>
      </c>
      <c r="W727" s="89">
        <f>'115+740'!S728</f>
        <v>0</v>
      </c>
      <c r="X727" s="88">
        <f t="shared" ca="1" si="163"/>
        <v>1323</v>
      </c>
      <c r="Y727" s="87" t="e">
        <f t="shared" si="164"/>
        <v>#N/A</v>
      </c>
      <c r="Z727" s="86" t="e">
        <f t="shared" si="165"/>
        <v>#N/A</v>
      </c>
      <c r="AA727" s="85" t="e">
        <f t="shared" ca="1" si="166"/>
        <v>#N/A</v>
      </c>
      <c r="AB727" s="85" t="e">
        <f t="shared" ca="1" si="167"/>
        <v>#N/A</v>
      </c>
    </row>
    <row r="728" spans="2:28">
      <c r="B728" s="98">
        <f>'115+740'!B729</f>
        <v>0</v>
      </c>
      <c r="C728" s="97">
        <f t="shared" si="155"/>
        <v>0</v>
      </c>
      <c r="D728" s="96">
        <f t="shared" si="156"/>
        <v>1069</v>
      </c>
      <c r="E728" s="95" t="e">
        <f>VLOOKUP(B728,'115+740'!B729:AB1087,3,FALSE)</f>
        <v>#N/A</v>
      </c>
      <c r="F728" s="92" t="e">
        <f t="shared" si="157"/>
        <v>#N/A</v>
      </c>
      <c r="G728" s="94" t="e">
        <f>VLOOKUP(B728,'115+740'!$B$15:$AB$757,20,FALSE)</f>
        <v>#N/A</v>
      </c>
      <c r="H728" s="94" t="e">
        <f>VLOOKUP(B728,'115+740'!$B$15:$AB$757,4,FALSE)</f>
        <v>#N/A</v>
      </c>
      <c r="I728" s="91" t="e">
        <f t="shared" si="158"/>
        <v>#N/A</v>
      </c>
      <c r="J728" s="91" t="e">
        <f>VLOOKUP(B728,'115+740'!$B$15:$AB$757,13,FALSE)</f>
        <v>#N/A</v>
      </c>
      <c r="K728" s="89">
        <f>'115+740'!Q729</f>
        <v>0</v>
      </c>
      <c r="L728" s="88">
        <f t="shared" ca="1" si="159"/>
        <v>1573</v>
      </c>
      <c r="M728" s="93" t="e">
        <f>VLOOKUP(B728,'115+740'!$B$14:$AB$757,21,FALSE)</f>
        <v>#N/A</v>
      </c>
      <c r="N728" s="92" t="e">
        <f>VLOOKUP(B728,'115+740'!$B$15:$AB$757,5,FALSE)</f>
        <v>#N/A</v>
      </c>
      <c r="O728" s="91" t="e">
        <f t="shared" si="160"/>
        <v>#N/A</v>
      </c>
      <c r="P728" s="91" t="e">
        <f>VLOOKUP(B728,'115+740'!$B$15:$AB$757,14,FALSE)</f>
        <v>#N/A</v>
      </c>
      <c r="Q728" s="89">
        <f>'115+740'!R729</f>
        <v>0</v>
      </c>
      <c r="R728" s="88">
        <f t="shared" ca="1" si="161"/>
        <v>1774</v>
      </c>
      <c r="S728" s="93" t="e">
        <f>VLOOKUP(B728,'115+740'!$B$14:$AB$757,22,FALSE)</f>
        <v>#N/A</v>
      </c>
      <c r="T728" s="92" t="e">
        <f>VLOOKUP(B728,'115+740'!$B$15:$AB$757,6,FALSE)</f>
        <v>#N/A</v>
      </c>
      <c r="U728" s="91" t="e">
        <f t="shared" si="162"/>
        <v>#N/A</v>
      </c>
      <c r="V728" s="90" t="e">
        <f>VLOOKUP(B728,'115+740'!$B$15:$AB$757,15,FALSE)</f>
        <v>#N/A</v>
      </c>
      <c r="W728" s="89">
        <f>'115+740'!S729</f>
        <v>0</v>
      </c>
      <c r="X728" s="88">
        <f t="shared" ca="1" si="163"/>
        <v>1323</v>
      </c>
      <c r="Y728" s="87" t="e">
        <f t="shared" si="164"/>
        <v>#N/A</v>
      </c>
      <c r="Z728" s="86" t="e">
        <f t="shared" si="165"/>
        <v>#N/A</v>
      </c>
      <c r="AA728" s="85" t="e">
        <f t="shared" ca="1" si="166"/>
        <v>#N/A</v>
      </c>
      <c r="AB728" s="85" t="e">
        <f t="shared" ca="1" si="167"/>
        <v>#N/A</v>
      </c>
    </row>
    <row r="729" spans="2:28">
      <c r="B729" s="98">
        <f>'115+740'!B730</f>
        <v>0</v>
      </c>
      <c r="C729" s="97">
        <f t="shared" si="155"/>
        <v>0</v>
      </c>
      <c r="D729" s="96">
        <f t="shared" si="156"/>
        <v>1069</v>
      </c>
      <c r="E729" s="95" t="e">
        <f>VLOOKUP(B729,'115+740'!B730:AB1088,3,FALSE)</f>
        <v>#N/A</v>
      </c>
      <c r="F729" s="92" t="e">
        <f t="shared" si="157"/>
        <v>#N/A</v>
      </c>
      <c r="G729" s="94" t="e">
        <f>VLOOKUP(B729,'115+740'!$B$15:$AB$757,20,FALSE)</f>
        <v>#N/A</v>
      </c>
      <c r="H729" s="94" t="e">
        <f>VLOOKUP(B729,'115+740'!$B$15:$AB$757,4,FALSE)</f>
        <v>#N/A</v>
      </c>
      <c r="I729" s="91" t="e">
        <f t="shared" si="158"/>
        <v>#N/A</v>
      </c>
      <c r="J729" s="91" t="e">
        <f>VLOOKUP(B729,'115+740'!$B$15:$AB$757,13,FALSE)</f>
        <v>#N/A</v>
      </c>
      <c r="K729" s="89">
        <f>'115+740'!Q730</f>
        <v>0</v>
      </c>
      <c r="L729" s="88">
        <f t="shared" ca="1" si="159"/>
        <v>1573</v>
      </c>
      <c r="M729" s="93" t="e">
        <f>VLOOKUP(B729,'115+740'!$B$14:$AB$757,21,FALSE)</f>
        <v>#N/A</v>
      </c>
      <c r="N729" s="92" t="e">
        <f>VLOOKUP(B729,'115+740'!$B$15:$AB$757,5,FALSE)</f>
        <v>#N/A</v>
      </c>
      <c r="O729" s="91" t="e">
        <f t="shared" si="160"/>
        <v>#N/A</v>
      </c>
      <c r="P729" s="91" t="e">
        <f>VLOOKUP(B729,'115+740'!$B$15:$AB$757,14,FALSE)</f>
        <v>#N/A</v>
      </c>
      <c r="Q729" s="89">
        <f>'115+740'!R730</f>
        <v>0</v>
      </c>
      <c r="R729" s="88">
        <f t="shared" ca="1" si="161"/>
        <v>1774</v>
      </c>
      <c r="S729" s="93" t="e">
        <f>VLOOKUP(B729,'115+740'!$B$14:$AB$757,22,FALSE)</f>
        <v>#N/A</v>
      </c>
      <c r="T729" s="92" t="e">
        <f>VLOOKUP(B729,'115+740'!$B$15:$AB$757,6,FALSE)</f>
        <v>#N/A</v>
      </c>
      <c r="U729" s="91" t="e">
        <f t="shared" si="162"/>
        <v>#N/A</v>
      </c>
      <c r="V729" s="90" t="e">
        <f>VLOOKUP(B729,'115+740'!$B$15:$AB$757,15,FALSE)</f>
        <v>#N/A</v>
      </c>
      <c r="W729" s="89">
        <f>'115+740'!S730</f>
        <v>0</v>
      </c>
      <c r="X729" s="88">
        <f t="shared" ca="1" si="163"/>
        <v>1323</v>
      </c>
      <c r="Y729" s="87" t="e">
        <f t="shared" si="164"/>
        <v>#N/A</v>
      </c>
      <c r="Z729" s="86" t="e">
        <f t="shared" si="165"/>
        <v>#N/A</v>
      </c>
      <c r="AA729" s="85" t="e">
        <f t="shared" ca="1" si="166"/>
        <v>#N/A</v>
      </c>
      <c r="AB729" s="85" t="e">
        <f t="shared" ca="1" si="167"/>
        <v>#N/A</v>
      </c>
    </row>
    <row r="730" spans="2:28">
      <c r="B730" s="98">
        <f>'115+740'!B731</f>
        <v>0</v>
      </c>
      <c r="C730" s="97">
        <f t="shared" si="155"/>
        <v>0</v>
      </c>
      <c r="D730" s="96">
        <f t="shared" si="156"/>
        <v>1069</v>
      </c>
      <c r="E730" s="95" t="e">
        <f>VLOOKUP(B730,'115+740'!B731:AB1089,3,FALSE)</f>
        <v>#N/A</v>
      </c>
      <c r="F730" s="92" t="e">
        <f t="shared" si="157"/>
        <v>#N/A</v>
      </c>
      <c r="G730" s="94" t="e">
        <f>VLOOKUP(B730,'115+740'!$B$15:$AB$757,20,FALSE)</f>
        <v>#N/A</v>
      </c>
      <c r="H730" s="94" t="e">
        <f>VLOOKUP(B730,'115+740'!$B$15:$AB$757,4,FALSE)</f>
        <v>#N/A</v>
      </c>
      <c r="I730" s="91" t="e">
        <f t="shared" si="158"/>
        <v>#N/A</v>
      </c>
      <c r="J730" s="91" t="e">
        <f>VLOOKUP(B730,'115+740'!$B$15:$AB$757,13,FALSE)</f>
        <v>#N/A</v>
      </c>
      <c r="K730" s="89">
        <f>'115+740'!Q731</f>
        <v>0</v>
      </c>
      <c r="L730" s="88">
        <f t="shared" ca="1" si="159"/>
        <v>1573</v>
      </c>
      <c r="M730" s="93" t="e">
        <f>VLOOKUP(B730,'115+740'!$B$14:$AB$757,21,FALSE)</f>
        <v>#N/A</v>
      </c>
      <c r="N730" s="92" t="e">
        <f>VLOOKUP(B730,'115+740'!$B$15:$AB$757,5,FALSE)</f>
        <v>#N/A</v>
      </c>
      <c r="O730" s="91" t="e">
        <f t="shared" si="160"/>
        <v>#N/A</v>
      </c>
      <c r="P730" s="91" t="e">
        <f>VLOOKUP(B730,'115+740'!$B$15:$AB$757,14,FALSE)</f>
        <v>#N/A</v>
      </c>
      <c r="Q730" s="89">
        <f>'115+740'!R731</f>
        <v>0</v>
      </c>
      <c r="R730" s="88">
        <f t="shared" ca="1" si="161"/>
        <v>1774</v>
      </c>
      <c r="S730" s="93" t="e">
        <f>VLOOKUP(B730,'115+740'!$B$14:$AB$757,22,FALSE)</f>
        <v>#N/A</v>
      </c>
      <c r="T730" s="92" t="e">
        <f>VLOOKUP(B730,'115+740'!$B$15:$AB$757,6,FALSE)</f>
        <v>#N/A</v>
      </c>
      <c r="U730" s="91" t="e">
        <f t="shared" si="162"/>
        <v>#N/A</v>
      </c>
      <c r="V730" s="90" t="e">
        <f>VLOOKUP(B730,'115+740'!$B$15:$AB$757,15,FALSE)</f>
        <v>#N/A</v>
      </c>
      <c r="W730" s="89">
        <f>'115+740'!S731</f>
        <v>0</v>
      </c>
      <c r="X730" s="88">
        <f t="shared" ca="1" si="163"/>
        <v>1323</v>
      </c>
      <c r="Y730" s="87" t="e">
        <f t="shared" si="164"/>
        <v>#N/A</v>
      </c>
      <c r="Z730" s="86" t="e">
        <f t="shared" si="165"/>
        <v>#N/A</v>
      </c>
      <c r="AA730" s="85" t="e">
        <f t="shared" ca="1" si="166"/>
        <v>#N/A</v>
      </c>
      <c r="AB730" s="85" t="e">
        <f t="shared" ca="1" si="167"/>
        <v>#N/A</v>
      </c>
    </row>
    <row r="731" spans="2:28">
      <c r="B731" s="98">
        <f>'115+740'!B732</f>
        <v>0</v>
      </c>
      <c r="C731" s="97">
        <f t="shared" si="155"/>
        <v>0</v>
      </c>
      <c r="D731" s="96">
        <f t="shared" si="156"/>
        <v>1069</v>
      </c>
      <c r="E731" s="95" t="e">
        <f>VLOOKUP(B731,'115+740'!B732:AB1090,3,FALSE)</f>
        <v>#N/A</v>
      </c>
      <c r="F731" s="92" t="e">
        <f t="shared" si="157"/>
        <v>#N/A</v>
      </c>
      <c r="G731" s="94" t="e">
        <f>VLOOKUP(B731,'115+740'!$B$15:$AB$757,20,FALSE)</f>
        <v>#N/A</v>
      </c>
      <c r="H731" s="94" t="e">
        <f>VLOOKUP(B731,'115+740'!$B$15:$AB$757,4,FALSE)</f>
        <v>#N/A</v>
      </c>
      <c r="I731" s="91" t="e">
        <f t="shared" si="158"/>
        <v>#N/A</v>
      </c>
      <c r="J731" s="91" t="e">
        <f>VLOOKUP(B731,'115+740'!$B$15:$AB$757,13,FALSE)</f>
        <v>#N/A</v>
      </c>
      <c r="K731" s="89">
        <f>'115+740'!Q732</f>
        <v>0</v>
      </c>
      <c r="L731" s="88">
        <f t="shared" ca="1" si="159"/>
        <v>1573</v>
      </c>
      <c r="M731" s="93" t="e">
        <f>VLOOKUP(B731,'115+740'!$B$14:$AB$757,21,FALSE)</f>
        <v>#N/A</v>
      </c>
      <c r="N731" s="92" t="e">
        <f>VLOOKUP(B731,'115+740'!$B$15:$AB$757,5,FALSE)</f>
        <v>#N/A</v>
      </c>
      <c r="O731" s="91" t="e">
        <f t="shared" si="160"/>
        <v>#N/A</v>
      </c>
      <c r="P731" s="91" t="e">
        <f>VLOOKUP(B731,'115+740'!$B$15:$AB$757,14,FALSE)</f>
        <v>#N/A</v>
      </c>
      <c r="Q731" s="89">
        <f>'115+740'!R732</f>
        <v>0</v>
      </c>
      <c r="R731" s="88">
        <f t="shared" ca="1" si="161"/>
        <v>1774</v>
      </c>
      <c r="S731" s="93" t="e">
        <f>VLOOKUP(B731,'115+740'!$B$14:$AB$757,22,FALSE)</f>
        <v>#N/A</v>
      </c>
      <c r="T731" s="92" t="e">
        <f>VLOOKUP(B731,'115+740'!$B$15:$AB$757,6,FALSE)</f>
        <v>#N/A</v>
      </c>
      <c r="U731" s="91" t="e">
        <f t="shared" si="162"/>
        <v>#N/A</v>
      </c>
      <c r="V731" s="90" t="e">
        <f>VLOOKUP(B731,'115+740'!$B$15:$AB$757,15,FALSE)</f>
        <v>#N/A</v>
      </c>
      <c r="W731" s="89">
        <f>'115+740'!S732</f>
        <v>0</v>
      </c>
      <c r="X731" s="88">
        <f t="shared" ca="1" si="163"/>
        <v>1323</v>
      </c>
      <c r="Y731" s="87" t="e">
        <f t="shared" si="164"/>
        <v>#N/A</v>
      </c>
      <c r="Z731" s="86" t="e">
        <f t="shared" si="165"/>
        <v>#N/A</v>
      </c>
      <c r="AA731" s="85" t="e">
        <f t="shared" ca="1" si="166"/>
        <v>#N/A</v>
      </c>
      <c r="AB731" s="85" t="e">
        <f t="shared" ca="1" si="167"/>
        <v>#N/A</v>
      </c>
    </row>
  </sheetData>
  <mergeCells count="23">
    <mergeCell ref="Y11:Y12"/>
    <mergeCell ref="B5:I5"/>
    <mergeCell ref="Z11:Z12"/>
    <mergeCell ref="B11:B12"/>
    <mergeCell ref="C11:C12"/>
    <mergeCell ref="D11:D12"/>
    <mergeCell ref="E11:E12"/>
    <mergeCell ref="F11:F12"/>
    <mergeCell ref="B1:AB1"/>
    <mergeCell ref="B2:AB2"/>
    <mergeCell ref="B3:AB3"/>
    <mergeCell ref="B4:I4"/>
    <mergeCell ref="J4:S4"/>
    <mergeCell ref="T4:AB4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8E64-60BE-4678-9FAF-A1922A33D8CA}">
  <sheetPr>
    <tabColor rgb="FFFFFF00"/>
  </sheetPr>
  <dimension ref="A1:AA908"/>
  <sheetViews>
    <sheetView tabSelected="1" topLeftCell="A688" zoomScaleNormal="100" zoomScaleSheetLayoutView="85" workbookViewId="0">
      <selection activeCell="O717" sqref="O717"/>
    </sheetView>
  </sheetViews>
  <sheetFormatPr defaultColWidth="9.140625" defaultRowHeight="14.25"/>
  <cols>
    <col min="1" max="1" width="11.5703125" style="159" customWidth="1"/>
    <col min="2" max="2" width="6.85546875" style="157" customWidth="1"/>
    <col min="3" max="4" width="9" style="158" customWidth="1"/>
    <col min="5" max="5" width="9" style="158" hidden="1" customWidth="1"/>
    <col min="6" max="11" width="9" style="158" customWidth="1"/>
    <col min="12" max="12" width="9.28515625" style="157" customWidth="1"/>
    <col min="13" max="13" width="8.7109375" style="157" customWidth="1"/>
    <col min="14" max="14" width="8.7109375" style="156" customWidth="1"/>
    <col min="15" max="15" width="13.7109375" style="156" customWidth="1"/>
    <col min="16" max="18" width="9.140625" style="154"/>
    <col min="19" max="19" width="12.140625" style="154" customWidth="1"/>
    <col min="20" max="20" width="9.140625" style="154"/>
    <col min="21" max="21" width="0" style="154" hidden="1" customWidth="1"/>
    <col min="22" max="22" width="10.28515625" style="155" customWidth="1"/>
    <col min="23" max="16384" width="9.140625" style="154"/>
  </cols>
  <sheetData>
    <row r="1" spans="1:27" ht="17.25" customHeight="1">
      <c r="A1" s="26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89"/>
    </row>
    <row r="2" spans="1:27" ht="17.25" customHeight="1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7"/>
    </row>
    <row r="3" spans="1:27" ht="29.25" customHeight="1">
      <c r="A3" s="263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5"/>
    </row>
    <row r="4" spans="1:27" ht="14.25" customHeight="1">
      <c r="A4" s="200" t="s">
        <v>43</v>
      </c>
      <c r="B4" s="201"/>
      <c r="C4" s="201"/>
      <c r="D4" s="201"/>
      <c r="E4" s="202"/>
      <c r="F4" s="233" t="s">
        <v>42</v>
      </c>
      <c r="G4" s="233"/>
      <c r="H4" s="233"/>
      <c r="I4" s="233"/>
      <c r="J4" s="234"/>
      <c r="K4" s="232" t="s">
        <v>41</v>
      </c>
      <c r="L4" s="233"/>
      <c r="M4" s="233"/>
      <c r="N4" s="233"/>
      <c r="O4" s="234"/>
      <c r="Q4" s="170"/>
    </row>
    <row r="5" spans="1:27" ht="57" customHeight="1">
      <c r="A5" s="206"/>
      <c r="B5" s="207"/>
      <c r="C5" s="207"/>
      <c r="D5" s="207"/>
      <c r="E5" s="208"/>
      <c r="F5" s="237"/>
      <c r="G5" s="237"/>
      <c r="H5" s="237"/>
      <c r="I5" s="237"/>
      <c r="J5" s="238"/>
      <c r="K5" s="236"/>
      <c r="L5" s="237"/>
      <c r="M5" s="237"/>
      <c r="N5" s="237"/>
      <c r="O5" s="238"/>
      <c r="Q5" s="170"/>
    </row>
    <row r="6" spans="1:27" ht="24.75" customHeight="1">
      <c r="A6" s="209" t="s">
        <v>38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1"/>
      <c r="P6" s="175"/>
    </row>
    <row r="7" spans="1:27" ht="15.75">
      <c r="A7" s="71" t="s">
        <v>37</v>
      </c>
      <c r="B7" s="69">
        <f>'[4]BC.95+020'!C7</f>
        <v>0</v>
      </c>
      <c r="C7" s="69"/>
      <c r="D7" s="69"/>
      <c r="E7" s="69"/>
      <c r="F7" s="69"/>
      <c r="G7" s="69"/>
      <c r="H7" s="69"/>
      <c r="I7" s="69"/>
      <c r="J7" s="70"/>
      <c r="K7" s="70" t="s">
        <v>36</v>
      </c>
      <c r="L7" s="70"/>
      <c r="M7" s="70">
        <f>'[4]BC.95+020'!N7</f>
        <v>0</v>
      </c>
      <c r="N7" s="70"/>
      <c r="O7" s="184"/>
      <c r="P7" s="173"/>
      <c r="S7" s="174"/>
    </row>
    <row r="8" spans="1:27" ht="15.75">
      <c r="A8" s="65" t="s">
        <v>35</v>
      </c>
      <c r="B8" s="63" t="str">
        <f>'[4]BC.95+020'!C8</f>
        <v>năng</v>
      </c>
      <c r="C8" s="63"/>
      <c r="D8" s="63"/>
      <c r="E8" s="63"/>
      <c r="F8" s="63"/>
      <c r="G8" s="63"/>
      <c r="H8" s="63"/>
      <c r="I8" s="63"/>
      <c r="J8" s="64"/>
      <c r="K8" s="64" t="s">
        <v>33</v>
      </c>
      <c r="L8" s="64"/>
      <c r="M8" s="66">
        <f>'115+740'!M9</f>
        <v>1069</v>
      </c>
      <c r="N8" s="64"/>
      <c r="O8" s="183"/>
      <c r="P8" s="173"/>
      <c r="S8" s="174"/>
    </row>
    <row r="9" spans="1:27" ht="15.75">
      <c r="A9" s="148" t="s">
        <v>32</v>
      </c>
      <c r="B9" s="146" t="str">
        <f>'115+740'!C10</f>
        <v>Km115+740</v>
      </c>
      <c r="C9" s="146"/>
      <c r="D9" s="146"/>
      <c r="E9" s="146"/>
      <c r="F9" s="146"/>
      <c r="G9" s="146"/>
      <c r="H9" s="146"/>
      <c r="I9" s="146"/>
      <c r="J9" s="147"/>
      <c r="K9" s="147" t="s">
        <v>30</v>
      </c>
      <c r="L9" s="147"/>
      <c r="M9" s="252">
        <f>'115+740'!M10</f>
        <v>45072</v>
      </c>
      <c r="N9" s="253"/>
      <c r="O9" s="182"/>
      <c r="P9" s="173"/>
      <c r="Q9" s="172"/>
      <c r="R9" s="171"/>
      <c r="S9" s="170"/>
      <c r="T9" s="170"/>
    </row>
    <row r="10" spans="1:27" ht="14.25" customHeight="1">
      <c r="A10" s="181"/>
      <c r="B10" s="179"/>
      <c r="C10" s="179"/>
      <c r="D10" s="179"/>
      <c r="E10" s="179"/>
      <c r="F10" s="179"/>
      <c r="G10" s="179"/>
      <c r="H10" s="179"/>
      <c r="I10" s="179"/>
      <c r="J10" s="180"/>
      <c r="K10" s="180"/>
      <c r="L10" s="180"/>
      <c r="M10" s="180"/>
      <c r="N10" s="180"/>
      <c r="O10" s="179"/>
      <c r="P10" s="178"/>
      <c r="Q10" s="178"/>
      <c r="R10" s="178"/>
      <c r="S10" s="178"/>
      <c r="T10" s="178"/>
      <c r="U10" s="177"/>
      <c r="V10" s="177"/>
      <c r="W10" s="177"/>
      <c r="X10" s="177"/>
      <c r="Y10" s="177"/>
      <c r="Z10" s="74"/>
      <c r="AA10" s="74"/>
    </row>
    <row r="11" spans="1:27" ht="26.45" customHeight="1">
      <c r="A11" s="261" t="str">
        <f>"BÀN QUAN TRẮC: "&amp;B9</f>
        <v>BÀN QUAN TRẮC: Km115+740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Q11" s="170"/>
    </row>
    <row r="12" spans="1:27" ht="28.9" customHeight="1">
      <c r="A12" s="255" t="s">
        <v>74</v>
      </c>
      <c r="B12" s="256" t="s">
        <v>73</v>
      </c>
      <c r="C12" s="257" t="s">
        <v>72</v>
      </c>
      <c r="D12" s="258" t="s">
        <v>56</v>
      </c>
      <c r="E12" s="258" t="s">
        <v>57</v>
      </c>
      <c r="F12" s="260" t="s">
        <v>13</v>
      </c>
      <c r="G12" s="260"/>
      <c r="H12" s="260" t="s">
        <v>71</v>
      </c>
      <c r="I12" s="260"/>
      <c r="J12" s="260" t="s">
        <v>11</v>
      </c>
      <c r="K12" s="260"/>
      <c r="L12" s="256" t="s">
        <v>70</v>
      </c>
      <c r="M12" s="256" t="s">
        <v>69</v>
      </c>
      <c r="N12" s="256" t="s">
        <v>68</v>
      </c>
      <c r="O12" s="254" t="s">
        <v>67</v>
      </c>
      <c r="Q12" s="170"/>
    </row>
    <row r="13" spans="1:27" ht="72.599999999999994" customHeight="1">
      <c r="A13" s="255"/>
      <c r="B13" s="256"/>
      <c r="C13" s="257"/>
      <c r="D13" s="259"/>
      <c r="E13" s="259"/>
      <c r="F13" s="176" t="s">
        <v>66</v>
      </c>
      <c r="G13" s="176" t="s">
        <v>65</v>
      </c>
      <c r="H13" s="176" t="s">
        <v>66</v>
      </c>
      <c r="I13" s="176" t="s">
        <v>65</v>
      </c>
      <c r="J13" s="176" t="s">
        <v>66</v>
      </c>
      <c r="K13" s="176" t="s">
        <v>65</v>
      </c>
      <c r="L13" s="256"/>
      <c r="M13" s="256"/>
      <c r="N13" s="256"/>
      <c r="O13" s="254"/>
      <c r="P13" s="175"/>
    </row>
    <row r="14" spans="1:27">
      <c r="A14" s="164">
        <f>'BC.115+740'!B13</f>
        <v>45072</v>
      </c>
      <c r="B14" s="160">
        <v>0</v>
      </c>
      <c r="C14" s="162">
        <f>'BC.115+740'!M13/1000</f>
        <v>-0.01</v>
      </c>
      <c r="D14" s="162">
        <f>'BC.115+740'!AA13</f>
        <v>0</v>
      </c>
      <c r="E14" s="163">
        <f>'BC.115+740'!AB13</f>
        <v>0</v>
      </c>
      <c r="F14" s="162">
        <f>VLOOKUP($A14,'BC.115+740'!$B$13:$X$489,8,0)/1000</f>
        <v>2.04</v>
      </c>
      <c r="G14" s="162">
        <f>VLOOKUP($A14,'BC.115+740'!$B$13:$X$489,9,0)/1000</f>
        <v>0.04</v>
      </c>
      <c r="H14" s="162">
        <f>VLOOKUP($A14,'BC.115+740'!$B$13:$X$489,14,0)/1000</f>
        <v>1.99</v>
      </c>
      <c r="I14" s="162">
        <f>VLOOKUP($A14,'BC.115+740'!$B$13:$X$489,15,0)/1000</f>
        <v>-0.01</v>
      </c>
      <c r="J14" s="162">
        <f>VLOOKUP($A14,'BC.115+740'!$B$13:$X$489,20,0)/1000</f>
        <v>1.96</v>
      </c>
      <c r="K14" s="162">
        <f>VLOOKUP($A14,'BC.115+740'!$B$13:$X$489,21,0)/1000</f>
        <v>-0.04</v>
      </c>
      <c r="L14" s="160">
        <f t="shared" ref="L14:L77" si="0">(G14-$G$14)*1000</f>
        <v>0</v>
      </c>
      <c r="M14" s="160">
        <f t="shared" ref="M14:M77" si="1">(I14-$I$14)*1000</f>
        <v>0</v>
      </c>
      <c r="N14" s="160">
        <v>0</v>
      </c>
      <c r="O14" s="160"/>
      <c r="P14" s="173"/>
      <c r="S14" s="174"/>
    </row>
    <row r="15" spans="1:27">
      <c r="A15" s="164">
        <f>'BC.115+740'!B14</f>
        <v>45073</v>
      </c>
      <c r="B15" s="160">
        <v>1</v>
      </c>
      <c r="C15" s="162">
        <f ca="1">'BC.115+740'!M14/1000</f>
        <v>-0.01</v>
      </c>
      <c r="D15" s="162">
        <f ca="1">'BC.115+740'!AA14</f>
        <v>0</v>
      </c>
      <c r="E15" s="163">
        <f ca="1">'BC.115+740'!AB14</f>
        <v>0</v>
      </c>
      <c r="F15" s="162">
        <f ca="1">VLOOKUP($A15,'BC.115+740'!$B$13:$X$489,8,0)/1000</f>
        <v>2.04</v>
      </c>
      <c r="G15" s="162">
        <f ca="1">VLOOKUP($A15,'BC.115+740'!$B$13:$X$489,9,0)/1000</f>
        <v>0.04</v>
      </c>
      <c r="H15" s="162">
        <f ca="1">VLOOKUP($A15,'BC.115+740'!$B$13:$X$489,14,0)/1000</f>
        <v>1.99</v>
      </c>
      <c r="I15" s="162">
        <f ca="1">VLOOKUP($A15,'BC.115+740'!$B$13:$X$489,15,0)/1000</f>
        <v>-0.01</v>
      </c>
      <c r="J15" s="162">
        <f ca="1">VLOOKUP($A15,'BC.115+740'!$B$13:$X$489,20,0)/1000</f>
        <v>1.96</v>
      </c>
      <c r="K15" s="162">
        <f ca="1">VLOOKUP($A15,'BC.115+740'!$B$13:$X$489,21,0)/1000</f>
        <v>-0.04</v>
      </c>
      <c r="L15" s="160">
        <f t="shared" ca="1" si="0"/>
        <v>0</v>
      </c>
      <c r="M15" s="161">
        <f t="shared" ca="1" si="1"/>
        <v>0</v>
      </c>
      <c r="N15" s="160">
        <f t="shared" ref="N15:N78" ca="1" si="2">(K15-$K$14)*1000</f>
        <v>0</v>
      </c>
      <c r="O15" s="160"/>
      <c r="P15" s="173"/>
      <c r="S15" s="174"/>
    </row>
    <row r="16" spans="1:27">
      <c r="A16" s="164">
        <f>'BC.115+740'!B15</f>
        <v>45074</v>
      </c>
      <c r="B16" s="160">
        <v>2</v>
      </c>
      <c r="C16" s="162">
        <f ca="1">'BC.115+740'!M15/1000</f>
        <v>-0.01</v>
      </c>
      <c r="D16" s="162">
        <f ca="1">'BC.115+740'!AA15</f>
        <v>0</v>
      </c>
      <c r="E16" s="163">
        <f ca="1">'BC.115+740'!AB15</f>
        <v>0</v>
      </c>
      <c r="F16" s="162">
        <f ca="1">VLOOKUP($A16,'BC.115+740'!$B$13:$X$489,8,0)/1000</f>
        <v>2.04</v>
      </c>
      <c r="G16" s="162">
        <f ca="1">VLOOKUP($A16,'BC.115+740'!$B$13:$X$489,9,0)/1000</f>
        <v>0.04</v>
      </c>
      <c r="H16" s="162">
        <f ca="1">VLOOKUP($A16,'BC.115+740'!$B$13:$X$489,14,0)/1000</f>
        <v>1.99</v>
      </c>
      <c r="I16" s="162">
        <f ca="1">VLOOKUP($A16,'BC.115+740'!$B$13:$X$489,15,0)/1000</f>
        <v>-0.01</v>
      </c>
      <c r="J16" s="162">
        <f ca="1">VLOOKUP($A16,'BC.115+740'!$B$13:$X$489,20,0)/1000</f>
        <v>1.96</v>
      </c>
      <c r="K16" s="162">
        <f ca="1">VLOOKUP($A16,'BC.115+740'!$B$13:$X$489,21,0)/1000</f>
        <v>-0.04</v>
      </c>
      <c r="L16" s="160">
        <f t="shared" ca="1" si="0"/>
        <v>0</v>
      </c>
      <c r="M16" s="161">
        <f t="shared" ca="1" si="1"/>
        <v>0</v>
      </c>
      <c r="N16" s="160">
        <f t="shared" ca="1" si="2"/>
        <v>0</v>
      </c>
      <c r="O16" s="160"/>
      <c r="P16" s="173"/>
      <c r="Q16" s="172"/>
      <c r="R16" s="171"/>
      <c r="S16" s="170"/>
      <c r="T16" s="170"/>
    </row>
    <row r="17" spans="1:20">
      <c r="A17" s="164">
        <f>'BC.115+740'!B16</f>
        <v>45075</v>
      </c>
      <c r="B17" s="160">
        <v>3</v>
      </c>
      <c r="C17" s="162">
        <f ca="1">'BC.115+740'!M16/1000</f>
        <v>-0.01</v>
      </c>
      <c r="D17" s="162">
        <f ca="1">'BC.115+740'!AA16</f>
        <v>0</v>
      </c>
      <c r="E17" s="163">
        <f ca="1">'BC.115+740'!AB16</f>
        <v>0</v>
      </c>
      <c r="F17" s="162">
        <f ca="1">VLOOKUP($A17,'BC.115+740'!$B$13:$X$489,8,0)/1000</f>
        <v>2.04</v>
      </c>
      <c r="G17" s="162">
        <f ca="1">VLOOKUP($A17,'BC.115+740'!$B$13:$X$489,9,0)/1000</f>
        <v>0.04</v>
      </c>
      <c r="H17" s="162">
        <f ca="1">VLOOKUP($A17,'BC.115+740'!$B$13:$X$489,14,0)/1000</f>
        <v>1.99</v>
      </c>
      <c r="I17" s="162">
        <f ca="1">VLOOKUP($A17,'BC.115+740'!$B$13:$X$489,15,0)/1000</f>
        <v>-0.01</v>
      </c>
      <c r="J17" s="162">
        <f ca="1">VLOOKUP($A17,'BC.115+740'!$B$13:$X$489,20,0)/1000</f>
        <v>1.96</v>
      </c>
      <c r="K17" s="162">
        <f ca="1">VLOOKUP($A17,'BC.115+740'!$B$13:$X$489,21,0)/1000</f>
        <v>-0.04</v>
      </c>
      <c r="L17" s="160">
        <f t="shared" ca="1" si="0"/>
        <v>0</v>
      </c>
      <c r="M17" s="161">
        <f t="shared" ca="1" si="1"/>
        <v>0</v>
      </c>
      <c r="N17" s="160">
        <f t="shared" ca="1" si="2"/>
        <v>0</v>
      </c>
      <c r="O17" s="160"/>
      <c r="P17" s="173"/>
      <c r="Q17" s="172"/>
      <c r="R17" s="171"/>
      <c r="S17" s="170"/>
      <c r="T17" s="170"/>
    </row>
    <row r="18" spans="1:20">
      <c r="A18" s="164">
        <f>'BC.115+740'!B17</f>
        <v>45076</v>
      </c>
      <c r="B18" s="160">
        <v>4</v>
      </c>
      <c r="C18" s="162">
        <f ca="1">'BC.115+740'!M17/1000</f>
        <v>-0.01</v>
      </c>
      <c r="D18" s="162">
        <f ca="1">'BC.115+740'!AA17</f>
        <v>0</v>
      </c>
      <c r="E18" s="163">
        <f ca="1">'BC.115+740'!AB17</f>
        <v>0</v>
      </c>
      <c r="F18" s="162">
        <f ca="1">VLOOKUP($A18,'BC.115+740'!$B$13:$X$489,8,0)/1000</f>
        <v>2.04</v>
      </c>
      <c r="G18" s="162">
        <f ca="1">VLOOKUP($A18,'BC.115+740'!$B$13:$X$489,9,0)/1000</f>
        <v>0.04</v>
      </c>
      <c r="H18" s="162">
        <f ca="1">VLOOKUP($A18,'BC.115+740'!$B$13:$X$489,14,0)/1000</f>
        <v>1.99</v>
      </c>
      <c r="I18" s="162">
        <f ca="1">VLOOKUP($A18,'BC.115+740'!$B$13:$X$489,15,0)/1000</f>
        <v>-0.01</v>
      </c>
      <c r="J18" s="162">
        <f ca="1">VLOOKUP($A18,'BC.115+740'!$B$13:$X$489,20,0)/1000</f>
        <v>1.96</v>
      </c>
      <c r="K18" s="162">
        <f ca="1">VLOOKUP($A18,'BC.115+740'!$B$13:$X$489,21,0)/1000</f>
        <v>-0.04</v>
      </c>
      <c r="L18" s="160">
        <f t="shared" ca="1" si="0"/>
        <v>0</v>
      </c>
      <c r="M18" s="161">
        <f t="shared" ca="1" si="1"/>
        <v>0</v>
      </c>
      <c r="N18" s="160">
        <f t="shared" ca="1" si="2"/>
        <v>0</v>
      </c>
      <c r="O18" s="160"/>
      <c r="P18" s="173"/>
      <c r="Q18" s="172"/>
      <c r="R18" s="171"/>
      <c r="S18" s="170"/>
      <c r="T18" s="170"/>
    </row>
    <row r="19" spans="1:20">
      <c r="A19" s="164">
        <f>'BC.115+740'!B18</f>
        <v>45077</v>
      </c>
      <c r="B19" s="160">
        <v>5</v>
      </c>
      <c r="C19" s="162">
        <f ca="1">'BC.115+740'!M18/1000</f>
        <v>-0.01</v>
      </c>
      <c r="D19" s="162">
        <f ca="1">'BC.115+740'!AA18</f>
        <v>0</v>
      </c>
      <c r="E19" s="163">
        <f ca="1">'BC.115+740'!AB18</f>
        <v>0</v>
      </c>
      <c r="F19" s="162">
        <f ca="1">VLOOKUP($A19,'BC.115+740'!$B$13:$X$489,8,0)/1000</f>
        <v>2.04</v>
      </c>
      <c r="G19" s="162">
        <f ca="1">VLOOKUP($A19,'BC.115+740'!$B$13:$X$489,9,0)/1000</f>
        <v>0.04</v>
      </c>
      <c r="H19" s="162">
        <f ca="1">VLOOKUP($A19,'BC.115+740'!$B$13:$X$489,14,0)/1000</f>
        <v>1.99</v>
      </c>
      <c r="I19" s="162">
        <f ca="1">VLOOKUP($A19,'BC.115+740'!$B$13:$X$489,15,0)/1000</f>
        <v>-0.01</v>
      </c>
      <c r="J19" s="162">
        <f ca="1">VLOOKUP($A19,'BC.115+740'!$B$13:$X$489,20,0)/1000</f>
        <v>1.96</v>
      </c>
      <c r="K19" s="162">
        <f ca="1">VLOOKUP($A19,'BC.115+740'!$B$13:$X$489,21,0)/1000</f>
        <v>-0.04</v>
      </c>
      <c r="L19" s="160">
        <f t="shared" ca="1" si="0"/>
        <v>0</v>
      </c>
      <c r="M19" s="161">
        <f t="shared" ca="1" si="1"/>
        <v>0</v>
      </c>
      <c r="N19" s="160">
        <f t="shared" ca="1" si="2"/>
        <v>0</v>
      </c>
      <c r="O19" s="160"/>
      <c r="P19" s="173"/>
      <c r="Q19" s="172"/>
      <c r="R19" s="171"/>
      <c r="S19" s="170"/>
      <c r="T19" s="170"/>
    </row>
    <row r="20" spans="1:20">
      <c r="A20" s="164">
        <f>'BC.115+740'!B19</f>
        <v>45078</v>
      </c>
      <c r="B20" s="160">
        <v>6</v>
      </c>
      <c r="C20" s="162">
        <f ca="1">'BC.115+740'!M19/1000</f>
        <v>-0.01</v>
      </c>
      <c r="D20" s="162">
        <f ca="1">'BC.115+740'!AA19</f>
        <v>0</v>
      </c>
      <c r="E20" s="163">
        <f ca="1">'BC.115+740'!AB19</f>
        <v>0</v>
      </c>
      <c r="F20" s="162">
        <f ca="1">VLOOKUP($A20,'BC.115+740'!$B$13:$X$489,8,0)/1000</f>
        <v>2.04</v>
      </c>
      <c r="G20" s="162">
        <f ca="1">VLOOKUP($A20,'BC.115+740'!$B$13:$X$489,9,0)/1000</f>
        <v>0.04</v>
      </c>
      <c r="H20" s="162">
        <f ca="1">VLOOKUP($A20,'BC.115+740'!$B$13:$X$489,14,0)/1000</f>
        <v>1.99</v>
      </c>
      <c r="I20" s="162">
        <f ca="1">VLOOKUP($A20,'BC.115+740'!$B$13:$X$489,15,0)/1000</f>
        <v>-0.01</v>
      </c>
      <c r="J20" s="162">
        <f ca="1">VLOOKUP($A20,'BC.115+740'!$B$13:$X$489,20,0)/1000</f>
        <v>1.96</v>
      </c>
      <c r="K20" s="162">
        <f ca="1">VLOOKUP($A20,'BC.115+740'!$B$13:$X$489,21,0)/1000</f>
        <v>-0.04</v>
      </c>
      <c r="L20" s="160">
        <f t="shared" ca="1" si="0"/>
        <v>0</v>
      </c>
      <c r="M20" s="161">
        <f t="shared" ca="1" si="1"/>
        <v>0</v>
      </c>
      <c r="N20" s="160">
        <f t="shared" ca="1" si="2"/>
        <v>0</v>
      </c>
      <c r="O20" s="160"/>
      <c r="P20" s="173"/>
      <c r="Q20" s="172"/>
      <c r="R20" s="171"/>
      <c r="S20" s="170"/>
      <c r="T20" s="170"/>
    </row>
    <row r="21" spans="1:20">
      <c r="A21" s="164">
        <f>'BC.115+740'!B20</f>
        <v>45079</v>
      </c>
      <c r="B21" s="160">
        <v>7</v>
      </c>
      <c r="C21" s="162">
        <f ca="1">'BC.115+740'!M20/1000</f>
        <v>-0.01</v>
      </c>
      <c r="D21" s="162">
        <f ca="1">'BC.115+740'!AA20</f>
        <v>0</v>
      </c>
      <c r="E21" s="163">
        <f ca="1">'BC.115+740'!AB20</f>
        <v>0</v>
      </c>
      <c r="F21" s="162">
        <f ca="1">VLOOKUP($A21,'BC.115+740'!$B$13:$X$489,8,0)/1000</f>
        <v>2.04</v>
      </c>
      <c r="G21" s="162">
        <f ca="1">VLOOKUP($A21,'BC.115+740'!$B$13:$X$489,9,0)/1000</f>
        <v>0.04</v>
      </c>
      <c r="H21" s="162">
        <f ca="1">VLOOKUP($A21,'BC.115+740'!$B$13:$X$489,14,0)/1000</f>
        <v>1.99</v>
      </c>
      <c r="I21" s="162">
        <f ca="1">VLOOKUP($A21,'BC.115+740'!$B$13:$X$489,15,0)/1000</f>
        <v>-0.01</v>
      </c>
      <c r="J21" s="162">
        <f ca="1">VLOOKUP($A21,'BC.115+740'!$B$13:$X$489,20,0)/1000</f>
        <v>1.96</v>
      </c>
      <c r="K21" s="162">
        <f ca="1">VLOOKUP($A21,'BC.115+740'!$B$13:$X$489,21,0)/1000</f>
        <v>-0.04</v>
      </c>
      <c r="L21" s="160">
        <f t="shared" ca="1" si="0"/>
        <v>0</v>
      </c>
      <c r="M21" s="161">
        <f t="shared" ca="1" si="1"/>
        <v>0</v>
      </c>
      <c r="N21" s="160">
        <f t="shared" ca="1" si="2"/>
        <v>0</v>
      </c>
      <c r="O21" s="160"/>
      <c r="P21" s="173"/>
      <c r="Q21" s="172"/>
      <c r="R21" s="171"/>
      <c r="S21" s="170"/>
      <c r="T21" s="170"/>
    </row>
    <row r="22" spans="1:20">
      <c r="A22" s="164">
        <f>'BC.115+740'!B21</f>
        <v>45080</v>
      </c>
      <c r="B22" s="160">
        <v>8</v>
      </c>
      <c r="C22" s="162">
        <f ca="1">'BC.115+740'!M21/1000</f>
        <v>-0.01</v>
      </c>
      <c r="D22" s="162">
        <f ca="1">'BC.115+740'!AA21</f>
        <v>0</v>
      </c>
      <c r="E22" s="163">
        <f ca="1">'BC.115+740'!AB21</f>
        <v>0</v>
      </c>
      <c r="F22" s="162">
        <f ca="1">VLOOKUP($A22,'BC.115+740'!$B$13:$X$489,8,0)/1000</f>
        <v>2.04</v>
      </c>
      <c r="G22" s="162">
        <f ca="1">VLOOKUP($A22,'BC.115+740'!$B$13:$X$489,9,0)/1000</f>
        <v>0.04</v>
      </c>
      <c r="H22" s="162">
        <f ca="1">VLOOKUP($A22,'BC.115+740'!$B$13:$X$489,14,0)/1000</f>
        <v>1.99</v>
      </c>
      <c r="I22" s="162">
        <f ca="1">VLOOKUP($A22,'BC.115+740'!$B$13:$X$489,15,0)/1000</f>
        <v>-0.01</v>
      </c>
      <c r="J22" s="162">
        <f ca="1">VLOOKUP($A22,'BC.115+740'!$B$13:$X$489,20,0)/1000</f>
        <v>1.96</v>
      </c>
      <c r="K22" s="162">
        <f ca="1">VLOOKUP($A22,'BC.115+740'!$B$13:$X$489,21,0)/1000</f>
        <v>-0.04</v>
      </c>
      <c r="L22" s="160">
        <f t="shared" ca="1" si="0"/>
        <v>0</v>
      </c>
      <c r="M22" s="161">
        <f t="shared" ca="1" si="1"/>
        <v>0</v>
      </c>
      <c r="N22" s="160">
        <f t="shared" ca="1" si="2"/>
        <v>0</v>
      </c>
      <c r="O22" s="160"/>
      <c r="P22" s="173"/>
      <c r="Q22" s="172"/>
      <c r="R22" s="171"/>
      <c r="S22" s="170"/>
      <c r="T22" s="170"/>
    </row>
    <row r="23" spans="1:20">
      <c r="A23" s="164">
        <f>'BC.115+740'!B22</f>
        <v>45081</v>
      </c>
      <c r="B23" s="160">
        <v>9</v>
      </c>
      <c r="C23" s="162">
        <f ca="1">'BC.115+740'!M22/1000</f>
        <v>-0.01</v>
      </c>
      <c r="D23" s="162">
        <f ca="1">'BC.115+740'!AA22</f>
        <v>0</v>
      </c>
      <c r="E23" s="163">
        <f ca="1">'BC.115+740'!AB22</f>
        <v>0</v>
      </c>
      <c r="F23" s="162">
        <f ca="1">VLOOKUP($A23,'BC.115+740'!$B$13:$X$489,8,0)/1000</f>
        <v>2.04</v>
      </c>
      <c r="G23" s="162">
        <f ca="1">VLOOKUP($A23,'BC.115+740'!$B$13:$X$489,9,0)/1000</f>
        <v>0.04</v>
      </c>
      <c r="H23" s="162">
        <f ca="1">VLOOKUP($A23,'BC.115+740'!$B$13:$X$489,14,0)/1000</f>
        <v>1.99</v>
      </c>
      <c r="I23" s="162">
        <f ca="1">VLOOKUP($A23,'BC.115+740'!$B$13:$X$489,15,0)/1000</f>
        <v>-0.01</v>
      </c>
      <c r="J23" s="162">
        <f ca="1">VLOOKUP($A23,'BC.115+740'!$B$13:$X$489,20,0)/1000</f>
        <v>1.96</v>
      </c>
      <c r="K23" s="162">
        <f ca="1">VLOOKUP($A23,'BC.115+740'!$B$13:$X$489,21,0)/1000</f>
        <v>-0.04</v>
      </c>
      <c r="L23" s="160">
        <f t="shared" ca="1" si="0"/>
        <v>0</v>
      </c>
      <c r="M23" s="161">
        <f t="shared" ca="1" si="1"/>
        <v>0</v>
      </c>
      <c r="N23" s="160">
        <f t="shared" ca="1" si="2"/>
        <v>0</v>
      </c>
      <c r="O23" s="160"/>
      <c r="P23" s="173"/>
      <c r="Q23" s="172"/>
      <c r="R23" s="171"/>
      <c r="S23" s="170"/>
      <c r="T23" s="170"/>
    </row>
    <row r="24" spans="1:20">
      <c r="A24" s="164">
        <f>'BC.115+740'!B23</f>
        <v>45082</v>
      </c>
      <c r="B24" s="160">
        <v>10</v>
      </c>
      <c r="C24" s="162">
        <f ca="1">'BC.115+740'!M23/1000</f>
        <v>-0.01</v>
      </c>
      <c r="D24" s="162">
        <f ca="1">'BC.115+740'!AA23</f>
        <v>0</v>
      </c>
      <c r="E24" s="163">
        <f ca="1">'BC.115+740'!AB23</f>
        <v>0</v>
      </c>
      <c r="F24" s="162">
        <f ca="1">VLOOKUP($A24,'BC.115+740'!$B$13:$X$489,8,0)/1000</f>
        <v>2.04</v>
      </c>
      <c r="G24" s="162">
        <f ca="1">VLOOKUP($A24,'BC.115+740'!$B$13:$X$489,9,0)/1000</f>
        <v>0.04</v>
      </c>
      <c r="H24" s="162">
        <f ca="1">VLOOKUP($A24,'BC.115+740'!$B$13:$X$489,14,0)/1000</f>
        <v>1.99</v>
      </c>
      <c r="I24" s="162">
        <f ca="1">VLOOKUP($A24,'BC.115+740'!$B$13:$X$489,15,0)/1000</f>
        <v>-0.01</v>
      </c>
      <c r="J24" s="162">
        <f ca="1">VLOOKUP($A24,'BC.115+740'!$B$13:$X$489,20,0)/1000</f>
        <v>1.96</v>
      </c>
      <c r="K24" s="162">
        <f ca="1">VLOOKUP($A24,'BC.115+740'!$B$13:$X$489,21,0)/1000</f>
        <v>-0.04</v>
      </c>
      <c r="L24" s="160">
        <f t="shared" ca="1" si="0"/>
        <v>0</v>
      </c>
      <c r="M24" s="161">
        <f t="shared" ca="1" si="1"/>
        <v>0</v>
      </c>
      <c r="N24" s="160">
        <f t="shared" ca="1" si="2"/>
        <v>0</v>
      </c>
      <c r="O24" s="160"/>
      <c r="P24" s="173"/>
      <c r="Q24" s="172"/>
      <c r="R24" s="171"/>
      <c r="S24" s="170"/>
      <c r="T24" s="170"/>
    </row>
    <row r="25" spans="1:20">
      <c r="A25" s="164">
        <f>'BC.115+740'!B24</f>
        <v>45083</v>
      </c>
      <c r="B25" s="160">
        <v>11</v>
      </c>
      <c r="C25" s="162">
        <f ca="1">'BC.115+740'!M24/1000</f>
        <v>-0.01</v>
      </c>
      <c r="D25" s="162">
        <f ca="1">'BC.115+740'!AA24</f>
        <v>0</v>
      </c>
      <c r="E25" s="163">
        <f ca="1">'BC.115+740'!AB24</f>
        <v>0</v>
      </c>
      <c r="F25" s="162">
        <f ca="1">VLOOKUP($A25,'BC.115+740'!$B$13:$X$489,8,0)/1000</f>
        <v>2.04</v>
      </c>
      <c r="G25" s="162">
        <f ca="1">VLOOKUP($A25,'BC.115+740'!$B$13:$X$489,9,0)/1000</f>
        <v>0.04</v>
      </c>
      <c r="H25" s="162">
        <f ca="1">VLOOKUP($A25,'BC.115+740'!$B$13:$X$489,14,0)/1000</f>
        <v>1.99</v>
      </c>
      <c r="I25" s="162">
        <f ca="1">VLOOKUP($A25,'BC.115+740'!$B$13:$X$489,15,0)/1000</f>
        <v>-0.01</v>
      </c>
      <c r="J25" s="162">
        <f ca="1">VLOOKUP($A25,'BC.115+740'!$B$13:$X$489,20,0)/1000</f>
        <v>1.96</v>
      </c>
      <c r="K25" s="162">
        <f ca="1">VLOOKUP($A25,'BC.115+740'!$B$13:$X$489,21,0)/1000</f>
        <v>-0.04</v>
      </c>
      <c r="L25" s="160">
        <f t="shared" ca="1" si="0"/>
        <v>0</v>
      </c>
      <c r="M25" s="161">
        <f t="shared" ca="1" si="1"/>
        <v>0</v>
      </c>
      <c r="N25" s="160">
        <f t="shared" ca="1" si="2"/>
        <v>0</v>
      </c>
      <c r="O25" s="160"/>
      <c r="P25" s="173"/>
      <c r="Q25" s="172"/>
      <c r="R25" s="171"/>
      <c r="S25" s="170"/>
      <c r="T25" s="170"/>
    </row>
    <row r="26" spans="1:20">
      <c r="A26" s="164">
        <f>'BC.115+740'!B25</f>
        <v>45084</v>
      </c>
      <c r="B26" s="160">
        <v>12</v>
      </c>
      <c r="C26" s="162">
        <f ca="1">'BC.115+740'!M25/1000</f>
        <v>-0.01</v>
      </c>
      <c r="D26" s="162">
        <f ca="1">'BC.115+740'!AA25</f>
        <v>0</v>
      </c>
      <c r="E26" s="163">
        <f ca="1">'BC.115+740'!AB25</f>
        <v>0</v>
      </c>
      <c r="F26" s="162">
        <f ca="1">VLOOKUP($A26,'BC.115+740'!$B$13:$X$489,8,0)/1000</f>
        <v>2.04</v>
      </c>
      <c r="G26" s="162">
        <f ca="1">VLOOKUP($A26,'BC.115+740'!$B$13:$X$489,9,0)/1000</f>
        <v>0.04</v>
      </c>
      <c r="H26" s="162">
        <f ca="1">VLOOKUP($A26,'BC.115+740'!$B$13:$X$489,14,0)/1000</f>
        <v>1.99</v>
      </c>
      <c r="I26" s="162">
        <f ca="1">VLOOKUP($A26,'BC.115+740'!$B$13:$X$489,15,0)/1000</f>
        <v>-0.01</v>
      </c>
      <c r="J26" s="162">
        <f ca="1">VLOOKUP($A26,'BC.115+740'!$B$13:$X$489,20,0)/1000</f>
        <v>1.96</v>
      </c>
      <c r="K26" s="162">
        <f ca="1">VLOOKUP($A26,'BC.115+740'!$B$13:$X$489,21,0)/1000</f>
        <v>-0.04</v>
      </c>
      <c r="L26" s="160">
        <f t="shared" ca="1" si="0"/>
        <v>0</v>
      </c>
      <c r="M26" s="161">
        <f t="shared" ca="1" si="1"/>
        <v>0</v>
      </c>
      <c r="N26" s="160">
        <f t="shared" ca="1" si="2"/>
        <v>0</v>
      </c>
      <c r="O26" s="160"/>
      <c r="P26" s="173"/>
      <c r="Q26" s="172"/>
      <c r="R26" s="171"/>
      <c r="S26" s="170"/>
      <c r="T26" s="170"/>
    </row>
    <row r="27" spans="1:20">
      <c r="A27" s="164">
        <f>'BC.115+740'!B26</f>
        <v>45085</v>
      </c>
      <c r="B27" s="160">
        <v>13</v>
      </c>
      <c r="C27" s="162">
        <f ca="1">'BC.115+740'!M26/1000</f>
        <v>9.2999999999999999E-2</v>
      </c>
      <c r="D27" s="162">
        <f ca="1">'BC.115+740'!AA26</f>
        <v>0.13100000000000001</v>
      </c>
      <c r="E27" s="163">
        <f ca="1">'BC.115+740'!AB26</f>
        <v>9.6000000000000002E-2</v>
      </c>
      <c r="F27" s="162">
        <f ca="1">VLOOKUP($A27,'BC.115+740'!$B$13:$X$489,8,0)/1000</f>
        <v>2.0329999999999999</v>
      </c>
      <c r="G27" s="162">
        <f ca="1">VLOOKUP($A27,'BC.115+740'!$B$13:$X$489,9,0)/1000</f>
        <v>3.3000000000000002E-2</v>
      </c>
      <c r="H27" s="162">
        <f ca="1">VLOOKUP($A27,'BC.115+740'!$B$13:$X$489,14,0)/1000</f>
        <v>1.9830000000000001</v>
      </c>
      <c r="I27" s="162">
        <f ca="1">VLOOKUP($A27,'BC.115+740'!$B$13:$X$489,15,0)/1000</f>
        <v>-1.7000000000000001E-2</v>
      </c>
      <c r="J27" s="162">
        <f ca="1">VLOOKUP($A27,'BC.115+740'!$B$13:$X$489,20,0)/1000</f>
        <v>1.9510000000000001</v>
      </c>
      <c r="K27" s="162">
        <f ca="1">VLOOKUP($A27,'BC.115+740'!$B$13:$X$489,21,0)/1000</f>
        <v>-4.9000000000000002E-2</v>
      </c>
      <c r="L27" s="160">
        <f t="shared" ca="1" si="0"/>
        <v>-6.9999999999999991</v>
      </c>
      <c r="M27" s="161">
        <f t="shared" ca="1" si="1"/>
        <v>-7.0000000000000009</v>
      </c>
      <c r="N27" s="160">
        <f t="shared" ca="1" si="2"/>
        <v>-9.0000000000000018</v>
      </c>
      <c r="O27" s="160"/>
      <c r="P27" s="173"/>
      <c r="Q27" s="172"/>
      <c r="R27" s="171"/>
      <c r="S27" s="170"/>
      <c r="T27" s="170"/>
    </row>
    <row r="28" spans="1:20">
      <c r="A28" s="164">
        <f>'BC.115+740'!B27</f>
        <v>45086</v>
      </c>
      <c r="B28" s="160">
        <v>14</v>
      </c>
      <c r="C28" s="162">
        <f ca="1">'BC.115+740'!M27/1000</f>
        <v>8.8999999999999996E-2</v>
      </c>
      <c r="D28" s="162">
        <f ca="1">'BC.115+740'!AA27</f>
        <v>0.13100000000000001</v>
      </c>
      <c r="E28" s="163">
        <f ca="1">'BC.115+740'!AB27</f>
        <v>8.7999999999999995E-2</v>
      </c>
      <c r="F28" s="162">
        <f ca="1">VLOOKUP($A28,'BC.115+740'!$B$13:$X$489,8,0)/1000</f>
        <v>2.0270000000000001</v>
      </c>
      <c r="G28" s="162">
        <f ca="1">VLOOKUP($A28,'BC.115+740'!$B$13:$X$489,9,0)/1000</f>
        <v>2.7E-2</v>
      </c>
      <c r="H28" s="162">
        <f ca="1">VLOOKUP($A28,'BC.115+740'!$B$13:$X$489,14,0)/1000</f>
        <v>1.9790000000000001</v>
      </c>
      <c r="I28" s="162">
        <f ca="1">VLOOKUP($A28,'BC.115+740'!$B$13:$X$489,15,0)/1000</f>
        <v>-2.1000000000000001E-2</v>
      </c>
      <c r="J28" s="162">
        <f ca="1">VLOOKUP($A28,'BC.115+740'!$B$13:$X$489,20,0)/1000</f>
        <v>1.9450000000000001</v>
      </c>
      <c r="K28" s="162">
        <f ca="1">VLOOKUP($A28,'BC.115+740'!$B$13:$X$489,21,0)/1000</f>
        <v>-5.5E-2</v>
      </c>
      <c r="L28" s="160">
        <f t="shared" ca="1" si="0"/>
        <v>-13.000000000000002</v>
      </c>
      <c r="M28" s="161">
        <f t="shared" ca="1" si="1"/>
        <v>-11.000000000000002</v>
      </c>
      <c r="N28" s="160">
        <f t="shared" ca="1" si="2"/>
        <v>-15</v>
      </c>
      <c r="O28" s="160"/>
      <c r="P28" s="173"/>
      <c r="Q28" s="172"/>
      <c r="R28" s="171"/>
      <c r="S28" s="170"/>
      <c r="T28" s="170"/>
    </row>
    <row r="29" spans="1:20">
      <c r="A29" s="164">
        <f>'BC.115+740'!B28</f>
        <v>45087</v>
      </c>
      <c r="B29" s="160">
        <v>15</v>
      </c>
      <c r="C29" s="162">
        <f ca="1">'BC.115+740'!M28/1000</f>
        <v>8.6999999999999994E-2</v>
      </c>
      <c r="D29" s="162">
        <f ca="1">'BC.115+740'!AA28</f>
        <v>0.13100000000000001</v>
      </c>
      <c r="E29" s="163">
        <f ca="1">'BC.115+740'!AB28</f>
        <v>8.4000000000000005E-2</v>
      </c>
      <c r="F29" s="162">
        <f ca="1">VLOOKUP($A29,'BC.115+740'!$B$13:$X$489,8,0)/1000</f>
        <v>2.024</v>
      </c>
      <c r="G29" s="162">
        <f ca="1">VLOOKUP($A29,'BC.115+740'!$B$13:$X$489,9,0)/1000</f>
        <v>2.4E-2</v>
      </c>
      <c r="H29" s="162">
        <f ca="1">VLOOKUP($A29,'BC.115+740'!$B$13:$X$489,14,0)/1000</f>
        <v>1.9770000000000001</v>
      </c>
      <c r="I29" s="162">
        <f ca="1">VLOOKUP($A29,'BC.115+740'!$B$13:$X$489,15,0)/1000</f>
        <v>-2.3E-2</v>
      </c>
      <c r="J29" s="162">
        <f ca="1">VLOOKUP($A29,'BC.115+740'!$B$13:$X$489,20,0)/1000</f>
        <v>1.9410000000000001</v>
      </c>
      <c r="K29" s="162">
        <f ca="1">VLOOKUP($A29,'BC.115+740'!$B$13:$X$489,21,0)/1000</f>
        <v>-5.8999999999999997E-2</v>
      </c>
      <c r="L29" s="160">
        <f t="shared" ca="1" si="0"/>
        <v>-16</v>
      </c>
      <c r="M29" s="161">
        <f t="shared" ca="1" si="1"/>
        <v>-13</v>
      </c>
      <c r="N29" s="160">
        <f t="shared" ca="1" si="2"/>
        <v>-18.999999999999996</v>
      </c>
      <c r="O29" s="160"/>
      <c r="P29" s="173"/>
      <c r="Q29" s="172"/>
      <c r="R29" s="171"/>
      <c r="S29" s="170"/>
      <c r="T29" s="170"/>
    </row>
    <row r="30" spans="1:20">
      <c r="A30" s="164">
        <f>'BC.115+740'!B29</f>
        <v>45088</v>
      </c>
      <c r="B30" s="160">
        <v>16</v>
      </c>
      <c r="C30" s="162">
        <f ca="1">'BC.115+740'!M29/1000</f>
        <v>8.5999999999999993E-2</v>
      </c>
      <c r="D30" s="162">
        <f ca="1">'BC.115+740'!AA29</f>
        <v>0.13100000000000001</v>
      </c>
      <c r="E30" s="163">
        <f ca="1">'BC.115+740'!AB29</f>
        <v>8.2000000000000003E-2</v>
      </c>
      <c r="F30" s="162">
        <f ca="1">VLOOKUP($A30,'BC.115+740'!$B$13:$X$489,8,0)/1000</f>
        <v>2.024</v>
      </c>
      <c r="G30" s="162">
        <f ca="1">VLOOKUP($A30,'BC.115+740'!$B$13:$X$489,9,0)/1000</f>
        <v>2.4E-2</v>
      </c>
      <c r="H30" s="162">
        <f ca="1">VLOOKUP($A30,'BC.115+740'!$B$13:$X$489,14,0)/1000</f>
        <v>1.976</v>
      </c>
      <c r="I30" s="162">
        <f ca="1">VLOOKUP($A30,'BC.115+740'!$B$13:$X$489,15,0)/1000</f>
        <v>-2.4E-2</v>
      </c>
      <c r="J30" s="162">
        <f ca="1">VLOOKUP($A30,'BC.115+740'!$B$13:$X$489,20,0)/1000</f>
        <v>1.9410000000000001</v>
      </c>
      <c r="K30" s="162">
        <f ca="1">VLOOKUP($A30,'BC.115+740'!$B$13:$X$489,21,0)/1000</f>
        <v>-5.8999999999999997E-2</v>
      </c>
      <c r="L30" s="160">
        <f t="shared" ca="1" si="0"/>
        <v>-16</v>
      </c>
      <c r="M30" s="161">
        <f t="shared" ca="1" si="1"/>
        <v>-14</v>
      </c>
      <c r="N30" s="160">
        <f t="shared" ca="1" si="2"/>
        <v>-18.999999999999996</v>
      </c>
      <c r="O30" s="160"/>
      <c r="P30" s="173"/>
      <c r="Q30" s="172"/>
      <c r="R30" s="171"/>
      <c r="S30" s="170"/>
      <c r="T30" s="170"/>
    </row>
    <row r="31" spans="1:20">
      <c r="A31" s="164">
        <f>'BC.115+740'!B30</f>
        <v>45089</v>
      </c>
      <c r="B31" s="160">
        <v>17</v>
      </c>
      <c r="C31" s="162">
        <f ca="1">'BC.115+740'!M30/1000</f>
        <v>0.38</v>
      </c>
      <c r="D31" s="162">
        <f ca="1">'BC.115+740'!AA30</f>
        <v>0.42399999999999999</v>
      </c>
      <c r="E31" s="163">
        <f ca="1">'BC.115+740'!AB30</f>
        <v>0.37</v>
      </c>
      <c r="F31" s="162">
        <f ca="1">VLOOKUP($A31,'BC.115+740'!$B$13:$X$489,8,0)/1000</f>
        <v>2.016</v>
      </c>
      <c r="G31" s="162">
        <f ca="1">VLOOKUP($A31,'BC.115+740'!$B$13:$X$489,9,0)/1000</f>
        <v>1.6E-2</v>
      </c>
      <c r="H31" s="162">
        <f ca="1">VLOOKUP($A31,'BC.115+740'!$B$13:$X$489,14,0)/1000</f>
        <v>1.97</v>
      </c>
      <c r="I31" s="162">
        <f ca="1">VLOOKUP($A31,'BC.115+740'!$B$13:$X$489,15,0)/1000</f>
        <v>-0.03</v>
      </c>
      <c r="J31" s="162">
        <f ca="1">VLOOKUP($A31,'BC.115+740'!$B$13:$X$489,20,0)/1000</f>
        <v>1.9339999999999999</v>
      </c>
      <c r="K31" s="162">
        <f ca="1">VLOOKUP($A31,'BC.115+740'!$B$13:$X$489,21,0)/1000</f>
        <v>-6.6000000000000003E-2</v>
      </c>
      <c r="L31" s="160">
        <f t="shared" ca="1" si="0"/>
        <v>-24</v>
      </c>
      <c r="M31" s="161">
        <f t="shared" ca="1" si="1"/>
        <v>-19.999999999999996</v>
      </c>
      <c r="N31" s="160">
        <f t="shared" ca="1" si="2"/>
        <v>-26.000000000000004</v>
      </c>
      <c r="O31" s="160"/>
      <c r="P31" s="173"/>
      <c r="Q31" s="172"/>
      <c r="R31" s="171"/>
      <c r="S31" s="170"/>
      <c r="T31" s="170"/>
    </row>
    <row r="32" spans="1:20">
      <c r="A32" s="164">
        <f>'BC.115+740'!B31</f>
        <v>45090</v>
      </c>
      <c r="B32" s="160">
        <v>18</v>
      </c>
      <c r="C32" s="162">
        <f ca="1">'BC.115+740'!M31/1000</f>
        <v>0.373</v>
      </c>
      <c r="D32" s="162">
        <f ca="1">'BC.115+740'!AA31</f>
        <v>0.42399999999999999</v>
      </c>
      <c r="E32" s="163">
        <f ca="1">'BC.115+740'!AB31</f>
        <v>0.35599999999999998</v>
      </c>
      <c r="F32" s="162">
        <f ca="1">VLOOKUP($A32,'BC.115+740'!$B$13:$X$489,8,0)/1000</f>
        <v>2.0070000000000001</v>
      </c>
      <c r="G32" s="162">
        <f ca="1">VLOOKUP($A32,'BC.115+740'!$B$13:$X$489,9,0)/1000</f>
        <v>7.0000000000000001E-3</v>
      </c>
      <c r="H32" s="162">
        <f ca="1">VLOOKUP($A32,'BC.115+740'!$B$13:$X$489,14,0)/1000</f>
        <v>1.9630000000000001</v>
      </c>
      <c r="I32" s="162">
        <f ca="1">VLOOKUP($A32,'BC.115+740'!$B$13:$X$489,15,0)/1000</f>
        <v>-3.6999999999999998E-2</v>
      </c>
      <c r="J32" s="162">
        <f ca="1">VLOOKUP($A32,'BC.115+740'!$B$13:$X$489,20,0)/1000</f>
        <v>1.9279999999999999</v>
      </c>
      <c r="K32" s="162">
        <f ca="1">VLOOKUP($A32,'BC.115+740'!$B$13:$X$489,21,0)/1000</f>
        <v>-7.1999999999999995E-2</v>
      </c>
      <c r="L32" s="160">
        <f t="shared" ca="1" si="0"/>
        <v>-33</v>
      </c>
      <c r="M32" s="161">
        <f t="shared" ca="1" si="1"/>
        <v>-26.999999999999996</v>
      </c>
      <c r="N32" s="160">
        <f t="shared" ca="1" si="2"/>
        <v>-31.999999999999993</v>
      </c>
      <c r="O32" s="160"/>
      <c r="P32" s="173"/>
      <c r="Q32" s="172"/>
      <c r="R32" s="171"/>
      <c r="S32" s="170"/>
      <c r="T32" s="170"/>
    </row>
    <row r="33" spans="1:20">
      <c r="A33" s="164">
        <f>'BC.115+740'!B32</f>
        <v>45091</v>
      </c>
      <c r="B33" s="160">
        <v>19</v>
      </c>
      <c r="C33" s="162">
        <f ca="1">'BC.115+740'!M32/1000</f>
        <v>0.36399999999999999</v>
      </c>
      <c r="D33" s="162">
        <f ca="1">'BC.115+740'!AA32</f>
        <v>0.42399999999999999</v>
      </c>
      <c r="E33" s="163">
        <f ca="1">'BC.115+740'!AB32</f>
        <v>0.33800000000000002</v>
      </c>
      <c r="F33" s="162">
        <f ca="1">VLOOKUP($A33,'BC.115+740'!$B$13:$X$489,8,0)/1000</f>
        <v>2</v>
      </c>
      <c r="G33" s="162">
        <f ca="1">VLOOKUP($A33,'BC.115+740'!$B$13:$X$489,9,0)/1000</f>
        <v>0</v>
      </c>
      <c r="H33" s="162">
        <f ca="1">VLOOKUP($A33,'BC.115+740'!$B$13:$X$489,14,0)/1000</f>
        <v>1.954</v>
      </c>
      <c r="I33" s="162">
        <f ca="1">VLOOKUP($A33,'BC.115+740'!$B$13:$X$489,15,0)/1000</f>
        <v>-4.5999999999999999E-2</v>
      </c>
      <c r="J33" s="162">
        <f ca="1">VLOOKUP($A33,'BC.115+740'!$B$13:$X$489,20,0)/1000</f>
        <v>1.921</v>
      </c>
      <c r="K33" s="162">
        <f ca="1">VLOOKUP($A33,'BC.115+740'!$B$13:$X$489,21,0)/1000</f>
        <v>-7.9000000000000001E-2</v>
      </c>
      <c r="L33" s="160">
        <f t="shared" ca="1" si="0"/>
        <v>-40</v>
      </c>
      <c r="M33" s="161">
        <f t="shared" ca="1" si="1"/>
        <v>-36</v>
      </c>
      <c r="N33" s="160">
        <f t="shared" ca="1" si="2"/>
        <v>-39</v>
      </c>
      <c r="O33" s="160"/>
      <c r="P33" s="173"/>
      <c r="Q33" s="172"/>
      <c r="R33" s="171"/>
      <c r="S33" s="170"/>
      <c r="T33" s="170"/>
    </row>
    <row r="34" spans="1:20">
      <c r="A34" s="164">
        <f>'BC.115+740'!B33</f>
        <v>45092</v>
      </c>
      <c r="B34" s="160">
        <v>20</v>
      </c>
      <c r="C34" s="162">
        <f ca="1">'BC.115+740'!M33/1000</f>
        <v>0.35599999999999998</v>
      </c>
      <c r="D34" s="162">
        <f ca="1">'BC.115+740'!AA33</f>
        <v>0.42399999999999999</v>
      </c>
      <c r="E34" s="163">
        <f ca="1">'BC.115+740'!AB33</f>
        <v>0.32200000000000001</v>
      </c>
      <c r="F34" s="162">
        <f ca="1">VLOOKUP($A34,'BC.115+740'!$B$13:$X$489,8,0)/1000</f>
        <v>1.9910000000000001</v>
      </c>
      <c r="G34" s="162">
        <f ca="1">VLOOKUP($A34,'BC.115+740'!$B$13:$X$489,9,0)/1000</f>
        <v>-8.9999999999999993E-3</v>
      </c>
      <c r="H34" s="162">
        <f ca="1">VLOOKUP($A34,'BC.115+740'!$B$13:$X$489,14,0)/1000</f>
        <v>1.946</v>
      </c>
      <c r="I34" s="162">
        <f ca="1">VLOOKUP($A34,'BC.115+740'!$B$13:$X$489,15,0)/1000</f>
        <v>-5.3999999999999999E-2</v>
      </c>
      <c r="J34" s="162">
        <f ca="1">VLOOKUP($A34,'BC.115+740'!$B$13:$X$489,20,0)/1000</f>
        <v>1.913</v>
      </c>
      <c r="K34" s="162">
        <f ca="1">VLOOKUP($A34,'BC.115+740'!$B$13:$X$489,21,0)/1000</f>
        <v>-8.6999999999999994E-2</v>
      </c>
      <c r="L34" s="160">
        <f t="shared" ca="1" si="0"/>
        <v>-49</v>
      </c>
      <c r="M34" s="161">
        <f t="shared" ca="1" si="1"/>
        <v>-44</v>
      </c>
      <c r="N34" s="160">
        <f t="shared" ca="1" si="2"/>
        <v>-46.999999999999993</v>
      </c>
      <c r="O34" s="160"/>
      <c r="P34" s="173"/>
      <c r="Q34" s="172"/>
      <c r="R34" s="171"/>
      <c r="S34" s="170"/>
      <c r="T34" s="170"/>
    </row>
    <row r="35" spans="1:20">
      <c r="A35" s="164">
        <f>'BC.115+740'!B34</f>
        <v>45093</v>
      </c>
      <c r="B35" s="160">
        <v>21</v>
      </c>
      <c r="C35" s="162">
        <f ca="1">'BC.115+740'!M34/1000</f>
        <v>0.64800000000000002</v>
      </c>
      <c r="D35" s="162">
        <f ca="1">'BC.115+740'!AA34</f>
        <v>0.71499999999999997</v>
      </c>
      <c r="E35" s="163">
        <f ca="1">'BC.115+740'!AB34</f>
        <v>0.60599999999999998</v>
      </c>
      <c r="F35" s="162">
        <f ca="1">VLOOKUP($A35,'BC.115+740'!$B$13:$X$489,8,0)/1000</f>
        <v>1.982</v>
      </c>
      <c r="G35" s="162">
        <f ca="1">VLOOKUP($A35,'BC.115+740'!$B$13:$X$489,9,0)/1000</f>
        <v>-1.7999999999999999E-2</v>
      </c>
      <c r="H35" s="162">
        <f ca="1">VLOOKUP($A35,'BC.115+740'!$B$13:$X$489,14,0)/1000</f>
        <v>1.9379999999999999</v>
      </c>
      <c r="I35" s="162">
        <f ca="1">VLOOKUP($A35,'BC.115+740'!$B$13:$X$489,15,0)/1000</f>
        <v>-6.2E-2</v>
      </c>
      <c r="J35" s="162">
        <f ca="1">VLOOKUP($A35,'BC.115+740'!$B$13:$X$489,20,0)/1000</f>
        <v>1.9039999999999999</v>
      </c>
      <c r="K35" s="162">
        <f ca="1">VLOOKUP($A35,'BC.115+740'!$B$13:$X$489,21,0)/1000</f>
        <v>-9.6000000000000002E-2</v>
      </c>
      <c r="L35" s="160">
        <f t="shared" ca="1" si="0"/>
        <v>-57.999999999999993</v>
      </c>
      <c r="M35" s="161">
        <f t="shared" ca="1" si="1"/>
        <v>-52</v>
      </c>
      <c r="N35" s="160">
        <f t="shared" ca="1" si="2"/>
        <v>-56</v>
      </c>
      <c r="O35" s="160"/>
      <c r="P35" s="173"/>
      <c r="Q35" s="172"/>
      <c r="R35" s="171"/>
      <c r="S35" s="170"/>
      <c r="T35" s="170"/>
    </row>
    <row r="36" spans="1:20" ht="13.5" customHeight="1">
      <c r="A36" s="164">
        <f>'BC.115+740'!B35</f>
        <v>45094</v>
      </c>
      <c r="B36" s="160">
        <v>22</v>
      </c>
      <c r="C36" s="162">
        <f ca="1">'BC.115+740'!M35/1000</f>
        <v>0.64300000000000002</v>
      </c>
      <c r="D36" s="162">
        <f ca="1">'BC.115+740'!AA35</f>
        <v>0.71499999999999997</v>
      </c>
      <c r="E36" s="163">
        <f ca="1">'BC.115+740'!AB35</f>
        <v>0.59599999999999997</v>
      </c>
      <c r="F36" s="162">
        <f ca="1">VLOOKUP($A36,'BC.115+740'!$B$13:$X$489,8,0)/1000</f>
        <v>1.98</v>
      </c>
      <c r="G36" s="162">
        <f ca="1">VLOOKUP($A36,'BC.115+740'!$B$13:$X$489,9,0)/1000</f>
        <v>-0.02</v>
      </c>
      <c r="H36" s="162">
        <f ca="1">VLOOKUP($A36,'BC.115+740'!$B$13:$X$489,14,0)/1000</f>
        <v>1.9330000000000001</v>
      </c>
      <c r="I36" s="162">
        <f ca="1">VLOOKUP($A36,'BC.115+740'!$B$13:$X$489,15,0)/1000</f>
        <v>-6.7000000000000004E-2</v>
      </c>
      <c r="J36" s="162">
        <f ca="1">VLOOKUP($A36,'BC.115+740'!$B$13:$X$489,20,0)/1000</f>
        <v>1.9019999999999999</v>
      </c>
      <c r="K36" s="162">
        <f ca="1">VLOOKUP($A36,'BC.115+740'!$B$13:$X$489,21,0)/1000</f>
        <v>-9.8000000000000004E-2</v>
      </c>
      <c r="L36" s="160">
        <f t="shared" ca="1" si="0"/>
        <v>-60</v>
      </c>
      <c r="M36" s="161">
        <f t="shared" ca="1" si="1"/>
        <v>-57</v>
      </c>
      <c r="N36" s="160">
        <f t="shared" ca="1" si="2"/>
        <v>-58</v>
      </c>
      <c r="O36" s="160"/>
      <c r="P36" s="173"/>
      <c r="Q36" s="172"/>
      <c r="R36" s="171"/>
      <c r="S36" s="170"/>
      <c r="T36" s="170"/>
    </row>
    <row r="37" spans="1:20">
      <c r="A37" s="164">
        <f>'BC.115+740'!B36</f>
        <v>45095</v>
      </c>
      <c r="B37" s="160">
        <v>23</v>
      </c>
      <c r="C37" s="162">
        <f ca="1">'BC.115+740'!M36/1000</f>
        <v>0.63800000000000001</v>
      </c>
      <c r="D37" s="162">
        <f ca="1">'BC.115+740'!AA36</f>
        <v>0.71499999999999997</v>
      </c>
      <c r="E37" s="163">
        <f ca="1">'BC.115+740'!AB36</f>
        <v>0.58599999999999997</v>
      </c>
      <c r="F37" s="162">
        <f ca="1">VLOOKUP($A37,'BC.115+740'!$B$13:$X$489,8,0)/1000</f>
        <v>1.976</v>
      </c>
      <c r="G37" s="162">
        <f ca="1">VLOOKUP($A37,'BC.115+740'!$B$13:$X$489,9,0)/1000</f>
        <v>-2.4E-2</v>
      </c>
      <c r="H37" s="162">
        <f ca="1">VLOOKUP($A37,'BC.115+740'!$B$13:$X$489,14,0)/1000</f>
        <v>1.9279999999999999</v>
      </c>
      <c r="I37" s="162">
        <f ca="1">VLOOKUP($A37,'BC.115+740'!$B$13:$X$489,15,0)/1000</f>
        <v>-7.1999999999999995E-2</v>
      </c>
      <c r="J37" s="162">
        <f ca="1">VLOOKUP($A37,'BC.115+740'!$B$13:$X$489,20,0)/1000</f>
        <v>1.9</v>
      </c>
      <c r="K37" s="162">
        <f ca="1">VLOOKUP($A37,'BC.115+740'!$B$13:$X$489,21,0)/1000</f>
        <v>-0.1</v>
      </c>
      <c r="L37" s="160">
        <f t="shared" ca="1" si="0"/>
        <v>-64</v>
      </c>
      <c r="M37" s="161">
        <f t="shared" ca="1" si="1"/>
        <v>-61.999999999999993</v>
      </c>
      <c r="N37" s="160">
        <f t="shared" ca="1" si="2"/>
        <v>-60.000000000000007</v>
      </c>
      <c r="O37" s="160"/>
      <c r="P37" s="173"/>
      <c r="Q37" s="172"/>
      <c r="R37" s="171"/>
      <c r="S37" s="170"/>
      <c r="T37" s="170"/>
    </row>
    <row r="38" spans="1:20">
      <c r="A38" s="164">
        <f>'BC.115+740'!B37</f>
        <v>45096</v>
      </c>
      <c r="B38" s="160">
        <v>24</v>
      </c>
      <c r="C38" s="162">
        <f ca="1">'BC.115+740'!M37/1000</f>
        <v>0.63300000000000001</v>
      </c>
      <c r="D38" s="162">
        <f ca="1">'BC.115+740'!AA37</f>
        <v>0.71499999999999997</v>
      </c>
      <c r="E38" s="163">
        <f ca="1">'BC.115+740'!AB37</f>
        <v>0.57599999999999996</v>
      </c>
      <c r="F38" s="162">
        <f ca="1">VLOOKUP($A38,'BC.115+740'!$B$13:$X$489,8,0)/1000</f>
        <v>1.972</v>
      </c>
      <c r="G38" s="162">
        <f ca="1">VLOOKUP($A38,'BC.115+740'!$B$13:$X$489,9,0)/1000</f>
        <v>-2.8000000000000001E-2</v>
      </c>
      <c r="H38" s="162">
        <f ca="1">VLOOKUP($A38,'BC.115+740'!$B$13:$X$489,14,0)/1000</f>
        <v>1.923</v>
      </c>
      <c r="I38" s="162">
        <f ca="1">VLOOKUP($A38,'BC.115+740'!$B$13:$X$489,15,0)/1000</f>
        <v>-7.6999999999999999E-2</v>
      </c>
      <c r="J38" s="162">
        <f ca="1">VLOOKUP($A38,'BC.115+740'!$B$13:$X$489,20,0)/1000</f>
        <v>1.895</v>
      </c>
      <c r="K38" s="162">
        <f ca="1">VLOOKUP($A38,'BC.115+740'!$B$13:$X$489,21,0)/1000</f>
        <v>-0.105</v>
      </c>
      <c r="L38" s="160">
        <f t="shared" ca="1" si="0"/>
        <v>-68</v>
      </c>
      <c r="M38" s="161">
        <f t="shared" ca="1" si="1"/>
        <v>-67</v>
      </c>
      <c r="N38" s="160">
        <f t="shared" ca="1" si="2"/>
        <v>-65</v>
      </c>
      <c r="O38" s="160"/>
      <c r="P38" s="173"/>
      <c r="Q38" s="172"/>
      <c r="R38" s="171"/>
      <c r="S38" s="170"/>
      <c r="T38" s="170"/>
    </row>
    <row r="39" spans="1:20">
      <c r="A39" s="164">
        <f>'BC.115+740'!B38</f>
        <v>45097</v>
      </c>
      <c r="B39" s="160">
        <v>25</v>
      </c>
      <c r="C39" s="162">
        <f ca="1">'BC.115+740'!M38/1000</f>
        <v>0.92500000000000004</v>
      </c>
      <c r="D39" s="162">
        <f ca="1">'BC.115+740'!AA38</f>
        <v>1.0069999999999999</v>
      </c>
      <c r="E39" s="163">
        <f ca="1">'BC.115+740'!AB38</f>
        <v>0.86</v>
      </c>
      <c r="F39" s="162">
        <f ca="1">VLOOKUP($A39,'BC.115+740'!$B$13:$X$489,8,0)/1000</f>
        <v>1.964</v>
      </c>
      <c r="G39" s="162">
        <f ca="1">VLOOKUP($A39,'BC.115+740'!$B$13:$X$489,9,0)/1000</f>
        <v>-3.5999999999999997E-2</v>
      </c>
      <c r="H39" s="162">
        <f ca="1">VLOOKUP($A39,'BC.115+740'!$B$13:$X$489,14,0)/1000</f>
        <v>1.915</v>
      </c>
      <c r="I39" s="162">
        <f ca="1">VLOOKUP($A39,'BC.115+740'!$B$13:$X$489,15,0)/1000</f>
        <v>-8.5000000000000006E-2</v>
      </c>
      <c r="J39" s="162">
        <f ca="1">VLOOKUP($A39,'BC.115+740'!$B$13:$X$489,20,0)/1000</f>
        <v>1.887</v>
      </c>
      <c r="K39" s="162">
        <f ca="1">VLOOKUP($A39,'BC.115+740'!$B$13:$X$489,21,0)/1000</f>
        <v>-0.113</v>
      </c>
      <c r="L39" s="160">
        <f t="shared" ca="1" si="0"/>
        <v>-76</v>
      </c>
      <c r="M39" s="161">
        <f t="shared" ca="1" si="1"/>
        <v>-75.000000000000014</v>
      </c>
      <c r="N39" s="160">
        <f t="shared" ca="1" si="2"/>
        <v>-73.000000000000014</v>
      </c>
      <c r="O39" s="160"/>
      <c r="P39" s="173"/>
      <c r="Q39" s="172"/>
      <c r="R39" s="171"/>
      <c r="S39" s="170"/>
      <c r="T39" s="170"/>
    </row>
    <row r="40" spans="1:20">
      <c r="A40" s="164">
        <f>'BC.115+740'!B39</f>
        <v>45098</v>
      </c>
      <c r="B40" s="160">
        <v>26</v>
      </c>
      <c r="C40" s="162">
        <f ca="1">'BC.115+740'!M39/1000</f>
        <v>0.92300000000000004</v>
      </c>
      <c r="D40" s="162">
        <f ca="1">'BC.115+740'!AA39</f>
        <v>1.0069999999999999</v>
      </c>
      <c r="E40" s="163">
        <f ca="1">'BC.115+740'!AB39</f>
        <v>0.85599999999999998</v>
      </c>
      <c r="F40" s="162">
        <f ca="1">VLOOKUP($A40,'BC.115+740'!$B$13:$X$489,8,0)/1000</f>
        <v>1.9590000000000001</v>
      </c>
      <c r="G40" s="162">
        <f ca="1">VLOOKUP($A40,'BC.115+740'!$B$13:$X$489,9,0)/1000</f>
        <v>-4.1000000000000002E-2</v>
      </c>
      <c r="H40" s="162">
        <f ca="1">VLOOKUP($A40,'BC.115+740'!$B$13:$X$489,14,0)/1000</f>
        <v>1.913</v>
      </c>
      <c r="I40" s="162">
        <f ca="1">VLOOKUP($A40,'BC.115+740'!$B$13:$X$489,15,0)/1000</f>
        <v>-8.6999999999999994E-2</v>
      </c>
      <c r="J40" s="162">
        <f ca="1">VLOOKUP($A40,'BC.115+740'!$B$13:$X$489,20,0)/1000</f>
        <v>1.885</v>
      </c>
      <c r="K40" s="162">
        <f ca="1">VLOOKUP($A40,'BC.115+740'!$B$13:$X$489,21,0)/1000</f>
        <v>-0.115</v>
      </c>
      <c r="L40" s="160">
        <f t="shared" ca="1" si="0"/>
        <v>-81</v>
      </c>
      <c r="M40" s="161">
        <f t="shared" ca="1" si="1"/>
        <v>-77</v>
      </c>
      <c r="N40" s="160">
        <f t="shared" ca="1" si="2"/>
        <v>-75.000000000000014</v>
      </c>
      <c r="O40" s="160"/>
      <c r="P40" s="173"/>
      <c r="Q40" s="172"/>
      <c r="R40" s="171"/>
      <c r="S40" s="170"/>
      <c r="T40" s="170"/>
    </row>
    <row r="41" spans="1:20">
      <c r="A41" s="164">
        <f>'BC.115+740'!B40</f>
        <v>45099</v>
      </c>
      <c r="B41" s="160">
        <v>27</v>
      </c>
      <c r="C41" s="162">
        <f ca="1">'BC.115+740'!M40/1000</f>
        <v>0.91900000000000004</v>
      </c>
      <c r="D41" s="162">
        <f ca="1">'BC.115+740'!AA40</f>
        <v>1.0069999999999999</v>
      </c>
      <c r="E41" s="163">
        <f ca="1">'BC.115+740'!AB40</f>
        <v>0.84799999999999998</v>
      </c>
      <c r="F41" s="162">
        <f ca="1">VLOOKUP($A41,'BC.115+740'!$B$13:$X$489,8,0)/1000</f>
        <v>1.9550000000000001</v>
      </c>
      <c r="G41" s="162">
        <f ca="1">VLOOKUP($A41,'BC.115+740'!$B$13:$X$489,9,0)/1000</f>
        <v>-4.4999999999999998E-2</v>
      </c>
      <c r="H41" s="162">
        <f ca="1">VLOOKUP($A41,'BC.115+740'!$B$13:$X$489,14,0)/1000</f>
        <v>1.909</v>
      </c>
      <c r="I41" s="162">
        <f ca="1">VLOOKUP($A41,'BC.115+740'!$B$13:$X$489,15,0)/1000</f>
        <v>-9.0999999999999998E-2</v>
      </c>
      <c r="J41" s="162">
        <f ca="1">VLOOKUP($A41,'BC.115+740'!$B$13:$X$489,20,0)/1000</f>
        <v>1.883</v>
      </c>
      <c r="K41" s="162">
        <f ca="1">VLOOKUP($A41,'BC.115+740'!$B$13:$X$489,21,0)/1000</f>
        <v>-0.11700000000000001</v>
      </c>
      <c r="L41" s="160">
        <f t="shared" ca="1" si="0"/>
        <v>-84.999999999999986</v>
      </c>
      <c r="M41" s="161">
        <f t="shared" ca="1" si="1"/>
        <v>-81</v>
      </c>
      <c r="N41" s="160">
        <f t="shared" ca="1" si="2"/>
        <v>-77.000000000000014</v>
      </c>
      <c r="O41" s="160"/>
      <c r="P41" s="173"/>
      <c r="Q41" s="172"/>
      <c r="R41" s="171"/>
      <c r="S41" s="170"/>
      <c r="T41" s="170"/>
    </row>
    <row r="42" spans="1:20">
      <c r="A42" s="164">
        <f>'BC.115+740'!B41</f>
        <v>45100</v>
      </c>
      <c r="B42" s="160">
        <v>28</v>
      </c>
      <c r="C42" s="162">
        <f ca="1">'BC.115+740'!M41/1000</f>
        <v>0.91700000000000004</v>
      </c>
      <c r="D42" s="162">
        <f ca="1">'BC.115+740'!AA41</f>
        <v>1.0069999999999999</v>
      </c>
      <c r="E42" s="163">
        <f ca="1">'BC.115+740'!AB41</f>
        <v>0.84399999999999997</v>
      </c>
      <c r="F42" s="162">
        <f ca="1">VLOOKUP($A42,'BC.115+740'!$B$13:$X$489,8,0)/1000</f>
        <v>1.952</v>
      </c>
      <c r="G42" s="162">
        <f ca="1">VLOOKUP($A42,'BC.115+740'!$B$13:$X$489,9,0)/1000</f>
        <v>-4.8000000000000001E-2</v>
      </c>
      <c r="H42" s="162">
        <f ca="1">VLOOKUP($A42,'BC.115+740'!$B$13:$X$489,14,0)/1000</f>
        <v>1.907</v>
      </c>
      <c r="I42" s="162">
        <f ca="1">VLOOKUP($A42,'BC.115+740'!$B$13:$X$489,15,0)/1000</f>
        <v>-9.2999999999999999E-2</v>
      </c>
      <c r="J42" s="162">
        <f ca="1">VLOOKUP($A42,'BC.115+740'!$B$13:$X$489,20,0)/1000</f>
        <v>1.881</v>
      </c>
      <c r="K42" s="162">
        <f ca="1">VLOOKUP($A42,'BC.115+740'!$B$13:$X$489,21,0)/1000</f>
        <v>-0.11899999999999999</v>
      </c>
      <c r="L42" s="160">
        <f t="shared" ca="1" si="0"/>
        <v>-88</v>
      </c>
      <c r="M42" s="161">
        <f t="shared" ca="1" si="1"/>
        <v>-83</v>
      </c>
      <c r="N42" s="160">
        <f t="shared" ca="1" si="2"/>
        <v>-78.999999999999986</v>
      </c>
      <c r="O42" s="160"/>
      <c r="P42" s="173"/>
      <c r="Q42" s="172"/>
      <c r="R42" s="171"/>
      <c r="S42" s="170"/>
      <c r="T42" s="170"/>
    </row>
    <row r="43" spans="1:20">
      <c r="A43" s="164">
        <f>'BC.115+740'!B42</f>
        <v>45101</v>
      </c>
      <c r="B43" s="160">
        <v>29</v>
      </c>
      <c r="C43" s="162">
        <f ca="1">'BC.115+740'!M42/1000</f>
        <v>0.91600000000000004</v>
      </c>
      <c r="D43" s="162">
        <f ca="1">'BC.115+740'!AA42</f>
        <v>1.0069999999999999</v>
      </c>
      <c r="E43" s="163">
        <f ca="1">'BC.115+740'!AB42</f>
        <v>0.84199999999999997</v>
      </c>
      <c r="F43" s="162">
        <f ca="1">VLOOKUP($A43,'BC.115+740'!$B$13:$X$489,8,0)/1000</f>
        <v>1.9490000000000001</v>
      </c>
      <c r="G43" s="162">
        <f ca="1">VLOOKUP($A43,'BC.115+740'!$B$13:$X$489,9,0)/1000</f>
        <v>-5.0999999999999997E-2</v>
      </c>
      <c r="H43" s="162">
        <f ca="1">VLOOKUP($A43,'BC.115+740'!$B$13:$X$489,14,0)/1000</f>
        <v>1.9059999999999999</v>
      </c>
      <c r="I43" s="162">
        <f ca="1">VLOOKUP($A43,'BC.115+740'!$B$13:$X$489,15,0)/1000</f>
        <v>-9.4E-2</v>
      </c>
      <c r="J43" s="162">
        <f ca="1">VLOOKUP($A43,'BC.115+740'!$B$13:$X$489,20,0)/1000</f>
        <v>1.879</v>
      </c>
      <c r="K43" s="162">
        <f ca="1">VLOOKUP($A43,'BC.115+740'!$B$13:$X$489,21,0)/1000</f>
        <v>-0.121</v>
      </c>
      <c r="L43" s="160">
        <f t="shared" ca="1" si="0"/>
        <v>-91</v>
      </c>
      <c r="M43" s="161">
        <f t="shared" ca="1" si="1"/>
        <v>-84</v>
      </c>
      <c r="N43" s="160">
        <f t="shared" ca="1" si="2"/>
        <v>-80.999999999999986</v>
      </c>
      <c r="O43" s="160"/>
      <c r="P43" s="173"/>
      <c r="Q43" s="172"/>
      <c r="R43" s="171"/>
      <c r="S43" s="170"/>
      <c r="T43" s="170"/>
    </row>
    <row r="44" spans="1:20">
      <c r="A44" s="164">
        <f>'BC.115+740'!B43</f>
        <v>45102</v>
      </c>
      <c r="B44" s="160">
        <v>30</v>
      </c>
      <c r="C44" s="162">
        <f ca="1">'BC.115+740'!M43/1000</f>
        <v>0.91300000000000003</v>
      </c>
      <c r="D44" s="162">
        <f ca="1">'BC.115+740'!AA43</f>
        <v>1.0069999999999999</v>
      </c>
      <c r="E44" s="163">
        <f ca="1">'BC.115+740'!AB43</f>
        <v>0.83599999999999997</v>
      </c>
      <c r="F44" s="162">
        <f ca="1">VLOOKUP($A44,'BC.115+740'!$B$13:$X$489,8,0)/1000</f>
        <v>1.946</v>
      </c>
      <c r="G44" s="162">
        <f ca="1">VLOOKUP($A44,'BC.115+740'!$B$13:$X$489,9,0)/1000</f>
        <v>-5.3999999999999999E-2</v>
      </c>
      <c r="H44" s="162">
        <f ca="1">VLOOKUP($A44,'BC.115+740'!$B$13:$X$489,14,0)/1000</f>
        <v>1.903</v>
      </c>
      <c r="I44" s="162">
        <f ca="1">VLOOKUP($A44,'BC.115+740'!$B$13:$X$489,15,0)/1000</f>
        <v>-9.7000000000000003E-2</v>
      </c>
      <c r="J44" s="162">
        <f ca="1">VLOOKUP($A44,'BC.115+740'!$B$13:$X$489,20,0)/1000</f>
        <v>1.8759999999999999</v>
      </c>
      <c r="K44" s="162">
        <f ca="1">VLOOKUP($A44,'BC.115+740'!$B$13:$X$489,21,0)/1000</f>
        <v>-0.124</v>
      </c>
      <c r="L44" s="160">
        <f t="shared" ca="1" si="0"/>
        <v>-94</v>
      </c>
      <c r="M44" s="161">
        <f t="shared" ca="1" si="1"/>
        <v>-87.000000000000014</v>
      </c>
      <c r="N44" s="160">
        <f t="shared" ca="1" si="2"/>
        <v>-83.999999999999986</v>
      </c>
      <c r="O44" s="160"/>
      <c r="P44" s="173"/>
      <c r="Q44" s="172"/>
      <c r="R44" s="171"/>
      <c r="S44" s="170"/>
      <c r="T44" s="170"/>
    </row>
    <row r="45" spans="1:20">
      <c r="A45" s="164">
        <f>'BC.115+740'!B44</f>
        <v>45103</v>
      </c>
      <c r="B45" s="160">
        <v>31</v>
      </c>
      <c r="C45" s="162">
        <f ca="1">'BC.115+740'!M44/1000</f>
        <v>0.91100000000000003</v>
      </c>
      <c r="D45" s="162">
        <f ca="1">'BC.115+740'!AA44</f>
        <v>1.0069999999999999</v>
      </c>
      <c r="E45" s="163">
        <f ca="1">'BC.115+740'!AB44</f>
        <v>0.83199999999999996</v>
      </c>
      <c r="F45" s="162">
        <f ca="1">VLOOKUP($A45,'BC.115+740'!$B$13:$X$489,8,0)/1000</f>
        <v>1.9410000000000001</v>
      </c>
      <c r="G45" s="162">
        <f ca="1">VLOOKUP($A45,'BC.115+740'!$B$13:$X$489,9,0)/1000</f>
        <v>-5.8999999999999997E-2</v>
      </c>
      <c r="H45" s="162">
        <f ca="1">VLOOKUP($A45,'BC.115+740'!$B$13:$X$489,14,0)/1000</f>
        <v>1.901</v>
      </c>
      <c r="I45" s="162">
        <f ca="1">VLOOKUP($A45,'BC.115+740'!$B$13:$X$489,15,0)/1000</f>
        <v>-9.9000000000000005E-2</v>
      </c>
      <c r="J45" s="162">
        <f ca="1">VLOOKUP($A45,'BC.115+740'!$B$13:$X$489,20,0)/1000</f>
        <v>1.8720000000000001</v>
      </c>
      <c r="K45" s="162">
        <f ca="1">VLOOKUP($A45,'BC.115+740'!$B$13:$X$489,21,0)/1000</f>
        <v>-0.128</v>
      </c>
      <c r="L45" s="160">
        <f t="shared" ca="1" si="0"/>
        <v>-99</v>
      </c>
      <c r="M45" s="161">
        <f t="shared" ca="1" si="1"/>
        <v>-89.000000000000014</v>
      </c>
      <c r="N45" s="160">
        <f t="shared" ca="1" si="2"/>
        <v>-88</v>
      </c>
      <c r="O45" s="160"/>
      <c r="P45" s="173"/>
      <c r="Q45" s="172"/>
      <c r="R45" s="171"/>
      <c r="S45" s="170"/>
      <c r="T45" s="170"/>
    </row>
    <row r="46" spans="1:20">
      <c r="A46" s="164">
        <f>'BC.115+740'!B45</f>
        <v>45104</v>
      </c>
      <c r="B46" s="160">
        <v>32</v>
      </c>
      <c r="C46" s="162">
        <f ca="1">'BC.115+740'!M45/1000</f>
        <v>0.90800000000000003</v>
      </c>
      <c r="D46" s="162">
        <f ca="1">'BC.115+740'!AA45</f>
        <v>1.0069999999999999</v>
      </c>
      <c r="E46" s="163">
        <f ca="1">'BC.115+740'!AB45</f>
        <v>0.82599999999999996</v>
      </c>
      <c r="F46" s="162">
        <f ca="1">VLOOKUP($A46,'BC.115+740'!$B$13:$X$489,8,0)/1000</f>
        <v>1.9359999999999999</v>
      </c>
      <c r="G46" s="162">
        <f ca="1">VLOOKUP($A46,'BC.115+740'!$B$13:$X$489,9,0)/1000</f>
        <v>-6.4000000000000001E-2</v>
      </c>
      <c r="H46" s="162">
        <f ca="1">VLOOKUP($A46,'BC.115+740'!$B$13:$X$489,14,0)/1000</f>
        <v>1.8979999999999999</v>
      </c>
      <c r="I46" s="162">
        <f ca="1">VLOOKUP($A46,'BC.115+740'!$B$13:$X$489,15,0)/1000</f>
        <v>-0.10199999999999999</v>
      </c>
      <c r="J46" s="162">
        <f ca="1">VLOOKUP($A46,'BC.115+740'!$B$13:$X$489,20,0)/1000</f>
        <v>1.8680000000000001</v>
      </c>
      <c r="K46" s="162">
        <f ca="1">VLOOKUP($A46,'BC.115+740'!$B$13:$X$489,21,0)/1000</f>
        <v>-0.13200000000000001</v>
      </c>
      <c r="L46" s="160">
        <f t="shared" ca="1" si="0"/>
        <v>-104.00000000000001</v>
      </c>
      <c r="M46" s="161">
        <f t="shared" ca="1" si="1"/>
        <v>-92</v>
      </c>
      <c r="N46" s="160">
        <f t="shared" ca="1" si="2"/>
        <v>-92</v>
      </c>
      <c r="O46" s="160"/>
      <c r="P46" s="173"/>
      <c r="Q46" s="172"/>
      <c r="R46" s="171"/>
      <c r="S46" s="170"/>
      <c r="T46" s="170"/>
    </row>
    <row r="47" spans="1:20">
      <c r="A47" s="164">
        <f>'BC.115+740'!B46</f>
        <v>45105</v>
      </c>
      <c r="B47" s="160">
        <v>33</v>
      </c>
      <c r="C47" s="162">
        <f ca="1">'BC.115+740'!M46/1000</f>
        <v>0.90600000000000003</v>
      </c>
      <c r="D47" s="162">
        <f ca="1">'BC.115+740'!AA46</f>
        <v>1.0069999999999999</v>
      </c>
      <c r="E47" s="163">
        <f ca="1">'BC.115+740'!AB46</f>
        <v>0.82199999999999995</v>
      </c>
      <c r="F47" s="162">
        <f ca="1">VLOOKUP($A47,'BC.115+740'!$B$13:$X$489,8,0)/1000</f>
        <v>1.9319999999999999</v>
      </c>
      <c r="G47" s="162">
        <f ca="1">VLOOKUP($A47,'BC.115+740'!$B$13:$X$489,9,0)/1000</f>
        <v>-6.8000000000000005E-2</v>
      </c>
      <c r="H47" s="162">
        <f ca="1">VLOOKUP($A47,'BC.115+740'!$B$13:$X$489,14,0)/1000</f>
        <v>1.8959999999999999</v>
      </c>
      <c r="I47" s="162">
        <f ca="1">VLOOKUP($A47,'BC.115+740'!$B$13:$X$489,15,0)/1000</f>
        <v>-0.104</v>
      </c>
      <c r="J47" s="162">
        <f ca="1">VLOOKUP($A47,'BC.115+740'!$B$13:$X$489,20,0)/1000</f>
        <v>1.865</v>
      </c>
      <c r="K47" s="162">
        <f ca="1">VLOOKUP($A47,'BC.115+740'!$B$13:$X$489,21,0)/1000</f>
        <v>-0.13500000000000001</v>
      </c>
      <c r="L47" s="160">
        <f t="shared" ca="1" si="0"/>
        <v>-108.00000000000001</v>
      </c>
      <c r="M47" s="161">
        <f t="shared" ca="1" si="1"/>
        <v>-94</v>
      </c>
      <c r="N47" s="160">
        <f t="shared" ca="1" si="2"/>
        <v>-95</v>
      </c>
      <c r="O47" s="160"/>
      <c r="P47" s="173"/>
      <c r="Q47" s="172"/>
      <c r="R47" s="171"/>
      <c r="S47" s="170"/>
      <c r="T47" s="170"/>
    </row>
    <row r="48" spans="1:20">
      <c r="A48" s="164">
        <f>'BC.115+740'!B47</f>
        <v>45106</v>
      </c>
      <c r="B48" s="160">
        <v>34</v>
      </c>
      <c r="C48" s="162">
        <f ca="1">'BC.115+740'!M47/1000</f>
        <v>0.90500000000000003</v>
      </c>
      <c r="D48" s="162">
        <f ca="1">'BC.115+740'!AA47</f>
        <v>1.0069999999999999</v>
      </c>
      <c r="E48" s="163">
        <f ca="1">'BC.115+740'!AB47</f>
        <v>0.82</v>
      </c>
      <c r="F48" s="162">
        <f ca="1">VLOOKUP($A48,'BC.115+740'!$B$13:$X$489,8,0)/1000</f>
        <v>1.929</v>
      </c>
      <c r="G48" s="162">
        <f ca="1">VLOOKUP($A48,'BC.115+740'!$B$13:$X$489,9,0)/1000</f>
        <v>-7.0999999999999994E-2</v>
      </c>
      <c r="H48" s="162">
        <f ca="1">VLOOKUP($A48,'BC.115+740'!$B$13:$X$489,14,0)/1000</f>
        <v>1.895</v>
      </c>
      <c r="I48" s="162">
        <f ca="1">VLOOKUP($A48,'BC.115+740'!$B$13:$X$489,15,0)/1000</f>
        <v>-0.105</v>
      </c>
      <c r="J48" s="162">
        <f ca="1">VLOOKUP($A48,'BC.115+740'!$B$13:$X$489,20,0)/1000</f>
        <v>1.8620000000000001</v>
      </c>
      <c r="K48" s="162">
        <f ca="1">VLOOKUP($A48,'BC.115+740'!$B$13:$X$489,21,0)/1000</f>
        <v>-0.13800000000000001</v>
      </c>
      <c r="L48" s="160">
        <f t="shared" ca="1" si="0"/>
        <v>-110.99999999999999</v>
      </c>
      <c r="M48" s="161">
        <f t="shared" ca="1" si="1"/>
        <v>-95</v>
      </c>
      <c r="N48" s="160">
        <f t="shared" ca="1" si="2"/>
        <v>-98</v>
      </c>
      <c r="O48" s="160"/>
      <c r="P48" s="173"/>
      <c r="Q48" s="172"/>
      <c r="R48" s="171"/>
      <c r="S48" s="170"/>
      <c r="T48" s="170"/>
    </row>
    <row r="49" spans="1:20">
      <c r="A49" s="164">
        <f>'BC.115+740'!B48</f>
        <v>45107</v>
      </c>
      <c r="B49" s="160">
        <v>35</v>
      </c>
      <c r="C49" s="162">
        <f ca="1">'BC.115+740'!M48/1000</f>
        <v>0.90300000000000002</v>
      </c>
      <c r="D49" s="162">
        <f ca="1">'BC.115+740'!AA48</f>
        <v>1.0069999999999999</v>
      </c>
      <c r="E49" s="163">
        <f ca="1">'BC.115+740'!AB48</f>
        <v>0.81599999999999995</v>
      </c>
      <c r="F49" s="162">
        <f ca="1">VLOOKUP($A49,'BC.115+740'!$B$13:$X$489,8,0)/1000</f>
        <v>1.9239999999999999</v>
      </c>
      <c r="G49" s="162">
        <f ca="1">VLOOKUP($A49,'BC.115+740'!$B$13:$X$489,9,0)/1000</f>
        <v>-7.5999999999999998E-2</v>
      </c>
      <c r="H49" s="162">
        <f ca="1">VLOOKUP($A49,'BC.115+740'!$B$13:$X$489,14,0)/1000</f>
        <v>1.893</v>
      </c>
      <c r="I49" s="162">
        <f ca="1">VLOOKUP($A49,'BC.115+740'!$B$13:$X$489,15,0)/1000</f>
        <v>-0.107</v>
      </c>
      <c r="J49" s="162">
        <f ca="1">VLOOKUP($A49,'BC.115+740'!$B$13:$X$489,20,0)/1000</f>
        <v>1.86</v>
      </c>
      <c r="K49" s="162">
        <f ca="1">VLOOKUP($A49,'BC.115+740'!$B$13:$X$489,21,0)/1000</f>
        <v>-0.14000000000000001</v>
      </c>
      <c r="L49" s="160">
        <f t="shared" ca="1" si="0"/>
        <v>-115.99999999999999</v>
      </c>
      <c r="M49" s="161">
        <f t="shared" ca="1" si="1"/>
        <v>-97</v>
      </c>
      <c r="N49" s="160">
        <f t="shared" ca="1" si="2"/>
        <v>-100</v>
      </c>
      <c r="O49" s="160"/>
      <c r="P49" s="173"/>
      <c r="Q49" s="172"/>
      <c r="R49" s="171"/>
      <c r="S49" s="170"/>
      <c r="T49" s="170"/>
    </row>
    <row r="50" spans="1:20">
      <c r="A50" s="164">
        <f>'BC.115+740'!B49</f>
        <v>45108</v>
      </c>
      <c r="B50" s="160">
        <v>36</v>
      </c>
      <c r="C50" s="162">
        <f ca="1">'BC.115+740'!M49/1000</f>
        <v>0.90100000000000002</v>
      </c>
      <c r="D50" s="162">
        <f ca="1">'BC.115+740'!AA49</f>
        <v>1.0069999999999999</v>
      </c>
      <c r="E50" s="163">
        <f ca="1">'BC.115+740'!AB49</f>
        <v>0.81200000000000006</v>
      </c>
      <c r="F50" s="162">
        <f ca="1">VLOOKUP($A50,'BC.115+740'!$B$13:$X$489,8,0)/1000</f>
        <v>1.9219999999999999</v>
      </c>
      <c r="G50" s="162">
        <f ca="1">VLOOKUP($A50,'BC.115+740'!$B$13:$X$489,9,0)/1000</f>
        <v>-7.8E-2</v>
      </c>
      <c r="H50" s="162">
        <f ca="1">VLOOKUP($A50,'BC.115+740'!$B$13:$X$489,14,0)/1000</f>
        <v>1.891</v>
      </c>
      <c r="I50" s="162">
        <f ca="1">VLOOKUP($A50,'BC.115+740'!$B$13:$X$489,15,0)/1000</f>
        <v>-0.109</v>
      </c>
      <c r="J50" s="162">
        <f ca="1">VLOOKUP($A50,'BC.115+740'!$B$13:$X$489,20,0)/1000</f>
        <v>1.8560000000000001</v>
      </c>
      <c r="K50" s="162">
        <f ca="1">VLOOKUP($A50,'BC.115+740'!$B$13:$X$489,21,0)/1000</f>
        <v>-0.14399999999999999</v>
      </c>
      <c r="L50" s="160">
        <f t="shared" ca="1" si="0"/>
        <v>-118</v>
      </c>
      <c r="M50" s="161">
        <f t="shared" ca="1" si="1"/>
        <v>-99</v>
      </c>
      <c r="N50" s="160">
        <f t="shared" ca="1" si="2"/>
        <v>-103.99999999999999</v>
      </c>
      <c r="O50" s="160"/>
      <c r="P50" s="173"/>
      <c r="Q50" s="172"/>
      <c r="R50" s="171"/>
      <c r="S50" s="170"/>
      <c r="T50" s="170"/>
    </row>
    <row r="51" spans="1:20">
      <c r="A51" s="164">
        <f>'BC.115+740'!B50</f>
        <v>45109</v>
      </c>
      <c r="B51" s="160">
        <v>37</v>
      </c>
      <c r="C51" s="162">
        <f ca="1">'BC.115+740'!M50/1000</f>
        <v>0.89900000000000002</v>
      </c>
      <c r="D51" s="162">
        <f ca="1">'BC.115+740'!AA50</f>
        <v>1.0069999999999999</v>
      </c>
      <c r="E51" s="163">
        <f ca="1">'BC.115+740'!AB50</f>
        <v>0.80800000000000005</v>
      </c>
      <c r="F51" s="162">
        <f ca="1">VLOOKUP($A51,'BC.115+740'!$B$13:$X$489,8,0)/1000</f>
        <v>1.92</v>
      </c>
      <c r="G51" s="162">
        <f ca="1">VLOOKUP($A51,'BC.115+740'!$B$13:$X$489,9,0)/1000</f>
        <v>-0.08</v>
      </c>
      <c r="H51" s="162">
        <f ca="1">VLOOKUP($A51,'BC.115+740'!$B$13:$X$489,14,0)/1000</f>
        <v>1.889</v>
      </c>
      <c r="I51" s="162">
        <f ca="1">VLOOKUP($A51,'BC.115+740'!$B$13:$X$489,15,0)/1000</f>
        <v>-0.111</v>
      </c>
      <c r="J51" s="162">
        <f ca="1">VLOOKUP($A51,'BC.115+740'!$B$13:$X$489,20,0)/1000</f>
        <v>1.8540000000000001</v>
      </c>
      <c r="K51" s="162">
        <f ca="1">VLOOKUP($A51,'BC.115+740'!$B$13:$X$489,21,0)/1000</f>
        <v>-0.14599999999999999</v>
      </c>
      <c r="L51" s="160">
        <f t="shared" ca="1" si="0"/>
        <v>-120</v>
      </c>
      <c r="M51" s="161">
        <f t="shared" ca="1" si="1"/>
        <v>-101</v>
      </c>
      <c r="N51" s="160">
        <f t="shared" ca="1" si="2"/>
        <v>-105.99999999999999</v>
      </c>
      <c r="O51" s="160"/>
      <c r="P51" s="173"/>
      <c r="Q51" s="172"/>
      <c r="R51" s="171"/>
      <c r="S51" s="170"/>
      <c r="T51" s="170"/>
    </row>
    <row r="52" spans="1:20">
      <c r="A52" s="164">
        <f>'BC.115+740'!B51</f>
        <v>45110</v>
      </c>
      <c r="B52" s="160">
        <v>38</v>
      </c>
      <c r="C52" s="162">
        <f ca="1">'BC.115+740'!M51/1000</f>
        <v>0.89700000000000002</v>
      </c>
      <c r="D52" s="162">
        <f ca="1">'BC.115+740'!AA51</f>
        <v>1.0069999999999999</v>
      </c>
      <c r="E52" s="163">
        <f ca="1">'BC.115+740'!AB51</f>
        <v>0.80400000000000005</v>
      </c>
      <c r="F52" s="162">
        <f ca="1">VLOOKUP($A52,'BC.115+740'!$B$13:$X$489,8,0)/1000</f>
        <v>1.919</v>
      </c>
      <c r="G52" s="162">
        <f ca="1">VLOOKUP($A52,'BC.115+740'!$B$13:$X$489,9,0)/1000</f>
        <v>-8.1000000000000003E-2</v>
      </c>
      <c r="H52" s="162">
        <f ca="1">VLOOKUP($A52,'BC.115+740'!$B$13:$X$489,14,0)/1000</f>
        <v>1.887</v>
      </c>
      <c r="I52" s="162">
        <f ca="1">VLOOKUP($A52,'BC.115+740'!$B$13:$X$489,15,0)/1000</f>
        <v>-0.113</v>
      </c>
      <c r="J52" s="162">
        <f ca="1">VLOOKUP($A52,'BC.115+740'!$B$13:$X$489,20,0)/1000</f>
        <v>1.853</v>
      </c>
      <c r="K52" s="162">
        <f ca="1">VLOOKUP($A52,'BC.115+740'!$B$13:$X$489,21,0)/1000</f>
        <v>-0.14699999999999999</v>
      </c>
      <c r="L52" s="160">
        <f t="shared" ca="1" si="0"/>
        <v>-121</v>
      </c>
      <c r="M52" s="161">
        <f t="shared" ca="1" si="1"/>
        <v>-103.00000000000001</v>
      </c>
      <c r="N52" s="160">
        <f t="shared" ca="1" si="2"/>
        <v>-106.99999999999999</v>
      </c>
      <c r="O52" s="160"/>
      <c r="P52" s="173"/>
      <c r="Q52" s="172"/>
      <c r="R52" s="171"/>
      <c r="S52" s="170"/>
      <c r="T52" s="170"/>
    </row>
    <row r="53" spans="1:20">
      <c r="A53" s="164">
        <f>'BC.115+740'!B52</f>
        <v>45111</v>
      </c>
      <c r="B53" s="160">
        <v>39</v>
      </c>
      <c r="C53" s="162">
        <f ca="1">'BC.115+740'!M52/1000</f>
        <v>0.89700000000000002</v>
      </c>
      <c r="D53" s="162">
        <f ca="1">'BC.115+740'!AA52</f>
        <v>1.0069999999999999</v>
      </c>
      <c r="E53" s="163">
        <f ca="1">'BC.115+740'!AB52</f>
        <v>0.80400000000000005</v>
      </c>
      <c r="F53" s="162">
        <f ca="1">VLOOKUP($A53,'BC.115+740'!$B$13:$X$489,8,0)/1000</f>
        <v>1.9159999999999999</v>
      </c>
      <c r="G53" s="162">
        <f ca="1">VLOOKUP($A53,'BC.115+740'!$B$13:$X$489,9,0)/1000</f>
        <v>-8.4000000000000005E-2</v>
      </c>
      <c r="H53" s="162">
        <f ca="1">VLOOKUP($A53,'BC.115+740'!$B$13:$X$489,14,0)/1000</f>
        <v>1.887</v>
      </c>
      <c r="I53" s="162">
        <f ca="1">VLOOKUP($A53,'BC.115+740'!$B$13:$X$489,15,0)/1000</f>
        <v>-0.113</v>
      </c>
      <c r="J53" s="162">
        <f ca="1">VLOOKUP($A53,'BC.115+740'!$B$13:$X$489,20,0)/1000</f>
        <v>1.85</v>
      </c>
      <c r="K53" s="162">
        <f ca="1">VLOOKUP($A53,'BC.115+740'!$B$13:$X$489,21,0)/1000</f>
        <v>-0.15</v>
      </c>
      <c r="L53" s="160">
        <f t="shared" ca="1" si="0"/>
        <v>-124</v>
      </c>
      <c r="M53" s="161">
        <f t="shared" ca="1" si="1"/>
        <v>-103.00000000000001</v>
      </c>
      <c r="N53" s="160">
        <f t="shared" ca="1" si="2"/>
        <v>-109.99999999999999</v>
      </c>
      <c r="O53" s="160"/>
      <c r="P53" s="173"/>
      <c r="Q53" s="172"/>
      <c r="R53" s="171"/>
      <c r="S53" s="170"/>
      <c r="T53" s="170"/>
    </row>
    <row r="54" spans="1:20">
      <c r="A54" s="164">
        <f>'BC.115+740'!B53</f>
        <v>45112</v>
      </c>
      <c r="B54" s="160">
        <v>40</v>
      </c>
      <c r="C54" s="162">
        <f ca="1">'BC.115+740'!M53/1000</f>
        <v>0.89700000000000002</v>
      </c>
      <c r="D54" s="162">
        <f ca="1">'BC.115+740'!AA53</f>
        <v>1.0069999999999999</v>
      </c>
      <c r="E54" s="163">
        <f ca="1">'BC.115+740'!AB53</f>
        <v>0.80400000000000005</v>
      </c>
      <c r="F54" s="162">
        <f ca="1">VLOOKUP($A54,'BC.115+740'!$B$13:$X$489,8,0)/1000</f>
        <v>1.9139999999999999</v>
      </c>
      <c r="G54" s="162">
        <f ca="1">VLOOKUP($A54,'BC.115+740'!$B$13:$X$489,9,0)/1000</f>
        <v>-8.5999999999999993E-2</v>
      </c>
      <c r="H54" s="162">
        <f ca="1">VLOOKUP($A54,'BC.115+740'!$B$13:$X$489,14,0)/1000</f>
        <v>1.887</v>
      </c>
      <c r="I54" s="162">
        <f ca="1">VLOOKUP($A54,'BC.115+740'!$B$13:$X$489,15,0)/1000</f>
        <v>-0.113</v>
      </c>
      <c r="J54" s="162">
        <f ca="1">VLOOKUP($A54,'BC.115+740'!$B$13:$X$489,20,0)/1000</f>
        <v>1.8480000000000001</v>
      </c>
      <c r="K54" s="162">
        <f ca="1">VLOOKUP($A54,'BC.115+740'!$B$13:$X$489,21,0)/1000</f>
        <v>-0.152</v>
      </c>
      <c r="L54" s="160">
        <f t="shared" ca="1" si="0"/>
        <v>-126</v>
      </c>
      <c r="M54" s="161">
        <f t="shared" ca="1" si="1"/>
        <v>-103.00000000000001</v>
      </c>
      <c r="N54" s="160">
        <f t="shared" ca="1" si="2"/>
        <v>-111.99999999999999</v>
      </c>
      <c r="O54" s="160"/>
      <c r="P54" s="173"/>
      <c r="Q54" s="172"/>
      <c r="R54" s="171"/>
      <c r="S54" s="170"/>
      <c r="T54" s="170"/>
    </row>
    <row r="55" spans="1:20">
      <c r="A55" s="164">
        <f>'BC.115+740'!B54</f>
        <v>45113</v>
      </c>
      <c r="B55" s="160">
        <v>41</v>
      </c>
      <c r="C55" s="162">
        <f ca="1">'BC.115+740'!M54/1000</f>
        <v>0.89700000000000002</v>
      </c>
      <c r="D55" s="162">
        <f ca="1">'BC.115+740'!AA54</f>
        <v>1.0069999999999999</v>
      </c>
      <c r="E55" s="163">
        <f ca="1">'BC.115+740'!AB54</f>
        <v>0.80400000000000005</v>
      </c>
      <c r="F55" s="162">
        <f ca="1">VLOOKUP($A55,'BC.115+740'!$B$13:$X$489,8,0)/1000</f>
        <v>1.911</v>
      </c>
      <c r="G55" s="162">
        <f ca="1">VLOOKUP($A55,'BC.115+740'!$B$13:$X$489,9,0)/1000</f>
        <v>-8.8999999999999996E-2</v>
      </c>
      <c r="H55" s="162">
        <f ca="1">VLOOKUP($A55,'BC.115+740'!$B$13:$X$489,14,0)/1000</f>
        <v>1.887</v>
      </c>
      <c r="I55" s="162">
        <f ca="1">VLOOKUP($A55,'BC.115+740'!$B$13:$X$489,15,0)/1000</f>
        <v>-0.113</v>
      </c>
      <c r="J55" s="162">
        <f ca="1">VLOOKUP($A55,'BC.115+740'!$B$13:$X$489,20,0)/1000</f>
        <v>1.845</v>
      </c>
      <c r="K55" s="162">
        <f ca="1">VLOOKUP($A55,'BC.115+740'!$B$13:$X$489,21,0)/1000</f>
        <v>-0.155</v>
      </c>
      <c r="L55" s="160">
        <f t="shared" ca="1" si="0"/>
        <v>-129</v>
      </c>
      <c r="M55" s="161">
        <f t="shared" ca="1" si="1"/>
        <v>-103.00000000000001</v>
      </c>
      <c r="N55" s="160">
        <f t="shared" ca="1" si="2"/>
        <v>-114.99999999999999</v>
      </c>
      <c r="O55" s="160"/>
      <c r="P55" s="173"/>
      <c r="Q55" s="172"/>
      <c r="R55" s="171"/>
      <c r="S55" s="170"/>
      <c r="T55" s="170"/>
    </row>
    <row r="56" spans="1:20">
      <c r="A56" s="164">
        <f>'BC.115+740'!B55</f>
        <v>45114</v>
      </c>
      <c r="B56" s="160">
        <v>42</v>
      </c>
      <c r="C56" s="162">
        <f ca="1">'BC.115+740'!M55/1000</f>
        <v>0.89700000000000002</v>
      </c>
      <c r="D56" s="162">
        <f ca="1">'BC.115+740'!AA55</f>
        <v>1.0069999999999999</v>
      </c>
      <c r="E56" s="163">
        <f ca="1">'BC.115+740'!AB55</f>
        <v>0.80400000000000005</v>
      </c>
      <c r="F56" s="162">
        <f ca="1">VLOOKUP($A56,'BC.115+740'!$B$13:$X$489,8,0)/1000</f>
        <v>1.909</v>
      </c>
      <c r="G56" s="162">
        <f ca="1">VLOOKUP($A56,'BC.115+740'!$B$13:$X$489,9,0)/1000</f>
        <v>-9.0999999999999998E-2</v>
      </c>
      <c r="H56" s="162">
        <f ca="1">VLOOKUP($A56,'BC.115+740'!$B$13:$X$489,14,0)/1000</f>
        <v>1.887</v>
      </c>
      <c r="I56" s="162">
        <f ca="1">VLOOKUP($A56,'BC.115+740'!$B$13:$X$489,15,0)/1000</f>
        <v>-0.113</v>
      </c>
      <c r="J56" s="162">
        <f ca="1">VLOOKUP($A56,'BC.115+740'!$B$13:$X$489,20,0)/1000</f>
        <v>1.843</v>
      </c>
      <c r="K56" s="162">
        <f ca="1">VLOOKUP($A56,'BC.115+740'!$B$13:$X$489,21,0)/1000</f>
        <v>-0.157</v>
      </c>
      <c r="L56" s="160">
        <f t="shared" ca="1" si="0"/>
        <v>-131</v>
      </c>
      <c r="M56" s="161">
        <f t="shared" ca="1" si="1"/>
        <v>-103.00000000000001</v>
      </c>
      <c r="N56" s="160">
        <f t="shared" ca="1" si="2"/>
        <v>-117</v>
      </c>
      <c r="O56" s="160"/>
      <c r="P56" s="173"/>
      <c r="Q56" s="172"/>
      <c r="R56" s="171"/>
      <c r="S56" s="170"/>
      <c r="T56" s="170"/>
    </row>
    <row r="57" spans="1:20">
      <c r="A57" s="164">
        <f>'BC.115+740'!B56</f>
        <v>45115</v>
      </c>
      <c r="B57" s="160">
        <v>43</v>
      </c>
      <c r="C57" s="162">
        <f ca="1">'BC.115+740'!M56/1000</f>
        <v>0.89700000000000002</v>
      </c>
      <c r="D57" s="162">
        <f ca="1">'BC.115+740'!AA56</f>
        <v>1.0069999999999999</v>
      </c>
      <c r="E57" s="163">
        <f ca="1">'BC.115+740'!AB56</f>
        <v>0.80400000000000005</v>
      </c>
      <c r="F57" s="162">
        <f ca="1">VLOOKUP($A57,'BC.115+740'!$B$13:$X$489,8,0)/1000</f>
        <v>1.9079999999999999</v>
      </c>
      <c r="G57" s="162">
        <f ca="1">VLOOKUP($A57,'BC.115+740'!$B$13:$X$489,9,0)/1000</f>
        <v>-9.1999999999999998E-2</v>
      </c>
      <c r="H57" s="162">
        <f ca="1">VLOOKUP($A57,'BC.115+740'!$B$13:$X$489,14,0)/1000</f>
        <v>1.887</v>
      </c>
      <c r="I57" s="162">
        <f ca="1">VLOOKUP($A57,'BC.115+740'!$B$13:$X$489,15,0)/1000</f>
        <v>-0.113</v>
      </c>
      <c r="J57" s="162">
        <f ca="1">VLOOKUP($A57,'BC.115+740'!$B$13:$X$489,20,0)/1000</f>
        <v>1.8420000000000001</v>
      </c>
      <c r="K57" s="162">
        <f ca="1">VLOOKUP($A57,'BC.115+740'!$B$13:$X$489,21,0)/1000</f>
        <v>-0.158</v>
      </c>
      <c r="L57" s="160">
        <f t="shared" ca="1" si="0"/>
        <v>-132</v>
      </c>
      <c r="M57" s="161">
        <f t="shared" ca="1" si="1"/>
        <v>-103.00000000000001</v>
      </c>
      <c r="N57" s="160">
        <f t="shared" ca="1" si="2"/>
        <v>-118</v>
      </c>
      <c r="O57" s="160"/>
      <c r="P57" s="173"/>
      <c r="Q57" s="172"/>
      <c r="R57" s="171"/>
      <c r="S57" s="170"/>
      <c r="T57" s="170"/>
    </row>
    <row r="58" spans="1:20">
      <c r="A58" s="164">
        <f>'BC.115+740'!B57</f>
        <v>45116</v>
      </c>
      <c r="B58" s="160">
        <v>44</v>
      </c>
      <c r="C58" s="162">
        <f ca="1">'BC.115+740'!M57/1000</f>
        <v>0.89700000000000002</v>
      </c>
      <c r="D58" s="162">
        <f ca="1">'BC.115+740'!AA57</f>
        <v>1.0069999999999999</v>
      </c>
      <c r="E58" s="163">
        <f ca="1">'BC.115+740'!AB57</f>
        <v>0.80400000000000005</v>
      </c>
      <c r="F58" s="162">
        <f ca="1">VLOOKUP($A58,'BC.115+740'!$B$13:$X$489,8,0)/1000</f>
        <v>1.9059999999999999</v>
      </c>
      <c r="G58" s="162">
        <f ca="1">VLOOKUP($A58,'BC.115+740'!$B$13:$X$489,9,0)/1000</f>
        <v>-9.4E-2</v>
      </c>
      <c r="H58" s="162">
        <f ca="1">VLOOKUP($A58,'BC.115+740'!$B$13:$X$489,14,0)/1000</f>
        <v>1.887</v>
      </c>
      <c r="I58" s="162">
        <f ca="1">VLOOKUP($A58,'BC.115+740'!$B$13:$X$489,15,0)/1000</f>
        <v>-0.113</v>
      </c>
      <c r="J58" s="162">
        <f ca="1">VLOOKUP($A58,'BC.115+740'!$B$13:$X$489,20,0)/1000</f>
        <v>1.84</v>
      </c>
      <c r="K58" s="162">
        <f ca="1">VLOOKUP($A58,'BC.115+740'!$B$13:$X$489,21,0)/1000</f>
        <v>-0.16</v>
      </c>
      <c r="L58" s="160">
        <f t="shared" ca="1" si="0"/>
        <v>-134</v>
      </c>
      <c r="M58" s="161">
        <f t="shared" ca="1" si="1"/>
        <v>-103.00000000000001</v>
      </c>
      <c r="N58" s="160">
        <f t="shared" ca="1" si="2"/>
        <v>-120</v>
      </c>
      <c r="O58" s="160"/>
      <c r="P58" s="173"/>
      <c r="Q58" s="172"/>
      <c r="R58" s="171"/>
      <c r="S58" s="170"/>
      <c r="T58" s="170"/>
    </row>
    <row r="59" spans="1:20">
      <c r="A59" s="164">
        <f>'BC.115+740'!B58</f>
        <v>45117</v>
      </c>
      <c r="B59" s="160">
        <v>45</v>
      </c>
      <c r="C59" s="162">
        <f ca="1">'BC.115+740'!M58/1000</f>
        <v>0.89700000000000002</v>
      </c>
      <c r="D59" s="162">
        <f ca="1">'BC.115+740'!AA58</f>
        <v>1.0069999999999999</v>
      </c>
      <c r="E59" s="163">
        <f ca="1">'BC.115+740'!AB58</f>
        <v>0.80400000000000005</v>
      </c>
      <c r="F59" s="162">
        <f ca="1">VLOOKUP($A59,'BC.115+740'!$B$13:$X$489,8,0)/1000</f>
        <v>1.9039999999999999</v>
      </c>
      <c r="G59" s="162">
        <f ca="1">VLOOKUP($A59,'BC.115+740'!$B$13:$X$489,9,0)/1000</f>
        <v>-9.6000000000000002E-2</v>
      </c>
      <c r="H59" s="162">
        <f ca="1">VLOOKUP($A59,'BC.115+740'!$B$13:$X$489,14,0)/1000</f>
        <v>1.887</v>
      </c>
      <c r="I59" s="162">
        <f ca="1">VLOOKUP($A59,'BC.115+740'!$B$13:$X$489,15,0)/1000</f>
        <v>-0.113</v>
      </c>
      <c r="J59" s="162">
        <f ca="1">VLOOKUP($A59,'BC.115+740'!$B$13:$X$489,20,0)/1000</f>
        <v>1.8380000000000001</v>
      </c>
      <c r="K59" s="162">
        <f ca="1">VLOOKUP($A59,'BC.115+740'!$B$13:$X$489,21,0)/1000</f>
        <v>-0.16200000000000001</v>
      </c>
      <c r="L59" s="160">
        <f t="shared" ca="1" si="0"/>
        <v>-136</v>
      </c>
      <c r="M59" s="161">
        <f t="shared" ca="1" si="1"/>
        <v>-103.00000000000001</v>
      </c>
      <c r="N59" s="160">
        <f t="shared" ca="1" si="2"/>
        <v>-122</v>
      </c>
      <c r="O59" s="160"/>
      <c r="P59" s="173"/>
      <c r="Q59" s="172"/>
      <c r="R59" s="171"/>
      <c r="S59" s="170"/>
      <c r="T59" s="170"/>
    </row>
    <row r="60" spans="1:20">
      <c r="A60" s="164">
        <f>'BC.115+740'!B59</f>
        <v>45118</v>
      </c>
      <c r="B60" s="160">
        <v>46</v>
      </c>
      <c r="C60" s="162">
        <f ca="1">'BC.115+740'!M59/1000</f>
        <v>0.89700000000000002</v>
      </c>
      <c r="D60" s="162">
        <f ca="1">'BC.115+740'!AA59</f>
        <v>1.0069999999999999</v>
      </c>
      <c r="E60" s="163">
        <f ca="1">'BC.115+740'!AB59</f>
        <v>0.80400000000000005</v>
      </c>
      <c r="F60" s="162">
        <f ca="1">VLOOKUP($A60,'BC.115+740'!$B$13:$X$489,8,0)/1000</f>
        <v>1.9019999999999999</v>
      </c>
      <c r="G60" s="162">
        <f ca="1">VLOOKUP($A60,'BC.115+740'!$B$13:$X$489,9,0)/1000</f>
        <v>-9.8000000000000004E-2</v>
      </c>
      <c r="H60" s="162">
        <f ca="1">VLOOKUP($A60,'BC.115+740'!$B$13:$X$489,14,0)/1000</f>
        <v>1.887</v>
      </c>
      <c r="I60" s="162">
        <f ca="1">VLOOKUP($A60,'BC.115+740'!$B$13:$X$489,15,0)/1000</f>
        <v>-0.113</v>
      </c>
      <c r="J60" s="162">
        <f ca="1">VLOOKUP($A60,'BC.115+740'!$B$13:$X$489,20,0)/1000</f>
        <v>1.8360000000000001</v>
      </c>
      <c r="K60" s="162">
        <f ca="1">VLOOKUP($A60,'BC.115+740'!$B$13:$X$489,21,0)/1000</f>
        <v>-0.16400000000000001</v>
      </c>
      <c r="L60" s="160">
        <f t="shared" ca="1" si="0"/>
        <v>-138</v>
      </c>
      <c r="M60" s="161">
        <f t="shared" ca="1" si="1"/>
        <v>-103.00000000000001</v>
      </c>
      <c r="N60" s="160">
        <f t="shared" ca="1" si="2"/>
        <v>-124</v>
      </c>
      <c r="O60" s="160"/>
      <c r="P60" s="173"/>
      <c r="Q60" s="172"/>
      <c r="R60" s="171"/>
      <c r="S60" s="170"/>
      <c r="T60" s="170"/>
    </row>
    <row r="61" spans="1:20">
      <c r="A61" s="164">
        <f>'BC.115+740'!B60</f>
        <v>45119</v>
      </c>
      <c r="B61" s="160">
        <v>47</v>
      </c>
      <c r="C61" s="162">
        <f ca="1">'BC.115+740'!M60/1000</f>
        <v>0.89700000000000002</v>
      </c>
      <c r="D61" s="162">
        <f ca="1">'BC.115+740'!AA60</f>
        <v>1.0069999999999999</v>
      </c>
      <c r="E61" s="163">
        <f ca="1">'BC.115+740'!AB60</f>
        <v>0.80400000000000005</v>
      </c>
      <c r="F61" s="162">
        <f ca="1">VLOOKUP($A61,'BC.115+740'!$B$13:$X$489,8,0)/1000</f>
        <v>1.9</v>
      </c>
      <c r="G61" s="162">
        <f ca="1">VLOOKUP($A61,'BC.115+740'!$B$13:$X$489,9,0)/1000</f>
        <v>-0.1</v>
      </c>
      <c r="H61" s="162">
        <f ca="1">VLOOKUP($A61,'BC.115+740'!$B$13:$X$489,14,0)/1000</f>
        <v>1.887</v>
      </c>
      <c r="I61" s="162">
        <f ca="1">VLOOKUP($A61,'BC.115+740'!$B$13:$X$489,15,0)/1000</f>
        <v>-0.113</v>
      </c>
      <c r="J61" s="162">
        <f ca="1">VLOOKUP($A61,'BC.115+740'!$B$13:$X$489,20,0)/1000</f>
        <v>1.8340000000000001</v>
      </c>
      <c r="K61" s="162">
        <f ca="1">VLOOKUP($A61,'BC.115+740'!$B$13:$X$489,21,0)/1000</f>
        <v>-0.16600000000000001</v>
      </c>
      <c r="L61" s="160">
        <f t="shared" ca="1" si="0"/>
        <v>-140</v>
      </c>
      <c r="M61" s="161">
        <f t="shared" ca="1" si="1"/>
        <v>-103.00000000000001</v>
      </c>
      <c r="N61" s="160">
        <f t="shared" ca="1" si="2"/>
        <v>-126</v>
      </c>
      <c r="O61" s="160"/>
      <c r="P61" s="173"/>
      <c r="Q61" s="172"/>
      <c r="R61" s="171"/>
      <c r="S61" s="170"/>
      <c r="T61" s="170"/>
    </row>
    <row r="62" spans="1:20">
      <c r="A62" s="164">
        <f>'BC.115+740'!B61</f>
        <v>45120</v>
      </c>
      <c r="B62" s="160">
        <v>48</v>
      </c>
      <c r="C62" s="162">
        <f ca="1">'BC.115+740'!M61/1000</f>
        <v>0.89700000000000002</v>
      </c>
      <c r="D62" s="162">
        <f ca="1">'BC.115+740'!AA61</f>
        <v>1.0069999999999999</v>
      </c>
      <c r="E62" s="163">
        <f ca="1">'BC.115+740'!AB61</f>
        <v>0.80400000000000005</v>
      </c>
      <c r="F62" s="162">
        <f ca="1">VLOOKUP($A62,'BC.115+740'!$B$13:$X$489,8,0)/1000</f>
        <v>1.9</v>
      </c>
      <c r="G62" s="162">
        <f ca="1">VLOOKUP($A62,'BC.115+740'!$B$13:$X$489,9,0)/1000</f>
        <v>-0.1</v>
      </c>
      <c r="H62" s="162">
        <f ca="1">VLOOKUP($A62,'BC.115+740'!$B$13:$X$489,14,0)/1000</f>
        <v>1.887</v>
      </c>
      <c r="I62" s="162">
        <f ca="1">VLOOKUP($A62,'BC.115+740'!$B$13:$X$489,15,0)/1000</f>
        <v>-0.113</v>
      </c>
      <c r="J62" s="162">
        <f ca="1">VLOOKUP($A62,'BC.115+740'!$B$13:$X$489,20,0)/1000</f>
        <v>1.8340000000000001</v>
      </c>
      <c r="K62" s="162">
        <f ca="1">VLOOKUP($A62,'BC.115+740'!$B$13:$X$489,21,0)/1000</f>
        <v>-0.16600000000000001</v>
      </c>
      <c r="L62" s="160">
        <f t="shared" ca="1" si="0"/>
        <v>-140</v>
      </c>
      <c r="M62" s="161">
        <f t="shared" ca="1" si="1"/>
        <v>-103.00000000000001</v>
      </c>
      <c r="N62" s="160">
        <f t="shared" ca="1" si="2"/>
        <v>-126</v>
      </c>
      <c r="O62" s="160"/>
      <c r="P62" s="173"/>
      <c r="Q62" s="172"/>
      <c r="R62" s="171"/>
      <c r="S62" s="170"/>
      <c r="T62" s="170"/>
    </row>
    <row r="63" spans="1:20">
      <c r="A63" s="164">
        <f>'BC.115+740'!B62</f>
        <v>45121</v>
      </c>
      <c r="B63" s="160">
        <v>49</v>
      </c>
      <c r="C63" s="162">
        <f ca="1">'BC.115+740'!M62/1000</f>
        <v>0.89700000000000002</v>
      </c>
      <c r="D63" s="162">
        <f ca="1">'BC.115+740'!AA62</f>
        <v>1.0069999999999999</v>
      </c>
      <c r="E63" s="163">
        <f ca="1">'BC.115+740'!AB62</f>
        <v>0.80400000000000005</v>
      </c>
      <c r="F63" s="162">
        <f ca="1">VLOOKUP($A63,'BC.115+740'!$B$13:$X$489,8,0)/1000</f>
        <v>1.9</v>
      </c>
      <c r="G63" s="162">
        <f ca="1">VLOOKUP($A63,'BC.115+740'!$B$13:$X$489,9,0)/1000</f>
        <v>-0.1</v>
      </c>
      <c r="H63" s="162">
        <f ca="1">VLOOKUP($A63,'BC.115+740'!$B$13:$X$489,14,0)/1000</f>
        <v>1.887</v>
      </c>
      <c r="I63" s="162">
        <f ca="1">VLOOKUP($A63,'BC.115+740'!$B$13:$X$489,15,0)/1000</f>
        <v>-0.113</v>
      </c>
      <c r="J63" s="162">
        <f ca="1">VLOOKUP($A63,'BC.115+740'!$B$13:$X$489,20,0)/1000</f>
        <v>1.8340000000000001</v>
      </c>
      <c r="K63" s="162">
        <f ca="1">VLOOKUP($A63,'BC.115+740'!$B$13:$X$489,21,0)/1000</f>
        <v>-0.16600000000000001</v>
      </c>
      <c r="L63" s="160">
        <f t="shared" ca="1" si="0"/>
        <v>-140</v>
      </c>
      <c r="M63" s="161">
        <f t="shared" ca="1" si="1"/>
        <v>-103.00000000000001</v>
      </c>
      <c r="N63" s="160">
        <f t="shared" ca="1" si="2"/>
        <v>-126</v>
      </c>
      <c r="O63" s="160"/>
      <c r="P63" s="173"/>
      <c r="Q63" s="172"/>
      <c r="R63" s="171"/>
      <c r="S63" s="170"/>
      <c r="T63" s="170"/>
    </row>
    <row r="64" spans="1:20">
      <c r="A64" s="164">
        <f>'BC.115+740'!B63</f>
        <v>45122</v>
      </c>
      <c r="B64" s="160">
        <v>50</v>
      </c>
      <c r="C64" s="162">
        <f ca="1">'BC.115+740'!M63/1000</f>
        <v>0.89700000000000002</v>
      </c>
      <c r="D64" s="162">
        <f ca="1">'BC.115+740'!AA63</f>
        <v>1.0069999999999999</v>
      </c>
      <c r="E64" s="163">
        <f ca="1">'BC.115+740'!AB63</f>
        <v>0.80400000000000005</v>
      </c>
      <c r="F64" s="162">
        <f ca="1">VLOOKUP($A64,'BC.115+740'!$B$13:$X$489,8,0)/1000</f>
        <v>1.9</v>
      </c>
      <c r="G64" s="162">
        <f ca="1">VLOOKUP($A64,'BC.115+740'!$B$13:$X$489,9,0)/1000</f>
        <v>-0.1</v>
      </c>
      <c r="H64" s="162">
        <f ca="1">VLOOKUP($A64,'BC.115+740'!$B$13:$X$489,14,0)/1000</f>
        <v>1.887</v>
      </c>
      <c r="I64" s="162">
        <f ca="1">VLOOKUP($A64,'BC.115+740'!$B$13:$X$489,15,0)/1000</f>
        <v>-0.113</v>
      </c>
      <c r="J64" s="162">
        <f ca="1">VLOOKUP($A64,'BC.115+740'!$B$13:$X$489,20,0)/1000</f>
        <v>1.8340000000000001</v>
      </c>
      <c r="K64" s="162">
        <f ca="1">VLOOKUP($A64,'BC.115+740'!$B$13:$X$489,21,0)/1000</f>
        <v>-0.16600000000000001</v>
      </c>
      <c r="L64" s="160">
        <f t="shared" ca="1" si="0"/>
        <v>-140</v>
      </c>
      <c r="M64" s="161">
        <f t="shared" ca="1" si="1"/>
        <v>-103.00000000000001</v>
      </c>
      <c r="N64" s="160">
        <f t="shared" ca="1" si="2"/>
        <v>-126</v>
      </c>
      <c r="O64" s="160"/>
      <c r="P64" s="173"/>
      <c r="Q64" s="172"/>
      <c r="R64" s="171"/>
      <c r="S64" s="170"/>
      <c r="T64" s="170"/>
    </row>
    <row r="65" spans="1:20">
      <c r="A65" s="164">
        <f>'BC.115+740'!B64</f>
        <v>45123</v>
      </c>
      <c r="B65" s="160">
        <v>51</v>
      </c>
      <c r="C65" s="162">
        <f ca="1">'BC.115+740'!M64/1000</f>
        <v>0.89700000000000002</v>
      </c>
      <c r="D65" s="162">
        <f ca="1">'BC.115+740'!AA64</f>
        <v>1.0069999999999999</v>
      </c>
      <c r="E65" s="163">
        <f ca="1">'BC.115+740'!AB64</f>
        <v>0.80400000000000005</v>
      </c>
      <c r="F65" s="162">
        <f ca="1">VLOOKUP($A65,'BC.115+740'!$B$13:$X$489,8,0)/1000</f>
        <v>1.9</v>
      </c>
      <c r="G65" s="162">
        <f ca="1">VLOOKUP($A65,'BC.115+740'!$B$13:$X$489,9,0)/1000</f>
        <v>-0.1</v>
      </c>
      <c r="H65" s="162">
        <f ca="1">VLOOKUP($A65,'BC.115+740'!$B$13:$X$489,14,0)/1000</f>
        <v>1.887</v>
      </c>
      <c r="I65" s="162">
        <f ca="1">VLOOKUP($A65,'BC.115+740'!$B$13:$X$489,15,0)/1000</f>
        <v>-0.113</v>
      </c>
      <c r="J65" s="162">
        <f ca="1">VLOOKUP($A65,'BC.115+740'!$B$13:$X$489,20,0)/1000</f>
        <v>1.8340000000000001</v>
      </c>
      <c r="K65" s="162">
        <f ca="1">VLOOKUP($A65,'BC.115+740'!$B$13:$X$489,21,0)/1000</f>
        <v>-0.16600000000000001</v>
      </c>
      <c r="L65" s="160">
        <f t="shared" ca="1" si="0"/>
        <v>-140</v>
      </c>
      <c r="M65" s="161">
        <f t="shared" ca="1" si="1"/>
        <v>-103.00000000000001</v>
      </c>
      <c r="N65" s="160">
        <f t="shared" ca="1" si="2"/>
        <v>-126</v>
      </c>
      <c r="O65" s="160"/>
      <c r="P65" s="173"/>
      <c r="Q65" s="172"/>
      <c r="R65" s="171"/>
      <c r="S65" s="170"/>
      <c r="T65" s="170"/>
    </row>
    <row r="66" spans="1:20">
      <c r="A66" s="164">
        <f>'BC.115+740'!B65</f>
        <v>45124</v>
      </c>
      <c r="B66" s="160">
        <v>52</v>
      </c>
      <c r="C66" s="162">
        <f ca="1">'BC.115+740'!M65/1000</f>
        <v>0.89700000000000002</v>
      </c>
      <c r="D66" s="162">
        <f ca="1">'BC.115+740'!AA65</f>
        <v>1.0069999999999999</v>
      </c>
      <c r="E66" s="163">
        <f ca="1">'BC.115+740'!AB65</f>
        <v>0.80400000000000005</v>
      </c>
      <c r="F66" s="162">
        <f ca="1">VLOOKUP($A66,'BC.115+740'!$B$13:$X$489,8,0)/1000</f>
        <v>1.9</v>
      </c>
      <c r="G66" s="162">
        <f ca="1">VLOOKUP($A66,'BC.115+740'!$B$13:$X$489,9,0)/1000</f>
        <v>-0.1</v>
      </c>
      <c r="H66" s="162">
        <f ca="1">VLOOKUP($A66,'BC.115+740'!$B$13:$X$489,14,0)/1000</f>
        <v>1.887</v>
      </c>
      <c r="I66" s="162">
        <f ca="1">VLOOKUP($A66,'BC.115+740'!$B$13:$X$489,15,0)/1000</f>
        <v>-0.113</v>
      </c>
      <c r="J66" s="162">
        <f ca="1">VLOOKUP($A66,'BC.115+740'!$B$13:$X$489,20,0)/1000</f>
        <v>1.8340000000000001</v>
      </c>
      <c r="K66" s="162">
        <f ca="1">VLOOKUP($A66,'BC.115+740'!$B$13:$X$489,21,0)/1000</f>
        <v>-0.16600000000000001</v>
      </c>
      <c r="L66" s="160">
        <f t="shared" ca="1" si="0"/>
        <v>-140</v>
      </c>
      <c r="M66" s="161">
        <f t="shared" ca="1" si="1"/>
        <v>-103.00000000000001</v>
      </c>
      <c r="N66" s="160">
        <f t="shared" ca="1" si="2"/>
        <v>-126</v>
      </c>
      <c r="O66" s="160"/>
      <c r="P66" s="173"/>
      <c r="Q66" s="172"/>
      <c r="R66" s="171"/>
      <c r="S66" s="170"/>
      <c r="T66" s="170"/>
    </row>
    <row r="67" spans="1:20">
      <c r="A67" s="164">
        <f>'BC.115+740'!B66</f>
        <v>45125</v>
      </c>
      <c r="B67" s="160">
        <v>53</v>
      </c>
      <c r="C67" s="162">
        <f ca="1">'BC.115+740'!M66/1000</f>
        <v>0.89700000000000002</v>
      </c>
      <c r="D67" s="162">
        <f ca="1">'BC.115+740'!AA66</f>
        <v>1.0069999999999999</v>
      </c>
      <c r="E67" s="163">
        <f ca="1">'BC.115+740'!AB66</f>
        <v>0.80400000000000005</v>
      </c>
      <c r="F67" s="162">
        <f ca="1">VLOOKUP($A67,'BC.115+740'!$B$13:$X$489,8,0)/1000</f>
        <v>1.9</v>
      </c>
      <c r="G67" s="162">
        <f ca="1">VLOOKUP($A67,'BC.115+740'!$B$13:$X$489,9,0)/1000</f>
        <v>-0.1</v>
      </c>
      <c r="H67" s="162">
        <f ca="1">VLOOKUP($A67,'BC.115+740'!$B$13:$X$489,14,0)/1000</f>
        <v>1.887</v>
      </c>
      <c r="I67" s="162">
        <f ca="1">VLOOKUP($A67,'BC.115+740'!$B$13:$X$489,15,0)/1000</f>
        <v>-0.113</v>
      </c>
      <c r="J67" s="162">
        <f ca="1">VLOOKUP($A67,'BC.115+740'!$B$13:$X$489,20,0)/1000</f>
        <v>1.8340000000000001</v>
      </c>
      <c r="K67" s="162">
        <f ca="1">VLOOKUP($A67,'BC.115+740'!$B$13:$X$489,21,0)/1000</f>
        <v>-0.16600000000000001</v>
      </c>
      <c r="L67" s="160">
        <f t="shared" ca="1" si="0"/>
        <v>-140</v>
      </c>
      <c r="M67" s="161">
        <f t="shared" ca="1" si="1"/>
        <v>-103.00000000000001</v>
      </c>
      <c r="N67" s="160">
        <f t="shared" ca="1" si="2"/>
        <v>-126</v>
      </c>
      <c r="O67" s="160"/>
      <c r="P67" s="173"/>
      <c r="Q67" s="172"/>
      <c r="R67" s="171"/>
      <c r="S67" s="170"/>
      <c r="T67" s="170"/>
    </row>
    <row r="68" spans="1:20">
      <c r="A68" s="164">
        <f>'BC.115+740'!B67</f>
        <v>45126</v>
      </c>
      <c r="B68" s="160">
        <v>54</v>
      </c>
      <c r="C68" s="162">
        <f ca="1">'BC.115+740'!M67/1000</f>
        <v>0.89700000000000002</v>
      </c>
      <c r="D68" s="162">
        <f ca="1">'BC.115+740'!AA67</f>
        <v>1.0069999999999999</v>
      </c>
      <c r="E68" s="163">
        <f ca="1">'BC.115+740'!AB67</f>
        <v>0.80400000000000005</v>
      </c>
      <c r="F68" s="162">
        <f ca="1">VLOOKUP($A68,'BC.115+740'!$B$13:$X$489,8,0)/1000</f>
        <v>1.9</v>
      </c>
      <c r="G68" s="162">
        <f ca="1">VLOOKUP($A68,'BC.115+740'!$B$13:$X$489,9,0)/1000</f>
        <v>-0.1</v>
      </c>
      <c r="H68" s="162">
        <f ca="1">VLOOKUP($A68,'BC.115+740'!$B$13:$X$489,14,0)/1000</f>
        <v>1.887</v>
      </c>
      <c r="I68" s="162">
        <f ca="1">VLOOKUP($A68,'BC.115+740'!$B$13:$X$489,15,0)/1000</f>
        <v>-0.113</v>
      </c>
      <c r="J68" s="162">
        <f ca="1">VLOOKUP($A68,'BC.115+740'!$B$13:$X$489,20,0)/1000</f>
        <v>1.8340000000000001</v>
      </c>
      <c r="K68" s="162">
        <f ca="1">VLOOKUP($A68,'BC.115+740'!$B$13:$X$489,21,0)/1000</f>
        <v>-0.16600000000000001</v>
      </c>
      <c r="L68" s="160">
        <f t="shared" ca="1" si="0"/>
        <v>-140</v>
      </c>
      <c r="M68" s="161">
        <f t="shared" ca="1" si="1"/>
        <v>-103.00000000000001</v>
      </c>
      <c r="N68" s="160">
        <f t="shared" ca="1" si="2"/>
        <v>-126</v>
      </c>
      <c r="O68" s="160"/>
      <c r="P68" s="173"/>
      <c r="Q68" s="172"/>
      <c r="R68" s="171"/>
      <c r="S68" s="170"/>
      <c r="T68" s="170"/>
    </row>
    <row r="69" spans="1:20">
      <c r="A69" s="164">
        <f>'BC.115+740'!B68</f>
        <v>45127</v>
      </c>
      <c r="B69" s="160">
        <v>55</v>
      </c>
      <c r="C69" s="162">
        <f ca="1">'BC.115+740'!M68/1000</f>
        <v>0.89700000000000002</v>
      </c>
      <c r="D69" s="162">
        <f ca="1">'BC.115+740'!AA68</f>
        <v>1.0069999999999999</v>
      </c>
      <c r="E69" s="163">
        <f ca="1">'BC.115+740'!AB68</f>
        <v>0.80400000000000005</v>
      </c>
      <c r="F69" s="162">
        <f ca="1">VLOOKUP($A69,'BC.115+740'!$B$13:$X$489,8,0)/1000</f>
        <v>1.9</v>
      </c>
      <c r="G69" s="162">
        <f ca="1">VLOOKUP($A69,'BC.115+740'!$B$13:$X$489,9,0)/1000</f>
        <v>-0.1</v>
      </c>
      <c r="H69" s="162">
        <f ca="1">VLOOKUP($A69,'BC.115+740'!$B$13:$X$489,14,0)/1000</f>
        <v>1.887</v>
      </c>
      <c r="I69" s="162">
        <f ca="1">VLOOKUP($A69,'BC.115+740'!$B$13:$X$489,15,0)/1000</f>
        <v>-0.113</v>
      </c>
      <c r="J69" s="162">
        <f ca="1">VLOOKUP($A69,'BC.115+740'!$B$13:$X$489,20,0)/1000</f>
        <v>1.8340000000000001</v>
      </c>
      <c r="K69" s="162">
        <f ca="1">VLOOKUP($A69,'BC.115+740'!$B$13:$X$489,21,0)/1000</f>
        <v>-0.16600000000000001</v>
      </c>
      <c r="L69" s="160">
        <f t="shared" ca="1" si="0"/>
        <v>-140</v>
      </c>
      <c r="M69" s="161">
        <f t="shared" ca="1" si="1"/>
        <v>-103.00000000000001</v>
      </c>
      <c r="N69" s="160">
        <f t="shared" ca="1" si="2"/>
        <v>-126</v>
      </c>
      <c r="O69" s="160"/>
      <c r="P69" s="173"/>
      <c r="Q69" s="172"/>
      <c r="R69" s="171"/>
      <c r="S69" s="170"/>
      <c r="T69" s="170"/>
    </row>
    <row r="70" spans="1:20">
      <c r="A70" s="164">
        <f>'BC.115+740'!B69</f>
        <v>45128</v>
      </c>
      <c r="B70" s="160">
        <v>56</v>
      </c>
      <c r="C70" s="162">
        <f ca="1">'BC.115+740'!M69/1000</f>
        <v>0.89700000000000002</v>
      </c>
      <c r="D70" s="162">
        <f ca="1">'BC.115+740'!AA69</f>
        <v>1.0069999999999999</v>
      </c>
      <c r="E70" s="163">
        <f ca="1">'BC.115+740'!AB69</f>
        <v>0.80400000000000005</v>
      </c>
      <c r="F70" s="162">
        <f ca="1">VLOOKUP($A70,'BC.115+740'!$B$13:$X$489,8,0)/1000</f>
        <v>1.9</v>
      </c>
      <c r="G70" s="162">
        <f ca="1">VLOOKUP($A70,'BC.115+740'!$B$13:$X$489,9,0)/1000</f>
        <v>-0.1</v>
      </c>
      <c r="H70" s="162">
        <f ca="1">VLOOKUP($A70,'BC.115+740'!$B$13:$X$489,14,0)/1000</f>
        <v>1.887</v>
      </c>
      <c r="I70" s="162">
        <f ca="1">VLOOKUP($A70,'BC.115+740'!$B$13:$X$489,15,0)/1000</f>
        <v>-0.113</v>
      </c>
      <c r="J70" s="162">
        <f ca="1">VLOOKUP($A70,'BC.115+740'!$B$13:$X$489,20,0)/1000</f>
        <v>1.8340000000000001</v>
      </c>
      <c r="K70" s="162">
        <f ca="1">VLOOKUP($A70,'BC.115+740'!$B$13:$X$489,21,0)/1000</f>
        <v>-0.16600000000000001</v>
      </c>
      <c r="L70" s="160">
        <f t="shared" ca="1" si="0"/>
        <v>-140</v>
      </c>
      <c r="M70" s="161">
        <f t="shared" ca="1" si="1"/>
        <v>-103.00000000000001</v>
      </c>
      <c r="N70" s="160">
        <f t="shared" ca="1" si="2"/>
        <v>-126</v>
      </c>
      <c r="O70" s="160"/>
      <c r="P70" s="173"/>
      <c r="Q70" s="172"/>
      <c r="R70" s="171"/>
      <c r="S70" s="170"/>
      <c r="T70" s="170"/>
    </row>
    <row r="71" spans="1:20">
      <c r="A71" s="164">
        <f>'BC.115+740'!B70</f>
        <v>45129</v>
      </c>
      <c r="B71" s="160">
        <v>57</v>
      </c>
      <c r="C71" s="162">
        <f ca="1">'BC.115+740'!M70/1000</f>
        <v>0.89700000000000002</v>
      </c>
      <c r="D71" s="162">
        <f ca="1">'BC.115+740'!AA70</f>
        <v>1.0069999999999999</v>
      </c>
      <c r="E71" s="163">
        <f ca="1">'BC.115+740'!AB70</f>
        <v>0.80400000000000005</v>
      </c>
      <c r="F71" s="162">
        <f ca="1">VLOOKUP($A71,'BC.115+740'!$B$13:$X$489,8,0)/1000</f>
        <v>1.9</v>
      </c>
      <c r="G71" s="162">
        <f ca="1">VLOOKUP($A71,'BC.115+740'!$B$13:$X$489,9,0)/1000</f>
        <v>-0.1</v>
      </c>
      <c r="H71" s="162">
        <f ca="1">VLOOKUP($A71,'BC.115+740'!$B$13:$X$489,14,0)/1000</f>
        <v>1.887</v>
      </c>
      <c r="I71" s="162">
        <f ca="1">VLOOKUP($A71,'BC.115+740'!$B$13:$X$489,15,0)/1000</f>
        <v>-0.113</v>
      </c>
      <c r="J71" s="162">
        <f ca="1">VLOOKUP($A71,'BC.115+740'!$B$13:$X$489,20,0)/1000</f>
        <v>1.8340000000000001</v>
      </c>
      <c r="K71" s="162">
        <f ca="1">VLOOKUP($A71,'BC.115+740'!$B$13:$X$489,21,0)/1000</f>
        <v>-0.16600000000000001</v>
      </c>
      <c r="L71" s="160">
        <f t="shared" ca="1" si="0"/>
        <v>-140</v>
      </c>
      <c r="M71" s="161">
        <f t="shared" ca="1" si="1"/>
        <v>-103.00000000000001</v>
      </c>
      <c r="N71" s="160">
        <f t="shared" ca="1" si="2"/>
        <v>-126</v>
      </c>
      <c r="O71" s="160"/>
      <c r="P71" s="173"/>
      <c r="Q71" s="172"/>
      <c r="R71" s="171"/>
      <c r="S71" s="170"/>
      <c r="T71" s="170"/>
    </row>
    <row r="72" spans="1:20">
      <c r="A72" s="164">
        <f>'BC.115+740'!B71</f>
        <v>45130</v>
      </c>
      <c r="B72" s="160">
        <v>58</v>
      </c>
      <c r="C72" s="162">
        <f ca="1">'BC.115+740'!M71/1000</f>
        <v>0.89700000000000002</v>
      </c>
      <c r="D72" s="162">
        <f ca="1">'BC.115+740'!AA71</f>
        <v>1.0069999999999999</v>
      </c>
      <c r="E72" s="163">
        <f ca="1">'BC.115+740'!AB71</f>
        <v>0.80400000000000005</v>
      </c>
      <c r="F72" s="162">
        <f ca="1">VLOOKUP($A72,'BC.115+740'!$B$13:$X$489,8,0)/1000</f>
        <v>1.9</v>
      </c>
      <c r="G72" s="162">
        <f ca="1">VLOOKUP($A72,'BC.115+740'!$B$13:$X$489,9,0)/1000</f>
        <v>-0.1</v>
      </c>
      <c r="H72" s="162">
        <f ca="1">VLOOKUP($A72,'BC.115+740'!$B$13:$X$489,14,0)/1000</f>
        <v>1.887</v>
      </c>
      <c r="I72" s="162">
        <f ca="1">VLOOKUP($A72,'BC.115+740'!$B$13:$X$489,15,0)/1000</f>
        <v>-0.113</v>
      </c>
      <c r="J72" s="162">
        <f ca="1">VLOOKUP($A72,'BC.115+740'!$B$13:$X$489,20,0)/1000</f>
        <v>1.8340000000000001</v>
      </c>
      <c r="K72" s="162">
        <f ca="1">VLOOKUP($A72,'BC.115+740'!$B$13:$X$489,21,0)/1000</f>
        <v>-0.16600000000000001</v>
      </c>
      <c r="L72" s="160">
        <f t="shared" ca="1" si="0"/>
        <v>-140</v>
      </c>
      <c r="M72" s="161">
        <f t="shared" ca="1" si="1"/>
        <v>-103.00000000000001</v>
      </c>
      <c r="N72" s="160">
        <f t="shared" ca="1" si="2"/>
        <v>-126</v>
      </c>
      <c r="O72" s="160"/>
      <c r="P72" s="173"/>
      <c r="Q72" s="172"/>
      <c r="R72" s="171"/>
      <c r="S72" s="170"/>
      <c r="T72" s="170"/>
    </row>
    <row r="73" spans="1:20">
      <c r="A73" s="164">
        <f>'BC.115+740'!B72</f>
        <v>45131</v>
      </c>
      <c r="B73" s="160">
        <v>59</v>
      </c>
      <c r="C73" s="162">
        <f ca="1">'BC.115+740'!M72/1000</f>
        <v>0.89700000000000002</v>
      </c>
      <c r="D73" s="162">
        <f ca="1">'BC.115+740'!AA72</f>
        <v>1.0069999999999999</v>
      </c>
      <c r="E73" s="163">
        <f ca="1">'BC.115+740'!AB72</f>
        <v>0.80400000000000005</v>
      </c>
      <c r="F73" s="162">
        <f ca="1">VLOOKUP($A73,'BC.115+740'!$B$13:$X$489,8,0)/1000</f>
        <v>1.9</v>
      </c>
      <c r="G73" s="162">
        <f ca="1">VLOOKUP($A73,'BC.115+740'!$B$13:$X$489,9,0)/1000</f>
        <v>-0.1</v>
      </c>
      <c r="H73" s="162">
        <f ca="1">VLOOKUP($A73,'BC.115+740'!$B$13:$X$489,14,0)/1000</f>
        <v>1.887</v>
      </c>
      <c r="I73" s="162">
        <f ca="1">VLOOKUP($A73,'BC.115+740'!$B$13:$X$489,15,0)/1000</f>
        <v>-0.113</v>
      </c>
      <c r="J73" s="162">
        <f ca="1">VLOOKUP($A73,'BC.115+740'!$B$13:$X$489,20,0)/1000</f>
        <v>1.8340000000000001</v>
      </c>
      <c r="K73" s="162">
        <f ca="1">VLOOKUP($A73,'BC.115+740'!$B$13:$X$489,21,0)/1000</f>
        <v>-0.16600000000000001</v>
      </c>
      <c r="L73" s="160">
        <f t="shared" ca="1" si="0"/>
        <v>-140</v>
      </c>
      <c r="M73" s="161">
        <f t="shared" ca="1" si="1"/>
        <v>-103.00000000000001</v>
      </c>
      <c r="N73" s="160">
        <f t="shared" ca="1" si="2"/>
        <v>-126</v>
      </c>
      <c r="O73" s="160"/>
      <c r="P73" s="173"/>
      <c r="Q73" s="172"/>
      <c r="R73" s="171"/>
      <c r="S73" s="170"/>
      <c r="T73" s="170"/>
    </row>
    <row r="74" spans="1:20">
      <c r="A74" s="164">
        <f>'BC.115+740'!B73</f>
        <v>45132</v>
      </c>
      <c r="B74" s="160">
        <v>60</v>
      </c>
      <c r="C74" s="162">
        <f ca="1">'BC.115+740'!M73/1000</f>
        <v>0.89700000000000002</v>
      </c>
      <c r="D74" s="162">
        <f ca="1">'BC.115+740'!AA73</f>
        <v>1.0069999999999999</v>
      </c>
      <c r="E74" s="163">
        <f ca="1">'BC.115+740'!AB73</f>
        <v>0.80400000000000005</v>
      </c>
      <c r="F74" s="162">
        <f ca="1">VLOOKUP($A74,'BC.115+740'!$B$13:$X$489,8,0)/1000</f>
        <v>1.9</v>
      </c>
      <c r="G74" s="162">
        <f ca="1">VLOOKUP($A74,'BC.115+740'!$B$13:$X$489,9,0)/1000</f>
        <v>-0.1</v>
      </c>
      <c r="H74" s="162">
        <f ca="1">VLOOKUP($A74,'BC.115+740'!$B$13:$X$489,14,0)/1000</f>
        <v>1.887</v>
      </c>
      <c r="I74" s="162">
        <f ca="1">VLOOKUP($A74,'BC.115+740'!$B$13:$X$489,15,0)/1000</f>
        <v>-0.113</v>
      </c>
      <c r="J74" s="162">
        <f ca="1">VLOOKUP($A74,'BC.115+740'!$B$13:$X$489,20,0)/1000</f>
        <v>1.8340000000000001</v>
      </c>
      <c r="K74" s="162">
        <f ca="1">VLOOKUP($A74,'BC.115+740'!$B$13:$X$489,21,0)/1000</f>
        <v>-0.16600000000000001</v>
      </c>
      <c r="L74" s="160">
        <f t="shared" ca="1" si="0"/>
        <v>-140</v>
      </c>
      <c r="M74" s="161">
        <f t="shared" ca="1" si="1"/>
        <v>-103.00000000000001</v>
      </c>
      <c r="N74" s="160">
        <f t="shared" ca="1" si="2"/>
        <v>-126</v>
      </c>
      <c r="O74" s="160"/>
      <c r="P74" s="173"/>
      <c r="Q74" s="172"/>
      <c r="R74" s="171"/>
      <c r="S74" s="170"/>
      <c r="T74" s="170"/>
    </row>
    <row r="75" spans="1:20">
      <c r="A75" s="164">
        <f>'BC.115+740'!B74</f>
        <v>45133</v>
      </c>
      <c r="B75" s="160">
        <v>61</v>
      </c>
      <c r="C75" s="162">
        <f ca="1">'BC.115+740'!M74/1000</f>
        <v>0.89700000000000002</v>
      </c>
      <c r="D75" s="162">
        <f ca="1">'BC.115+740'!AA74</f>
        <v>1.0069999999999999</v>
      </c>
      <c r="E75" s="163">
        <f ca="1">'BC.115+740'!AB74</f>
        <v>0.80400000000000005</v>
      </c>
      <c r="F75" s="162">
        <f ca="1">VLOOKUP($A75,'BC.115+740'!$B$13:$X$489,8,0)/1000</f>
        <v>1.9</v>
      </c>
      <c r="G75" s="162">
        <f ca="1">VLOOKUP($A75,'BC.115+740'!$B$13:$X$489,9,0)/1000</f>
        <v>-0.1</v>
      </c>
      <c r="H75" s="162">
        <f ca="1">VLOOKUP($A75,'BC.115+740'!$B$13:$X$489,14,0)/1000</f>
        <v>1.887</v>
      </c>
      <c r="I75" s="162">
        <f ca="1">VLOOKUP($A75,'BC.115+740'!$B$13:$X$489,15,0)/1000</f>
        <v>-0.113</v>
      </c>
      <c r="J75" s="162">
        <f ca="1">VLOOKUP($A75,'BC.115+740'!$B$13:$X$489,20,0)/1000</f>
        <v>1.8340000000000001</v>
      </c>
      <c r="K75" s="162">
        <f ca="1">VLOOKUP($A75,'BC.115+740'!$B$13:$X$489,21,0)/1000</f>
        <v>-0.16600000000000001</v>
      </c>
      <c r="L75" s="160">
        <f t="shared" ca="1" si="0"/>
        <v>-140</v>
      </c>
      <c r="M75" s="161">
        <f t="shared" ca="1" si="1"/>
        <v>-103.00000000000001</v>
      </c>
      <c r="N75" s="160">
        <f t="shared" ca="1" si="2"/>
        <v>-126</v>
      </c>
      <c r="O75" s="160"/>
      <c r="P75" s="173"/>
      <c r="Q75" s="172"/>
      <c r="R75" s="171"/>
      <c r="S75" s="170"/>
      <c r="T75" s="170"/>
    </row>
    <row r="76" spans="1:20">
      <c r="A76" s="164">
        <f>'BC.115+740'!B75</f>
        <v>45134</v>
      </c>
      <c r="B76" s="160">
        <v>62</v>
      </c>
      <c r="C76" s="162">
        <f ca="1">'BC.115+740'!M75/1000</f>
        <v>0.89700000000000002</v>
      </c>
      <c r="D76" s="162">
        <f ca="1">'BC.115+740'!AA75</f>
        <v>1.0069999999999999</v>
      </c>
      <c r="E76" s="163">
        <f ca="1">'BC.115+740'!AB75</f>
        <v>0.80400000000000005</v>
      </c>
      <c r="F76" s="162">
        <f ca="1">VLOOKUP($A76,'BC.115+740'!$B$13:$X$489,8,0)/1000</f>
        <v>1.9</v>
      </c>
      <c r="G76" s="162">
        <f ca="1">VLOOKUP($A76,'BC.115+740'!$B$13:$X$489,9,0)/1000</f>
        <v>-0.1</v>
      </c>
      <c r="H76" s="162">
        <f ca="1">VLOOKUP($A76,'BC.115+740'!$B$13:$X$489,14,0)/1000</f>
        <v>1.887</v>
      </c>
      <c r="I76" s="162">
        <f ca="1">VLOOKUP($A76,'BC.115+740'!$B$13:$X$489,15,0)/1000</f>
        <v>-0.113</v>
      </c>
      <c r="J76" s="162">
        <f ca="1">VLOOKUP($A76,'BC.115+740'!$B$13:$X$489,20,0)/1000</f>
        <v>1.8340000000000001</v>
      </c>
      <c r="K76" s="162">
        <f ca="1">VLOOKUP($A76,'BC.115+740'!$B$13:$X$489,21,0)/1000</f>
        <v>-0.16600000000000001</v>
      </c>
      <c r="L76" s="160">
        <f t="shared" ca="1" si="0"/>
        <v>-140</v>
      </c>
      <c r="M76" s="161">
        <f t="shared" ca="1" si="1"/>
        <v>-103.00000000000001</v>
      </c>
      <c r="N76" s="160">
        <f t="shared" ca="1" si="2"/>
        <v>-126</v>
      </c>
      <c r="O76" s="160"/>
      <c r="P76" s="173"/>
      <c r="Q76" s="172"/>
      <c r="R76" s="171"/>
      <c r="S76" s="170"/>
      <c r="T76" s="170"/>
    </row>
    <row r="77" spans="1:20">
      <c r="A77" s="164">
        <f>'BC.115+740'!B76</f>
        <v>45135</v>
      </c>
      <c r="B77" s="160">
        <v>63</v>
      </c>
      <c r="C77" s="162">
        <f ca="1">'BC.115+740'!M76/1000</f>
        <v>0.89700000000000002</v>
      </c>
      <c r="D77" s="162">
        <f ca="1">'BC.115+740'!AA76</f>
        <v>1.0069999999999999</v>
      </c>
      <c r="E77" s="163">
        <f ca="1">'BC.115+740'!AB76</f>
        <v>0.80400000000000005</v>
      </c>
      <c r="F77" s="162">
        <f ca="1">VLOOKUP($A77,'BC.115+740'!$B$13:$X$489,8,0)/1000</f>
        <v>1.9</v>
      </c>
      <c r="G77" s="162">
        <f ca="1">VLOOKUP($A77,'BC.115+740'!$B$13:$X$489,9,0)/1000</f>
        <v>-0.1</v>
      </c>
      <c r="H77" s="162">
        <f ca="1">VLOOKUP($A77,'BC.115+740'!$B$13:$X$489,14,0)/1000</f>
        <v>1.887</v>
      </c>
      <c r="I77" s="162">
        <f ca="1">VLOOKUP($A77,'BC.115+740'!$B$13:$X$489,15,0)/1000</f>
        <v>-0.113</v>
      </c>
      <c r="J77" s="162">
        <f ca="1">VLOOKUP($A77,'BC.115+740'!$B$13:$X$489,20,0)/1000</f>
        <v>1.8340000000000001</v>
      </c>
      <c r="K77" s="162">
        <f ca="1">VLOOKUP($A77,'BC.115+740'!$B$13:$X$489,21,0)/1000</f>
        <v>-0.16600000000000001</v>
      </c>
      <c r="L77" s="160">
        <f t="shared" ca="1" si="0"/>
        <v>-140</v>
      </c>
      <c r="M77" s="161">
        <f t="shared" ca="1" si="1"/>
        <v>-103.00000000000001</v>
      </c>
      <c r="N77" s="160">
        <f t="shared" ca="1" si="2"/>
        <v>-126</v>
      </c>
      <c r="O77" s="160"/>
    </row>
    <row r="78" spans="1:20">
      <c r="A78" s="164">
        <f>'BC.115+740'!B77</f>
        <v>45136</v>
      </c>
      <c r="B78" s="160">
        <v>64</v>
      </c>
      <c r="C78" s="162">
        <f ca="1">'BC.115+740'!M77/1000</f>
        <v>0.89700000000000002</v>
      </c>
      <c r="D78" s="162">
        <f ca="1">'BC.115+740'!AA77</f>
        <v>1.0069999999999999</v>
      </c>
      <c r="E78" s="163">
        <f ca="1">'BC.115+740'!AB77</f>
        <v>0.80400000000000005</v>
      </c>
      <c r="F78" s="162">
        <f ca="1">VLOOKUP($A78,'BC.115+740'!$B$13:$X$489,8,0)/1000</f>
        <v>1.9</v>
      </c>
      <c r="G78" s="162">
        <f ca="1">VLOOKUP($A78,'BC.115+740'!$B$13:$X$489,9,0)/1000</f>
        <v>-0.1</v>
      </c>
      <c r="H78" s="162">
        <f ca="1">VLOOKUP($A78,'BC.115+740'!$B$13:$X$489,14,0)/1000</f>
        <v>1.887</v>
      </c>
      <c r="I78" s="162">
        <f ca="1">VLOOKUP($A78,'BC.115+740'!$B$13:$X$489,15,0)/1000</f>
        <v>-0.113</v>
      </c>
      <c r="J78" s="162">
        <f ca="1">VLOOKUP($A78,'BC.115+740'!$B$13:$X$489,20,0)/1000</f>
        <v>1.8340000000000001</v>
      </c>
      <c r="K78" s="162">
        <f ca="1">VLOOKUP($A78,'BC.115+740'!$B$13:$X$489,21,0)/1000</f>
        <v>-0.16600000000000001</v>
      </c>
      <c r="L78" s="160">
        <f t="shared" ref="L78:L141" ca="1" si="3">(G78-$G$14)*1000</f>
        <v>-140</v>
      </c>
      <c r="M78" s="161">
        <f t="shared" ref="M78:M141" ca="1" si="4">(I78-$I$14)*1000</f>
        <v>-103.00000000000001</v>
      </c>
      <c r="N78" s="160">
        <f t="shared" ca="1" si="2"/>
        <v>-126</v>
      </c>
      <c r="O78" s="160"/>
    </row>
    <row r="79" spans="1:20">
      <c r="A79" s="164">
        <f>'BC.115+740'!B78</f>
        <v>45137</v>
      </c>
      <c r="B79" s="160">
        <v>65</v>
      </c>
      <c r="C79" s="162">
        <f ca="1">'BC.115+740'!M78/1000</f>
        <v>0.89700000000000002</v>
      </c>
      <c r="D79" s="162">
        <f ca="1">'BC.115+740'!AA78</f>
        <v>1.0069999999999999</v>
      </c>
      <c r="E79" s="163">
        <f ca="1">'BC.115+740'!AB78</f>
        <v>0.80400000000000005</v>
      </c>
      <c r="F79" s="162">
        <f ca="1">VLOOKUP($A79,'BC.115+740'!$B$13:$X$489,8,0)/1000</f>
        <v>1.9</v>
      </c>
      <c r="G79" s="162">
        <f ca="1">VLOOKUP($A79,'BC.115+740'!$B$13:$X$489,9,0)/1000</f>
        <v>-0.1</v>
      </c>
      <c r="H79" s="162">
        <f ca="1">VLOOKUP($A79,'BC.115+740'!$B$13:$X$489,14,0)/1000</f>
        <v>1.887</v>
      </c>
      <c r="I79" s="162">
        <f ca="1">VLOOKUP($A79,'BC.115+740'!$B$13:$X$489,15,0)/1000</f>
        <v>-0.113</v>
      </c>
      <c r="J79" s="162">
        <f ca="1">VLOOKUP($A79,'BC.115+740'!$B$13:$X$489,20,0)/1000</f>
        <v>1.8340000000000001</v>
      </c>
      <c r="K79" s="162">
        <f ca="1">VLOOKUP($A79,'BC.115+740'!$B$13:$X$489,21,0)/1000</f>
        <v>-0.16600000000000001</v>
      </c>
      <c r="L79" s="160">
        <f t="shared" ca="1" si="3"/>
        <v>-140</v>
      </c>
      <c r="M79" s="161">
        <f t="shared" ca="1" si="4"/>
        <v>-103.00000000000001</v>
      </c>
      <c r="N79" s="160">
        <f t="shared" ref="N79:N142" ca="1" si="5">(K79-$K$14)*1000</f>
        <v>-126</v>
      </c>
      <c r="O79" s="160"/>
    </row>
    <row r="80" spans="1:20">
      <c r="A80" s="164">
        <f>'BC.115+740'!B79</f>
        <v>45138</v>
      </c>
      <c r="B80" s="160">
        <v>66</v>
      </c>
      <c r="C80" s="162">
        <f ca="1">'BC.115+740'!M79/1000</f>
        <v>0.89700000000000002</v>
      </c>
      <c r="D80" s="162">
        <f ca="1">'BC.115+740'!AA79</f>
        <v>1.0069999999999999</v>
      </c>
      <c r="E80" s="163">
        <f ca="1">'BC.115+740'!AB79</f>
        <v>0.80400000000000005</v>
      </c>
      <c r="F80" s="162">
        <f ca="1">VLOOKUP($A80,'BC.115+740'!$B$13:$X$489,8,0)/1000</f>
        <v>1.9</v>
      </c>
      <c r="G80" s="162">
        <f ca="1">VLOOKUP($A80,'BC.115+740'!$B$13:$X$489,9,0)/1000</f>
        <v>-0.1</v>
      </c>
      <c r="H80" s="162">
        <f ca="1">VLOOKUP($A80,'BC.115+740'!$B$13:$X$489,14,0)/1000</f>
        <v>1.887</v>
      </c>
      <c r="I80" s="162">
        <f ca="1">VLOOKUP($A80,'BC.115+740'!$B$13:$X$489,15,0)/1000</f>
        <v>-0.113</v>
      </c>
      <c r="J80" s="162">
        <f ca="1">VLOOKUP($A80,'BC.115+740'!$B$13:$X$489,20,0)/1000</f>
        <v>1.8340000000000001</v>
      </c>
      <c r="K80" s="162">
        <f ca="1">VLOOKUP($A80,'BC.115+740'!$B$13:$X$489,21,0)/1000</f>
        <v>-0.16600000000000001</v>
      </c>
      <c r="L80" s="160">
        <f t="shared" ca="1" si="3"/>
        <v>-140</v>
      </c>
      <c r="M80" s="161">
        <f t="shared" ca="1" si="4"/>
        <v>-103.00000000000001</v>
      </c>
      <c r="N80" s="160">
        <f t="shared" ca="1" si="5"/>
        <v>-126</v>
      </c>
      <c r="O80" s="160"/>
    </row>
    <row r="81" spans="1:25">
      <c r="A81" s="164">
        <f>'BC.115+740'!B80</f>
        <v>45139</v>
      </c>
      <c r="B81" s="160">
        <v>67</v>
      </c>
      <c r="C81" s="162">
        <f ca="1">'BC.115+740'!M80/1000</f>
        <v>0.89700000000000002</v>
      </c>
      <c r="D81" s="162">
        <f ca="1">'BC.115+740'!AA80</f>
        <v>1.0069999999999999</v>
      </c>
      <c r="E81" s="163">
        <f ca="1">'BC.115+740'!AB80</f>
        <v>0.80400000000000005</v>
      </c>
      <c r="F81" s="162">
        <f ca="1">VLOOKUP($A81,'BC.115+740'!$B$13:$X$489,8,0)/1000</f>
        <v>1.9</v>
      </c>
      <c r="G81" s="162">
        <f ca="1">VLOOKUP($A81,'BC.115+740'!$B$13:$X$489,9,0)/1000</f>
        <v>-0.1</v>
      </c>
      <c r="H81" s="162">
        <f ca="1">VLOOKUP($A81,'BC.115+740'!$B$13:$X$489,14,0)/1000</f>
        <v>1.887</v>
      </c>
      <c r="I81" s="162">
        <f ca="1">VLOOKUP($A81,'BC.115+740'!$B$13:$X$489,15,0)/1000</f>
        <v>-0.113</v>
      </c>
      <c r="J81" s="162">
        <f ca="1">VLOOKUP($A81,'BC.115+740'!$B$13:$X$489,20,0)/1000</f>
        <v>1.8340000000000001</v>
      </c>
      <c r="K81" s="162">
        <f ca="1">VLOOKUP($A81,'BC.115+740'!$B$13:$X$489,21,0)/1000</f>
        <v>-0.16600000000000001</v>
      </c>
      <c r="L81" s="160">
        <f t="shared" ca="1" si="3"/>
        <v>-140</v>
      </c>
      <c r="M81" s="161">
        <f t="shared" ca="1" si="4"/>
        <v>-103.00000000000001</v>
      </c>
      <c r="N81" s="160">
        <f t="shared" ca="1" si="5"/>
        <v>-126</v>
      </c>
      <c r="O81" s="160"/>
    </row>
    <row r="82" spans="1:25">
      <c r="A82" s="164">
        <f>'BC.115+740'!B81</f>
        <v>45140</v>
      </c>
      <c r="B82" s="160">
        <v>68</v>
      </c>
      <c r="C82" s="162">
        <f ca="1">'BC.115+740'!M81/1000</f>
        <v>0.89700000000000002</v>
      </c>
      <c r="D82" s="162">
        <f ca="1">'BC.115+740'!AA81</f>
        <v>1.0069999999999999</v>
      </c>
      <c r="E82" s="163">
        <f ca="1">'BC.115+740'!AB81</f>
        <v>0.80400000000000005</v>
      </c>
      <c r="F82" s="162">
        <f ca="1">VLOOKUP($A82,'BC.115+740'!$B$13:$X$489,8,0)/1000</f>
        <v>1.9</v>
      </c>
      <c r="G82" s="162">
        <f ca="1">VLOOKUP($A82,'BC.115+740'!$B$13:$X$489,9,0)/1000</f>
        <v>-0.1</v>
      </c>
      <c r="H82" s="162">
        <f ca="1">VLOOKUP($A82,'BC.115+740'!$B$13:$X$489,14,0)/1000</f>
        <v>1.887</v>
      </c>
      <c r="I82" s="162">
        <f ca="1">VLOOKUP($A82,'BC.115+740'!$B$13:$X$489,15,0)/1000</f>
        <v>-0.113</v>
      </c>
      <c r="J82" s="162">
        <f ca="1">VLOOKUP($A82,'BC.115+740'!$B$13:$X$489,20,0)/1000</f>
        <v>1.8340000000000001</v>
      </c>
      <c r="K82" s="162">
        <f ca="1">VLOOKUP($A82,'BC.115+740'!$B$13:$X$489,21,0)/1000</f>
        <v>-0.16600000000000001</v>
      </c>
      <c r="L82" s="160">
        <f t="shared" ca="1" si="3"/>
        <v>-140</v>
      </c>
      <c r="M82" s="161">
        <f t="shared" ca="1" si="4"/>
        <v>-103.00000000000001</v>
      </c>
      <c r="N82" s="160">
        <f t="shared" ca="1" si="5"/>
        <v>-126</v>
      </c>
      <c r="O82" s="160"/>
    </row>
    <row r="83" spans="1:25">
      <c r="A83" s="164">
        <f>'BC.115+740'!B82</f>
        <v>45141</v>
      </c>
      <c r="B83" s="160">
        <v>69</v>
      </c>
      <c r="C83" s="162">
        <f ca="1">'BC.115+740'!M82/1000</f>
        <v>0.89700000000000002</v>
      </c>
      <c r="D83" s="162">
        <f ca="1">'BC.115+740'!AA82</f>
        <v>1.0069999999999999</v>
      </c>
      <c r="E83" s="163">
        <f ca="1">'BC.115+740'!AB82</f>
        <v>0.80400000000000005</v>
      </c>
      <c r="F83" s="162">
        <f ca="1">VLOOKUP($A83,'BC.115+740'!$B$13:$X$489,8,0)/1000</f>
        <v>1.9</v>
      </c>
      <c r="G83" s="162">
        <f ca="1">VLOOKUP($A83,'BC.115+740'!$B$13:$X$489,9,0)/1000</f>
        <v>-0.1</v>
      </c>
      <c r="H83" s="162">
        <f ca="1">VLOOKUP($A83,'BC.115+740'!$B$13:$X$489,14,0)/1000</f>
        <v>1.887</v>
      </c>
      <c r="I83" s="162">
        <f ca="1">VLOOKUP($A83,'BC.115+740'!$B$13:$X$489,15,0)/1000</f>
        <v>-0.113</v>
      </c>
      <c r="J83" s="162">
        <f ca="1">VLOOKUP($A83,'BC.115+740'!$B$13:$X$489,20,0)/1000</f>
        <v>1.8340000000000001</v>
      </c>
      <c r="K83" s="162">
        <f ca="1">VLOOKUP($A83,'BC.115+740'!$B$13:$X$489,21,0)/1000</f>
        <v>-0.16600000000000001</v>
      </c>
      <c r="L83" s="160">
        <f t="shared" ca="1" si="3"/>
        <v>-140</v>
      </c>
      <c r="M83" s="161">
        <f t="shared" ca="1" si="4"/>
        <v>-103.00000000000001</v>
      </c>
      <c r="N83" s="160">
        <f t="shared" ca="1" si="5"/>
        <v>-126</v>
      </c>
      <c r="O83" s="160"/>
    </row>
    <row r="84" spans="1:25">
      <c r="A84" s="164">
        <f>'BC.115+740'!B83</f>
        <v>45142</v>
      </c>
      <c r="B84" s="160">
        <v>70</v>
      </c>
      <c r="C84" s="162">
        <f ca="1">'BC.115+740'!M83/1000</f>
        <v>0.89700000000000002</v>
      </c>
      <c r="D84" s="162">
        <f ca="1">'BC.115+740'!AA83</f>
        <v>1.0069999999999999</v>
      </c>
      <c r="E84" s="163">
        <f ca="1">'BC.115+740'!AB83</f>
        <v>0.80400000000000005</v>
      </c>
      <c r="F84" s="162">
        <f ca="1">VLOOKUP($A84,'BC.115+740'!$B$13:$X$489,8,0)/1000</f>
        <v>1.9</v>
      </c>
      <c r="G84" s="162">
        <f ca="1">VLOOKUP($A84,'BC.115+740'!$B$13:$X$489,9,0)/1000</f>
        <v>-0.1</v>
      </c>
      <c r="H84" s="162">
        <f ca="1">VLOOKUP($A84,'BC.115+740'!$B$13:$X$489,14,0)/1000</f>
        <v>1.887</v>
      </c>
      <c r="I84" s="162">
        <f ca="1">VLOOKUP($A84,'BC.115+740'!$B$13:$X$489,15,0)/1000</f>
        <v>-0.113</v>
      </c>
      <c r="J84" s="162">
        <f ca="1">VLOOKUP($A84,'BC.115+740'!$B$13:$X$489,20,0)/1000</f>
        <v>1.8340000000000001</v>
      </c>
      <c r="K84" s="162">
        <f ca="1">VLOOKUP($A84,'BC.115+740'!$B$13:$X$489,21,0)/1000</f>
        <v>-0.16600000000000001</v>
      </c>
      <c r="L84" s="160">
        <f t="shared" ca="1" si="3"/>
        <v>-140</v>
      </c>
      <c r="M84" s="161">
        <f t="shared" ca="1" si="4"/>
        <v>-103.00000000000001</v>
      </c>
      <c r="N84" s="160">
        <f t="shared" ca="1" si="5"/>
        <v>-126</v>
      </c>
      <c r="O84" s="160"/>
    </row>
    <row r="85" spans="1:25">
      <c r="A85" s="164">
        <f>'BC.115+740'!B84</f>
        <v>45143</v>
      </c>
      <c r="B85" s="160">
        <v>71</v>
      </c>
      <c r="C85" s="162">
        <f ca="1">'BC.115+740'!M84/1000</f>
        <v>0.89700000000000002</v>
      </c>
      <c r="D85" s="162">
        <f ca="1">'BC.115+740'!AA84</f>
        <v>1.0069999999999999</v>
      </c>
      <c r="E85" s="163">
        <f ca="1">'BC.115+740'!AB84</f>
        <v>0.80400000000000005</v>
      </c>
      <c r="F85" s="162">
        <f ca="1">VLOOKUP($A85,'BC.115+740'!$B$13:$X$489,8,0)/1000</f>
        <v>1.9</v>
      </c>
      <c r="G85" s="162">
        <f ca="1">VLOOKUP($A85,'BC.115+740'!$B$13:$X$489,9,0)/1000</f>
        <v>-0.1</v>
      </c>
      <c r="H85" s="162">
        <f ca="1">VLOOKUP($A85,'BC.115+740'!$B$13:$X$489,14,0)/1000</f>
        <v>1.887</v>
      </c>
      <c r="I85" s="162">
        <f ca="1">VLOOKUP($A85,'BC.115+740'!$B$13:$X$489,15,0)/1000</f>
        <v>-0.113</v>
      </c>
      <c r="J85" s="162">
        <f ca="1">VLOOKUP($A85,'BC.115+740'!$B$13:$X$489,20,0)/1000</f>
        <v>1.8340000000000001</v>
      </c>
      <c r="K85" s="162">
        <f ca="1">VLOOKUP($A85,'BC.115+740'!$B$13:$X$489,21,0)/1000</f>
        <v>-0.16600000000000001</v>
      </c>
      <c r="L85" s="160">
        <f t="shared" ca="1" si="3"/>
        <v>-140</v>
      </c>
      <c r="M85" s="161">
        <f t="shared" ca="1" si="4"/>
        <v>-103.00000000000001</v>
      </c>
      <c r="N85" s="160">
        <f t="shared" ca="1" si="5"/>
        <v>-126</v>
      </c>
      <c r="O85" s="160"/>
    </row>
    <row r="86" spans="1:25">
      <c r="A86" s="164">
        <f>'BC.115+740'!B85</f>
        <v>45144</v>
      </c>
      <c r="B86" s="160">
        <v>72</v>
      </c>
      <c r="C86" s="162">
        <f ca="1">'BC.115+740'!M85/1000</f>
        <v>0.89700000000000002</v>
      </c>
      <c r="D86" s="162">
        <f ca="1">'BC.115+740'!AA85</f>
        <v>1.0069999999999999</v>
      </c>
      <c r="E86" s="163">
        <f ca="1">'BC.115+740'!AB85</f>
        <v>0.80400000000000005</v>
      </c>
      <c r="F86" s="162">
        <f ca="1">VLOOKUP($A86,'BC.115+740'!$B$13:$X$489,8,0)/1000</f>
        <v>1.9</v>
      </c>
      <c r="G86" s="162">
        <f ca="1">VLOOKUP($A86,'BC.115+740'!$B$13:$X$489,9,0)/1000</f>
        <v>-0.1</v>
      </c>
      <c r="H86" s="162">
        <f ca="1">VLOOKUP($A86,'BC.115+740'!$B$13:$X$489,14,0)/1000</f>
        <v>1.887</v>
      </c>
      <c r="I86" s="162">
        <f ca="1">VLOOKUP($A86,'BC.115+740'!$B$13:$X$489,15,0)/1000</f>
        <v>-0.113</v>
      </c>
      <c r="J86" s="162">
        <f ca="1">VLOOKUP($A86,'BC.115+740'!$B$13:$X$489,20,0)/1000</f>
        <v>1.8340000000000001</v>
      </c>
      <c r="K86" s="162">
        <f ca="1">VLOOKUP($A86,'BC.115+740'!$B$13:$X$489,21,0)/1000</f>
        <v>-0.16600000000000001</v>
      </c>
      <c r="L86" s="160">
        <f t="shared" ca="1" si="3"/>
        <v>-140</v>
      </c>
      <c r="M86" s="161">
        <f t="shared" ca="1" si="4"/>
        <v>-103.00000000000001</v>
      </c>
      <c r="N86" s="160">
        <f t="shared" ca="1" si="5"/>
        <v>-126</v>
      </c>
      <c r="O86" s="160"/>
    </row>
    <row r="87" spans="1:25">
      <c r="A87" s="164">
        <f>'BC.115+740'!B86</f>
        <v>45145</v>
      </c>
      <c r="B87" s="160">
        <v>73</v>
      </c>
      <c r="C87" s="162">
        <f ca="1">'BC.115+740'!M86/1000</f>
        <v>0.89700000000000002</v>
      </c>
      <c r="D87" s="162">
        <f ca="1">'BC.115+740'!AA86</f>
        <v>1.0069999999999999</v>
      </c>
      <c r="E87" s="163">
        <f ca="1">'BC.115+740'!AB86</f>
        <v>0.80400000000000005</v>
      </c>
      <c r="F87" s="162">
        <f ca="1">VLOOKUP($A87,'BC.115+740'!$B$13:$X$489,8,0)/1000</f>
        <v>1.9</v>
      </c>
      <c r="G87" s="162">
        <f ca="1">VLOOKUP($A87,'BC.115+740'!$B$13:$X$489,9,0)/1000</f>
        <v>-0.1</v>
      </c>
      <c r="H87" s="162">
        <f ca="1">VLOOKUP($A87,'BC.115+740'!$B$13:$X$489,14,0)/1000</f>
        <v>1.887</v>
      </c>
      <c r="I87" s="162">
        <f ca="1">VLOOKUP($A87,'BC.115+740'!$B$13:$X$489,15,0)/1000</f>
        <v>-0.113</v>
      </c>
      <c r="J87" s="162">
        <f ca="1">VLOOKUP($A87,'BC.115+740'!$B$13:$X$489,20,0)/1000</f>
        <v>1.8340000000000001</v>
      </c>
      <c r="K87" s="162">
        <f ca="1">VLOOKUP($A87,'BC.115+740'!$B$13:$X$489,21,0)/1000</f>
        <v>-0.16600000000000001</v>
      </c>
      <c r="L87" s="160">
        <f t="shared" ca="1" si="3"/>
        <v>-140</v>
      </c>
      <c r="M87" s="161">
        <f t="shared" ca="1" si="4"/>
        <v>-103.00000000000001</v>
      </c>
      <c r="N87" s="160">
        <f t="shared" ca="1" si="5"/>
        <v>-126</v>
      </c>
      <c r="O87" s="160"/>
    </row>
    <row r="88" spans="1:25">
      <c r="A88" s="164">
        <f>'BC.115+740'!B87</f>
        <v>45146</v>
      </c>
      <c r="B88" s="160">
        <v>74</v>
      </c>
      <c r="C88" s="162">
        <f ca="1">'BC.115+740'!M87/1000</f>
        <v>0.89700000000000002</v>
      </c>
      <c r="D88" s="162">
        <f ca="1">'BC.115+740'!AA87</f>
        <v>1.0069999999999999</v>
      </c>
      <c r="E88" s="163">
        <f ca="1">'BC.115+740'!AB87</f>
        <v>0.80400000000000005</v>
      </c>
      <c r="F88" s="162">
        <f ca="1">VLOOKUP($A88,'BC.115+740'!$B$13:$X$489,8,0)/1000</f>
        <v>1.9</v>
      </c>
      <c r="G88" s="162">
        <f ca="1">VLOOKUP($A88,'BC.115+740'!$B$13:$X$489,9,0)/1000</f>
        <v>-0.1</v>
      </c>
      <c r="H88" s="162">
        <f ca="1">VLOOKUP($A88,'BC.115+740'!$B$13:$X$489,14,0)/1000</f>
        <v>1.887</v>
      </c>
      <c r="I88" s="162">
        <f ca="1">VLOOKUP($A88,'BC.115+740'!$B$13:$X$489,15,0)/1000</f>
        <v>-0.113</v>
      </c>
      <c r="J88" s="162">
        <f ca="1">VLOOKUP($A88,'BC.115+740'!$B$13:$X$489,20,0)/1000</f>
        <v>1.8340000000000001</v>
      </c>
      <c r="K88" s="162">
        <f ca="1">VLOOKUP($A88,'BC.115+740'!$B$13:$X$489,21,0)/1000</f>
        <v>-0.16600000000000001</v>
      </c>
      <c r="L88" s="160">
        <f t="shared" ca="1" si="3"/>
        <v>-140</v>
      </c>
      <c r="M88" s="161">
        <f t="shared" ca="1" si="4"/>
        <v>-103.00000000000001</v>
      </c>
      <c r="N88" s="160">
        <f t="shared" ca="1" si="5"/>
        <v>-126</v>
      </c>
      <c r="O88" s="160"/>
    </row>
    <row r="89" spans="1:25">
      <c r="A89" s="164">
        <f>'BC.115+740'!B88</f>
        <v>45147</v>
      </c>
      <c r="B89" s="160">
        <v>75</v>
      </c>
      <c r="C89" s="162">
        <f ca="1">'BC.115+740'!M88/1000</f>
        <v>0.89700000000000002</v>
      </c>
      <c r="D89" s="162">
        <f ca="1">'BC.115+740'!AA88</f>
        <v>1.0069999999999999</v>
      </c>
      <c r="E89" s="163">
        <f ca="1">'BC.115+740'!AB88</f>
        <v>0.80400000000000005</v>
      </c>
      <c r="F89" s="162">
        <f ca="1">VLOOKUP($A89,'BC.115+740'!$B$13:$X$489,8,0)/1000</f>
        <v>1.9</v>
      </c>
      <c r="G89" s="162">
        <f ca="1">VLOOKUP($A89,'BC.115+740'!$B$13:$X$489,9,0)/1000</f>
        <v>-0.1</v>
      </c>
      <c r="H89" s="162">
        <f ca="1">VLOOKUP($A89,'BC.115+740'!$B$13:$X$489,14,0)/1000</f>
        <v>1.887</v>
      </c>
      <c r="I89" s="162">
        <f ca="1">VLOOKUP($A89,'BC.115+740'!$B$13:$X$489,15,0)/1000</f>
        <v>-0.113</v>
      </c>
      <c r="J89" s="162">
        <f ca="1">VLOOKUP($A89,'BC.115+740'!$B$13:$X$489,20,0)/1000</f>
        <v>1.8340000000000001</v>
      </c>
      <c r="K89" s="162">
        <f ca="1">VLOOKUP($A89,'BC.115+740'!$B$13:$X$489,21,0)/1000</f>
        <v>-0.16600000000000001</v>
      </c>
      <c r="L89" s="160">
        <f t="shared" ca="1" si="3"/>
        <v>-140</v>
      </c>
      <c r="M89" s="161">
        <f t="shared" ca="1" si="4"/>
        <v>-103.00000000000001</v>
      </c>
      <c r="N89" s="160">
        <f t="shared" ca="1" si="5"/>
        <v>-126</v>
      </c>
      <c r="O89" s="160"/>
    </row>
    <row r="90" spans="1:25">
      <c r="A90" s="164">
        <f>'BC.115+740'!B89</f>
        <v>45148</v>
      </c>
      <c r="B90" s="160">
        <v>76</v>
      </c>
      <c r="C90" s="162">
        <f ca="1">'BC.115+740'!M89/1000</f>
        <v>0.89700000000000002</v>
      </c>
      <c r="D90" s="162">
        <f ca="1">'BC.115+740'!AA89</f>
        <v>1.0069999999999999</v>
      </c>
      <c r="E90" s="163">
        <f ca="1">'BC.115+740'!AB89</f>
        <v>0.80400000000000005</v>
      </c>
      <c r="F90" s="162">
        <f ca="1">VLOOKUP($A90,'BC.115+740'!$B$13:$X$489,8,0)/1000</f>
        <v>1.9</v>
      </c>
      <c r="G90" s="162">
        <f ca="1">VLOOKUP($A90,'BC.115+740'!$B$13:$X$489,9,0)/1000</f>
        <v>-0.1</v>
      </c>
      <c r="H90" s="162">
        <f ca="1">VLOOKUP($A90,'BC.115+740'!$B$13:$X$489,14,0)/1000</f>
        <v>1.887</v>
      </c>
      <c r="I90" s="162">
        <f ca="1">VLOOKUP($A90,'BC.115+740'!$B$13:$X$489,15,0)/1000</f>
        <v>-0.113</v>
      </c>
      <c r="J90" s="162">
        <f ca="1">VLOOKUP($A90,'BC.115+740'!$B$13:$X$489,20,0)/1000</f>
        <v>1.8340000000000001</v>
      </c>
      <c r="K90" s="162">
        <f ca="1">VLOOKUP($A90,'BC.115+740'!$B$13:$X$489,21,0)/1000</f>
        <v>-0.16600000000000001</v>
      </c>
      <c r="L90" s="160">
        <f t="shared" ca="1" si="3"/>
        <v>-140</v>
      </c>
      <c r="M90" s="161">
        <f t="shared" ca="1" si="4"/>
        <v>-103.00000000000001</v>
      </c>
      <c r="N90" s="160">
        <f t="shared" ca="1" si="5"/>
        <v>-126</v>
      </c>
      <c r="O90" s="160"/>
    </row>
    <row r="91" spans="1:25">
      <c r="A91" s="164">
        <f>'BC.115+740'!B90</f>
        <v>45149</v>
      </c>
      <c r="B91" s="160">
        <v>77</v>
      </c>
      <c r="C91" s="162">
        <f ca="1">'BC.115+740'!M90/1000</f>
        <v>0.89700000000000002</v>
      </c>
      <c r="D91" s="162">
        <f ca="1">'BC.115+740'!AA90</f>
        <v>1.0069999999999999</v>
      </c>
      <c r="E91" s="163">
        <f ca="1">'BC.115+740'!AB90</f>
        <v>0.80400000000000005</v>
      </c>
      <c r="F91" s="162">
        <f ca="1">VLOOKUP($A91,'BC.115+740'!$B$13:$X$489,8,0)/1000</f>
        <v>1.9</v>
      </c>
      <c r="G91" s="162">
        <f ca="1">VLOOKUP($A91,'BC.115+740'!$B$13:$X$489,9,0)/1000</f>
        <v>-0.1</v>
      </c>
      <c r="H91" s="162">
        <f ca="1">VLOOKUP($A91,'BC.115+740'!$B$13:$X$489,14,0)/1000</f>
        <v>1.887</v>
      </c>
      <c r="I91" s="162">
        <f ca="1">VLOOKUP($A91,'BC.115+740'!$B$13:$X$489,15,0)/1000</f>
        <v>-0.113</v>
      </c>
      <c r="J91" s="162">
        <f ca="1">VLOOKUP($A91,'BC.115+740'!$B$13:$X$489,20,0)/1000</f>
        <v>1.8340000000000001</v>
      </c>
      <c r="K91" s="162">
        <f ca="1">VLOOKUP($A91,'BC.115+740'!$B$13:$X$489,21,0)/1000</f>
        <v>-0.16600000000000001</v>
      </c>
      <c r="L91" s="160">
        <f t="shared" ca="1" si="3"/>
        <v>-140</v>
      </c>
      <c r="M91" s="161">
        <f t="shared" ca="1" si="4"/>
        <v>-103.00000000000001</v>
      </c>
      <c r="N91" s="160">
        <f t="shared" ca="1" si="5"/>
        <v>-126</v>
      </c>
      <c r="O91" s="160"/>
    </row>
    <row r="92" spans="1:25">
      <c r="A92" s="164">
        <f>'BC.115+740'!B91</f>
        <v>45150</v>
      </c>
      <c r="B92" s="160">
        <v>78</v>
      </c>
      <c r="C92" s="162">
        <f ca="1">'BC.115+740'!M91/1000</f>
        <v>0.89700000000000002</v>
      </c>
      <c r="D92" s="162">
        <f ca="1">'BC.115+740'!AA91</f>
        <v>1.0069999999999999</v>
      </c>
      <c r="E92" s="163">
        <f ca="1">'BC.115+740'!AB91</f>
        <v>0.80400000000000005</v>
      </c>
      <c r="F92" s="162">
        <f ca="1">VLOOKUP($A92,'BC.115+740'!$B$13:$X$489,8,0)/1000</f>
        <v>1.9</v>
      </c>
      <c r="G92" s="162">
        <f ca="1">VLOOKUP($A92,'BC.115+740'!$B$13:$X$489,9,0)/1000</f>
        <v>-0.1</v>
      </c>
      <c r="H92" s="162">
        <f ca="1">VLOOKUP($A92,'BC.115+740'!$B$13:$X$489,14,0)/1000</f>
        <v>1.887</v>
      </c>
      <c r="I92" s="162">
        <f ca="1">VLOOKUP($A92,'BC.115+740'!$B$13:$X$489,15,0)/1000</f>
        <v>-0.113</v>
      </c>
      <c r="J92" s="162">
        <f ca="1">VLOOKUP($A92,'BC.115+740'!$B$13:$X$489,20,0)/1000</f>
        <v>1.8340000000000001</v>
      </c>
      <c r="K92" s="162">
        <f ca="1">VLOOKUP($A92,'BC.115+740'!$B$13:$X$489,21,0)/1000</f>
        <v>-0.16600000000000001</v>
      </c>
      <c r="L92" s="160">
        <f t="shared" ca="1" si="3"/>
        <v>-140</v>
      </c>
      <c r="M92" s="161">
        <f t="shared" ca="1" si="4"/>
        <v>-103.00000000000001</v>
      </c>
      <c r="N92" s="160">
        <f t="shared" ca="1" si="5"/>
        <v>-126</v>
      </c>
      <c r="O92" s="160"/>
      <c r="Y92" s="154">
        <f>A21-A14</f>
        <v>7</v>
      </c>
    </row>
    <row r="93" spans="1:25">
      <c r="A93" s="164">
        <f>'BC.115+740'!B92</f>
        <v>45151</v>
      </c>
      <c r="B93" s="160">
        <v>79</v>
      </c>
      <c r="C93" s="162">
        <f ca="1">'BC.115+740'!M92/1000</f>
        <v>0.89700000000000002</v>
      </c>
      <c r="D93" s="162">
        <f ca="1">'BC.115+740'!AA92</f>
        <v>1.0069999999999999</v>
      </c>
      <c r="E93" s="163">
        <f ca="1">'BC.115+740'!AB92</f>
        <v>0.80400000000000005</v>
      </c>
      <c r="F93" s="162">
        <f ca="1">VLOOKUP($A93,'BC.115+740'!$B$13:$X$489,8,0)/1000</f>
        <v>1.9</v>
      </c>
      <c r="G93" s="162">
        <f ca="1">VLOOKUP($A93,'BC.115+740'!$B$13:$X$489,9,0)/1000</f>
        <v>-0.1</v>
      </c>
      <c r="H93" s="162">
        <f ca="1">VLOOKUP($A93,'BC.115+740'!$B$13:$X$489,14,0)/1000</f>
        <v>1.887</v>
      </c>
      <c r="I93" s="162">
        <f ca="1">VLOOKUP($A93,'BC.115+740'!$B$13:$X$489,15,0)/1000</f>
        <v>-0.113</v>
      </c>
      <c r="J93" s="162">
        <f ca="1">VLOOKUP($A93,'BC.115+740'!$B$13:$X$489,20,0)/1000</f>
        <v>1.8340000000000001</v>
      </c>
      <c r="K93" s="162">
        <f ca="1">VLOOKUP($A93,'BC.115+740'!$B$13:$X$489,21,0)/1000</f>
        <v>-0.16600000000000001</v>
      </c>
      <c r="L93" s="160">
        <f t="shared" ca="1" si="3"/>
        <v>-140</v>
      </c>
      <c r="M93" s="161">
        <f t="shared" ca="1" si="4"/>
        <v>-103.00000000000001</v>
      </c>
      <c r="N93" s="160">
        <f t="shared" ca="1" si="5"/>
        <v>-126</v>
      </c>
      <c r="O93" s="160"/>
    </row>
    <row r="94" spans="1:25">
      <c r="A94" s="164">
        <f>'BC.115+740'!B93</f>
        <v>45152</v>
      </c>
      <c r="B94" s="160">
        <v>80</v>
      </c>
      <c r="C94" s="162">
        <f ca="1">'BC.115+740'!M93/1000</f>
        <v>0.89700000000000002</v>
      </c>
      <c r="D94" s="162">
        <f ca="1">'BC.115+740'!AA93</f>
        <v>1.0069999999999999</v>
      </c>
      <c r="E94" s="163">
        <f ca="1">'BC.115+740'!AB93</f>
        <v>0.80400000000000005</v>
      </c>
      <c r="F94" s="162">
        <f ca="1">VLOOKUP($A94,'BC.115+740'!$B$13:$X$489,8,0)/1000</f>
        <v>1.9</v>
      </c>
      <c r="G94" s="162">
        <f ca="1">VLOOKUP($A94,'BC.115+740'!$B$13:$X$489,9,0)/1000</f>
        <v>-0.1</v>
      </c>
      <c r="H94" s="162">
        <f ca="1">VLOOKUP($A94,'BC.115+740'!$B$13:$X$489,14,0)/1000</f>
        <v>1.887</v>
      </c>
      <c r="I94" s="162">
        <f ca="1">VLOOKUP($A94,'BC.115+740'!$B$13:$X$489,15,0)/1000</f>
        <v>-0.113</v>
      </c>
      <c r="J94" s="162">
        <f ca="1">VLOOKUP($A94,'BC.115+740'!$B$13:$X$489,20,0)/1000</f>
        <v>1.8340000000000001</v>
      </c>
      <c r="K94" s="162">
        <f ca="1">VLOOKUP($A94,'BC.115+740'!$B$13:$X$489,21,0)/1000</f>
        <v>-0.16600000000000001</v>
      </c>
      <c r="L94" s="160">
        <f t="shared" ca="1" si="3"/>
        <v>-140</v>
      </c>
      <c r="M94" s="161">
        <f t="shared" ca="1" si="4"/>
        <v>-103.00000000000001</v>
      </c>
      <c r="N94" s="160">
        <f t="shared" ca="1" si="5"/>
        <v>-126</v>
      </c>
      <c r="O94" s="160"/>
    </row>
    <row r="95" spans="1:25">
      <c r="A95" s="164">
        <f>'BC.115+740'!B94</f>
        <v>45153</v>
      </c>
      <c r="B95" s="160">
        <v>81</v>
      </c>
      <c r="C95" s="162">
        <f ca="1">'BC.115+740'!M94/1000</f>
        <v>0.89700000000000002</v>
      </c>
      <c r="D95" s="162">
        <f ca="1">'BC.115+740'!AA94</f>
        <v>1.0069999999999999</v>
      </c>
      <c r="E95" s="163">
        <f ca="1">'BC.115+740'!AB94</f>
        <v>0.80400000000000005</v>
      </c>
      <c r="F95" s="162">
        <f ca="1">VLOOKUP($A95,'BC.115+740'!$B$13:$X$489,8,0)/1000</f>
        <v>1.9</v>
      </c>
      <c r="G95" s="162">
        <f ca="1">VLOOKUP($A95,'BC.115+740'!$B$13:$X$489,9,0)/1000</f>
        <v>-0.1</v>
      </c>
      <c r="H95" s="162">
        <f ca="1">VLOOKUP($A95,'BC.115+740'!$B$13:$X$489,14,0)/1000</f>
        <v>1.887</v>
      </c>
      <c r="I95" s="162">
        <f ca="1">VLOOKUP($A95,'BC.115+740'!$B$13:$X$489,15,0)/1000</f>
        <v>-0.113</v>
      </c>
      <c r="J95" s="162">
        <f ca="1">VLOOKUP($A95,'BC.115+740'!$B$13:$X$489,20,0)/1000</f>
        <v>1.8340000000000001</v>
      </c>
      <c r="K95" s="162">
        <f ca="1">VLOOKUP($A95,'BC.115+740'!$B$13:$X$489,21,0)/1000</f>
        <v>-0.16600000000000001</v>
      </c>
      <c r="L95" s="160">
        <f t="shared" ca="1" si="3"/>
        <v>-140</v>
      </c>
      <c r="M95" s="161">
        <f t="shared" ca="1" si="4"/>
        <v>-103.00000000000001</v>
      </c>
      <c r="N95" s="160">
        <f t="shared" ca="1" si="5"/>
        <v>-126</v>
      </c>
      <c r="O95" s="160"/>
    </row>
    <row r="96" spans="1:25">
      <c r="A96" s="164">
        <f>'BC.115+740'!B95</f>
        <v>45154</v>
      </c>
      <c r="B96" s="160">
        <v>82</v>
      </c>
      <c r="C96" s="162">
        <f ca="1">'BC.115+740'!M95/1000</f>
        <v>0.89700000000000002</v>
      </c>
      <c r="D96" s="162">
        <f ca="1">'BC.115+740'!AA95</f>
        <v>1.0069999999999999</v>
      </c>
      <c r="E96" s="163">
        <f ca="1">'BC.115+740'!AB95</f>
        <v>0.80400000000000005</v>
      </c>
      <c r="F96" s="162">
        <f ca="1">VLOOKUP($A96,'BC.115+740'!$B$13:$X$489,8,0)/1000</f>
        <v>1.9</v>
      </c>
      <c r="G96" s="162">
        <f ca="1">VLOOKUP($A96,'BC.115+740'!$B$13:$X$489,9,0)/1000</f>
        <v>-0.1</v>
      </c>
      <c r="H96" s="162">
        <f ca="1">VLOOKUP($A96,'BC.115+740'!$B$13:$X$489,14,0)/1000</f>
        <v>1.887</v>
      </c>
      <c r="I96" s="162">
        <f ca="1">VLOOKUP($A96,'BC.115+740'!$B$13:$X$489,15,0)/1000</f>
        <v>-0.113</v>
      </c>
      <c r="J96" s="162">
        <f ca="1">VLOOKUP($A96,'BC.115+740'!$B$13:$X$489,20,0)/1000</f>
        <v>1.8340000000000001</v>
      </c>
      <c r="K96" s="162">
        <f ca="1">VLOOKUP($A96,'BC.115+740'!$B$13:$X$489,21,0)/1000</f>
        <v>-0.16600000000000001</v>
      </c>
      <c r="L96" s="160">
        <f t="shared" ca="1" si="3"/>
        <v>-140</v>
      </c>
      <c r="M96" s="161">
        <f t="shared" ca="1" si="4"/>
        <v>-103.00000000000001</v>
      </c>
      <c r="N96" s="160">
        <f t="shared" ca="1" si="5"/>
        <v>-126</v>
      </c>
      <c r="O96" s="160"/>
    </row>
    <row r="97" spans="1:15">
      <c r="A97" s="164">
        <f>'BC.115+740'!B96</f>
        <v>45155</v>
      </c>
      <c r="B97" s="160">
        <v>83</v>
      </c>
      <c r="C97" s="162">
        <f ca="1">'BC.115+740'!M96/1000</f>
        <v>0.89700000000000002</v>
      </c>
      <c r="D97" s="162">
        <f ca="1">'BC.115+740'!AA96</f>
        <v>1.0069999999999999</v>
      </c>
      <c r="E97" s="163">
        <f ca="1">'BC.115+740'!AB96</f>
        <v>0.80400000000000005</v>
      </c>
      <c r="F97" s="162">
        <f ca="1">VLOOKUP($A97,'BC.115+740'!$B$13:$X$489,8,0)/1000</f>
        <v>1.9</v>
      </c>
      <c r="G97" s="162">
        <f ca="1">VLOOKUP($A97,'BC.115+740'!$B$13:$X$489,9,0)/1000</f>
        <v>-0.1</v>
      </c>
      <c r="H97" s="162">
        <f ca="1">VLOOKUP($A97,'BC.115+740'!$B$13:$X$489,14,0)/1000</f>
        <v>1.887</v>
      </c>
      <c r="I97" s="162">
        <f ca="1">VLOOKUP($A97,'BC.115+740'!$B$13:$X$489,15,0)/1000</f>
        <v>-0.113</v>
      </c>
      <c r="J97" s="162">
        <f ca="1">VLOOKUP($A97,'BC.115+740'!$B$13:$X$489,20,0)/1000</f>
        <v>1.8340000000000001</v>
      </c>
      <c r="K97" s="162">
        <f ca="1">VLOOKUP($A97,'BC.115+740'!$B$13:$X$489,21,0)/1000</f>
        <v>-0.16600000000000001</v>
      </c>
      <c r="L97" s="160">
        <f t="shared" ca="1" si="3"/>
        <v>-140</v>
      </c>
      <c r="M97" s="161">
        <f t="shared" ca="1" si="4"/>
        <v>-103.00000000000001</v>
      </c>
      <c r="N97" s="160">
        <f t="shared" ca="1" si="5"/>
        <v>-126</v>
      </c>
      <c r="O97" s="160"/>
    </row>
    <row r="98" spans="1:15">
      <c r="A98" s="164">
        <f>'BC.115+740'!B97</f>
        <v>45156</v>
      </c>
      <c r="B98" s="160">
        <v>84</v>
      </c>
      <c r="C98" s="162">
        <f ca="1">'BC.115+740'!M97/1000</f>
        <v>0.89700000000000002</v>
      </c>
      <c r="D98" s="162">
        <f ca="1">'BC.115+740'!AA97</f>
        <v>1.0069999999999999</v>
      </c>
      <c r="E98" s="163">
        <f ca="1">'BC.115+740'!AB97</f>
        <v>0.80400000000000005</v>
      </c>
      <c r="F98" s="162">
        <f ca="1">VLOOKUP($A98,'BC.115+740'!$B$13:$X$489,8,0)/1000</f>
        <v>1.9</v>
      </c>
      <c r="G98" s="162">
        <f ca="1">VLOOKUP($A98,'BC.115+740'!$B$13:$X$489,9,0)/1000</f>
        <v>-0.1</v>
      </c>
      <c r="H98" s="162">
        <f ca="1">VLOOKUP($A98,'BC.115+740'!$B$13:$X$489,14,0)/1000</f>
        <v>1.887</v>
      </c>
      <c r="I98" s="162">
        <f ca="1">VLOOKUP($A98,'BC.115+740'!$B$13:$X$489,15,0)/1000</f>
        <v>-0.113</v>
      </c>
      <c r="J98" s="162">
        <f ca="1">VLOOKUP($A98,'BC.115+740'!$B$13:$X$489,20,0)/1000</f>
        <v>1.8340000000000001</v>
      </c>
      <c r="K98" s="162">
        <f ca="1">VLOOKUP($A98,'BC.115+740'!$B$13:$X$489,21,0)/1000</f>
        <v>-0.16600000000000001</v>
      </c>
      <c r="L98" s="160">
        <f t="shared" ca="1" si="3"/>
        <v>-140</v>
      </c>
      <c r="M98" s="161">
        <f t="shared" ca="1" si="4"/>
        <v>-103.00000000000001</v>
      </c>
      <c r="N98" s="160">
        <f t="shared" ca="1" si="5"/>
        <v>-126</v>
      </c>
      <c r="O98" s="160"/>
    </row>
    <row r="99" spans="1:15">
      <c r="A99" s="164">
        <f>'BC.115+740'!B98</f>
        <v>45157</v>
      </c>
      <c r="B99" s="160">
        <v>85</v>
      </c>
      <c r="C99" s="162">
        <f ca="1">'BC.115+740'!M98/1000</f>
        <v>0.89700000000000002</v>
      </c>
      <c r="D99" s="162">
        <f ca="1">'BC.115+740'!AA98</f>
        <v>1.0069999999999999</v>
      </c>
      <c r="E99" s="163">
        <f ca="1">'BC.115+740'!AB98</f>
        <v>0.80400000000000005</v>
      </c>
      <c r="F99" s="162">
        <f ca="1">VLOOKUP($A99,'BC.115+740'!$B$13:$X$489,8,0)/1000</f>
        <v>1.9</v>
      </c>
      <c r="G99" s="162">
        <f ca="1">VLOOKUP($A99,'BC.115+740'!$B$13:$X$489,9,0)/1000</f>
        <v>-0.1</v>
      </c>
      <c r="H99" s="162">
        <f ca="1">VLOOKUP($A99,'BC.115+740'!$B$13:$X$489,14,0)/1000</f>
        <v>1.887</v>
      </c>
      <c r="I99" s="162">
        <f ca="1">VLOOKUP($A99,'BC.115+740'!$B$13:$X$489,15,0)/1000</f>
        <v>-0.113</v>
      </c>
      <c r="J99" s="162">
        <f ca="1">VLOOKUP($A99,'BC.115+740'!$B$13:$X$489,20,0)/1000</f>
        <v>1.8340000000000001</v>
      </c>
      <c r="K99" s="162">
        <f ca="1">VLOOKUP($A99,'BC.115+740'!$B$13:$X$489,21,0)/1000</f>
        <v>-0.16600000000000001</v>
      </c>
      <c r="L99" s="160">
        <f t="shared" ca="1" si="3"/>
        <v>-140</v>
      </c>
      <c r="M99" s="161">
        <f t="shared" ca="1" si="4"/>
        <v>-103.00000000000001</v>
      </c>
      <c r="N99" s="160">
        <f t="shared" ca="1" si="5"/>
        <v>-126</v>
      </c>
      <c r="O99" s="160"/>
    </row>
    <row r="100" spans="1:15">
      <c r="A100" s="164">
        <f>'BC.115+740'!B99</f>
        <v>45158</v>
      </c>
      <c r="B100" s="160">
        <v>86</v>
      </c>
      <c r="C100" s="162">
        <f ca="1">'BC.115+740'!M99/1000</f>
        <v>0.89700000000000002</v>
      </c>
      <c r="D100" s="162">
        <f ca="1">'BC.115+740'!AA99</f>
        <v>1.0069999999999999</v>
      </c>
      <c r="E100" s="163">
        <f ca="1">'BC.115+740'!AB99</f>
        <v>0.80400000000000005</v>
      </c>
      <c r="F100" s="162">
        <f ca="1">VLOOKUP($A100,'BC.115+740'!$B$13:$X$489,8,0)/1000</f>
        <v>1.9</v>
      </c>
      <c r="G100" s="162">
        <f ca="1">VLOOKUP($A100,'BC.115+740'!$B$13:$X$489,9,0)/1000</f>
        <v>-0.1</v>
      </c>
      <c r="H100" s="162">
        <f ca="1">VLOOKUP($A100,'BC.115+740'!$B$13:$X$489,14,0)/1000</f>
        <v>1.887</v>
      </c>
      <c r="I100" s="162">
        <f ca="1">VLOOKUP($A100,'BC.115+740'!$B$13:$X$489,15,0)/1000</f>
        <v>-0.113</v>
      </c>
      <c r="J100" s="162">
        <f ca="1">VLOOKUP($A100,'BC.115+740'!$B$13:$X$489,20,0)/1000</f>
        <v>1.8340000000000001</v>
      </c>
      <c r="K100" s="162">
        <f ca="1">VLOOKUP($A100,'BC.115+740'!$B$13:$X$489,21,0)/1000</f>
        <v>-0.16600000000000001</v>
      </c>
      <c r="L100" s="160">
        <f t="shared" ca="1" si="3"/>
        <v>-140</v>
      </c>
      <c r="M100" s="161">
        <f t="shared" ca="1" si="4"/>
        <v>-103.00000000000001</v>
      </c>
      <c r="N100" s="160">
        <f t="shared" ca="1" si="5"/>
        <v>-126</v>
      </c>
      <c r="O100" s="160"/>
    </row>
    <row r="101" spans="1:15">
      <c r="A101" s="164">
        <f>'BC.115+740'!B100</f>
        <v>45159</v>
      </c>
      <c r="B101" s="160">
        <v>87</v>
      </c>
      <c r="C101" s="162">
        <f ca="1">'BC.115+740'!M100/1000</f>
        <v>0.89700000000000002</v>
      </c>
      <c r="D101" s="162">
        <f ca="1">'BC.115+740'!AA100</f>
        <v>1.0069999999999999</v>
      </c>
      <c r="E101" s="163">
        <f ca="1">'BC.115+740'!AB100</f>
        <v>0.80400000000000005</v>
      </c>
      <c r="F101" s="162">
        <f ca="1">VLOOKUP($A101,'BC.115+740'!$B$13:$X$489,8,0)/1000</f>
        <v>1.9</v>
      </c>
      <c r="G101" s="162">
        <f ca="1">VLOOKUP($A101,'BC.115+740'!$B$13:$X$489,9,0)/1000</f>
        <v>-0.1</v>
      </c>
      <c r="H101" s="162">
        <f ca="1">VLOOKUP($A101,'BC.115+740'!$B$13:$X$489,14,0)/1000</f>
        <v>1.887</v>
      </c>
      <c r="I101" s="162">
        <f ca="1">VLOOKUP($A101,'BC.115+740'!$B$13:$X$489,15,0)/1000</f>
        <v>-0.113</v>
      </c>
      <c r="J101" s="162">
        <f ca="1">VLOOKUP($A101,'BC.115+740'!$B$13:$X$489,20,0)/1000</f>
        <v>1.8340000000000001</v>
      </c>
      <c r="K101" s="162">
        <f ca="1">VLOOKUP($A101,'BC.115+740'!$B$13:$X$489,21,0)/1000</f>
        <v>-0.16600000000000001</v>
      </c>
      <c r="L101" s="160">
        <f t="shared" ca="1" si="3"/>
        <v>-140</v>
      </c>
      <c r="M101" s="161">
        <f t="shared" ca="1" si="4"/>
        <v>-103.00000000000001</v>
      </c>
      <c r="N101" s="160">
        <f t="shared" ca="1" si="5"/>
        <v>-126</v>
      </c>
      <c r="O101" s="160"/>
    </row>
    <row r="102" spans="1:15">
      <c r="A102" s="164">
        <f>'BC.115+740'!B101</f>
        <v>45160</v>
      </c>
      <c r="B102" s="160">
        <v>88</v>
      </c>
      <c r="C102" s="162">
        <f ca="1">'BC.115+740'!M101/1000</f>
        <v>0.89700000000000002</v>
      </c>
      <c r="D102" s="162">
        <f ca="1">'BC.115+740'!AA101</f>
        <v>1.0069999999999999</v>
      </c>
      <c r="E102" s="163">
        <f ca="1">'BC.115+740'!AB101</f>
        <v>0.80400000000000005</v>
      </c>
      <c r="F102" s="162">
        <f ca="1">VLOOKUP($A102,'BC.115+740'!$B$13:$X$489,8,0)/1000</f>
        <v>1.9</v>
      </c>
      <c r="G102" s="162">
        <f ca="1">VLOOKUP($A102,'BC.115+740'!$B$13:$X$489,9,0)/1000</f>
        <v>-0.1</v>
      </c>
      <c r="H102" s="162">
        <f ca="1">VLOOKUP($A102,'BC.115+740'!$B$13:$X$489,14,0)/1000</f>
        <v>1.887</v>
      </c>
      <c r="I102" s="162">
        <f ca="1">VLOOKUP($A102,'BC.115+740'!$B$13:$X$489,15,0)/1000</f>
        <v>-0.113</v>
      </c>
      <c r="J102" s="162">
        <f ca="1">VLOOKUP($A102,'BC.115+740'!$B$13:$X$489,20,0)/1000</f>
        <v>1.8340000000000001</v>
      </c>
      <c r="K102" s="162">
        <f ca="1">VLOOKUP($A102,'BC.115+740'!$B$13:$X$489,21,0)/1000</f>
        <v>-0.16600000000000001</v>
      </c>
      <c r="L102" s="160">
        <f t="shared" ca="1" si="3"/>
        <v>-140</v>
      </c>
      <c r="M102" s="161">
        <f t="shared" ca="1" si="4"/>
        <v>-103.00000000000001</v>
      </c>
      <c r="N102" s="160">
        <f t="shared" ca="1" si="5"/>
        <v>-126</v>
      </c>
      <c r="O102" s="160"/>
    </row>
    <row r="103" spans="1:15">
      <c r="A103" s="164">
        <f>'BC.115+740'!B102</f>
        <v>45161</v>
      </c>
      <c r="B103" s="160">
        <v>89</v>
      </c>
      <c r="C103" s="162">
        <f ca="1">'BC.115+740'!M102/1000</f>
        <v>0.89700000000000002</v>
      </c>
      <c r="D103" s="162">
        <f ca="1">'BC.115+740'!AA102</f>
        <v>1.0069999999999999</v>
      </c>
      <c r="E103" s="163">
        <f ca="1">'BC.115+740'!AB102</f>
        <v>0.80400000000000005</v>
      </c>
      <c r="F103" s="162">
        <f ca="1">VLOOKUP($A103,'BC.115+740'!$B$13:$X$489,8,0)/1000</f>
        <v>1.9</v>
      </c>
      <c r="G103" s="162">
        <f ca="1">VLOOKUP($A103,'BC.115+740'!$B$13:$X$489,9,0)/1000</f>
        <v>-0.1</v>
      </c>
      <c r="H103" s="162">
        <f ca="1">VLOOKUP($A103,'BC.115+740'!$B$13:$X$489,14,0)/1000</f>
        <v>1.887</v>
      </c>
      <c r="I103" s="162">
        <f ca="1">VLOOKUP($A103,'BC.115+740'!$B$13:$X$489,15,0)/1000</f>
        <v>-0.113</v>
      </c>
      <c r="J103" s="162">
        <f ca="1">VLOOKUP($A103,'BC.115+740'!$B$13:$X$489,20,0)/1000</f>
        <v>1.8340000000000001</v>
      </c>
      <c r="K103" s="162">
        <f ca="1">VLOOKUP($A103,'BC.115+740'!$B$13:$X$489,21,0)/1000</f>
        <v>-0.16600000000000001</v>
      </c>
      <c r="L103" s="160">
        <f t="shared" ca="1" si="3"/>
        <v>-140</v>
      </c>
      <c r="M103" s="161">
        <f t="shared" ca="1" si="4"/>
        <v>-103.00000000000001</v>
      </c>
      <c r="N103" s="160">
        <f t="shared" ca="1" si="5"/>
        <v>-126</v>
      </c>
      <c r="O103" s="160"/>
    </row>
    <row r="104" spans="1:15">
      <c r="A104" s="164">
        <f>'BC.115+740'!B103</f>
        <v>45162</v>
      </c>
      <c r="B104" s="160">
        <v>90</v>
      </c>
      <c r="C104" s="162">
        <f ca="1">'BC.115+740'!M103/1000</f>
        <v>0.89700000000000002</v>
      </c>
      <c r="D104" s="162">
        <f ca="1">'BC.115+740'!AA103</f>
        <v>1.0069999999999999</v>
      </c>
      <c r="E104" s="163">
        <f ca="1">'BC.115+740'!AB103</f>
        <v>0.80400000000000005</v>
      </c>
      <c r="F104" s="162">
        <f ca="1">VLOOKUP($A104,'BC.115+740'!$B$13:$X$489,8,0)/1000</f>
        <v>1.9</v>
      </c>
      <c r="G104" s="162">
        <f ca="1">VLOOKUP($A104,'BC.115+740'!$B$13:$X$489,9,0)/1000</f>
        <v>-0.1</v>
      </c>
      <c r="H104" s="162">
        <f ca="1">VLOOKUP($A104,'BC.115+740'!$B$13:$X$489,14,0)/1000</f>
        <v>1.887</v>
      </c>
      <c r="I104" s="162">
        <f ca="1">VLOOKUP($A104,'BC.115+740'!$B$13:$X$489,15,0)/1000</f>
        <v>-0.113</v>
      </c>
      <c r="J104" s="162">
        <f ca="1">VLOOKUP($A104,'BC.115+740'!$B$13:$X$489,20,0)/1000</f>
        <v>1.8340000000000001</v>
      </c>
      <c r="K104" s="162">
        <f ca="1">VLOOKUP($A104,'BC.115+740'!$B$13:$X$489,21,0)/1000</f>
        <v>-0.16600000000000001</v>
      </c>
      <c r="L104" s="160">
        <f t="shared" ca="1" si="3"/>
        <v>-140</v>
      </c>
      <c r="M104" s="161">
        <f t="shared" ca="1" si="4"/>
        <v>-103.00000000000001</v>
      </c>
      <c r="N104" s="160">
        <f t="shared" ca="1" si="5"/>
        <v>-126</v>
      </c>
      <c r="O104" s="160"/>
    </row>
    <row r="105" spans="1:15">
      <c r="A105" s="164">
        <f>'BC.115+740'!B104</f>
        <v>45163</v>
      </c>
      <c r="B105" s="160">
        <v>91</v>
      </c>
      <c r="C105" s="162">
        <f ca="1">'BC.115+740'!M104/1000</f>
        <v>0.89700000000000002</v>
      </c>
      <c r="D105" s="162">
        <f ca="1">'BC.115+740'!AA104</f>
        <v>1.0069999999999999</v>
      </c>
      <c r="E105" s="163">
        <f ca="1">'BC.115+740'!AB104</f>
        <v>0.80400000000000005</v>
      </c>
      <c r="F105" s="162">
        <f ca="1">VLOOKUP($A105,'BC.115+740'!$B$13:$X$489,8,0)/1000</f>
        <v>1.9</v>
      </c>
      <c r="G105" s="162">
        <f ca="1">VLOOKUP($A105,'BC.115+740'!$B$13:$X$489,9,0)/1000</f>
        <v>-0.1</v>
      </c>
      <c r="H105" s="162">
        <f ca="1">VLOOKUP($A105,'BC.115+740'!$B$13:$X$489,14,0)/1000</f>
        <v>1.887</v>
      </c>
      <c r="I105" s="162">
        <f ca="1">VLOOKUP($A105,'BC.115+740'!$B$13:$X$489,15,0)/1000</f>
        <v>-0.113</v>
      </c>
      <c r="J105" s="162">
        <f ca="1">VLOOKUP($A105,'BC.115+740'!$B$13:$X$489,20,0)/1000</f>
        <v>1.8340000000000001</v>
      </c>
      <c r="K105" s="162">
        <f ca="1">VLOOKUP($A105,'BC.115+740'!$B$13:$X$489,21,0)/1000</f>
        <v>-0.16600000000000001</v>
      </c>
      <c r="L105" s="160">
        <f t="shared" ca="1" si="3"/>
        <v>-140</v>
      </c>
      <c r="M105" s="161">
        <f t="shared" ca="1" si="4"/>
        <v>-103.00000000000001</v>
      </c>
      <c r="N105" s="160">
        <f t="shared" ca="1" si="5"/>
        <v>-126</v>
      </c>
      <c r="O105" s="160"/>
    </row>
    <row r="106" spans="1:15">
      <c r="A106" s="164">
        <f>'BC.115+740'!B105</f>
        <v>45164</v>
      </c>
      <c r="B106" s="160">
        <v>92</v>
      </c>
      <c r="C106" s="162">
        <f ca="1">'BC.115+740'!M105/1000</f>
        <v>0.89700000000000002</v>
      </c>
      <c r="D106" s="162">
        <f ca="1">'BC.115+740'!AA105</f>
        <v>1.0069999999999999</v>
      </c>
      <c r="E106" s="163">
        <f ca="1">'BC.115+740'!AB105</f>
        <v>0.80400000000000005</v>
      </c>
      <c r="F106" s="162">
        <f ca="1">VLOOKUP($A106,'BC.115+740'!$B$13:$X$489,8,0)/1000</f>
        <v>1.9</v>
      </c>
      <c r="G106" s="162">
        <f ca="1">VLOOKUP($A106,'BC.115+740'!$B$13:$X$489,9,0)/1000</f>
        <v>-0.1</v>
      </c>
      <c r="H106" s="162">
        <f ca="1">VLOOKUP($A106,'BC.115+740'!$B$13:$X$489,14,0)/1000</f>
        <v>1.887</v>
      </c>
      <c r="I106" s="162">
        <f ca="1">VLOOKUP($A106,'BC.115+740'!$B$13:$X$489,15,0)/1000</f>
        <v>-0.113</v>
      </c>
      <c r="J106" s="162">
        <f ca="1">VLOOKUP($A106,'BC.115+740'!$B$13:$X$489,20,0)/1000</f>
        <v>1.8340000000000001</v>
      </c>
      <c r="K106" s="162">
        <f ca="1">VLOOKUP($A106,'BC.115+740'!$B$13:$X$489,21,0)/1000</f>
        <v>-0.16600000000000001</v>
      </c>
      <c r="L106" s="160">
        <f t="shared" ca="1" si="3"/>
        <v>-140</v>
      </c>
      <c r="M106" s="161">
        <f t="shared" ca="1" si="4"/>
        <v>-103.00000000000001</v>
      </c>
      <c r="N106" s="160">
        <f t="shared" ca="1" si="5"/>
        <v>-126</v>
      </c>
      <c r="O106" s="160"/>
    </row>
    <row r="107" spans="1:15">
      <c r="A107" s="164">
        <f>'BC.115+740'!B106</f>
        <v>45165</v>
      </c>
      <c r="B107" s="160">
        <v>93</v>
      </c>
      <c r="C107" s="162">
        <f ca="1">'BC.115+740'!M106/1000</f>
        <v>0.89700000000000002</v>
      </c>
      <c r="D107" s="162">
        <f ca="1">'BC.115+740'!AA106</f>
        <v>1.0069999999999999</v>
      </c>
      <c r="E107" s="163">
        <f ca="1">'BC.115+740'!AB106</f>
        <v>0.80400000000000005</v>
      </c>
      <c r="F107" s="162">
        <f ca="1">VLOOKUP($A107,'BC.115+740'!$B$13:$X$489,8,0)/1000</f>
        <v>1.9</v>
      </c>
      <c r="G107" s="162">
        <f ca="1">VLOOKUP($A107,'BC.115+740'!$B$13:$X$489,9,0)/1000</f>
        <v>-0.1</v>
      </c>
      <c r="H107" s="162">
        <f ca="1">VLOOKUP($A107,'BC.115+740'!$B$13:$X$489,14,0)/1000</f>
        <v>1.887</v>
      </c>
      <c r="I107" s="162">
        <f ca="1">VLOOKUP($A107,'BC.115+740'!$B$13:$X$489,15,0)/1000</f>
        <v>-0.113</v>
      </c>
      <c r="J107" s="162">
        <f ca="1">VLOOKUP($A107,'BC.115+740'!$B$13:$X$489,20,0)/1000</f>
        <v>1.8340000000000001</v>
      </c>
      <c r="K107" s="162">
        <f ca="1">VLOOKUP($A107,'BC.115+740'!$B$13:$X$489,21,0)/1000</f>
        <v>-0.16600000000000001</v>
      </c>
      <c r="L107" s="160">
        <f t="shared" ca="1" si="3"/>
        <v>-140</v>
      </c>
      <c r="M107" s="161">
        <f t="shared" ca="1" si="4"/>
        <v>-103.00000000000001</v>
      </c>
      <c r="N107" s="160">
        <f t="shared" ca="1" si="5"/>
        <v>-126</v>
      </c>
      <c r="O107" s="160"/>
    </row>
    <row r="108" spans="1:15">
      <c r="A108" s="164">
        <f>'BC.115+740'!B107</f>
        <v>45166</v>
      </c>
      <c r="B108" s="160">
        <v>94</v>
      </c>
      <c r="C108" s="162">
        <f ca="1">'BC.115+740'!M107/1000</f>
        <v>0.89700000000000002</v>
      </c>
      <c r="D108" s="162">
        <f ca="1">'BC.115+740'!AA107</f>
        <v>1.0069999999999999</v>
      </c>
      <c r="E108" s="163">
        <f ca="1">'BC.115+740'!AB107</f>
        <v>0.80400000000000005</v>
      </c>
      <c r="F108" s="162">
        <f ca="1">VLOOKUP($A108,'BC.115+740'!$B$13:$X$489,8,0)/1000</f>
        <v>1.9</v>
      </c>
      <c r="G108" s="162">
        <f ca="1">VLOOKUP($A108,'BC.115+740'!$B$13:$X$489,9,0)/1000</f>
        <v>-0.1</v>
      </c>
      <c r="H108" s="162">
        <f ca="1">VLOOKUP($A108,'BC.115+740'!$B$13:$X$489,14,0)/1000</f>
        <v>1.887</v>
      </c>
      <c r="I108" s="162">
        <f ca="1">VLOOKUP($A108,'BC.115+740'!$B$13:$X$489,15,0)/1000</f>
        <v>-0.113</v>
      </c>
      <c r="J108" s="162">
        <f ca="1">VLOOKUP($A108,'BC.115+740'!$B$13:$X$489,20,0)/1000</f>
        <v>1.8340000000000001</v>
      </c>
      <c r="K108" s="162">
        <f ca="1">VLOOKUP($A108,'BC.115+740'!$B$13:$X$489,21,0)/1000</f>
        <v>-0.16600000000000001</v>
      </c>
      <c r="L108" s="160">
        <f t="shared" ca="1" si="3"/>
        <v>-140</v>
      </c>
      <c r="M108" s="161">
        <f t="shared" ca="1" si="4"/>
        <v>-103.00000000000001</v>
      </c>
      <c r="N108" s="160">
        <f t="shared" ca="1" si="5"/>
        <v>-126</v>
      </c>
      <c r="O108" s="160"/>
    </row>
    <row r="109" spans="1:15">
      <c r="A109" s="164">
        <f>'BC.115+740'!B108</f>
        <v>45167</v>
      </c>
      <c r="B109" s="160">
        <v>95</v>
      </c>
      <c r="C109" s="162">
        <f ca="1">'BC.115+740'!M108/1000</f>
        <v>0.89700000000000002</v>
      </c>
      <c r="D109" s="162">
        <f ca="1">'BC.115+740'!AA108</f>
        <v>1.0069999999999999</v>
      </c>
      <c r="E109" s="163">
        <f ca="1">'BC.115+740'!AB108</f>
        <v>0.80400000000000005</v>
      </c>
      <c r="F109" s="162">
        <f ca="1">VLOOKUP($A109,'BC.115+740'!$B$13:$X$489,8,0)/1000</f>
        <v>1.9</v>
      </c>
      <c r="G109" s="162">
        <f ca="1">VLOOKUP($A109,'BC.115+740'!$B$13:$X$489,9,0)/1000</f>
        <v>-0.1</v>
      </c>
      <c r="H109" s="162">
        <f ca="1">VLOOKUP($A109,'BC.115+740'!$B$13:$X$489,14,0)/1000</f>
        <v>1.887</v>
      </c>
      <c r="I109" s="162">
        <f ca="1">VLOOKUP($A109,'BC.115+740'!$B$13:$X$489,15,0)/1000</f>
        <v>-0.113</v>
      </c>
      <c r="J109" s="162">
        <f ca="1">VLOOKUP($A109,'BC.115+740'!$B$13:$X$489,20,0)/1000</f>
        <v>1.8340000000000001</v>
      </c>
      <c r="K109" s="162">
        <f ca="1">VLOOKUP($A109,'BC.115+740'!$B$13:$X$489,21,0)/1000</f>
        <v>-0.16600000000000001</v>
      </c>
      <c r="L109" s="160">
        <f t="shared" ca="1" si="3"/>
        <v>-140</v>
      </c>
      <c r="M109" s="161">
        <f t="shared" ca="1" si="4"/>
        <v>-103.00000000000001</v>
      </c>
      <c r="N109" s="160">
        <f t="shared" ca="1" si="5"/>
        <v>-126</v>
      </c>
      <c r="O109" s="160"/>
    </row>
    <row r="110" spans="1:15">
      <c r="A110" s="164">
        <f>'BC.115+740'!B109</f>
        <v>45168</v>
      </c>
      <c r="B110" s="160">
        <v>96</v>
      </c>
      <c r="C110" s="162">
        <f ca="1">'BC.115+740'!M109/1000</f>
        <v>0.89700000000000002</v>
      </c>
      <c r="D110" s="162">
        <f ca="1">'BC.115+740'!AA109</f>
        <v>1.0069999999999999</v>
      </c>
      <c r="E110" s="163">
        <f ca="1">'BC.115+740'!AB109</f>
        <v>0.80400000000000005</v>
      </c>
      <c r="F110" s="162">
        <f ca="1">VLOOKUP($A110,'BC.115+740'!$B$13:$X$489,8,0)/1000</f>
        <v>1.9</v>
      </c>
      <c r="G110" s="162">
        <f ca="1">VLOOKUP($A110,'BC.115+740'!$B$13:$X$489,9,0)/1000</f>
        <v>-0.1</v>
      </c>
      <c r="H110" s="162">
        <f ca="1">VLOOKUP($A110,'BC.115+740'!$B$13:$X$489,14,0)/1000</f>
        <v>1.887</v>
      </c>
      <c r="I110" s="162">
        <f ca="1">VLOOKUP($A110,'BC.115+740'!$B$13:$X$489,15,0)/1000</f>
        <v>-0.113</v>
      </c>
      <c r="J110" s="162">
        <f ca="1">VLOOKUP($A110,'BC.115+740'!$B$13:$X$489,20,0)/1000</f>
        <v>1.8340000000000001</v>
      </c>
      <c r="K110" s="162">
        <f ca="1">VLOOKUP($A110,'BC.115+740'!$B$13:$X$489,21,0)/1000</f>
        <v>-0.16600000000000001</v>
      </c>
      <c r="L110" s="160">
        <f t="shared" ca="1" si="3"/>
        <v>-140</v>
      </c>
      <c r="M110" s="161">
        <f t="shared" ca="1" si="4"/>
        <v>-103.00000000000001</v>
      </c>
      <c r="N110" s="160">
        <f t="shared" ca="1" si="5"/>
        <v>-126</v>
      </c>
      <c r="O110" s="160"/>
    </row>
    <row r="111" spans="1:15">
      <c r="A111" s="164">
        <f>'BC.115+740'!B110</f>
        <v>45169</v>
      </c>
      <c r="B111" s="160">
        <v>97</v>
      </c>
      <c r="C111" s="162">
        <f ca="1">'BC.115+740'!M110/1000</f>
        <v>0.89700000000000002</v>
      </c>
      <c r="D111" s="162">
        <f ca="1">'BC.115+740'!AA110</f>
        <v>1.0069999999999999</v>
      </c>
      <c r="E111" s="163">
        <f ca="1">'BC.115+740'!AB110</f>
        <v>0.80400000000000005</v>
      </c>
      <c r="F111" s="162">
        <f ca="1">VLOOKUP($A111,'BC.115+740'!$B$13:$X$489,8,0)/1000</f>
        <v>1.9</v>
      </c>
      <c r="G111" s="162">
        <f ca="1">VLOOKUP($A111,'BC.115+740'!$B$13:$X$489,9,0)/1000</f>
        <v>-0.1</v>
      </c>
      <c r="H111" s="162">
        <f ca="1">VLOOKUP($A111,'BC.115+740'!$B$13:$X$489,14,0)/1000</f>
        <v>1.887</v>
      </c>
      <c r="I111" s="162">
        <f ca="1">VLOOKUP($A111,'BC.115+740'!$B$13:$X$489,15,0)/1000</f>
        <v>-0.113</v>
      </c>
      <c r="J111" s="162">
        <f ca="1">VLOOKUP($A111,'BC.115+740'!$B$13:$X$489,20,0)/1000</f>
        <v>1.8340000000000001</v>
      </c>
      <c r="K111" s="162">
        <f ca="1">VLOOKUP($A111,'BC.115+740'!$B$13:$X$489,21,0)/1000</f>
        <v>-0.16600000000000001</v>
      </c>
      <c r="L111" s="160">
        <f t="shared" ca="1" si="3"/>
        <v>-140</v>
      </c>
      <c r="M111" s="161">
        <f t="shared" ca="1" si="4"/>
        <v>-103.00000000000001</v>
      </c>
      <c r="N111" s="160">
        <f t="shared" ca="1" si="5"/>
        <v>-126</v>
      </c>
      <c r="O111" s="160"/>
    </row>
    <row r="112" spans="1:15">
      <c r="A112" s="164">
        <f>'BC.115+740'!B111</f>
        <v>45170</v>
      </c>
      <c r="B112" s="160">
        <v>98</v>
      </c>
      <c r="C112" s="162">
        <f ca="1">'BC.115+740'!M111/1000</f>
        <v>0.89700000000000002</v>
      </c>
      <c r="D112" s="162">
        <f ca="1">'BC.115+740'!AA111</f>
        <v>1.0069999999999999</v>
      </c>
      <c r="E112" s="163">
        <f ca="1">'BC.115+740'!AB111</f>
        <v>0.80400000000000005</v>
      </c>
      <c r="F112" s="162">
        <f ca="1">VLOOKUP($A112,'BC.115+740'!$B$13:$X$489,8,0)/1000</f>
        <v>1.9</v>
      </c>
      <c r="G112" s="162">
        <f ca="1">VLOOKUP($A112,'BC.115+740'!$B$13:$X$489,9,0)/1000</f>
        <v>-0.1</v>
      </c>
      <c r="H112" s="162">
        <f ca="1">VLOOKUP($A112,'BC.115+740'!$B$13:$X$489,14,0)/1000</f>
        <v>1.887</v>
      </c>
      <c r="I112" s="162">
        <f ca="1">VLOOKUP($A112,'BC.115+740'!$B$13:$X$489,15,0)/1000</f>
        <v>-0.113</v>
      </c>
      <c r="J112" s="162">
        <f ca="1">VLOOKUP($A112,'BC.115+740'!$B$13:$X$489,20,0)/1000</f>
        <v>1.8340000000000001</v>
      </c>
      <c r="K112" s="162">
        <f ca="1">VLOOKUP($A112,'BC.115+740'!$B$13:$X$489,21,0)/1000</f>
        <v>-0.16600000000000001</v>
      </c>
      <c r="L112" s="160">
        <f t="shared" ca="1" si="3"/>
        <v>-140</v>
      </c>
      <c r="M112" s="161">
        <f t="shared" ca="1" si="4"/>
        <v>-103.00000000000001</v>
      </c>
      <c r="N112" s="160">
        <f t="shared" ca="1" si="5"/>
        <v>-126</v>
      </c>
      <c r="O112" s="160"/>
    </row>
    <row r="113" spans="1:15">
      <c r="A113" s="164">
        <f>'BC.115+740'!B112</f>
        <v>45171</v>
      </c>
      <c r="B113" s="160">
        <v>99</v>
      </c>
      <c r="C113" s="162">
        <f ca="1">'BC.115+740'!M112/1000</f>
        <v>0.89700000000000002</v>
      </c>
      <c r="D113" s="162">
        <f ca="1">'BC.115+740'!AA112</f>
        <v>1.0069999999999999</v>
      </c>
      <c r="E113" s="163">
        <f ca="1">'BC.115+740'!AB112</f>
        <v>0.80400000000000005</v>
      </c>
      <c r="F113" s="162">
        <f ca="1">VLOOKUP($A113,'BC.115+740'!$B$13:$X$489,8,0)/1000</f>
        <v>1.9</v>
      </c>
      <c r="G113" s="162">
        <f ca="1">VLOOKUP($A113,'BC.115+740'!$B$13:$X$489,9,0)/1000</f>
        <v>-0.1</v>
      </c>
      <c r="H113" s="162">
        <f ca="1">VLOOKUP($A113,'BC.115+740'!$B$13:$X$489,14,0)/1000</f>
        <v>1.887</v>
      </c>
      <c r="I113" s="162">
        <f ca="1">VLOOKUP($A113,'BC.115+740'!$B$13:$X$489,15,0)/1000</f>
        <v>-0.113</v>
      </c>
      <c r="J113" s="162">
        <f ca="1">VLOOKUP($A113,'BC.115+740'!$B$13:$X$489,20,0)/1000</f>
        <v>1.8340000000000001</v>
      </c>
      <c r="K113" s="162">
        <f ca="1">VLOOKUP($A113,'BC.115+740'!$B$13:$X$489,21,0)/1000</f>
        <v>-0.16600000000000001</v>
      </c>
      <c r="L113" s="160">
        <f t="shared" ca="1" si="3"/>
        <v>-140</v>
      </c>
      <c r="M113" s="161">
        <f t="shared" ca="1" si="4"/>
        <v>-103.00000000000001</v>
      </c>
      <c r="N113" s="160">
        <f t="shared" ca="1" si="5"/>
        <v>-126</v>
      </c>
      <c r="O113" s="160"/>
    </row>
    <row r="114" spans="1:15">
      <c r="A114" s="164">
        <f>'BC.115+740'!B113</f>
        <v>45172</v>
      </c>
      <c r="B114" s="160">
        <v>100</v>
      </c>
      <c r="C114" s="162">
        <f ca="1">'BC.115+740'!M113/1000</f>
        <v>0.89700000000000002</v>
      </c>
      <c r="D114" s="162">
        <f ca="1">'BC.115+740'!AA113</f>
        <v>1.0069999999999999</v>
      </c>
      <c r="E114" s="163">
        <f ca="1">'BC.115+740'!AB113</f>
        <v>0.80400000000000005</v>
      </c>
      <c r="F114" s="162">
        <f ca="1">VLOOKUP($A114,'BC.115+740'!$B$13:$X$489,8,0)/1000</f>
        <v>1.9</v>
      </c>
      <c r="G114" s="162">
        <f ca="1">VLOOKUP($A114,'BC.115+740'!$B$13:$X$489,9,0)/1000</f>
        <v>-0.1</v>
      </c>
      <c r="H114" s="162">
        <f ca="1">VLOOKUP($A114,'BC.115+740'!$B$13:$X$489,14,0)/1000</f>
        <v>1.887</v>
      </c>
      <c r="I114" s="162">
        <f ca="1">VLOOKUP($A114,'BC.115+740'!$B$13:$X$489,15,0)/1000</f>
        <v>-0.113</v>
      </c>
      <c r="J114" s="162">
        <f ca="1">VLOOKUP($A114,'BC.115+740'!$B$13:$X$489,20,0)/1000</f>
        <v>1.8340000000000001</v>
      </c>
      <c r="K114" s="162">
        <f ca="1">VLOOKUP($A114,'BC.115+740'!$B$13:$X$489,21,0)/1000</f>
        <v>-0.16600000000000001</v>
      </c>
      <c r="L114" s="160">
        <f t="shared" ca="1" si="3"/>
        <v>-140</v>
      </c>
      <c r="M114" s="161">
        <f t="shared" ca="1" si="4"/>
        <v>-103.00000000000001</v>
      </c>
      <c r="N114" s="160">
        <f t="shared" ca="1" si="5"/>
        <v>-126</v>
      </c>
      <c r="O114" s="160"/>
    </row>
    <row r="115" spans="1:15">
      <c r="A115" s="164">
        <f>'BC.115+740'!B114</f>
        <v>45173</v>
      </c>
      <c r="B115" s="160">
        <v>101</v>
      </c>
      <c r="C115" s="162">
        <f ca="1">'BC.115+740'!M114/1000</f>
        <v>0.89700000000000002</v>
      </c>
      <c r="D115" s="162">
        <f ca="1">'BC.115+740'!AA114</f>
        <v>1.0069999999999999</v>
      </c>
      <c r="E115" s="163">
        <f ca="1">'BC.115+740'!AB114</f>
        <v>0.80400000000000005</v>
      </c>
      <c r="F115" s="162">
        <f ca="1">VLOOKUP($A115,'BC.115+740'!$B$13:$X$489,8,0)/1000</f>
        <v>1.9</v>
      </c>
      <c r="G115" s="162">
        <f ca="1">VLOOKUP($A115,'BC.115+740'!$B$13:$X$489,9,0)/1000</f>
        <v>-0.1</v>
      </c>
      <c r="H115" s="162">
        <f ca="1">VLOOKUP($A115,'BC.115+740'!$B$13:$X$489,14,0)/1000</f>
        <v>1.887</v>
      </c>
      <c r="I115" s="162">
        <f ca="1">VLOOKUP($A115,'BC.115+740'!$B$13:$X$489,15,0)/1000</f>
        <v>-0.113</v>
      </c>
      <c r="J115" s="162">
        <f ca="1">VLOOKUP($A115,'BC.115+740'!$B$13:$X$489,20,0)/1000</f>
        <v>1.8340000000000001</v>
      </c>
      <c r="K115" s="162">
        <f ca="1">VLOOKUP($A115,'BC.115+740'!$B$13:$X$489,21,0)/1000</f>
        <v>-0.16600000000000001</v>
      </c>
      <c r="L115" s="160">
        <f t="shared" ca="1" si="3"/>
        <v>-140</v>
      </c>
      <c r="M115" s="161">
        <f t="shared" ca="1" si="4"/>
        <v>-103.00000000000001</v>
      </c>
      <c r="N115" s="160">
        <f t="shared" ca="1" si="5"/>
        <v>-126</v>
      </c>
      <c r="O115" s="160"/>
    </row>
    <row r="116" spans="1:15">
      <c r="A116" s="164">
        <f>'BC.115+740'!B115</f>
        <v>45174</v>
      </c>
      <c r="B116" s="160">
        <v>102</v>
      </c>
      <c r="C116" s="162">
        <f ca="1">'BC.115+740'!M115/1000</f>
        <v>0.89700000000000002</v>
      </c>
      <c r="D116" s="162">
        <f ca="1">'BC.115+740'!AA115</f>
        <v>1.0069999999999999</v>
      </c>
      <c r="E116" s="163">
        <f ca="1">'BC.115+740'!AB115</f>
        <v>0.80400000000000005</v>
      </c>
      <c r="F116" s="162">
        <f ca="1">VLOOKUP($A116,'BC.115+740'!$B$13:$X$489,8,0)/1000</f>
        <v>1.9</v>
      </c>
      <c r="G116" s="162">
        <f ca="1">VLOOKUP($A116,'BC.115+740'!$B$13:$X$489,9,0)/1000</f>
        <v>-0.1</v>
      </c>
      <c r="H116" s="162">
        <f ca="1">VLOOKUP($A116,'BC.115+740'!$B$13:$X$489,14,0)/1000</f>
        <v>1.887</v>
      </c>
      <c r="I116" s="162">
        <f ca="1">VLOOKUP($A116,'BC.115+740'!$B$13:$X$489,15,0)/1000</f>
        <v>-0.113</v>
      </c>
      <c r="J116" s="162">
        <f ca="1">VLOOKUP($A116,'BC.115+740'!$B$13:$X$489,20,0)/1000</f>
        <v>1.8340000000000001</v>
      </c>
      <c r="K116" s="162">
        <f ca="1">VLOOKUP($A116,'BC.115+740'!$B$13:$X$489,21,0)/1000</f>
        <v>-0.16600000000000001</v>
      </c>
      <c r="L116" s="160">
        <f t="shared" ca="1" si="3"/>
        <v>-140</v>
      </c>
      <c r="M116" s="161">
        <f t="shared" ca="1" si="4"/>
        <v>-103.00000000000001</v>
      </c>
      <c r="N116" s="160">
        <f t="shared" ca="1" si="5"/>
        <v>-126</v>
      </c>
      <c r="O116" s="160"/>
    </row>
    <row r="117" spans="1:15">
      <c r="A117" s="164">
        <f>'BC.115+740'!B116</f>
        <v>45175</v>
      </c>
      <c r="B117" s="160">
        <v>103</v>
      </c>
      <c r="C117" s="162">
        <f ca="1">'BC.115+740'!M116/1000</f>
        <v>0.89700000000000002</v>
      </c>
      <c r="D117" s="162">
        <f ca="1">'BC.115+740'!AA116</f>
        <v>1.0069999999999999</v>
      </c>
      <c r="E117" s="163">
        <f ca="1">'BC.115+740'!AB116</f>
        <v>0.80400000000000005</v>
      </c>
      <c r="F117" s="162">
        <f ca="1">VLOOKUP($A117,'BC.115+740'!$B$13:$X$489,8,0)/1000</f>
        <v>1.9</v>
      </c>
      <c r="G117" s="162">
        <f ca="1">VLOOKUP($A117,'BC.115+740'!$B$13:$X$489,9,0)/1000</f>
        <v>-0.1</v>
      </c>
      <c r="H117" s="162">
        <f ca="1">VLOOKUP($A117,'BC.115+740'!$B$13:$X$489,14,0)/1000</f>
        <v>1.887</v>
      </c>
      <c r="I117" s="162">
        <f ca="1">VLOOKUP($A117,'BC.115+740'!$B$13:$X$489,15,0)/1000</f>
        <v>-0.113</v>
      </c>
      <c r="J117" s="162">
        <f ca="1">VLOOKUP($A117,'BC.115+740'!$B$13:$X$489,20,0)/1000</f>
        <v>1.8340000000000001</v>
      </c>
      <c r="K117" s="162">
        <f ca="1">VLOOKUP($A117,'BC.115+740'!$B$13:$X$489,21,0)/1000</f>
        <v>-0.16600000000000001</v>
      </c>
      <c r="L117" s="160">
        <f t="shared" ca="1" si="3"/>
        <v>-140</v>
      </c>
      <c r="M117" s="161">
        <f t="shared" ca="1" si="4"/>
        <v>-103.00000000000001</v>
      </c>
      <c r="N117" s="160">
        <f t="shared" ca="1" si="5"/>
        <v>-126</v>
      </c>
      <c r="O117" s="160"/>
    </row>
    <row r="118" spans="1:15">
      <c r="A118" s="164">
        <f>'BC.115+740'!B117</f>
        <v>45176</v>
      </c>
      <c r="B118" s="160">
        <v>104</v>
      </c>
      <c r="C118" s="162">
        <f ca="1">'BC.115+740'!M117/1000</f>
        <v>0.89700000000000002</v>
      </c>
      <c r="D118" s="162">
        <f ca="1">'BC.115+740'!AA117</f>
        <v>1.0069999999999999</v>
      </c>
      <c r="E118" s="163">
        <f ca="1">'BC.115+740'!AB117</f>
        <v>0.80400000000000005</v>
      </c>
      <c r="F118" s="162">
        <f ca="1">VLOOKUP($A118,'BC.115+740'!$B$13:$X$489,8,0)/1000</f>
        <v>1.9</v>
      </c>
      <c r="G118" s="162">
        <f ca="1">VLOOKUP($A118,'BC.115+740'!$B$13:$X$489,9,0)/1000</f>
        <v>-0.1</v>
      </c>
      <c r="H118" s="162">
        <f ca="1">VLOOKUP($A118,'BC.115+740'!$B$13:$X$489,14,0)/1000</f>
        <v>1.887</v>
      </c>
      <c r="I118" s="162">
        <f ca="1">VLOOKUP($A118,'BC.115+740'!$B$13:$X$489,15,0)/1000</f>
        <v>-0.113</v>
      </c>
      <c r="J118" s="162">
        <f ca="1">VLOOKUP($A118,'BC.115+740'!$B$13:$X$489,20,0)/1000</f>
        <v>1.8340000000000001</v>
      </c>
      <c r="K118" s="162">
        <f ca="1">VLOOKUP($A118,'BC.115+740'!$B$13:$X$489,21,0)/1000</f>
        <v>-0.16600000000000001</v>
      </c>
      <c r="L118" s="160">
        <f t="shared" ca="1" si="3"/>
        <v>-140</v>
      </c>
      <c r="M118" s="161">
        <f t="shared" ca="1" si="4"/>
        <v>-103.00000000000001</v>
      </c>
      <c r="N118" s="160">
        <f t="shared" ca="1" si="5"/>
        <v>-126</v>
      </c>
      <c r="O118" s="160"/>
    </row>
    <row r="119" spans="1:15">
      <c r="A119" s="164">
        <f>'BC.115+740'!B118</f>
        <v>45177</v>
      </c>
      <c r="B119" s="160">
        <v>105</v>
      </c>
      <c r="C119" s="162">
        <f ca="1">'BC.115+740'!M118/1000</f>
        <v>0.89700000000000002</v>
      </c>
      <c r="D119" s="162">
        <f ca="1">'BC.115+740'!AA118</f>
        <v>1.0069999999999999</v>
      </c>
      <c r="E119" s="163">
        <f ca="1">'BC.115+740'!AB118</f>
        <v>0.80400000000000005</v>
      </c>
      <c r="F119" s="162">
        <f ca="1">VLOOKUP($A119,'BC.115+740'!$B$13:$X$489,8,0)/1000</f>
        <v>1.9</v>
      </c>
      <c r="G119" s="162">
        <f ca="1">VLOOKUP($A119,'BC.115+740'!$B$13:$X$489,9,0)/1000</f>
        <v>-0.1</v>
      </c>
      <c r="H119" s="162">
        <f ca="1">VLOOKUP($A119,'BC.115+740'!$B$13:$X$489,14,0)/1000</f>
        <v>1.887</v>
      </c>
      <c r="I119" s="162">
        <f ca="1">VLOOKUP($A119,'BC.115+740'!$B$13:$X$489,15,0)/1000</f>
        <v>-0.113</v>
      </c>
      <c r="J119" s="162">
        <f ca="1">VLOOKUP($A119,'BC.115+740'!$B$13:$X$489,20,0)/1000</f>
        <v>1.8340000000000001</v>
      </c>
      <c r="K119" s="162">
        <f ca="1">VLOOKUP($A119,'BC.115+740'!$B$13:$X$489,21,0)/1000</f>
        <v>-0.16600000000000001</v>
      </c>
      <c r="L119" s="160">
        <f t="shared" ca="1" si="3"/>
        <v>-140</v>
      </c>
      <c r="M119" s="161">
        <f t="shared" ca="1" si="4"/>
        <v>-103.00000000000001</v>
      </c>
      <c r="N119" s="160">
        <f t="shared" ca="1" si="5"/>
        <v>-126</v>
      </c>
      <c r="O119" s="160"/>
    </row>
    <row r="120" spans="1:15">
      <c r="A120" s="164">
        <f>'BC.115+740'!B119</f>
        <v>45178</v>
      </c>
      <c r="B120" s="160">
        <v>106</v>
      </c>
      <c r="C120" s="162">
        <f ca="1">'BC.115+740'!M119/1000</f>
        <v>0.89700000000000002</v>
      </c>
      <c r="D120" s="162">
        <f ca="1">'BC.115+740'!AA119</f>
        <v>1.0069999999999999</v>
      </c>
      <c r="E120" s="163">
        <f ca="1">'BC.115+740'!AB119</f>
        <v>0.80400000000000005</v>
      </c>
      <c r="F120" s="162">
        <f ca="1">VLOOKUP($A120,'BC.115+740'!$B$13:$X$489,8,0)/1000</f>
        <v>1.9</v>
      </c>
      <c r="G120" s="162">
        <f ca="1">VLOOKUP($A120,'BC.115+740'!$B$13:$X$489,9,0)/1000</f>
        <v>-0.1</v>
      </c>
      <c r="H120" s="162">
        <f ca="1">VLOOKUP($A120,'BC.115+740'!$B$13:$X$489,14,0)/1000</f>
        <v>1.887</v>
      </c>
      <c r="I120" s="162">
        <f ca="1">VLOOKUP($A120,'BC.115+740'!$B$13:$X$489,15,0)/1000</f>
        <v>-0.113</v>
      </c>
      <c r="J120" s="162">
        <f ca="1">VLOOKUP($A120,'BC.115+740'!$B$13:$X$489,20,0)/1000</f>
        <v>1.8340000000000001</v>
      </c>
      <c r="K120" s="162">
        <f ca="1">VLOOKUP($A120,'BC.115+740'!$B$13:$X$489,21,0)/1000</f>
        <v>-0.16600000000000001</v>
      </c>
      <c r="L120" s="160">
        <f t="shared" ca="1" si="3"/>
        <v>-140</v>
      </c>
      <c r="M120" s="161">
        <f t="shared" ca="1" si="4"/>
        <v>-103.00000000000001</v>
      </c>
      <c r="N120" s="160">
        <f t="shared" ca="1" si="5"/>
        <v>-126</v>
      </c>
      <c r="O120" s="160"/>
    </row>
    <row r="121" spans="1:15">
      <c r="A121" s="164">
        <f>'BC.115+740'!B120</f>
        <v>45179</v>
      </c>
      <c r="B121" s="160">
        <v>107</v>
      </c>
      <c r="C121" s="162">
        <f ca="1">'BC.115+740'!M120/1000</f>
        <v>0.89700000000000002</v>
      </c>
      <c r="D121" s="162">
        <f ca="1">'BC.115+740'!AA120</f>
        <v>1.0069999999999999</v>
      </c>
      <c r="E121" s="163">
        <f ca="1">'BC.115+740'!AB120</f>
        <v>0.80400000000000005</v>
      </c>
      <c r="F121" s="162">
        <f ca="1">VLOOKUP($A121,'BC.115+740'!$B$13:$X$489,8,0)/1000</f>
        <v>1.9</v>
      </c>
      <c r="G121" s="162">
        <f ca="1">VLOOKUP($A121,'BC.115+740'!$B$13:$X$489,9,0)/1000</f>
        <v>-0.1</v>
      </c>
      <c r="H121" s="162">
        <f ca="1">VLOOKUP($A121,'BC.115+740'!$B$13:$X$489,14,0)/1000</f>
        <v>1.887</v>
      </c>
      <c r="I121" s="162">
        <f ca="1">VLOOKUP($A121,'BC.115+740'!$B$13:$X$489,15,0)/1000</f>
        <v>-0.113</v>
      </c>
      <c r="J121" s="162">
        <f ca="1">VLOOKUP($A121,'BC.115+740'!$B$13:$X$489,20,0)/1000</f>
        <v>1.8340000000000001</v>
      </c>
      <c r="K121" s="162">
        <f ca="1">VLOOKUP($A121,'BC.115+740'!$B$13:$X$489,21,0)/1000</f>
        <v>-0.16600000000000001</v>
      </c>
      <c r="L121" s="160">
        <f t="shared" ca="1" si="3"/>
        <v>-140</v>
      </c>
      <c r="M121" s="161">
        <f t="shared" ca="1" si="4"/>
        <v>-103.00000000000001</v>
      </c>
      <c r="N121" s="160">
        <f t="shared" ca="1" si="5"/>
        <v>-126</v>
      </c>
      <c r="O121" s="160"/>
    </row>
    <row r="122" spans="1:15">
      <c r="A122" s="164">
        <f>'BC.115+740'!B121</f>
        <v>45180</v>
      </c>
      <c r="B122" s="160">
        <v>108</v>
      </c>
      <c r="C122" s="162">
        <f ca="1">'BC.115+740'!M121/1000</f>
        <v>0.89700000000000002</v>
      </c>
      <c r="D122" s="162">
        <f ca="1">'BC.115+740'!AA121</f>
        <v>1.0069999999999999</v>
      </c>
      <c r="E122" s="163">
        <f ca="1">'BC.115+740'!AB121</f>
        <v>0.80400000000000005</v>
      </c>
      <c r="F122" s="162">
        <f ca="1">VLOOKUP($A122,'BC.115+740'!$B$13:$X$489,8,0)/1000</f>
        <v>1.9</v>
      </c>
      <c r="G122" s="162">
        <f ca="1">VLOOKUP($A122,'BC.115+740'!$B$13:$X$489,9,0)/1000</f>
        <v>-0.1</v>
      </c>
      <c r="H122" s="162">
        <f ca="1">VLOOKUP($A122,'BC.115+740'!$B$13:$X$489,14,0)/1000</f>
        <v>1.887</v>
      </c>
      <c r="I122" s="162">
        <f ca="1">VLOOKUP($A122,'BC.115+740'!$B$13:$X$489,15,0)/1000</f>
        <v>-0.113</v>
      </c>
      <c r="J122" s="162">
        <f ca="1">VLOOKUP($A122,'BC.115+740'!$B$13:$X$489,20,0)/1000</f>
        <v>1.8340000000000001</v>
      </c>
      <c r="K122" s="162">
        <f ca="1">VLOOKUP($A122,'BC.115+740'!$B$13:$X$489,21,0)/1000</f>
        <v>-0.16600000000000001</v>
      </c>
      <c r="L122" s="160">
        <f t="shared" ca="1" si="3"/>
        <v>-140</v>
      </c>
      <c r="M122" s="161">
        <f t="shared" ca="1" si="4"/>
        <v>-103.00000000000001</v>
      </c>
      <c r="N122" s="160">
        <f t="shared" ca="1" si="5"/>
        <v>-126</v>
      </c>
      <c r="O122" s="160"/>
    </row>
    <row r="123" spans="1:15">
      <c r="A123" s="164">
        <f>'BC.115+740'!B122</f>
        <v>45181</v>
      </c>
      <c r="B123" s="160">
        <v>109</v>
      </c>
      <c r="C123" s="162">
        <f ca="1">'BC.115+740'!M122/1000</f>
        <v>0.89700000000000002</v>
      </c>
      <c r="D123" s="162">
        <f ca="1">'BC.115+740'!AA122</f>
        <v>1.0069999999999999</v>
      </c>
      <c r="E123" s="163">
        <f ca="1">'BC.115+740'!AB122</f>
        <v>0.80400000000000005</v>
      </c>
      <c r="F123" s="162">
        <f ca="1">VLOOKUP($A123,'BC.115+740'!$B$13:$X$489,8,0)/1000</f>
        <v>1.9</v>
      </c>
      <c r="G123" s="162">
        <f ca="1">VLOOKUP($A123,'BC.115+740'!$B$13:$X$489,9,0)/1000</f>
        <v>-0.1</v>
      </c>
      <c r="H123" s="162">
        <f ca="1">VLOOKUP($A123,'BC.115+740'!$B$13:$X$489,14,0)/1000</f>
        <v>1.887</v>
      </c>
      <c r="I123" s="162">
        <f ca="1">VLOOKUP($A123,'BC.115+740'!$B$13:$X$489,15,0)/1000</f>
        <v>-0.113</v>
      </c>
      <c r="J123" s="162">
        <f ca="1">VLOOKUP($A123,'BC.115+740'!$B$13:$X$489,20,0)/1000</f>
        <v>1.8340000000000001</v>
      </c>
      <c r="K123" s="162">
        <f ca="1">VLOOKUP($A123,'BC.115+740'!$B$13:$X$489,21,0)/1000</f>
        <v>-0.16600000000000001</v>
      </c>
      <c r="L123" s="160">
        <f t="shared" ca="1" si="3"/>
        <v>-140</v>
      </c>
      <c r="M123" s="161">
        <f t="shared" ca="1" si="4"/>
        <v>-103.00000000000001</v>
      </c>
      <c r="N123" s="160">
        <f t="shared" ca="1" si="5"/>
        <v>-126</v>
      </c>
      <c r="O123" s="160"/>
    </row>
    <row r="124" spans="1:15">
      <c r="A124" s="164">
        <f>'BC.115+740'!B123</f>
        <v>45182</v>
      </c>
      <c r="B124" s="160">
        <v>110</v>
      </c>
      <c r="C124" s="162">
        <f ca="1">'BC.115+740'!M123/1000</f>
        <v>0.89700000000000002</v>
      </c>
      <c r="D124" s="162">
        <f ca="1">'BC.115+740'!AA123</f>
        <v>1.0069999999999999</v>
      </c>
      <c r="E124" s="163">
        <f ca="1">'BC.115+740'!AB123</f>
        <v>0.80400000000000005</v>
      </c>
      <c r="F124" s="162">
        <f ca="1">VLOOKUP($A124,'BC.115+740'!$B$13:$X$489,8,0)/1000</f>
        <v>1.9</v>
      </c>
      <c r="G124" s="162">
        <f ca="1">VLOOKUP($A124,'BC.115+740'!$B$13:$X$489,9,0)/1000</f>
        <v>-0.1</v>
      </c>
      <c r="H124" s="162">
        <f ca="1">VLOOKUP($A124,'BC.115+740'!$B$13:$X$489,14,0)/1000</f>
        <v>1.887</v>
      </c>
      <c r="I124" s="162">
        <f ca="1">VLOOKUP($A124,'BC.115+740'!$B$13:$X$489,15,0)/1000</f>
        <v>-0.113</v>
      </c>
      <c r="J124" s="162">
        <f ca="1">VLOOKUP($A124,'BC.115+740'!$B$13:$X$489,20,0)/1000</f>
        <v>1.8340000000000001</v>
      </c>
      <c r="K124" s="162">
        <f ca="1">VLOOKUP($A124,'BC.115+740'!$B$13:$X$489,21,0)/1000</f>
        <v>-0.16600000000000001</v>
      </c>
      <c r="L124" s="160">
        <f t="shared" ca="1" si="3"/>
        <v>-140</v>
      </c>
      <c r="M124" s="161">
        <f t="shared" ca="1" si="4"/>
        <v>-103.00000000000001</v>
      </c>
      <c r="N124" s="160">
        <f t="shared" ca="1" si="5"/>
        <v>-126</v>
      </c>
      <c r="O124" s="160"/>
    </row>
    <row r="125" spans="1:15">
      <c r="A125" s="164">
        <f>'BC.115+740'!B124</f>
        <v>45183</v>
      </c>
      <c r="B125" s="160">
        <v>111</v>
      </c>
      <c r="C125" s="162">
        <f ca="1">'BC.115+740'!M124/1000</f>
        <v>0.89700000000000002</v>
      </c>
      <c r="D125" s="162">
        <f ca="1">'BC.115+740'!AA124</f>
        <v>1.0069999999999999</v>
      </c>
      <c r="E125" s="163">
        <f ca="1">'BC.115+740'!AB124</f>
        <v>0.80400000000000005</v>
      </c>
      <c r="F125" s="162">
        <f ca="1">VLOOKUP($A125,'BC.115+740'!$B$13:$X$489,8,0)/1000</f>
        <v>1.9</v>
      </c>
      <c r="G125" s="162">
        <f ca="1">VLOOKUP($A125,'BC.115+740'!$B$13:$X$489,9,0)/1000</f>
        <v>-0.1</v>
      </c>
      <c r="H125" s="162">
        <f ca="1">VLOOKUP($A125,'BC.115+740'!$B$13:$X$489,14,0)/1000</f>
        <v>1.887</v>
      </c>
      <c r="I125" s="162">
        <f ca="1">VLOOKUP($A125,'BC.115+740'!$B$13:$X$489,15,0)/1000</f>
        <v>-0.113</v>
      </c>
      <c r="J125" s="162">
        <f ca="1">VLOOKUP($A125,'BC.115+740'!$B$13:$X$489,20,0)/1000</f>
        <v>1.8340000000000001</v>
      </c>
      <c r="K125" s="162">
        <f ca="1">VLOOKUP($A125,'BC.115+740'!$B$13:$X$489,21,0)/1000</f>
        <v>-0.16600000000000001</v>
      </c>
      <c r="L125" s="160">
        <f t="shared" ca="1" si="3"/>
        <v>-140</v>
      </c>
      <c r="M125" s="161">
        <f t="shared" ca="1" si="4"/>
        <v>-103.00000000000001</v>
      </c>
      <c r="N125" s="160">
        <f t="shared" ca="1" si="5"/>
        <v>-126</v>
      </c>
      <c r="O125" s="160"/>
    </row>
    <row r="126" spans="1:15">
      <c r="A126" s="164">
        <f>'BC.115+740'!B125</f>
        <v>45184</v>
      </c>
      <c r="B126" s="160">
        <v>112</v>
      </c>
      <c r="C126" s="162">
        <f ca="1">'BC.115+740'!M125/1000</f>
        <v>0.89700000000000002</v>
      </c>
      <c r="D126" s="162">
        <f ca="1">'BC.115+740'!AA125</f>
        <v>1.0069999999999999</v>
      </c>
      <c r="E126" s="163">
        <f ca="1">'BC.115+740'!AB125</f>
        <v>0.80400000000000005</v>
      </c>
      <c r="F126" s="162">
        <f ca="1">VLOOKUP($A126,'BC.115+740'!$B$13:$X$489,8,0)/1000</f>
        <v>1.9</v>
      </c>
      <c r="G126" s="162">
        <f ca="1">VLOOKUP($A126,'BC.115+740'!$B$13:$X$489,9,0)/1000</f>
        <v>-0.1</v>
      </c>
      <c r="H126" s="162">
        <f ca="1">VLOOKUP($A126,'BC.115+740'!$B$13:$X$489,14,0)/1000</f>
        <v>1.887</v>
      </c>
      <c r="I126" s="162">
        <f ca="1">VLOOKUP($A126,'BC.115+740'!$B$13:$X$489,15,0)/1000</f>
        <v>-0.113</v>
      </c>
      <c r="J126" s="162">
        <f ca="1">VLOOKUP($A126,'BC.115+740'!$B$13:$X$489,20,0)/1000</f>
        <v>1.8340000000000001</v>
      </c>
      <c r="K126" s="162">
        <f ca="1">VLOOKUP($A126,'BC.115+740'!$B$13:$X$489,21,0)/1000</f>
        <v>-0.16600000000000001</v>
      </c>
      <c r="L126" s="160">
        <f t="shared" ca="1" si="3"/>
        <v>-140</v>
      </c>
      <c r="M126" s="161">
        <f t="shared" ca="1" si="4"/>
        <v>-103.00000000000001</v>
      </c>
      <c r="N126" s="160">
        <f t="shared" ca="1" si="5"/>
        <v>-126</v>
      </c>
      <c r="O126" s="160"/>
    </row>
    <row r="127" spans="1:15">
      <c r="A127" s="164">
        <f>'BC.115+740'!B126</f>
        <v>45185</v>
      </c>
      <c r="B127" s="160">
        <v>113</v>
      </c>
      <c r="C127" s="162">
        <f ca="1">'BC.115+740'!M126/1000</f>
        <v>0.89700000000000002</v>
      </c>
      <c r="D127" s="162">
        <f ca="1">'BC.115+740'!AA126</f>
        <v>1.0069999999999999</v>
      </c>
      <c r="E127" s="163">
        <f ca="1">'BC.115+740'!AB126</f>
        <v>0.80400000000000005</v>
      </c>
      <c r="F127" s="162">
        <f ca="1">VLOOKUP($A127,'BC.115+740'!$B$13:$X$489,8,0)/1000</f>
        <v>1.9</v>
      </c>
      <c r="G127" s="162">
        <f ca="1">VLOOKUP($A127,'BC.115+740'!$B$13:$X$489,9,0)/1000</f>
        <v>-0.1</v>
      </c>
      <c r="H127" s="162">
        <f ca="1">VLOOKUP($A127,'BC.115+740'!$B$13:$X$489,14,0)/1000</f>
        <v>1.887</v>
      </c>
      <c r="I127" s="162">
        <f ca="1">VLOOKUP($A127,'BC.115+740'!$B$13:$X$489,15,0)/1000</f>
        <v>-0.113</v>
      </c>
      <c r="J127" s="162">
        <f ca="1">VLOOKUP($A127,'BC.115+740'!$B$13:$X$489,20,0)/1000</f>
        <v>1.8340000000000001</v>
      </c>
      <c r="K127" s="162">
        <f ca="1">VLOOKUP($A127,'BC.115+740'!$B$13:$X$489,21,0)/1000</f>
        <v>-0.16600000000000001</v>
      </c>
      <c r="L127" s="160">
        <f t="shared" ca="1" si="3"/>
        <v>-140</v>
      </c>
      <c r="M127" s="161">
        <f t="shared" ca="1" si="4"/>
        <v>-103.00000000000001</v>
      </c>
      <c r="N127" s="160">
        <f t="shared" ca="1" si="5"/>
        <v>-126</v>
      </c>
      <c r="O127" s="160"/>
    </row>
    <row r="128" spans="1:15">
      <c r="A128" s="164">
        <f>'BC.115+740'!B127</f>
        <v>45186</v>
      </c>
      <c r="B128" s="160">
        <v>114</v>
      </c>
      <c r="C128" s="162">
        <f ca="1">'BC.115+740'!M127/1000</f>
        <v>0.89700000000000002</v>
      </c>
      <c r="D128" s="162">
        <f ca="1">'BC.115+740'!AA127</f>
        <v>1.0069999999999999</v>
      </c>
      <c r="E128" s="163">
        <f ca="1">'BC.115+740'!AB127</f>
        <v>0.80400000000000005</v>
      </c>
      <c r="F128" s="162">
        <f ca="1">VLOOKUP($A128,'BC.115+740'!$B$13:$X$489,8,0)/1000</f>
        <v>1.9</v>
      </c>
      <c r="G128" s="162">
        <f ca="1">VLOOKUP($A128,'BC.115+740'!$B$13:$X$489,9,0)/1000</f>
        <v>-0.1</v>
      </c>
      <c r="H128" s="162">
        <f ca="1">VLOOKUP($A128,'BC.115+740'!$B$13:$X$489,14,0)/1000</f>
        <v>1.887</v>
      </c>
      <c r="I128" s="162">
        <f ca="1">VLOOKUP($A128,'BC.115+740'!$B$13:$X$489,15,0)/1000</f>
        <v>-0.113</v>
      </c>
      <c r="J128" s="162">
        <f ca="1">VLOOKUP($A128,'BC.115+740'!$B$13:$X$489,20,0)/1000</f>
        <v>1.8340000000000001</v>
      </c>
      <c r="K128" s="162">
        <f ca="1">VLOOKUP($A128,'BC.115+740'!$B$13:$X$489,21,0)/1000</f>
        <v>-0.16600000000000001</v>
      </c>
      <c r="L128" s="160">
        <f t="shared" ca="1" si="3"/>
        <v>-140</v>
      </c>
      <c r="M128" s="161">
        <f t="shared" ca="1" si="4"/>
        <v>-103.00000000000001</v>
      </c>
      <c r="N128" s="160">
        <f t="shared" ca="1" si="5"/>
        <v>-126</v>
      </c>
      <c r="O128" s="160"/>
    </row>
    <row r="129" spans="1:15">
      <c r="A129" s="164">
        <f>'BC.115+740'!B128</f>
        <v>45187</v>
      </c>
      <c r="B129" s="160">
        <v>115</v>
      </c>
      <c r="C129" s="162">
        <f ca="1">'BC.115+740'!M128/1000</f>
        <v>0.89700000000000002</v>
      </c>
      <c r="D129" s="162">
        <f ca="1">'BC.115+740'!AA128</f>
        <v>1.0069999999999999</v>
      </c>
      <c r="E129" s="163">
        <f ca="1">'BC.115+740'!AB128</f>
        <v>0.80400000000000005</v>
      </c>
      <c r="F129" s="162">
        <f ca="1">VLOOKUP($A129,'BC.115+740'!$B$13:$X$489,8,0)/1000</f>
        <v>1.9</v>
      </c>
      <c r="G129" s="162">
        <f ca="1">VLOOKUP($A129,'BC.115+740'!$B$13:$X$489,9,0)/1000</f>
        <v>-0.1</v>
      </c>
      <c r="H129" s="162">
        <f ca="1">VLOOKUP($A129,'BC.115+740'!$B$13:$X$489,14,0)/1000</f>
        <v>1.887</v>
      </c>
      <c r="I129" s="162">
        <f ca="1">VLOOKUP($A129,'BC.115+740'!$B$13:$X$489,15,0)/1000</f>
        <v>-0.113</v>
      </c>
      <c r="J129" s="162">
        <f ca="1">VLOOKUP($A129,'BC.115+740'!$B$13:$X$489,20,0)/1000</f>
        <v>1.8340000000000001</v>
      </c>
      <c r="K129" s="162">
        <f ca="1">VLOOKUP($A129,'BC.115+740'!$B$13:$X$489,21,0)/1000</f>
        <v>-0.16600000000000001</v>
      </c>
      <c r="L129" s="160">
        <f t="shared" ca="1" si="3"/>
        <v>-140</v>
      </c>
      <c r="M129" s="161">
        <f t="shared" ca="1" si="4"/>
        <v>-103.00000000000001</v>
      </c>
      <c r="N129" s="160">
        <f t="shared" ca="1" si="5"/>
        <v>-126</v>
      </c>
      <c r="O129" s="160"/>
    </row>
    <row r="130" spans="1:15">
      <c r="A130" s="164">
        <f>'BC.115+740'!B129</f>
        <v>45188</v>
      </c>
      <c r="B130" s="160">
        <v>116</v>
      </c>
      <c r="C130" s="162">
        <f ca="1">'BC.115+740'!M129/1000</f>
        <v>0.89700000000000002</v>
      </c>
      <c r="D130" s="162">
        <f ca="1">'BC.115+740'!AA129</f>
        <v>1.0069999999999999</v>
      </c>
      <c r="E130" s="163">
        <f ca="1">'BC.115+740'!AB129</f>
        <v>0.80400000000000005</v>
      </c>
      <c r="F130" s="162">
        <f ca="1">VLOOKUP($A130,'BC.115+740'!$B$13:$X$489,8,0)/1000</f>
        <v>1.9</v>
      </c>
      <c r="G130" s="162">
        <f ca="1">VLOOKUP($A130,'BC.115+740'!$B$13:$X$489,9,0)/1000</f>
        <v>-0.1</v>
      </c>
      <c r="H130" s="162">
        <f ca="1">VLOOKUP($A130,'BC.115+740'!$B$13:$X$489,14,0)/1000</f>
        <v>1.887</v>
      </c>
      <c r="I130" s="162">
        <f ca="1">VLOOKUP($A130,'BC.115+740'!$B$13:$X$489,15,0)/1000</f>
        <v>-0.113</v>
      </c>
      <c r="J130" s="162">
        <f ca="1">VLOOKUP($A130,'BC.115+740'!$B$13:$X$489,20,0)/1000</f>
        <v>1.8340000000000001</v>
      </c>
      <c r="K130" s="162">
        <f ca="1">VLOOKUP($A130,'BC.115+740'!$B$13:$X$489,21,0)/1000</f>
        <v>-0.16600000000000001</v>
      </c>
      <c r="L130" s="160">
        <f t="shared" ca="1" si="3"/>
        <v>-140</v>
      </c>
      <c r="M130" s="161">
        <f t="shared" ca="1" si="4"/>
        <v>-103.00000000000001</v>
      </c>
      <c r="N130" s="160">
        <f t="shared" ca="1" si="5"/>
        <v>-126</v>
      </c>
      <c r="O130" s="160"/>
    </row>
    <row r="131" spans="1:15">
      <c r="A131" s="164">
        <f>'BC.115+740'!B130</f>
        <v>45189</v>
      </c>
      <c r="B131" s="160">
        <v>117</v>
      </c>
      <c r="C131" s="162">
        <f ca="1">'BC.115+740'!M130/1000</f>
        <v>0.89700000000000002</v>
      </c>
      <c r="D131" s="162">
        <f ca="1">'BC.115+740'!AA130</f>
        <v>1.0069999999999999</v>
      </c>
      <c r="E131" s="163">
        <f ca="1">'BC.115+740'!AB130</f>
        <v>0.80400000000000005</v>
      </c>
      <c r="F131" s="162">
        <f ca="1">VLOOKUP($A131,'BC.115+740'!$B$13:$X$489,8,0)/1000</f>
        <v>1.9</v>
      </c>
      <c r="G131" s="162">
        <f ca="1">VLOOKUP($A131,'BC.115+740'!$B$13:$X$489,9,0)/1000</f>
        <v>-0.1</v>
      </c>
      <c r="H131" s="162">
        <f ca="1">VLOOKUP($A131,'BC.115+740'!$B$13:$X$489,14,0)/1000</f>
        <v>1.887</v>
      </c>
      <c r="I131" s="162">
        <f ca="1">VLOOKUP($A131,'BC.115+740'!$B$13:$X$489,15,0)/1000</f>
        <v>-0.113</v>
      </c>
      <c r="J131" s="162">
        <f ca="1">VLOOKUP($A131,'BC.115+740'!$B$13:$X$489,20,0)/1000</f>
        <v>1.8340000000000001</v>
      </c>
      <c r="K131" s="162">
        <f ca="1">VLOOKUP($A131,'BC.115+740'!$B$13:$X$489,21,0)/1000</f>
        <v>-0.16600000000000001</v>
      </c>
      <c r="L131" s="160">
        <f t="shared" ca="1" si="3"/>
        <v>-140</v>
      </c>
      <c r="M131" s="161">
        <f t="shared" ca="1" si="4"/>
        <v>-103.00000000000001</v>
      </c>
      <c r="N131" s="160">
        <f t="shared" ca="1" si="5"/>
        <v>-126</v>
      </c>
      <c r="O131" s="160"/>
    </row>
    <row r="132" spans="1:15">
      <c r="A132" s="164">
        <f>'BC.115+740'!B131</f>
        <v>45190</v>
      </c>
      <c r="B132" s="160">
        <v>118</v>
      </c>
      <c r="C132" s="162">
        <f ca="1">'BC.115+740'!M131/1000</f>
        <v>0.89700000000000002</v>
      </c>
      <c r="D132" s="162">
        <f ca="1">'BC.115+740'!AA131</f>
        <v>1.0069999999999999</v>
      </c>
      <c r="E132" s="163">
        <f ca="1">'BC.115+740'!AB131</f>
        <v>0.80400000000000005</v>
      </c>
      <c r="F132" s="162">
        <f ca="1">VLOOKUP($A132,'BC.115+740'!$B$13:$X$489,8,0)/1000</f>
        <v>1.9</v>
      </c>
      <c r="G132" s="162">
        <f ca="1">VLOOKUP($A132,'BC.115+740'!$B$13:$X$489,9,0)/1000</f>
        <v>-0.1</v>
      </c>
      <c r="H132" s="162">
        <f ca="1">VLOOKUP($A132,'BC.115+740'!$B$13:$X$489,14,0)/1000</f>
        <v>1.887</v>
      </c>
      <c r="I132" s="162">
        <f ca="1">VLOOKUP($A132,'BC.115+740'!$B$13:$X$489,15,0)/1000</f>
        <v>-0.113</v>
      </c>
      <c r="J132" s="162">
        <f ca="1">VLOOKUP($A132,'BC.115+740'!$B$13:$X$489,20,0)/1000</f>
        <v>1.8340000000000001</v>
      </c>
      <c r="K132" s="162">
        <f ca="1">VLOOKUP($A132,'BC.115+740'!$B$13:$X$489,21,0)/1000</f>
        <v>-0.16600000000000001</v>
      </c>
      <c r="L132" s="160">
        <f t="shared" ca="1" si="3"/>
        <v>-140</v>
      </c>
      <c r="M132" s="161">
        <f t="shared" ca="1" si="4"/>
        <v>-103.00000000000001</v>
      </c>
      <c r="N132" s="160">
        <f t="shared" ca="1" si="5"/>
        <v>-126</v>
      </c>
      <c r="O132" s="160"/>
    </row>
    <row r="133" spans="1:15">
      <c r="A133" s="164">
        <f>'BC.115+740'!B132</f>
        <v>45191</v>
      </c>
      <c r="B133" s="160">
        <v>119</v>
      </c>
      <c r="C133" s="162">
        <f ca="1">'BC.115+740'!M132/1000</f>
        <v>0.89700000000000002</v>
      </c>
      <c r="D133" s="162">
        <f ca="1">'BC.115+740'!AA132</f>
        <v>1.0069999999999999</v>
      </c>
      <c r="E133" s="163">
        <f ca="1">'BC.115+740'!AB132</f>
        <v>0.80400000000000005</v>
      </c>
      <c r="F133" s="162">
        <f ca="1">VLOOKUP($A133,'BC.115+740'!$B$13:$X$489,8,0)/1000</f>
        <v>1.9</v>
      </c>
      <c r="G133" s="162">
        <f ca="1">VLOOKUP($A133,'BC.115+740'!$B$13:$X$489,9,0)/1000</f>
        <v>-0.1</v>
      </c>
      <c r="H133" s="162">
        <f ca="1">VLOOKUP($A133,'BC.115+740'!$B$13:$X$489,14,0)/1000</f>
        <v>1.887</v>
      </c>
      <c r="I133" s="162">
        <f ca="1">VLOOKUP($A133,'BC.115+740'!$B$13:$X$489,15,0)/1000</f>
        <v>-0.113</v>
      </c>
      <c r="J133" s="162">
        <f ca="1">VLOOKUP($A133,'BC.115+740'!$B$13:$X$489,20,0)/1000</f>
        <v>1.8340000000000001</v>
      </c>
      <c r="K133" s="162">
        <f ca="1">VLOOKUP($A133,'BC.115+740'!$B$13:$X$489,21,0)/1000</f>
        <v>-0.16600000000000001</v>
      </c>
      <c r="L133" s="160">
        <f t="shared" ca="1" si="3"/>
        <v>-140</v>
      </c>
      <c r="M133" s="161">
        <f t="shared" ca="1" si="4"/>
        <v>-103.00000000000001</v>
      </c>
      <c r="N133" s="160">
        <f t="shared" ca="1" si="5"/>
        <v>-126</v>
      </c>
      <c r="O133" s="160"/>
    </row>
    <row r="134" spans="1:15">
      <c r="A134" s="164">
        <f>'BC.115+740'!B133</f>
        <v>45192</v>
      </c>
      <c r="B134" s="160">
        <v>120</v>
      </c>
      <c r="C134" s="162">
        <f ca="1">'BC.115+740'!M133/1000</f>
        <v>0.89700000000000002</v>
      </c>
      <c r="D134" s="162">
        <f ca="1">'BC.115+740'!AA133</f>
        <v>1.0069999999999999</v>
      </c>
      <c r="E134" s="163">
        <f ca="1">'BC.115+740'!AB133</f>
        <v>0.80400000000000005</v>
      </c>
      <c r="F134" s="162">
        <f ca="1">VLOOKUP($A134,'BC.115+740'!$B$13:$X$489,8,0)/1000</f>
        <v>1.9</v>
      </c>
      <c r="G134" s="162">
        <f ca="1">VLOOKUP($A134,'BC.115+740'!$B$13:$X$489,9,0)/1000</f>
        <v>-0.1</v>
      </c>
      <c r="H134" s="162">
        <f ca="1">VLOOKUP($A134,'BC.115+740'!$B$13:$X$489,14,0)/1000</f>
        <v>1.887</v>
      </c>
      <c r="I134" s="162">
        <f ca="1">VLOOKUP($A134,'BC.115+740'!$B$13:$X$489,15,0)/1000</f>
        <v>-0.113</v>
      </c>
      <c r="J134" s="162">
        <f ca="1">VLOOKUP($A134,'BC.115+740'!$B$13:$X$489,20,0)/1000</f>
        <v>1.8340000000000001</v>
      </c>
      <c r="K134" s="162">
        <f ca="1">VLOOKUP($A134,'BC.115+740'!$B$13:$X$489,21,0)/1000</f>
        <v>-0.16600000000000001</v>
      </c>
      <c r="L134" s="160">
        <f t="shared" ca="1" si="3"/>
        <v>-140</v>
      </c>
      <c r="M134" s="161">
        <f t="shared" ca="1" si="4"/>
        <v>-103.00000000000001</v>
      </c>
      <c r="N134" s="160">
        <f t="shared" ca="1" si="5"/>
        <v>-126</v>
      </c>
      <c r="O134" s="165"/>
    </row>
    <row r="135" spans="1:15">
      <c r="A135" s="164">
        <f>'BC.115+740'!B134</f>
        <v>45193</v>
      </c>
      <c r="B135" s="160">
        <v>121</v>
      </c>
      <c r="C135" s="162">
        <f ca="1">'BC.115+740'!M134/1000</f>
        <v>0.89700000000000002</v>
      </c>
      <c r="D135" s="162">
        <f ca="1">'BC.115+740'!AA134</f>
        <v>1.0069999999999999</v>
      </c>
      <c r="E135" s="163">
        <f ca="1">'BC.115+740'!AB134</f>
        <v>0.80400000000000005</v>
      </c>
      <c r="F135" s="162">
        <f ca="1">VLOOKUP($A135,'BC.115+740'!$B$13:$X$489,8,0)/1000</f>
        <v>1.9</v>
      </c>
      <c r="G135" s="162">
        <f ca="1">VLOOKUP($A135,'BC.115+740'!$B$13:$X$489,9,0)/1000</f>
        <v>-0.1</v>
      </c>
      <c r="H135" s="162">
        <f ca="1">VLOOKUP($A135,'BC.115+740'!$B$13:$X$489,14,0)/1000</f>
        <v>1.887</v>
      </c>
      <c r="I135" s="162">
        <f ca="1">VLOOKUP($A135,'BC.115+740'!$B$13:$X$489,15,0)/1000</f>
        <v>-0.113</v>
      </c>
      <c r="J135" s="162">
        <f ca="1">VLOOKUP($A135,'BC.115+740'!$B$13:$X$489,20,0)/1000</f>
        <v>1.8340000000000001</v>
      </c>
      <c r="K135" s="162">
        <f ca="1">VLOOKUP($A135,'BC.115+740'!$B$13:$X$489,21,0)/1000</f>
        <v>-0.16600000000000001</v>
      </c>
      <c r="L135" s="160">
        <f t="shared" ca="1" si="3"/>
        <v>-140</v>
      </c>
      <c r="M135" s="161">
        <f t="shared" ca="1" si="4"/>
        <v>-103.00000000000001</v>
      </c>
      <c r="N135" s="160">
        <f t="shared" ca="1" si="5"/>
        <v>-126</v>
      </c>
      <c r="O135" s="160"/>
    </row>
    <row r="136" spans="1:15">
      <c r="A136" s="164">
        <f>'BC.115+740'!B135</f>
        <v>45194</v>
      </c>
      <c r="B136" s="160">
        <v>122</v>
      </c>
      <c r="C136" s="162">
        <f ca="1">'BC.115+740'!M135/1000</f>
        <v>0.89700000000000002</v>
      </c>
      <c r="D136" s="162">
        <f ca="1">'BC.115+740'!AA135</f>
        <v>1.0069999999999999</v>
      </c>
      <c r="E136" s="163">
        <f ca="1">'BC.115+740'!AB135</f>
        <v>0.80400000000000005</v>
      </c>
      <c r="F136" s="162">
        <f ca="1">VLOOKUP($A136,'BC.115+740'!$B$13:$X$489,8,0)/1000</f>
        <v>1.9</v>
      </c>
      <c r="G136" s="162">
        <f ca="1">VLOOKUP($A136,'BC.115+740'!$B$13:$X$489,9,0)/1000</f>
        <v>-0.1</v>
      </c>
      <c r="H136" s="162">
        <f ca="1">VLOOKUP($A136,'BC.115+740'!$B$13:$X$489,14,0)/1000</f>
        <v>1.887</v>
      </c>
      <c r="I136" s="162">
        <f ca="1">VLOOKUP($A136,'BC.115+740'!$B$13:$X$489,15,0)/1000</f>
        <v>-0.113</v>
      </c>
      <c r="J136" s="162">
        <f ca="1">VLOOKUP($A136,'BC.115+740'!$B$13:$X$489,20,0)/1000</f>
        <v>1.8340000000000001</v>
      </c>
      <c r="K136" s="162">
        <f ca="1">VLOOKUP($A136,'BC.115+740'!$B$13:$X$489,21,0)/1000</f>
        <v>-0.16600000000000001</v>
      </c>
      <c r="L136" s="160">
        <f t="shared" ca="1" si="3"/>
        <v>-140</v>
      </c>
      <c r="M136" s="161">
        <f t="shared" ca="1" si="4"/>
        <v>-103.00000000000001</v>
      </c>
      <c r="N136" s="160">
        <f t="shared" ca="1" si="5"/>
        <v>-126</v>
      </c>
      <c r="O136" s="160"/>
    </row>
    <row r="137" spans="1:15">
      <c r="A137" s="164">
        <f>'BC.115+740'!B136</f>
        <v>45195</v>
      </c>
      <c r="B137" s="160">
        <v>123</v>
      </c>
      <c r="C137" s="162">
        <f ca="1">'BC.115+740'!M136/1000</f>
        <v>0.89700000000000002</v>
      </c>
      <c r="D137" s="162">
        <f ca="1">'BC.115+740'!AA136</f>
        <v>1.0069999999999999</v>
      </c>
      <c r="E137" s="163">
        <f ca="1">'BC.115+740'!AB136</f>
        <v>0.80400000000000005</v>
      </c>
      <c r="F137" s="162">
        <f ca="1">VLOOKUP($A137,'BC.115+740'!$B$13:$X$489,8,0)/1000</f>
        <v>1.9</v>
      </c>
      <c r="G137" s="162">
        <f ca="1">VLOOKUP($A137,'BC.115+740'!$B$13:$X$489,9,0)/1000</f>
        <v>-0.1</v>
      </c>
      <c r="H137" s="162">
        <f ca="1">VLOOKUP($A137,'BC.115+740'!$B$13:$X$489,14,0)/1000</f>
        <v>1.887</v>
      </c>
      <c r="I137" s="162">
        <f ca="1">VLOOKUP($A137,'BC.115+740'!$B$13:$X$489,15,0)/1000</f>
        <v>-0.113</v>
      </c>
      <c r="J137" s="162">
        <f ca="1">VLOOKUP($A137,'BC.115+740'!$B$13:$X$489,20,0)/1000</f>
        <v>1.8340000000000001</v>
      </c>
      <c r="K137" s="162">
        <f ca="1">VLOOKUP($A137,'BC.115+740'!$B$13:$X$489,21,0)/1000</f>
        <v>-0.16600000000000001</v>
      </c>
      <c r="L137" s="160">
        <f t="shared" ca="1" si="3"/>
        <v>-140</v>
      </c>
      <c r="M137" s="161">
        <f t="shared" ca="1" si="4"/>
        <v>-103.00000000000001</v>
      </c>
      <c r="N137" s="160">
        <f t="shared" ca="1" si="5"/>
        <v>-126</v>
      </c>
      <c r="O137" s="160"/>
    </row>
    <row r="138" spans="1:15">
      <c r="A138" s="164">
        <f>'BC.115+740'!B137</f>
        <v>45196</v>
      </c>
      <c r="B138" s="160">
        <v>124</v>
      </c>
      <c r="C138" s="162">
        <f ca="1">'BC.115+740'!M137/1000</f>
        <v>0.89700000000000002</v>
      </c>
      <c r="D138" s="162">
        <f ca="1">'BC.115+740'!AA137</f>
        <v>1.0069999999999999</v>
      </c>
      <c r="E138" s="163">
        <f ca="1">'BC.115+740'!AB137</f>
        <v>0.80400000000000005</v>
      </c>
      <c r="F138" s="162">
        <f ca="1">VLOOKUP($A138,'BC.115+740'!$B$13:$X$489,8,0)/1000</f>
        <v>1.9</v>
      </c>
      <c r="G138" s="162">
        <f ca="1">VLOOKUP($A138,'BC.115+740'!$B$13:$X$489,9,0)/1000</f>
        <v>-0.1</v>
      </c>
      <c r="H138" s="162">
        <f ca="1">VLOOKUP($A138,'BC.115+740'!$B$13:$X$489,14,0)/1000</f>
        <v>1.887</v>
      </c>
      <c r="I138" s="162">
        <f ca="1">VLOOKUP($A138,'BC.115+740'!$B$13:$X$489,15,0)/1000</f>
        <v>-0.113</v>
      </c>
      <c r="J138" s="162">
        <f ca="1">VLOOKUP($A138,'BC.115+740'!$B$13:$X$489,20,0)/1000</f>
        <v>1.8340000000000001</v>
      </c>
      <c r="K138" s="162">
        <f ca="1">VLOOKUP($A138,'BC.115+740'!$B$13:$X$489,21,0)/1000</f>
        <v>-0.16600000000000001</v>
      </c>
      <c r="L138" s="160">
        <f t="shared" ca="1" si="3"/>
        <v>-140</v>
      </c>
      <c r="M138" s="161">
        <f t="shared" ca="1" si="4"/>
        <v>-103.00000000000001</v>
      </c>
      <c r="N138" s="160">
        <f t="shared" ca="1" si="5"/>
        <v>-126</v>
      </c>
      <c r="O138" s="160"/>
    </row>
    <row r="139" spans="1:15">
      <c r="A139" s="164">
        <f>'BC.115+740'!B138</f>
        <v>45197</v>
      </c>
      <c r="B139" s="160">
        <v>125</v>
      </c>
      <c r="C139" s="162">
        <f ca="1">'BC.115+740'!M138/1000</f>
        <v>0.89700000000000002</v>
      </c>
      <c r="D139" s="162">
        <f ca="1">'BC.115+740'!AA138</f>
        <v>1.0069999999999999</v>
      </c>
      <c r="E139" s="163">
        <f ca="1">'BC.115+740'!AB138</f>
        <v>0.80400000000000005</v>
      </c>
      <c r="F139" s="162">
        <f ca="1">VLOOKUP($A139,'BC.115+740'!$B$13:$X$489,8,0)/1000</f>
        <v>1.9</v>
      </c>
      <c r="G139" s="162">
        <f ca="1">VLOOKUP($A139,'BC.115+740'!$B$13:$X$489,9,0)/1000</f>
        <v>-0.1</v>
      </c>
      <c r="H139" s="162">
        <f ca="1">VLOOKUP($A139,'BC.115+740'!$B$13:$X$489,14,0)/1000</f>
        <v>1.887</v>
      </c>
      <c r="I139" s="162">
        <f ca="1">VLOOKUP($A139,'BC.115+740'!$B$13:$X$489,15,0)/1000</f>
        <v>-0.113</v>
      </c>
      <c r="J139" s="162">
        <f ca="1">VLOOKUP($A139,'BC.115+740'!$B$13:$X$489,20,0)/1000</f>
        <v>1.8340000000000001</v>
      </c>
      <c r="K139" s="162">
        <f ca="1">VLOOKUP($A139,'BC.115+740'!$B$13:$X$489,21,0)/1000</f>
        <v>-0.16600000000000001</v>
      </c>
      <c r="L139" s="160">
        <f t="shared" ca="1" si="3"/>
        <v>-140</v>
      </c>
      <c r="M139" s="161">
        <f t="shared" ca="1" si="4"/>
        <v>-103.00000000000001</v>
      </c>
      <c r="N139" s="160">
        <f t="shared" ca="1" si="5"/>
        <v>-126</v>
      </c>
      <c r="O139" s="160"/>
    </row>
    <row r="140" spans="1:15">
      <c r="A140" s="164">
        <f>'BC.115+740'!B139</f>
        <v>45198</v>
      </c>
      <c r="B140" s="160">
        <v>126</v>
      </c>
      <c r="C140" s="162">
        <f ca="1">'BC.115+740'!M139/1000</f>
        <v>0.89700000000000002</v>
      </c>
      <c r="D140" s="162">
        <f ca="1">'BC.115+740'!AA139</f>
        <v>1.0069999999999999</v>
      </c>
      <c r="E140" s="163">
        <f ca="1">'BC.115+740'!AB139</f>
        <v>0.80400000000000005</v>
      </c>
      <c r="F140" s="162">
        <f ca="1">VLOOKUP($A140,'BC.115+740'!$B$13:$X$489,8,0)/1000</f>
        <v>1.9</v>
      </c>
      <c r="G140" s="162">
        <f ca="1">VLOOKUP($A140,'BC.115+740'!$B$13:$X$489,9,0)/1000</f>
        <v>-0.1</v>
      </c>
      <c r="H140" s="162">
        <f ca="1">VLOOKUP($A140,'BC.115+740'!$B$13:$X$489,14,0)/1000</f>
        <v>1.887</v>
      </c>
      <c r="I140" s="162">
        <f ca="1">VLOOKUP($A140,'BC.115+740'!$B$13:$X$489,15,0)/1000</f>
        <v>-0.113</v>
      </c>
      <c r="J140" s="162">
        <f ca="1">VLOOKUP($A140,'BC.115+740'!$B$13:$X$489,20,0)/1000</f>
        <v>1.8340000000000001</v>
      </c>
      <c r="K140" s="162">
        <f ca="1">VLOOKUP($A140,'BC.115+740'!$B$13:$X$489,21,0)/1000</f>
        <v>-0.16600000000000001</v>
      </c>
      <c r="L140" s="160">
        <f t="shared" ca="1" si="3"/>
        <v>-140</v>
      </c>
      <c r="M140" s="161">
        <f t="shared" ca="1" si="4"/>
        <v>-103.00000000000001</v>
      </c>
      <c r="N140" s="160">
        <f t="shared" ca="1" si="5"/>
        <v>-126</v>
      </c>
      <c r="O140" s="160"/>
    </row>
    <row r="141" spans="1:15">
      <c r="A141" s="164">
        <f>'BC.115+740'!B140</f>
        <v>45199</v>
      </c>
      <c r="B141" s="160">
        <v>127</v>
      </c>
      <c r="C141" s="162">
        <f ca="1">'BC.115+740'!M140/1000</f>
        <v>0.89700000000000002</v>
      </c>
      <c r="D141" s="162">
        <f ca="1">'BC.115+740'!AA140</f>
        <v>1.0069999999999999</v>
      </c>
      <c r="E141" s="163">
        <f ca="1">'BC.115+740'!AB140</f>
        <v>0.80400000000000005</v>
      </c>
      <c r="F141" s="162">
        <f ca="1">VLOOKUP($A141,'BC.115+740'!$B$13:$X$489,8,0)/1000</f>
        <v>1.9</v>
      </c>
      <c r="G141" s="162">
        <f ca="1">VLOOKUP($A141,'BC.115+740'!$B$13:$X$489,9,0)/1000</f>
        <v>-0.1</v>
      </c>
      <c r="H141" s="162">
        <f ca="1">VLOOKUP($A141,'BC.115+740'!$B$13:$X$489,14,0)/1000</f>
        <v>1.887</v>
      </c>
      <c r="I141" s="162">
        <f ca="1">VLOOKUP($A141,'BC.115+740'!$B$13:$X$489,15,0)/1000</f>
        <v>-0.113</v>
      </c>
      <c r="J141" s="162">
        <f ca="1">VLOOKUP($A141,'BC.115+740'!$B$13:$X$489,20,0)/1000</f>
        <v>1.8340000000000001</v>
      </c>
      <c r="K141" s="162">
        <f ca="1">VLOOKUP($A141,'BC.115+740'!$B$13:$X$489,21,0)/1000</f>
        <v>-0.16600000000000001</v>
      </c>
      <c r="L141" s="160">
        <f t="shared" ca="1" si="3"/>
        <v>-140</v>
      </c>
      <c r="M141" s="161">
        <f t="shared" ca="1" si="4"/>
        <v>-103.00000000000001</v>
      </c>
      <c r="N141" s="160">
        <f t="shared" ca="1" si="5"/>
        <v>-126</v>
      </c>
      <c r="O141" s="160"/>
    </row>
    <row r="142" spans="1:15">
      <c r="A142" s="164">
        <f>'BC.115+740'!B141</f>
        <v>45200</v>
      </c>
      <c r="B142" s="160">
        <v>128</v>
      </c>
      <c r="C142" s="162">
        <f ca="1">'BC.115+740'!M141/1000</f>
        <v>0.89700000000000002</v>
      </c>
      <c r="D142" s="162">
        <f ca="1">'BC.115+740'!AA141</f>
        <v>1.0069999999999999</v>
      </c>
      <c r="E142" s="163">
        <f ca="1">'BC.115+740'!AB141</f>
        <v>0.80400000000000005</v>
      </c>
      <c r="F142" s="162">
        <f ca="1">VLOOKUP($A142,'BC.115+740'!$B$13:$X$489,8,0)/1000</f>
        <v>1.9</v>
      </c>
      <c r="G142" s="162">
        <f ca="1">VLOOKUP($A142,'BC.115+740'!$B$13:$X$489,9,0)/1000</f>
        <v>-0.1</v>
      </c>
      <c r="H142" s="162">
        <f ca="1">VLOOKUP($A142,'BC.115+740'!$B$13:$X$489,14,0)/1000</f>
        <v>1.887</v>
      </c>
      <c r="I142" s="162">
        <f ca="1">VLOOKUP($A142,'BC.115+740'!$B$13:$X$489,15,0)/1000</f>
        <v>-0.113</v>
      </c>
      <c r="J142" s="162">
        <f ca="1">VLOOKUP($A142,'BC.115+740'!$B$13:$X$489,20,0)/1000</f>
        <v>1.8340000000000001</v>
      </c>
      <c r="K142" s="162">
        <f ca="1">VLOOKUP($A142,'BC.115+740'!$B$13:$X$489,21,0)/1000</f>
        <v>-0.16600000000000001</v>
      </c>
      <c r="L142" s="160">
        <f t="shared" ref="L142:L205" ca="1" si="6">(G142-$G$14)*1000</f>
        <v>-140</v>
      </c>
      <c r="M142" s="161">
        <f t="shared" ref="M142:M205" ca="1" si="7">(I142-$I$14)*1000</f>
        <v>-103.00000000000001</v>
      </c>
      <c r="N142" s="160">
        <f t="shared" ca="1" si="5"/>
        <v>-126</v>
      </c>
      <c r="O142" s="160"/>
    </row>
    <row r="143" spans="1:15">
      <c r="A143" s="164">
        <f>'BC.115+740'!B142</f>
        <v>45201</v>
      </c>
      <c r="B143" s="160">
        <v>129</v>
      </c>
      <c r="C143" s="162">
        <f ca="1">'BC.115+740'!M142/1000</f>
        <v>0.89700000000000002</v>
      </c>
      <c r="D143" s="162">
        <f ca="1">'BC.115+740'!AA142</f>
        <v>1.0069999999999999</v>
      </c>
      <c r="E143" s="163">
        <f ca="1">'BC.115+740'!AB142</f>
        <v>0.80400000000000005</v>
      </c>
      <c r="F143" s="162">
        <f ca="1">VLOOKUP($A143,'BC.115+740'!$B$13:$X$489,8,0)/1000</f>
        <v>1.9</v>
      </c>
      <c r="G143" s="162">
        <f ca="1">VLOOKUP($A143,'BC.115+740'!$B$13:$X$489,9,0)/1000</f>
        <v>-0.1</v>
      </c>
      <c r="H143" s="162">
        <f ca="1">VLOOKUP($A143,'BC.115+740'!$B$13:$X$489,14,0)/1000</f>
        <v>1.887</v>
      </c>
      <c r="I143" s="162">
        <f ca="1">VLOOKUP($A143,'BC.115+740'!$B$13:$X$489,15,0)/1000</f>
        <v>-0.113</v>
      </c>
      <c r="J143" s="162">
        <f ca="1">VLOOKUP($A143,'BC.115+740'!$B$13:$X$489,20,0)/1000</f>
        <v>1.8340000000000001</v>
      </c>
      <c r="K143" s="162">
        <f ca="1">VLOOKUP($A143,'BC.115+740'!$B$13:$X$489,21,0)/1000</f>
        <v>-0.16600000000000001</v>
      </c>
      <c r="L143" s="160">
        <f t="shared" ca="1" si="6"/>
        <v>-140</v>
      </c>
      <c r="M143" s="161">
        <f t="shared" ca="1" si="7"/>
        <v>-103.00000000000001</v>
      </c>
      <c r="N143" s="160">
        <f t="shared" ref="N143:N206" ca="1" si="8">(K143-$K$14)*1000</f>
        <v>-126</v>
      </c>
      <c r="O143" s="160"/>
    </row>
    <row r="144" spans="1:15">
      <c r="A144" s="164">
        <f>'BC.115+740'!B143</f>
        <v>45202</v>
      </c>
      <c r="B144" s="160">
        <v>130</v>
      </c>
      <c r="C144" s="162">
        <f ca="1">'BC.115+740'!M143/1000</f>
        <v>0.89700000000000002</v>
      </c>
      <c r="D144" s="162">
        <f ca="1">'BC.115+740'!AA143</f>
        <v>1.0069999999999999</v>
      </c>
      <c r="E144" s="163">
        <f ca="1">'BC.115+740'!AB143</f>
        <v>0.80400000000000005</v>
      </c>
      <c r="F144" s="162">
        <f ca="1">VLOOKUP($A144,'BC.115+740'!$B$13:$X$489,8,0)/1000</f>
        <v>1.9</v>
      </c>
      <c r="G144" s="162">
        <f ca="1">VLOOKUP($A144,'BC.115+740'!$B$13:$X$489,9,0)/1000</f>
        <v>-0.1</v>
      </c>
      <c r="H144" s="162">
        <f ca="1">VLOOKUP($A144,'BC.115+740'!$B$13:$X$489,14,0)/1000</f>
        <v>1.887</v>
      </c>
      <c r="I144" s="162">
        <f ca="1">VLOOKUP($A144,'BC.115+740'!$B$13:$X$489,15,0)/1000</f>
        <v>-0.113</v>
      </c>
      <c r="J144" s="162">
        <f ca="1">VLOOKUP($A144,'BC.115+740'!$B$13:$X$489,20,0)/1000</f>
        <v>1.8340000000000001</v>
      </c>
      <c r="K144" s="162">
        <f ca="1">VLOOKUP($A144,'BC.115+740'!$B$13:$X$489,21,0)/1000</f>
        <v>-0.16600000000000001</v>
      </c>
      <c r="L144" s="160">
        <f t="shared" ca="1" si="6"/>
        <v>-140</v>
      </c>
      <c r="M144" s="161">
        <f t="shared" ca="1" si="7"/>
        <v>-103.00000000000001</v>
      </c>
      <c r="N144" s="160">
        <f t="shared" ca="1" si="8"/>
        <v>-126</v>
      </c>
      <c r="O144" s="160"/>
    </row>
    <row r="145" spans="1:15">
      <c r="A145" s="164">
        <f>'BC.115+740'!B144</f>
        <v>45203</v>
      </c>
      <c r="B145" s="160">
        <v>131</v>
      </c>
      <c r="C145" s="162">
        <f ca="1">'BC.115+740'!M144/1000</f>
        <v>0.89700000000000002</v>
      </c>
      <c r="D145" s="162">
        <f ca="1">'BC.115+740'!AA144</f>
        <v>1.0069999999999999</v>
      </c>
      <c r="E145" s="163">
        <f ca="1">'BC.115+740'!AB144</f>
        <v>0.80400000000000005</v>
      </c>
      <c r="F145" s="162">
        <f ca="1">VLOOKUP($A145,'BC.115+740'!$B$13:$X$489,8,0)/1000</f>
        <v>1.9</v>
      </c>
      <c r="G145" s="162">
        <f ca="1">VLOOKUP($A145,'BC.115+740'!$B$13:$X$489,9,0)/1000</f>
        <v>-0.1</v>
      </c>
      <c r="H145" s="162">
        <f ca="1">VLOOKUP($A145,'BC.115+740'!$B$13:$X$489,14,0)/1000</f>
        <v>1.887</v>
      </c>
      <c r="I145" s="162">
        <f ca="1">VLOOKUP($A145,'BC.115+740'!$B$13:$X$489,15,0)/1000</f>
        <v>-0.113</v>
      </c>
      <c r="J145" s="162">
        <f ca="1">VLOOKUP($A145,'BC.115+740'!$B$13:$X$489,20,0)/1000</f>
        <v>1.8340000000000001</v>
      </c>
      <c r="K145" s="162">
        <f ca="1">VLOOKUP($A145,'BC.115+740'!$B$13:$X$489,21,0)/1000</f>
        <v>-0.16600000000000001</v>
      </c>
      <c r="L145" s="160">
        <f t="shared" ca="1" si="6"/>
        <v>-140</v>
      </c>
      <c r="M145" s="161">
        <f t="shared" ca="1" si="7"/>
        <v>-103.00000000000001</v>
      </c>
      <c r="N145" s="160">
        <f t="shared" ca="1" si="8"/>
        <v>-126</v>
      </c>
      <c r="O145" s="160"/>
    </row>
    <row r="146" spans="1:15">
      <c r="A146" s="164">
        <f>'BC.115+740'!B145</f>
        <v>45204</v>
      </c>
      <c r="B146" s="160">
        <v>132</v>
      </c>
      <c r="C146" s="162">
        <f ca="1">'BC.115+740'!M145/1000</f>
        <v>0.89700000000000002</v>
      </c>
      <c r="D146" s="162">
        <f ca="1">'BC.115+740'!AA145</f>
        <v>1.0069999999999999</v>
      </c>
      <c r="E146" s="163">
        <f ca="1">'BC.115+740'!AB145</f>
        <v>0.80400000000000005</v>
      </c>
      <c r="F146" s="162">
        <f ca="1">VLOOKUP($A146,'BC.115+740'!$B$13:$X$489,8,0)/1000</f>
        <v>1.9</v>
      </c>
      <c r="G146" s="162">
        <f ca="1">VLOOKUP($A146,'BC.115+740'!$B$13:$X$489,9,0)/1000</f>
        <v>-0.1</v>
      </c>
      <c r="H146" s="162">
        <f ca="1">VLOOKUP($A146,'BC.115+740'!$B$13:$X$489,14,0)/1000</f>
        <v>1.887</v>
      </c>
      <c r="I146" s="162">
        <f ca="1">VLOOKUP($A146,'BC.115+740'!$B$13:$X$489,15,0)/1000</f>
        <v>-0.113</v>
      </c>
      <c r="J146" s="162">
        <f ca="1">VLOOKUP($A146,'BC.115+740'!$B$13:$X$489,20,0)/1000</f>
        <v>1.8340000000000001</v>
      </c>
      <c r="K146" s="162">
        <f ca="1">VLOOKUP($A146,'BC.115+740'!$B$13:$X$489,21,0)/1000</f>
        <v>-0.16600000000000001</v>
      </c>
      <c r="L146" s="160">
        <f t="shared" ca="1" si="6"/>
        <v>-140</v>
      </c>
      <c r="M146" s="161">
        <f t="shared" ca="1" si="7"/>
        <v>-103.00000000000001</v>
      </c>
      <c r="N146" s="160">
        <f t="shared" ca="1" si="8"/>
        <v>-126</v>
      </c>
      <c r="O146" s="160"/>
    </row>
    <row r="147" spans="1:15">
      <c r="A147" s="164">
        <f>'BC.115+740'!B146</f>
        <v>45205</v>
      </c>
      <c r="B147" s="160">
        <v>133</v>
      </c>
      <c r="C147" s="162">
        <f ca="1">'BC.115+740'!M146/1000</f>
        <v>0.89700000000000002</v>
      </c>
      <c r="D147" s="162">
        <f ca="1">'BC.115+740'!AA146</f>
        <v>1.0069999999999999</v>
      </c>
      <c r="E147" s="163">
        <f ca="1">'BC.115+740'!AB146</f>
        <v>0.80400000000000005</v>
      </c>
      <c r="F147" s="162">
        <f ca="1">VLOOKUP($A147,'BC.115+740'!$B$13:$X$489,8,0)/1000</f>
        <v>1.9</v>
      </c>
      <c r="G147" s="162">
        <f ca="1">VLOOKUP($A147,'BC.115+740'!$B$13:$X$489,9,0)/1000</f>
        <v>-0.1</v>
      </c>
      <c r="H147" s="162">
        <f ca="1">VLOOKUP($A147,'BC.115+740'!$B$13:$X$489,14,0)/1000</f>
        <v>1.887</v>
      </c>
      <c r="I147" s="162">
        <f ca="1">VLOOKUP($A147,'BC.115+740'!$B$13:$X$489,15,0)/1000</f>
        <v>-0.113</v>
      </c>
      <c r="J147" s="162">
        <f ca="1">VLOOKUP($A147,'BC.115+740'!$B$13:$X$489,20,0)/1000</f>
        <v>1.8340000000000001</v>
      </c>
      <c r="K147" s="162">
        <f ca="1">VLOOKUP($A147,'BC.115+740'!$B$13:$X$489,21,0)/1000</f>
        <v>-0.16600000000000001</v>
      </c>
      <c r="L147" s="160">
        <f t="shared" ca="1" si="6"/>
        <v>-140</v>
      </c>
      <c r="M147" s="161">
        <f t="shared" ca="1" si="7"/>
        <v>-103.00000000000001</v>
      </c>
      <c r="N147" s="160">
        <f t="shared" ca="1" si="8"/>
        <v>-126</v>
      </c>
      <c r="O147" s="160"/>
    </row>
    <row r="148" spans="1:15">
      <c r="A148" s="164">
        <f>'BC.115+740'!B147</f>
        <v>45206</v>
      </c>
      <c r="B148" s="160">
        <v>134</v>
      </c>
      <c r="C148" s="162">
        <f ca="1">'BC.115+740'!M147/1000</f>
        <v>0.89700000000000002</v>
      </c>
      <c r="D148" s="162">
        <f ca="1">'BC.115+740'!AA147</f>
        <v>1.0069999999999999</v>
      </c>
      <c r="E148" s="163">
        <f ca="1">'BC.115+740'!AB147</f>
        <v>0.80400000000000005</v>
      </c>
      <c r="F148" s="162">
        <f ca="1">VLOOKUP($A148,'BC.115+740'!$B$13:$X$489,8,0)/1000</f>
        <v>1.9</v>
      </c>
      <c r="G148" s="162">
        <f ca="1">VLOOKUP($A148,'BC.115+740'!$B$13:$X$489,9,0)/1000</f>
        <v>-0.1</v>
      </c>
      <c r="H148" s="162">
        <f ca="1">VLOOKUP($A148,'BC.115+740'!$B$13:$X$489,14,0)/1000</f>
        <v>1.887</v>
      </c>
      <c r="I148" s="162">
        <f ca="1">VLOOKUP($A148,'BC.115+740'!$B$13:$X$489,15,0)/1000</f>
        <v>-0.113</v>
      </c>
      <c r="J148" s="162">
        <f ca="1">VLOOKUP($A148,'BC.115+740'!$B$13:$X$489,20,0)/1000</f>
        <v>1.8340000000000001</v>
      </c>
      <c r="K148" s="162">
        <f ca="1">VLOOKUP($A148,'BC.115+740'!$B$13:$X$489,21,0)/1000</f>
        <v>-0.16600000000000001</v>
      </c>
      <c r="L148" s="160">
        <f t="shared" ca="1" si="6"/>
        <v>-140</v>
      </c>
      <c r="M148" s="161">
        <f t="shared" ca="1" si="7"/>
        <v>-103.00000000000001</v>
      </c>
      <c r="N148" s="160">
        <f t="shared" ca="1" si="8"/>
        <v>-126</v>
      </c>
      <c r="O148" s="160"/>
    </row>
    <row r="149" spans="1:15">
      <c r="A149" s="164">
        <f>'BC.115+740'!B148</f>
        <v>45207</v>
      </c>
      <c r="B149" s="160">
        <v>135</v>
      </c>
      <c r="C149" s="162">
        <f ca="1">'BC.115+740'!M148/1000</f>
        <v>0.89700000000000002</v>
      </c>
      <c r="D149" s="162">
        <f ca="1">'BC.115+740'!AA148</f>
        <v>1.0069999999999999</v>
      </c>
      <c r="E149" s="163">
        <f ca="1">'BC.115+740'!AB148</f>
        <v>0.80400000000000005</v>
      </c>
      <c r="F149" s="162">
        <f ca="1">VLOOKUP($A149,'BC.115+740'!$B$13:$X$489,8,0)/1000</f>
        <v>1.9</v>
      </c>
      <c r="G149" s="162">
        <f ca="1">VLOOKUP($A149,'BC.115+740'!$B$13:$X$489,9,0)/1000</f>
        <v>-0.1</v>
      </c>
      <c r="H149" s="162">
        <f ca="1">VLOOKUP($A149,'BC.115+740'!$B$13:$X$489,14,0)/1000</f>
        <v>1.887</v>
      </c>
      <c r="I149" s="162">
        <f ca="1">VLOOKUP($A149,'BC.115+740'!$B$13:$X$489,15,0)/1000</f>
        <v>-0.113</v>
      </c>
      <c r="J149" s="162">
        <f ca="1">VLOOKUP($A149,'BC.115+740'!$B$13:$X$489,20,0)/1000</f>
        <v>1.8340000000000001</v>
      </c>
      <c r="K149" s="162">
        <f ca="1">VLOOKUP($A149,'BC.115+740'!$B$13:$X$489,21,0)/1000</f>
        <v>-0.16600000000000001</v>
      </c>
      <c r="L149" s="160">
        <f t="shared" ca="1" si="6"/>
        <v>-140</v>
      </c>
      <c r="M149" s="161">
        <f t="shared" ca="1" si="7"/>
        <v>-103.00000000000001</v>
      </c>
      <c r="N149" s="160">
        <f t="shared" ca="1" si="8"/>
        <v>-126</v>
      </c>
      <c r="O149" s="160"/>
    </row>
    <row r="150" spans="1:15">
      <c r="A150" s="164">
        <f>'BC.115+740'!B149</f>
        <v>45208</v>
      </c>
      <c r="B150" s="160">
        <v>136</v>
      </c>
      <c r="C150" s="162">
        <f ca="1">'BC.115+740'!M149/1000</f>
        <v>0.89700000000000002</v>
      </c>
      <c r="D150" s="162">
        <f ca="1">'BC.115+740'!AA149</f>
        <v>1.0069999999999999</v>
      </c>
      <c r="E150" s="163">
        <f ca="1">'BC.115+740'!AB149</f>
        <v>0.80400000000000005</v>
      </c>
      <c r="F150" s="162">
        <f ca="1">VLOOKUP($A150,'BC.115+740'!$B$13:$X$489,8,0)/1000</f>
        <v>1.9</v>
      </c>
      <c r="G150" s="162">
        <f ca="1">VLOOKUP($A150,'BC.115+740'!$B$13:$X$489,9,0)/1000</f>
        <v>-0.1</v>
      </c>
      <c r="H150" s="162">
        <f ca="1">VLOOKUP($A150,'BC.115+740'!$B$13:$X$489,14,0)/1000</f>
        <v>1.887</v>
      </c>
      <c r="I150" s="162">
        <f ca="1">VLOOKUP($A150,'BC.115+740'!$B$13:$X$489,15,0)/1000</f>
        <v>-0.113</v>
      </c>
      <c r="J150" s="162">
        <f ca="1">VLOOKUP($A150,'BC.115+740'!$B$13:$X$489,20,0)/1000</f>
        <v>1.8340000000000001</v>
      </c>
      <c r="K150" s="162">
        <f ca="1">VLOOKUP($A150,'BC.115+740'!$B$13:$X$489,21,0)/1000</f>
        <v>-0.16600000000000001</v>
      </c>
      <c r="L150" s="160">
        <f t="shared" ca="1" si="6"/>
        <v>-140</v>
      </c>
      <c r="M150" s="161">
        <f t="shared" ca="1" si="7"/>
        <v>-103.00000000000001</v>
      </c>
      <c r="N150" s="160">
        <f t="shared" ca="1" si="8"/>
        <v>-126</v>
      </c>
      <c r="O150" s="160"/>
    </row>
    <row r="151" spans="1:15">
      <c r="A151" s="164">
        <f>'BC.115+740'!B150</f>
        <v>45209</v>
      </c>
      <c r="B151" s="160">
        <v>137</v>
      </c>
      <c r="C151" s="162">
        <f ca="1">'BC.115+740'!M150/1000</f>
        <v>0.89700000000000002</v>
      </c>
      <c r="D151" s="162">
        <f ca="1">'BC.115+740'!AA150</f>
        <v>1.0069999999999999</v>
      </c>
      <c r="E151" s="163">
        <f ca="1">'BC.115+740'!AB150</f>
        <v>0.80400000000000005</v>
      </c>
      <c r="F151" s="162">
        <f ca="1">VLOOKUP($A151,'BC.115+740'!$B$13:$X$489,8,0)/1000</f>
        <v>1.9</v>
      </c>
      <c r="G151" s="162">
        <f ca="1">VLOOKUP($A151,'BC.115+740'!$B$13:$X$489,9,0)/1000</f>
        <v>-0.1</v>
      </c>
      <c r="H151" s="162">
        <f ca="1">VLOOKUP($A151,'BC.115+740'!$B$13:$X$489,14,0)/1000</f>
        <v>1.887</v>
      </c>
      <c r="I151" s="162">
        <f ca="1">VLOOKUP($A151,'BC.115+740'!$B$13:$X$489,15,0)/1000</f>
        <v>-0.113</v>
      </c>
      <c r="J151" s="162">
        <f ca="1">VLOOKUP($A151,'BC.115+740'!$B$13:$X$489,20,0)/1000</f>
        <v>1.8340000000000001</v>
      </c>
      <c r="K151" s="162">
        <f ca="1">VLOOKUP($A151,'BC.115+740'!$B$13:$X$489,21,0)/1000</f>
        <v>-0.16600000000000001</v>
      </c>
      <c r="L151" s="160">
        <f t="shared" ca="1" si="6"/>
        <v>-140</v>
      </c>
      <c r="M151" s="161">
        <f t="shared" ca="1" si="7"/>
        <v>-103.00000000000001</v>
      </c>
      <c r="N151" s="160">
        <f t="shared" ca="1" si="8"/>
        <v>-126</v>
      </c>
      <c r="O151" s="160"/>
    </row>
    <row r="152" spans="1:15">
      <c r="A152" s="164">
        <f>'BC.115+740'!B151</f>
        <v>45210</v>
      </c>
      <c r="B152" s="160">
        <v>138</v>
      </c>
      <c r="C152" s="162">
        <f ca="1">'BC.115+740'!M151/1000</f>
        <v>0.89700000000000002</v>
      </c>
      <c r="D152" s="162">
        <f ca="1">'BC.115+740'!AA151</f>
        <v>1.0069999999999999</v>
      </c>
      <c r="E152" s="163">
        <f ca="1">'BC.115+740'!AB151</f>
        <v>0.80400000000000005</v>
      </c>
      <c r="F152" s="162">
        <f ca="1">VLOOKUP($A152,'BC.115+740'!$B$13:$X$489,8,0)/1000</f>
        <v>1.9</v>
      </c>
      <c r="G152" s="162">
        <f ca="1">VLOOKUP($A152,'BC.115+740'!$B$13:$X$489,9,0)/1000</f>
        <v>-0.1</v>
      </c>
      <c r="H152" s="162">
        <f ca="1">VLOOKUP($A152,'BC.115+740'!$B$13:$X$489,14,0)/1000</f>
        <v>1.887</v>
      </c>
      <c r="I152" s="162">
        <f ca="1">VLOOKUP($A152,'BC.115+740'!$B$13:$X$489,15,0)/1000</f>
        <v>-0.113</v>
      </c>
      <c r="J152" s="162">
        <f ca="1">VLOOKUP($A152,'BC.115+740'!$B$13:$X$489,20,0)/1000</f>
        <v>1.8340000000000001</v>
      </c>
      <c r="K152" s="162">
        <f ca="1">VLOOKUP($A152,'BC.115+740'!$B$13:$X$489,21,0)/1000</f>
        <v>-0.16600000000000001</v>
      </c>
      <c r="L152" s="160">
        <f t="shared" ca="1" si="6"/>
        <v>-140</v>
      </c>
      <c r="M152" s="161">
        <f t="shared" ca="1" si="7"/>
        <v>-103.00000000000001</v>
      </c>
      <c r="N152" s="160">
        <f t="shared" ca="1" si="8"/>
        <v>-126</v>
      </c>
      <c r="O152" s="160"/>
    </row>
    <row r="153" spans="1:15">
      <c r="A153" s="164">
        <f>'BC.115+740'!B152</f>
        <v>45211</v>
      </c>
      <c r="B153" s="160">
        <v>139</v>
      </c>
      <c r="C153" s="162">
        <f ca="1">'BC.115+740'!M152/1000</f>
        <v>0.89700000000000002</v>
      </c>
      <c r="D153" s="162">
        <f ca="1">'BC.115+740'!AA152</f>
        <v>1.0069999999999999</v>
      </c>
      <c r="E153" s="163">
        <f ca="1">'BC.115+740'!AB152</f>
        <v>0.80400000000000005</v>
      </c>
      <c r="F153" s="162">
        <f ca="1">VLOOKUP($A153,'BC.115+740'!$B$13:$X$489,8,0)/1000</f>
        <v>1.9</v>
      </c>
      <c r="G153" s="162">
        <f ca="1">VLOOKUP($A153,'BC.115+740'!$B$13:$X$489,9,0)/1000</f>
        <v>-0.1</v>
      </c>
      <c r="H153" s="162">
        <f ca="1">VLOOKUP($A153,'BC.115+740'!$B$13:$X$489,14,0)/1000</f>
        <v>1.887</v>
      </c>
      <c r="I153" s="162">
        <f ca="1">VLOOKUP($A153,'BC.115+740'!$B$13:$X$489,15,0)/1000</f>
        <v>-0.113</v>
      </c>
      <c r="J153" s="162">
        <f ca="1">VLOOKUP($A153,'BC.115+740'!$B$13:$X$489,20,0)/1000</f>
        <v>1.8340000000000001</v>
      </c>
      <c r="K153" s="162">
        <f ca="1">VLOOKUP($A153,'BC.115+740'!$B$13:$X$489,21,0)/1000</f>
        <v>-0.16600000000000001</v>
      </c>
      <c r="L153" s="160">
        <f t="shared" ca="1" si="6"/>
        <v>-140</v>
      </c>
      <c r="M153" s="161">
        <f t="shared" ca="1" si="7"/>
        <v>-103.00000000000001</v>
      </c>
      <c r="N153" s="160">
        <f t="shared" ca="1" si="8"/>
        <v>-126</v>
      </c>
      <c r="O153" s="160"/>
    </row>
    <row r="154" spans="1:15">
      <c r="A154" s="164">
        <f>'BC.115+740'!B153</f>
        <v>45212</v>
      </c>
      <c r="B154" s="160">
        <v>140</v>
      </c>
      <c r="C154" s="162">
        <f ca="1">'BC.115+740'!M153/1000</f>
        <v>0.89700000000000002</v>
      </c>
      <c r="D154" s="162">
        <f ca="1">'BC.115+740'!AA153</f>
        <v>1.0069999999999999</v>
      </c>
      <c r="E154" s="163">
        <f ca="1">'BC.115+740'!AB153</f>
        <v>0.80400000000000005</v>
      </c>
      <c r="F154" s="162">
        <f ca="1">VLOOKUP($A154,'BC.115+740'!$B$13:$X$489,8,0)/1000</f>
        <v>1.9</v>
      </c>
      <c r="G154" s="162">
        <f ca="1">VLOOKUP($A154,'BC.115+740'!$B$13:$X$489,9,0)/1000</f>
        <v>-0.1</v>
      </c>
      <c r="H154" s="162">
        <f ca="1">VLOOKUP($A154,'BC.115+740'!$B$13:$X$489,14,0)/1000</f>
        <v>1.887</v>
      </c>
      <c r="I154" s="162">
        <f ca="1">VLOOKUP($A154,'BC.115+740'!$B$13:$X$489,15,0)/1000</f>
        <v>-0.113</v>
      </c>
      <c r="J154" s="162">
        <f ca="1">VLOOKUP($A154,'BC.115+740'!$B$13:$X$489,20,0)/1000</f>
        <v>1.8340000000000001</v>
      </c>
      <c r="K154" s="162">
        <f ca="1">VLOOKUP($A154,'BC.115+740'!$B$13:$X$489,21,0)/1000</f>
        <v>-0.16600000000000001</v>
      </c>
      <c r="L154" s="160">
        <f t="shared" ca="1" si="6"/>
        <v>-140</v>
      </c>
      <c r="M154" s="161">
        <f t="shared" ca="1" si="7"/>
        <v>-103.00000000000001</v>
      </c>
      <c r="N154" s="160">
        <f t="shared" ca="1" si="8"/>
        <v>-126</v>
      </c>
      <c r="O154" s="160"/>
    </row>
    <row r="155" spans="1:15">
      <c r="A155" s="164">
        <f>'BC.115+740'!B154</f>
        <v>45213</v>
      </c>
      <c r="B155" s="160">
        <v>141</v>
      </c>
      <c r="C155" s="162">
        <f ca="1">'BC.115+740'!M154/1000</f>
        <v>0.89700000000000002</v>
      </c>
      <c r="D155" s="162">
        <f ca="1">'BC.115+740'!AA154</f>
        <v>1.0069999999999999</v>
      </c>
      <c r="E155" s="163">
        <f ca="1">'BC.115+740'!AB154</f>
        <v>0.80400000000000005</v>
      </c>
      <c r="F155" s="162">
        <f ca="1">VLOOKUP($A155,'BC.115+740'!$B$13:$X$489,8,0)/1000</f>
        <v>1.9</v>
      </c>
      <c r="G155" s="162">
        <f ca="1">VLOOKUP($A155,'BC.115+740'!$B$13:$X$489,9,0)/1000</f>
        <v>-0.1</v>
      </c>
      <c r="H155" s="162">
        <f ca="1">VLOOKUP($A155,'BC.115+740'!$B$13:$X$489,14,0)/1000</f>
        <v>1.887</v>
      </c>
      <c r="I155" s="162">
        <f ca="1">VLOOKUP($A155,'BC.115+740'!$B$13:$X$489,15,0)/1000</f>
        <v>-0.113</v>
      </c>
      <c r="J155" s="162">
        <f ca="1">VLOOKUP($A155,'BC.115+740'!$B$13:$X$489,20,0)/1000</f>
        <v>1.8340000000000001</v>
      </c>
      <c r="K155" s="162">
        <f ca="1">VLOOKUP($A155,'BC.115+740'!$B$13:$X$489,21,0)/1000</f>
        <v>-0.16600000000000001</v>
      </c>
      <c r="L155" s="160">
        <f t="shared" ca="1" si="6"/>
        <v>-140</v>
      </c>
      <c r="M155" s="161">
        <f t="shared" ca="1" si="7"/>
        <v>-103.00000000000001</v>
      </c>
      <c r="N155" s="160">
        <f t="shared" ca="1" si="8"/>
        <v>-126</v>
      </c>
      <c r="O155" s="160"/>
    </row>
    <row r="156" spans="1:15">
      <c r="A156" s="164">
        <f>'BC.115+740'!B155</f>
        <v>45214</v>
      </c>
      <c r="B156" s="160">
        <v>142</v>
      </c>
      <c r="C156" s="162">
        <f ca="1">'BC.115+740'!M155/1000</f>
        <v>0.89700000000000002</v>
      </c>
      <c r="D156" s="162">
        <f ca="1">'BC.115+740'!AA155</f>
        <v>1.0069999999999999</v>
      </c>
      <c r="E156" s="163">
        <f ca="1">'BC.115+740'!AB155</f>
        <v>0.80400000000000005</v>
      </c>
      <c r="F156" s="162">
        <f ca="1">VLOOKUP($A156,'BC.115+740'!$B$13:$X$489,8,0)/1000</f>
        <v>1.9</v>
      </c>
      <c r="G156" s="162">
        <f ca="1">VLOOKUP($A156,'BC.115+740'!$B$13:$X$489,9,0)/1000</f>
        <v>-0.1</v>
      </c>
      <c r="H156" s="162">
        <f ca="1">VLOOKUP($A156,'BC.115+740'!$B$13:$X$489,14,0)/1000</f>
        <v>1.887</v>
      </c>
      <c r="I156" s="162">
        <f ca="1">VLOOKUP($A156,'BC.115+740'!$B$13:$X$489,15,0)/1000</f>
        <v>-0.113</v>
      </c>
      <c r="J156" s="162">
        <f ca="1">VLOOKUP($A156,'BC.115+740'!$B$13:$X$489,20,0)/1000</f>
        <v>1.8340000000000001</v>
      </c>
      <c r="K156" s="162">
        <f ca="1">VLOOKUP($A156,'BC.115+740'!$B$13:$X$489,21,0)/1000</f>
        <v>-0.16600000000000001</v>
      </c>
      <c r="L156" s="160">
        <f t="shared" ca="1" si="6"/>
        <v>-140</v>
      </c>
      <c r="M156" s="161">
        <f t="shared" ca="1" si="7"/>
        <v>-103.00000000000001</v>
      </c>
      <c r="N156" s="160">
        <f t="shared" ca="1" si="8"/>
        <v>-126</v>
      </c>
      <c r="O156" s="160"/>
    </row>
    <row r="157" spans="1:15">
      <c r="A157" s="164">
        <f>'BC.115+740'!B156</f>
        <v>45215</v>
      </c>
      <c r="B157" s="160">
        <v>143</v>
      </c>
      <c r="C157" s="162">
        <f ca="1">'BC.115+740'!M156/1000</f>
        <v>0.89700000000000002</v>
      </c>
      <c r="D157" s="162">
        <f ca="1">'BC.115+740'!AA156</f>
        <v>1.0069999999999999</v>
      </c>
      <c r="E157" s="163">
        <f ca="1">'BC.115+740'!AB156</f>
        <v>0.80400000000000005</v>
      </c>
      <c r="F157" s="162">
        <f ca="1">VLOOKUP($A157,'BC.115+740'!$B$13:$X$489,8,0)/1000</f>
        <v>1.9</v>
      </c>
      <c r="G157" s="162">
        <f ca="1">VLOOKUP($A157,'BC.115+740'!$B$13:$X$489,9,0)/1000</f>
        <v>-0.1</v>
      </c>
      <c r="H157" s="162">
        <f ca="1">VLOOKUP($A157,'BC.115+740'!$B$13:$X$489,14,0)/1000</f>
        <v>1.887</v>
      </c>
      <c r="I157" s="162">
        <f ca="1">VLOOKUP($A157,'BC.115+740'!$B$13:$X$489,15,0)/1000</f>
        <v>-0.113</v>
      </c>
      <c r="J157" s="162">
        <f ca="1">VLOOKUP($A157,'BC.115+740'!$B$13:$X$489,20,0)/1000</f>
        <v>1.8340000000000001</v>
      </c>
      <c r="K157" s="162">
        <f ca="1">VLOOKUP($A157,'BC.115+740'!$B$13:$X$489,21,0)/1000</f>
        <v>-0.16600000000000001</v>
      </c>
      <c r="L157" s="160">
        <f t="shared" ca="1" si="6"/>
        <v>-140</v>
      </c>
      <c r="M157" s="161">
        <f t="shared" ca="1" si="7"/>
        <v>-103.00000000000001</v>
      </c>
      <c r="N157" s="160">
        <f t="shared" ca="1" si="8"/>
        <v>-126</v>
      </c>
      <c r="O157" s="160"/>
    </row>
    <row r="158" spans="1:15">
      <c r="A158" s="164">
        <f>'BC.115+740'!B157</f>
        <v>45216</v>
      </c>
      <c r="B158" s="160">
        <v>144</v>
      </c>
      <c r="C158" s="162">
        <f ca="1">'BC.115+740'!M157/1000</f>
        <v>0.89700000000000002</v>
      </c>
      <c r="D158" s="162">
        <f ca="1">'BC.115+740'!AA157</f>
        <v>1.0069999999999999</v>
      </c>
      <c r="E158" s="163">
        <f ca="1">'BC.115+740'!AB157</f>
        <v>0.80400000000000005</v>
      </c>
      <c r="F158" s="162">
        <f ca="1">VLOOKUP($A158,'BC.115+740'!$B$13:$X$489,8,0)/1000</f>
        <v>1.9</v>
      </c>
      <c r="G158" s="162">
        <f ca="1">VLOOKUP($A158,'BC.115+740'!$B$13:$X$489,9,0)/1000</f>
        <v>-0.1</v>
      </c>
      <c r="H158" s="162">
        <f ca="1">VLOOKUP($A158,'BC.115+740'!$B$13:$X$489,14,0)/1000</f>
        <v>1.887</v>
      </c>
      <c r="I158" s="162">
        <f ca="1">VLOOKUP($A158,'BC.115+740'!$B$13:$X$489,15,0)/1000</f>
        <v>-0.113</v>
      </c>
      <c r="J158" s="162">
        <f ca="1">VLOOKUP($A158,'BC.115+740'!$B$13:$X$489,20,0)/1000</f>
        <v>1.8340000000000001</v>
      </c>
      <c r="K158" s="162">
        <f ca="1">VLOOKUP($A158,'BC.115+740'!$B$13:$X$489,21,0)/1000</f>
        <v>-0.16600000000000001</v>
      </c>
      <c r="L158" s="160">
        <f t="shared" ca="1" si="6"/>
        <v>-140</v>
      </c>
      <c r="M158" s="161">
        <f t="shared" ca="1" si="7"/>
        <v>-103.00000000000001</v>
      </c>
      <c r="N158" s="160">
        <f t="shared" ca="1" si="8"/>
        <v>-126</v>
      </c>
      <c r="O158" s="160"/>
    </row>
    <row r="159" spans="1:15">
      <c r="A159" s="164">
        <f>'BC.115+740'!B158</f>
        <v>45217</v>
      </c>
      <c r="B159" s="160">
        <v>145</v>
      </c>
      <c r="C159" s="162">
        <f ca="1">'BC.115+740'!M158/1000</f>
        <v>0.89700000000000002</v>
      </c>
      <c r="D159" s="162">
        <f ca="1">'BC.115+740'!AA158</f>
        <v>1.0069999999999999</v>
      </c>
      <c r="E159" s="163">
        <f ca="1">'BC.115+740'!AB158</f>
        <v>0.80400000000000005</v>
      </c>
      <c r="F159" s="162">
        <f ca="1">VLOOKUP($A159,'BC.115+740'!$B$13:$X$489,8,0)/1000</f>
        <v>1.9</v>
      </c>
      <c r="G159" s="162">
        <f ca="1">VLOOKUP($A159,'BC.115+740'!$B$13:$X$489,9,0)/1000</f>
        <v>-0.1</v>
      </c>
      <c r="H159" s="162">
        <f ca="1">VLOOKUP($A159,'BC.115+740'!$B$13:$X$489,14,0)/1000</f>
        <v>1.887</v>
      </c>
      <c r="I159" s="162">
        <f ca="1">VLOOKUP($A159,'BC.115+740'!$B$13:$X$489,15,0)/1000</f>
        <v>-0.113</v>
      </c>
      <c r="J159" s="162">
        <f ca="1">VLOOKUP($A159,'BC.115+740'!$B$13:$X$489,20,0)/1000</f>
        <v>1.8340000000000001</v>
      </c>
      <c r="K159" s="162">
        <f ca="1">VLOOKUP($A159,'BC.115+740'!$B$13:$X$489,21,0)/1000</f>
        <v>-0.16600000000000001</v>
      </c>
      <c r="L159" s="160">
        <f t="shared" ca="1" si="6"/>
        <v>-140</v>
      </c>
      <c r="M159" s="161">
        <f t="shared" ca="1" si="7"/>
        <v>-103.00000000000001</v>
      </c>
      <c r="N159" s="160">
        <f t="shared" ca="1" si="8"/>
        <v>-126</v>
      </c>
      <c r="O159" s="160"/>
    </row>
    <row r="160" spans="1:15">
      <c r="A160" s="164">
        <f>'BC.115+740'!B159</f>
        <v>45218</v>
      </c>
      <c r="B160" s="160">
        <v>146</v>
      </c>
      <c r="C160" s="162">
        <f ca="1">'BC.115+740'!M159/1000</f>
        <v>0.89700000000000002</v>
      </c>
      <c r="D160" s="162">
        <f ca="1">'BC.115+740'!AA159</f>
        <v>1.0069999999999999</v>
      </c>
      <c r="E160" s="163">
        <f ca="1">'BC.115+740'!AB159</f>
        <v>0.80400000000000005</v>
      </c>
      <c r="F160" s="162">
        <f ca="1">VLOOKUP($A160,'BC.115+740'!$B$13:$X$489,8,0)/1000</f>
        <v>1.9</v>
      </c>
      <c r="G160" s="162">
        <f ca="1">VLOOKUP($A160,'BC.115+740'!$B$13:$X$489,9,0)/1000</f>
        <v>-0.1</v>
      </c>
      <c r="H160" s="162">
        <f ca="1">VLOOKUP($A160,'BC.115+740'!$B$13:$X$489,14,0)/1000</f>
        <v>1.887</v>
      </c>
      <c r="I160" s="162">
        <f ca="1">VLOOKUP($A160,'BC.115+740'!$B$13:$X$489,15,0)/1000</f>
        <v>-0.113</v>
      </c>
      <c r="J160" s="162">
        <f ca="1">VLOOKUP($A160,'BC.115+740'!$B$13:$X$489,20,0)/1000</f>
        <v>1.8340000000000001</v>
      </c>
      <c r="K160" s="162">
        <f ca="1">VLOOKUP($A160,'BC.115+740'!$B$13:$X$489,21,0)/1000</f>
        <v>-0.16600000000000001</v>
      </c>
      <c r="L160" s="160">
        <f t="shared" ca="1" si="6"/>
        <v>-140</v>
      </c>
      <c r="M160" s="161">
        <f t="shared" ca="1" si="7"/>
        <v>-103.00000000000001</v>
      </c>
      <c r="N160" s="160">
        <f t="shared" ca="1" si="8"/>
        <v>-126</v>
      </c>
      <c r="O160" s="160"/>
    </row>
    <row r="161" spans="1:15">
      <c r="A161" s="164">
        <f>'BC.115+740'!B160</f>
        <v>45219</v>
      </c>
      <c r="B161" s="160">
        <v>147</v>
      </c>
      <c r="C161" s="162">
        <f ca="1">'BC.115+740'!M160/1000</f>
        <v>0.89700000000000002</v>
      </c>
      <c r="D161" s="162">
        <f ca="1">'BC.115+740'!AA160</f>
        <v>1.0069999999999999</v>
      </c>
      <c r="E161" s="163">
        <f ca="1">'BC.115+740'!AB160</f>
        <v>0.80400000000000005</v>
      </c>
      <c r="F161" s="162">
        <f ca="1">VLOOKUP($A161,'BC.115+740'!$B$13:$X$489,8,0)/1000</f>
        <v>1.9</v>
      </c>
      <c r="G161" s="162">
        <f ca="1">VLOOKUP($A161,'BC.115+740'!$B$13:$X$489,9,0)/1000</f>
        <v>-0.1</v>
      </c>
      <c r="H161" s="162">
        <f ca="1">VLOOKUP($A161,'BC.115+740'!$B$13:$X$489,14,0)/1000</f>
        <v>1.887</v>
      </c>
      <c r="I161" s="162">
        <f ca="1">VLOOKUP($A161,'BC.115+740'!$B$13:$X$489,15,0)/1000</f>
        <v>-0.113</v>
      </c>
      <c r="J161" s="162">
        <f ca="1">VLOOKUP($A161,'BC.115+740'!$B$13:$X$489,20,0)/1000</f>
        <v>1.8340000000000001</v>
      </c>
      <c r="K161" s="162">
        <f ca="1">VLOOKUP($A161,'BC.115+740'!$B$13:$X$489,21,0)/1000</f>
        <v>-0.16600000000000001</v>
      </c>
      <c r="L161" s="160">
        <f t="shared" ca="1" si="6"/>
        <v>-140</v>
      </c>
      <c r="M161" s="161">
        <f t="shared" ca="1" si="7"/>
        <v>-103.00000000000001</v>
      </c>
      <c r="N161" s="160">
        <f t="shared" ca="1" si="8"/>
        <v>-126</v>
      </c>
      <c r="O161" s="160"/>
    </row>
    <row r="162" spans="1:15">
      <c r="A162" s="164">
        <f>'BC.115+740'!B161</f>
        <v>45220</v>
      </c>
      <c r="B162" s="160">
        <v>148</v>
      </c>
      <c r="C162" s="162">
        <f ca="1">'BC.115+740'!M161/1000</f>
        <v>0.89700000000000002</v>
      </c>
      <c r="D162" s="162">
        <f ca="1">'BC.115+740'!AA161</f>
        <v>1.0069999999999999</v>
      </c>
      <c r="E162" s="163">
        <f ca="1">'BC.115+740'!AB161</f>
        <v>0.80400000000000005</v>
      </c>
      <c r="F162" s="162">
        <f ca="1">VLOOKUP($A162,'BC.115+740'!$B$13:$X$489,8,0)/1000</f>
        <v>1.9</v>
      </c>
      <c r="G162" s="162">
        <f ca="1">VLOOKUP($A162,'BC.115+740'!$B$13:$X$489,9,0)/1000</f>
        <v>-0.1</v>
      </c>
      <c r="H162" s="162">
        <f ca="1">VLOOKUP($A162,'BC.115+740'!$B$13:$X$489,14,0)/1000</f>
        <v>1.887</v>
      </c>
      <c r="I162" s="162">
        <f ca="1">VLOOKUP($A162,'BC.115+740'!$B$13:$X$489,15,0)/1000</f>
        <v>-0.113</v>
      </c>
      <c r="J162" s="162">
        <f ca="1">VLOOKUP($A162,'BC.115+740'!$B$13:$X$489,20,0)/1000</f>
        <v>1.8340000000000001</v>
      </c>
      <c r="K162" s="162">
        <f ca="1">VLOOKUP($A162,'BC.115+740'!$B$13:$X$489,21,0)/1000</f>
        <v>-0.16600000000000001</v>
      </c>
      <c r="L162" s="160">
        <f t="shared" ca="1" si="6"/>
        <v>-140</v>
      </c>
      <c r="M162" s="161">
        <f t="shared" ca="1" si="7"/>
        <v>-103.00000000000001</v>
      </c>
      <c r="N162" s="160">
        <f t="shared" ca="1" si="8"/>
        <v>-126</v>
      </c>
      <c r="O162" s="160"/>
    </row>
    <row r="163" spans="1:15">
      <c r="A163" s="164">
        <f>'BC.115+740'!B162</f>
        <v>45221</v>
      </c>
      <c r="B163" s="160">
        <v>149</v>
      </c>
      <c r="C163" s="162">
        <f ca="1">'BC.115+740'!M162/1000</f>
        <v>0.89700000000000002</v>
      </c>
      <c r="D163" s="162">
        <f ca="1">'BC.115+740'!AA162</f>
        <v>1.0069999999999999</v>
      </c>
      <c r="E163" s="163">
        <f ca="1">'BC.115+740'!AB162</f>
        <v>0.80400000000000005</v>
      </c>
      <c r="F163" s="162">
        <f ca="1">VLOOKUP($A163,'BC.115+740'!$B$13:$X$489,8,0)/1000</f>
        <v>1.9</v>
      </c>
      <c r="G163" s="162">
        <f ca="1">VLOOKUP($A163,'BC.115+740'!$B$13:$X$489,9,0)/1000</f>
        <v>-0.1</v>
      </c>
      <c r="H163" s="162">
        <f ca="1">VLOOKUP($A163,'BC.115+740'!$B$13:$X$489,14,0)/1000</f>
        <v>1.887</v>
      </c>
      <c r="I163" s="162">
        <f ca="1">VLOOKUP($A163,'BC.115+740'!$B$13:$X$489,15,0)/1000</f>
        <v>-0.113</v>
      </c>
      <c r="J163" s="162">
        <f ca="1">VLOOKUP($A163,'BC.115+740'!$B$13:$X$489,20,0)/1000</f>
        <v>1.8340000000000001</v>
      </c>
      <c r="K163" s="162">
        <f ca="1">VLOOKUP($A163,'BC.115+740'!$B$13:$X$489,21,0)/1000</f>
        <v>-0.16600000000000001</v>
      </c>
      <c r="L163" s="160">
        <f t="shared" ca="1" si="6"/>
        <v>-140</v>
      </c>
      <c r="M163" s="161">
        <f t="shared" ca="1" si="7"/>
        <v>-103.00000000000001</v>
      </c>
      <c r="N163" s="160">
        <f t="shared" ca="1" si="8"/>
        <v>-126</v>
      </c>
      <c r="O163" s="160"/>
    </row>
    <row r="164" spans="1:15">
      <c r="A164" s="164">
        <f>'BC.115+740'!B163</f>
        <v>45222</v>
      </c>
      <c r="B164" s="160">
        <v>150</v>
      </c>
      <c r="C164" s="162">
        <f ca="1">'BC.115+740'!M163/1000</f>
        <v>0.89700000000000002</v>
      </c>
      <c r="D164" s="162">
        <f ca="1">'BC.115+740'!AA163</f>
        <v>1.0069999999999999</v>
      </c>
      <c r="E164" s="163">
        <f ca="1">'BC.115+740'!AB163</f>
        <v>0.80400000000000005</v>
      </c>
      <c r="F164" s="162">
        <f ca="1">VLOOKUP($A164,'BC.115+740'!$B$13:$X$489,8,0)/1000</f>
        <v>1.9</v>
      </c>
      <c r="G164" s="162">
        <f ca="1">VLOOKUP($A164,'BC.115+740'!$B$13:$X$489,9,0)/1000</f>
        <v>-0.1</v>
      </c>
      <c r="H164" s="162">
        <f ca="1">VLOOKUP($A164,'BC.115+740'!$B$13:$X$489,14,0)/1000</f>
        <v>1.887</v>
      </c>
      <c r="I164" s="162">
        <f ca="1">VLOOKUP($A164,'BC.115+740'!$B$13:$X$489,15,0)/1000</f>
        <v>-0.113</v>
      </c>
      <c r="J164" s="162">
        <f ca="1">VLOOKUP($A164,'BC.115+740'!$B$13:$X$489,20,0)/1000</f>
        <v>1.8340000000000001</v>
      </c>
      <c r="K164" s="162">
        <f ca="1">VLOOKUP($A164,'BC.115+740'!$B$13:$X$489,21,0)/1000</f>
        <v>-0.16600000000000001</v>
      </c>
      <c r="L164" s="160">
        <f t="shared" ca="1" si="6"/>
        <v>-140</v>
      </c>
      <c r="M164" s="161">
        <f t="shared" ca="1" si="7"/>
        <v>-103.00000000000001</v>
      </c>
      <c r="N164" s="160">
        <f t="shared" ca="1" si="8"/>
        <v>-126</v>
      </c>
      <c r="O164" s="160"/>
    </row>
    <row r="165" spans="1:15">
      <c r="A165" s="164">
        <f>'BC.115+740'!B164</f>
        <v>45223</v>
      </c>
      <c r="B165" s="160">
        <v>151</v>
      </c>
      <c r="C165" s="162">
        <f ca="1">'BC.115+740'!M164/1000</f>
        <v>0.89700000000000002</v>
      </c>
      <c r="D165" s="162">
        <f ca="1">'BC.115+740'!AA164</f>
        <v>1.0069999999999999</v>
      </c>
      <c r="E165" s="163">
        <f ca="1">'BC.115+740'!AB164</f>
        <v>0.80400000000000005</v>
      </c>
      <c r="F165" s="162">
        <f ca="1">VLOOKUP($A165,'BC.115+740'!$B$13:$X$489,8,0)/1000</f>
        <v>1.9</v>
      </c>
      <c r="G165" s="162">
        <f ca="1">VLOOKUP($A165,'BC.115+740'!$B$13:$X$489,9,0)/1000</f>
        <v>-0.1</v>
      </c>
      <c r="H165" s="162">
        <f ca="1">VLOOKUP($A165,'BC.115+740'!$B$13:$X$489,14,0)/1000</f>
        <v>1.887</v>
      </c>
      <c r="I165" s="162">
        <f ca="1">VLOOKUP($A165,'BC.115+740'!$B$13:$X$489,15,0)/1000</f>
        <v>-0.113</v>
      </c>
      <c r="J165" s="162">
        <f ca="1">VLOOKUP($A165,'BC.115+740'!$B$13:$X$489,20,0)/1000</f>
        <v>1.8340000000000001</v>
      </c>
      <c r="K165" s="162">
        <f ca="1">VLOOKUP($A165,'BC.115+740'!$B$13:$X$489,21,0)/1000</f>
        <v>-0.16600000000000001</v>
      </c>
      <c r="L165" s="160">
        <f t="shared" ca="1" si="6"/>
        <v>-140</v>
      </c>
      <c r="M165" s="161">
        <f t="shared" ca="1" si="7"/>
        <v>-103.00000000000001</v>
      </c>
      <c r="N165" s="160">
        <f t="shared" ca="1" si="8"/>
        <v>-126</v>
      </c>
      <c r="O165" s="160"/>
    </row>
    <row r="166" spans="1:15">
      <c r="A166" s="164">
        <f>'BC.115+740'!B165</f>
        <v>45224</v>
      </c>
      <c r="B166" s="160">
        <v>152</v>
      </c>
      <c r="C166" s="162">
        <f ca="1">'BC.115+740'!M165/1000</f>
        <v>0.89700000000000002</v>
      </c>
      <c r="D166" s="162">
        <f ca="1">'BC.115+740'!AA165</f>
        <v>1.0069999999999999</v>
      </c>
      <c r="E166" s="163">
        <f ca="1">'BC.115+740'!AB165</f>
        <v>0.80400000000000005</v>
      </c>
      <c r="F166" s="162">
        <f ca="1">VLOOKUP($A166,'BC.115+740'!$B$13:$X$489,8,0)/1000</f>
        <v>1.9</v>
      </c>
      <c r="G166" s="162">
        <f ca="1">VLOOKUP($A166,'BC.115+740'!$B$13:$X$489,9,0)/1000</f>
        <v>-0.1</v>
      </c>
      <c r="H166" s="162">
        <f ca="1">VLOOKUP($A166,'BC.115+740'!$B$13:$X$489,14,0)/1000</f>
        <v>1.887</v>
      </c>
      <c r="I166" s="162">
        <f ca="1">VLOOKUP($A166,'BC.115+740'!$B$13:$X$489,15,0)/1000</f>
        <v>-0.113</v>
      </c>
      <c r="J166" s="162">
        <f ca="1">VLOOKUP($A166,'BC.115+740'!$B$13:$X$489,20,0)/1000</f>
        <v>1.8340000000000001</v>
      </c>
      <c r="K166" s="162">
        <f ca="1">VLOOKUP($A166,'BC.115+740'!$B$13:$X$489,21,0)/1000</f>
        <v>-0.16600000000000001</v>
      </c>
      <c r="L166" s="160">
        <f t="shared" ca="1" si="6"/>
        <v>-140</v>
      </c>
      <c r="M166" s="161">
        <f t="shared" ca="1" si="7"/>
        <v>-103.00000000000001</v>
      </c>
      <c r="N166" s="160">
        <f t="shared" ca="1" si="8"/>
        <v>-126</v>
      </c>
      <c r="O166" s="160"/>
    </row>
    <row r="167" spans="1:15">
      <c r="A167" s="164">
        <f>'BC.115+740'!B166</f>
        <v>45225</v>
      </c>
      <c r="B167" s="160">
        <v>153</v>
      </c>
      <c r="C167" s="162">
        <f ca="1">'BC.115+740'!M166/1000</f>
        <v>0.89700000000000002</v>
      </c>
      <c r="D167" s="162">
        <f ca="1">'BC.115+740'!AA166</f>
        <v>1.0069999999999999</v>
      </c>
      <c r="E167" s="163">
        <f ca="1">'BC.115+740'!AB166</f>
        <v>0.80400000000000005</v>
      </c>
      <c r="F167" s="162">
        <f ca="1">VLOOKUP($A167,'BC.115+740'!$B$13:$X$489,8,0)/1000</f>
        <v>1.9</v>
      </c>
      <c r="G167" s="162">
        <f ca="1">VLOOKUP($A167,'BC.115+740'!$B$13:$X$489,9,0)/1000</f>
        <v>-0.1</v>
      </c>
      <c r="H167" s="162">
        <f ca="1">VLOOKUP($A167,'BC.115+740'!$B$13:$X$489,14,0)/1000</f>
        <v>1.887</v>
      </c>
      <c r="I167" s="162">
        <f ca="1">VLOOKUP($A167,'BC.115+740'!$B$13:$X$489,15,0)/1000</f>
        <v>-0.113</v>
      </c>
      <c r="J167" s="162">
        <f ca="1">VLOOKUP($A167,'BC.115+740'!$B$13:$X$489,20,0)/1000</f>
        <v>1.8340000000000001</v>
      </c>
      <c r="K167" s="162">
        <f ca="1">VLOOKUP($A167,'BC.115+740'!$B$13:$X$489,21,0)/1000</f>
        <v>-0.16600000000000001</v>
      </c>
      <c r="L167" s="160">
        <f t="shared" ca="1" si="6"/>
        <v>-140</v>
      </c>
      <c r="M167" s="161">
        <f t="shared" ca="1" si="7"/>
        <v>-103.00000000000001</v>
      </c>
      <c r="N167" s="160">
        <f t="shared" ca="1" si="8"/>
        <v>-126</v>
      </c>
      <c r="O167" s="160"/>
    </row>
    <row r="168" spans="1:15">
      <c r="A168" s="164">
        <f>'BC.115+740'!B167</f>
        <v>45226</v>
      </c>
      <c r="B168" s="160">
        <v>154</v>
      </c>
      <c r="C168" s="162">
        <f ca="1">'BC.115+740'!M167/1000</f>
        <v>0.89700000000000002</v>
      </c>
      <c r="D168" s="162">
        <f ca="1">'BC.115+740'!AA167</f>
        <v>1.0069999999999999</v>
      </c>
      <c r="E168" s="163">
        <f ca="1">'BC.115+740'!AB167</f>
        <v>0.80400000000000005</v>
      </c>
      <c r="F168" s="162">
        <f ca="1">VLOOKUP($A168,'BC.115+740'!$B$13:$X$489,8,0)/1000</f>
        <v>1.9</v>
      </c>
      <c r="G168" s="162">
        <f ca="1">VLOOKUP($A168,'BC.115+740'!$B$13:$X$489,9,0)/1000</f>
        <v>-0.1</v>
      </c>
      <c r="H168" s="162">
        <f ca="1">VLOOKUP($A168,'BC.115+740'!$B$13:$X$489,14,0)/1000</f>
        <v>1.887</v>
      </c>
      <c r="I168" s="162">
        <f ca="1">VLOOKUP($A168,'BC.115+740'!$B$13:$X$489,15,0)/1000</f>
        <v>-0.113</v>
      </c>
      <c r="J168" s="162">
        <f ca="1">VLOOKUP($A168,'BC.115+740'!$B$13:$X$489,20,0)/1000</f>
        <v>1.8340000000000001</v>
      </c>
      <c r="K168" s="162">
        <f ca="1">VLOOKUP($A168,'BC.115+740'!$B$13:$X$489,21,0)/1000</f>
        <v>-0.16600000000000001</v>
      </c>
      <c r="L168" s="160">
        <f t="shared" ca="1" si="6"/>
        <v>-140</v>
      </c>
      <c r="M168" s="161">
        <f t="shared" ca="1" si="7"/>
        <v>-103.00000000000001</v>
      </c>
      <c r="N168" s="160">
        <f t="shared" ca="1" si="8"/>
        <v>-126</v>
      </c>
      <c r="O168" s="160"/>
    </row>
    <row r="169" spans="1:15">
      <c r="A169" s="164">
        <f>'BC.115+740'!B168</f>
        <v>45227</v>
      </c>
      <c r="B169" s="160">
        <v>155</v>
      </c>
      <c r="C169" s="162">
        <f ca="1">'BC.115+740'!M168/1000</f>
        <v>0.89700000000000002</v>
      </c>
      <c r="D169" s="162">
        <f ca="1">'BC.115+740'!AA168</f>
        <v>1.0069999999999999</v>
      </c>
      <c r="E169" s="163">
        <f ca="1">'BC.115+740'!AB168</f>
        <v>0.80400000000000005</v>
      </c>
      <c r="F169" s="162">
        <f ca="1">VLOOKUP($A169,'BC.115+740'!$B$13:$X$489,8,0)/1000</f>
        <v>1.9</v>
      </c>
      <c r="G169" s="162">
        <f ca="1">VLOOKUP($A169,'BC.115+740'!$B$13:$X$489,9,0)/1000</f>
        <v>-0.1</v>
      </c>
      <c r="H169" s="162">
        <f ca="1">VLOOKUP($A169,'BC.115+740'!$B$13:$X$489,14,0)/1000</f>
        <v>1.887</v>
      </c>
      <c r="I169" s="162">
        <f ca="1">VLOOKUP($A169,'BC.115+740'!$B$13:$X$489,15,0)/1000</f>
        <v>-0.113</v>
      </c>
      <c r="J169" s="162">
        <f ca="1">VLOOKUP($A169,'BC.115+740'!$B$13:$X$489,20,0)/1000</f>
        <v>1.8340000000000001</v>
      </c>
      <c r="K169" s="162">
        <f ca="1">VLOOKUP($A169,'BC.115+740'!$B$13:$X$489,21,0)/1000</f>
        <v>-0.16600000000000001</v>
      </c>
      <c r="L169" s="160">
        <f t="shared" ca="1" si="6"/>
        <v>-140</v>
      </c>
      <c r="M169" s="161">
        <f t="shared" ca="1" si="7"/>
        <v>-103.00000000000001</v>
      </c>
      <c r="N169" s="160">
        <f t="shared" ca="1" si="8"/>
        <v>-126</v>
      </c>
      <c r="O169" s="160"/>
    </row>
    <row r="170" spans="1:15" ht="15.6" customHeight="1">
      <c r="A170" s="164">
        <f>'BC.115+740'!B169</f>
        <v>45228</v>
      </c>
      <c r="B170" s="160">
        <v>156</v>
      </c>
      <c r="C170" s="162">
        <f ca="1">'BC.115+740'!M169/1000</f>
        <v>0.89700000000000002</v>
      </c>
      <c r="D170" s="162">
        <f ca="1">'BC.115+740'!AA169</f>
        <v>1.0069999999999999</v>
      </c>
      <c r="E170" s="163">
        <f ca="1">'BC.115+740'!AB169</f>
        <v>0.80400000000000005</v>
      </c>
      <c r="F170" s="162">
        <f ca="1">VLOOKUP($A170,'BC.115+740'!$B$13:$X$489,8,0)/1000</f>
        <v>1.9</v>
      </c>
      <c r="G170" s="162">
        <f ca="1">VLOOKUP($A170,'BC.115+740'!$B$13:$X$489,9,0)/1000</f>
        <v>-0.1</v>
      </c>
      <c r="H170" s="162">
        <f ca="1">VLOOKUP($A170,'BC.115+740'!$B$13:$X$489,14,0)/1000</f>
        <v>1.887</v>
      </c>
      <c r="I170" s="162">
        <f ca="1">VLOOKUP($A170,'BC.115+740'!$B$13:$X$489,15,0)/1000</f>
        <v>-0.113</v>
      </c>
      <c r="J170" s="162">
        <f ca="1">VLOOKUP($A170,'BC.115+740'!$B$13:$X$489,20,0)/1000</f>
        <v>1.8340000000000001</v>
      </c>
      <c r="K170" s="162">
        <f ca="1">VLOOKUP($A170,'BC.115+740'!$B$13:$X$489,21,0)/1000</f>
        <v>-0.16600000000000001</v>
      </c>
      <c r="L170" s="160">
        <f t="shared" ca="1" si="6"/>
        <v>-140</v>
      </c>
      <c r="M170" s="161">
        <f t="shared" ca="1" si="7"/>
        <v>-103.00000000000001</v>
      </c>
      <c r="N170" s="160">
        <f t="shared" ca="1" si="8"/>
        <v>-126</v>
      </c>
      <c r="O170" s="160"/>
    </row>
    <row r="171" spans="1:15" ht="15.6" customHeight="1">
      <c r="A171" s="164">
        <f>'BC.115+740'!B170</f>
        <v>45229</v>
      </c>
      <c r="B171" s="160">
        <v>157</v>
      </c>
      <c r="C171" s="162">
        <f ca="1">'BC.115+740'!M170/1000</f>
        <v>0.89700000000000002</v>
      </c>
      <c r="D171" s="162">
        <f ca="1">'BC.115+740'!AA170</f>
        <v>1.0069999999999999</v>
      </c>
      <c r="E171" s="163">
        <f ca="1">'BC.115+740'!AB170</f>
        <v>0.80400000000000005</v>
      </c>
      <c r="F171" s="162">
        <f ca="1">VLOOKUP($A171,'BC.115+740'!$B$13:$X$489,8,0)/1000</f>
        <v>1.9</v>
      </c>
      <c r="G171" s="162">
        <f ca="1">VLOOKUP($A171,'BC.115+740'!$B$13:$X$489,9,0)/1000</f>
        <v>-0.1</v>
      </c>
      <c r="H171" s="162">
        <f ca="1">VLOOKUP($A171,'BC.115+740'!$B$13:$X$489,14,0)/1000</f>
        <v>1.887</v>
      </c>
      <c r="I171" s="162">
        <f ca="1">VLOOKUP($A171,'BC.115+740'!$B$13:$X$489,15,0)/1000</f>
        <v>-0.113</v>
      </c>
      <c r="J171" s="162">
        <f ca="1">VLOOKUP($A171,'BC.115+740'!$B$13:$X$489,20,0)/1000</f>
        <v>1.8340000000000001</v>
      </c>
      <c r="K171" s="162">
        <f ca="1">VLOOKUP($A171,'BC.115+740'!$B$13:$X$489,21,0)/1000</f>
        <v>-0.16600000000000001</v>
      </c>
      <c r="L171" s="160">
        <f t="shared" ca="1" si="6"/>
        <v>-140</v>
      </c>
      <c r="M171" s="161">
        <f t="shared" ca="1" si="7"/>
        <v>-103.00000000000001</v>
      </c>
      <c r="N171" s="160">
        <f t="shared" ca="1" si="8"/>
        <v>-126</v>
      </c>
      <c r="O171" s="160"/>
    </row>
    <row r="172" spans="1:15" ht="15.6" customHeight="1">
      <c r="A172" s="164">
        <f>'BC.115+740'!B171</f>
        <v>45230</v>
      </c>
      <c r="B172" s="160">
        <v>158</v>
      </c>
      <c r="C172" s="162">
        <f ca="1">'BC.115+740'!M171/1000</f>
        <v>0.89700000000000002</v>
      </c>
      <c r="D172" s="162">
        <f ca="1">'BC.115+740'!AA171</f>
        <v>1.0069999999999999</v>
      </c>
      <c r="E172" s="163">
        <f ca="1">'BC.115+740'!AB171</f>
        <v>0.80400000000000005</v>
      </c>
      <c r="F172" s="162">
        <f ca="1">VLOOKUP($A172,'BC.115+740'!$B$13:$X$489,8,0)/1000</f>
        <v>1.9</v>
      </c>
      <c r="G172" s="162">
        <f ca="1">VLOOKUP($A172,'BC.115+740'!$B$13:$X$489,9,0)/1000</f>
        <v>-0.1</v>
      </c>
      <c r="H172" s="162">
        <f ca="1">VLOOKUP($A172,'BC.115+740'!$B$13:$X$489,14,0)/1000</f>
        <v>1.887</v>
      </c>
      <c r="I172" s="162">
        <f ca="1">VLOOKUP($A172,'BC.115+740'!$B$13:$X$489,15,0)/1000</f>
        <v>-0.113</v>
      </c>
      <c r="J172" s="162">
        <f ca="1">VLOOKUP($A172,'BC.115+740'!$B$13:$X$489,20,0)/1000</f>
        <v>1.8340000000000001</v>
      </c>
      <c r="K172" s="162">
        <f ca="1">VLOOKUP($A172,'BC.115+740'!$B$13:$X$489,21,0)/1000</f>
        <v>-0.16600000000000001</v>
      </c>
      <c r="L172" s="160">
        <f t="shared" ca="1" si="6"/>
        <v>-140</v>
      </c>
      <c r="M172" s="161">
        <f t="shared" ca="1" si="7"/>
        <v>-103.00000000000001</v>
      </c>
      <c r="N172" s="160">
        <f t="shared" ca="1" si="8"/>
        <v>-126</v>
      </c>
      <c r="O172" s="160"/>
    </row>
    <row r="173" spans="1:15" ht="15.6" customHeight="1">
      <c r="A173" s="164">
        <f>'BC.115+740'!B172</f>
        <v>45231</v>
      </c>
      <c r="B173" s="160">
        <v>159</v>
      </c>
      <c r="C173" s="162">
        <f ca="1">'BC.115+740'!M172/1000</f>
        <v>0.89700000000000002</v>
      </c>
      <c r="D173" s="162">
        <f ca="1">'BC.115+740'!AA172</f>
        <v>1.0069999999999999</v>
      </c>
      <c r="E173" s="163">
        <f ca="1">'BC.115+740'!AB172</f>
        <v>0.80400000000000005</v>
      </c>
      <c r="F173" s="162">
        <f ca="1">VLOOKUP($A173,'BC.115+740'!$B$13:$X$489,8,0)/1000</f>
        <v>1.9</v>
      </c>
      <c r="G173" s="162">
        <f ca="1">VLOOKUP($A173,'BC.115+740'!$B$13:$X$489,9,0)/1000</f>
        <v>-0.1</v>
      </c>
      <c r="H173" s="162">
        <f ca="1">VLOOKUP($A173,'BC.115+740'!$B$13:$X$489,14,0)/1000</f>
        <v>1.887</v>
      </c>
      <c r="I173" s="162">
        <f ca="1">VLOOKUP($A173,'BC.115+740'!$B$13:$X$489,15,0)/1000</f>
        <v>-0.113</v>
      </c>
      <c r="J173" s="162">
        <f ca="1">VLOOKUP($A173,'BC.115+740'!$B$13:$X$489,20,0)/1000</f>
        <v>1.8340000000000001</v>
      </c>
      <c r="K173" s="162">
        <f ca="1">VLOOKUP($A173,'BC.115+740'!$B$13:$X$489,21,0)/1000</f>
        <v>-0.16600000000000001</v>
      </c>
      <c r="L173" s="160">
        <f t="shared" ca="1" si="6"/>
        <v>-140</v>
      </c>
      <c r="M173" s="161">
        <f t="shared" ca="1" si="7"/>
        <v>-103.00000000000001</v>
      </c>
      <c r="N173" s="160">
        <f t="shared" ca="1" si="8"/>
        <v>-126</v>
      </c>
      <c r="O173" s="160"/>
    </row>
    <row r="174" spans="1:15" ht="15.6" customHeight="1">
      <c r="A174" s="164">
        <f>'BC.115+740'!B173</f>
        <v>45232</v>
      </c>
      <c r="B174" s="160">
        <v>160</v>
      </c>
      <c r="C174" s="162">
        <f ca="1">'BC.115+740'!M173/1000</f>
        <v>0.89700000000000002</v>
      </c>
      <c r="D174" s="162">
        <f ca="1">'BC.115+740'!AA173</f>
        <v>1.0069999999999999</v>
      </c>
      <c r="E174" s="163">
        <f ca="1">'BC.115+740'!AB173</f>
        <v>0.80400000000000005</v>
      </c>
      <c r="F174" s="162">
        <f ca="1">VLOOKUP($A174,'BC.115+740'!$B$13:$X$489,8,0)/1000</f>
        <v>1.9</v>
      </c>
      <c r="G174" s="162">
        <f ca="1">VLOOKUP($A174,'BC.115+740'!$B$13:$X$489,9,0)/1000</f>
        <v>-0.1</v>
      </c>
      <c r="H174" s="162">
        <f ca="1">VLOOKUP($A174,'BC.115+740'!$B$13:$X$489,14,0)/1000</f>
        <v>1.887</v>
      </c>
      <c r="I174" s="162">
        <f ca="1">VLOOKUP($A174,'BC.115+740'!$B$13:$X$489,15,0)/1000</f>
        <v>-0.113</v>
      </c>
      <c r="J174" s="162">
        <f ca="1">VLOOKUP($A174,'BC.115+740'!$B$13:$X$489,20,0)/1000</f>
        <v>1.8340000000000001</v>
      </c>
      <c r="K174" s="162">
        <f ca="1">VLOOKUP($A174,'BC.115+740'!$B$13:$X$489,21,0)/1000</f>
        <v>-0.16600000000000001</v>
      </c>
      <c r="L174" s="160">
        <f t="shared" ca="1" si="6"/>
        <v>-140</v>
      </c>
      <c r="M174" s="161">
        <f t="shared" ca="1" si="7"/>
        <v>-103.00000000000001</v>
      </c>
      <c r="N174" s="160">
        <f t="shared" ca="1" si="8"/>
        <v>-126</v>
      </c>
      <c r="O174" s="160"/>
    </row>
    <row r="175" spans="1:15" ht="15.6" customHeight="1">
      <c r="A175" s="164">
        <f>'BC.115+740'!B174</f>
        <v>45233</v>
      </c>
      <c r="B175" s="160">
        <v>161</v>
      </c>
      <c r="C175" s="162">
        <f ca="1">'BC.115+740'!M174/1000</f>
        <v>0.89700000000000002</v>
      </c>
      <c r="D175" s="162">
        <f ca="1">'BC.115+740'!AA174</f>
        <v>1.0069999999999999</v>
      </c>
      <c r="E175" s="163">
        <f ca="1">'BC.115+740'!AB174</f>
        <v>0.80400000000000005</v>
      </c>
      <c r="F175" s="162">
        <f ca="1">VLOOKUP($A175,'BC.115+740'!$B$13:$X$489,8,0)/1000</f>
        <v>1.9</v>
      </c>
      <c r="G175" s="162">
        <f ca="1">VLOOKUP($A175,'BC.115+740'!$B$13:$X$489,9,0)/1000</f>
        <v>-0.1</v>
      </c>
      <c r="H175" s="162">
        <f ca="1">VLOOKUP($A175,'BC.115+740'!$B$13:$X$489,14,0)/1000</f>
        <v>1.887</v>
      </c>
      <c r="I175" s="162">
        <f ca="1">VLOOKUP($A175,'BC.115+740'!$B$13:$X$489,15,0)/1000</f>
        <v>-0.113</v>
      </c>
      <c r="J175" s="162">
        <f ca="1">VLOOKUP($A175,'BC.115+740'!$B$13:$X$489,20,0)/1000</f>
        <v>1.8340000000000001</v>
      </c>
      <c r="K175" s="162">
        <f ca="1">VLOOKUP($A175,'BC.115+740'!$B$13:$X$489,21,0)/1000</f>
        <v>-0.16600000000000001</v>
      </c>
      <c r="L175" s="160">
        <f t="shared" ca="1" si="6"/>
        <v>-140</v>
      </c>
      <c r="M175" s="161">
        <f t="shared" ca="1" si="7"/>
        <v>-103.00000000000001</v>
      </c>
      <c r="N175" s="160">
        <f t="shared" ca="1" si="8"/>
        <v>-126</v>
      </c>
      <c r="O175" s="160"/>
    </row>
    <row r="176" spans="1:15" ht="15.6" customHeight="1">
      <c r="A176" s="164">
        <f>'BC.115+740'!B175</f>
        <v>45234</v>
      </c>
      <c r="B176" s="160">
        <v>162</v>
      </c>
      <c r="C176" s="162">
        <f ca="1">'BC.115+740'!M175/1000</f>
        <v>0.89700000000000002</v>
      </c>
      <c r="D176" s="162">
        <f ca="1">'BC.115+740'!AA175</f>
        <v>1.0069999999999999</v>
      </c>
      <c r="E176" s="163">
        <f ca="1">'BC.115+740'!AB175</f>
        <v>0.80400000000000005</v>
      </c>
      <c r="F176" s="162">
        <f ca="1">VLOOKUP($A176,'BC.115+740'!$B$13:$X$489,8,0)/1000</f>
        <v>1.9</v>
      </c>
      <c r="G176" s="162">
        <f ca="1">VLOOKUP($A176,'BC.115+740'!$B$13:$X$489,9,0)/1000</f>
        <v>-0.1</v>
      </c>
      <c r="H176" s="162">
        <f ca="1">VLOOKUP($A176,'BC.115+740'!$B$13:$X$489,14,0)/1000</f>
        <v>1.887</v>
      </c>
      <c r="I176" s="162">
        <f ca="1">VLOOKUP($A176,'BC.115+740'!$B$13:$X$489,15,0)/1000</f>
        <v>-0.113</v>
      </c>
      <c r="J176" s="162">
        <f ca="1">VLOOKUP($A176,'BC.115+740'!$B$13:$X$489,20,0)/1000</f>
        <v>1.8340000000000001</v>
      </c>
      <c r="K176" s="162">
        <f ca="1">VLOOKUP($A176,'BC.115+740'!$B$13:$X$489,21,0)/1000</f>
        <v>-0.16600000000000001</v>
      </c>
      <c r="L176" s="160">
        <f t="shared" ca="1" si="6"/>
        <v>-140</v>
      </c>
      <c r="M176" s="161">
        <f t="shared" ca="1" si="7"/>
        <v>-103.00000000000001</v>
      </c>
      <c r="N176" s="160">
        <f t="shared" ca="1" si="8"/>
        <v>-126</v>
      </c>
      <c r="O176" s="160"/>
    </row>
    <row r="177" spans="1:15" ht="15.6" customHeight="1">
      <c r="A177" s="164">
        <f>'BC.115+740'!B176</f>
        <v>45235</v>
      </c>
      <c r="B177" s="160">
        <v>163</v>
      </c>
      <c r="C177" s="162">
        <f ca="1">'BC.115+740'!M176/1000</f>
        <v>0.89700000000000002</v>
      </c>
      <c r="D177" s="162">
        <f ca="1">'BC.115+740'!AA176</f>
        <v>1.0069999999999999</v>
      </c>
      <c r="E177" s="163">
        <f ca="1">'BC.115+740'!AB176</f>
        <v>0.80400000000000005</v>
      </c>
      <c r="F177" s="162">
        <f ca="1">VLOOKUP($A177,'BC.115+740'!$B$13:$X$489,8,0)/1000</f>
        <v>1.9</v>
      </c>
      <c r="G177" s="162">
        <f ca="1">VLOOKUP($A177,'BC.115+740'!$B$13:$X$489,9,0)/1000</f>
        <v>-0.1</v>
      </c>
      <c r="H177" s="162">
        <f ca="1">VLOOKUP($A177,'BC.115+740'!$B$13:$X$489,14,0)/1000</f>
        <v>1.887</v>
      </c>
      <c r="I177" s="162">
        <f ca="1">VLOOKUP($A177,'BC.115+740'!$B$13:$X$489,15,0)/1000</f>
        <v>-0.113</v>
      </c>
      <c r="J177" s="162">
        <f ca="1">VLOOKUP($A177,'BC.115+740'!$B$13:$X$489,20,0)/1000</f>
        <v>1.8340000000000001</v>
      </c>
      <c r="K177" s="162">
        <f ca="1">VLOOKUP($A177,'BC.115+740'!$B$13:$X$489,21,0)/1000</f>
        <v>-0.16600000000000001</v>
      </c>
      <c r="L177" s="160">
        <f t="shared" ca="1" si="6"/>
        <v>-140</v>
      </c>
      <c r="M177" s="161">
        <f t="shared" ca="1" si="7"/>
        <v>-103.00000000000001</v>
      </c>
      <c r="N177" s="160">
        <f t="shared" ca="1" si="8"/>
        <v>-126</v>
      </c>
      <c r="O177" s="160"/>
    </row>
    <row r="178" spans="1:15" ht="15.6" customHeight="1">
      <c r="A178" s="164">
        <f>'BC.115+740'!B177</f>
        <v>45236</v>
      </c>
      <c r="B178" s="160">
        <v>164</v>
      </c>
      <c r="C178" s="162">
        <f ca="1">'BC.115+740'!M177/1000</f>
        <v>0.89700000000000002</v>
      </c>
      <c r="D178" s="162">
        <f ca="1">'BC.115+740'!AA177</f>
        <v>1.0069999999999999</v>
      </c>
      <c r="E178" s="163">
        <f ca="1">'BC.115+740'!AB177</f>
        <v>0.80400000000000005</v>
      </c>
      <c r="F178" s="162">
        <f ca="1">VLOOKUP($A178,'BC.115+740'!$B$13:$X$489,8,0)/1000</f>
        <v>1.9</v>
      </c>
      <c r="G178" s="162">
        <f ca="1">VLOOKUP($A178,'BC.115+740'!$B$13:$X$489,9,0)/1000</f>
        <v>-0.1</v>
      </c>
      <c r="H178" s="162">
        <f ca="1">VLOOKUP($A178,'BC.115+740'!$B$13:$X$489,14,0)/1000</f>
        <v>1.887</v>
      </c>
      <c r="I178" s="162">
        <f ca="1">VLOOKUP($A178,'BC.115+740'!$B$13:$X$489,15,0)/1000</f>
        <v>-0.113</v>
      </c>
      <c r="J178" s="162">
        <f ca="1">VLOOKUP($A178,'BC.115+740'!$B$13:$X$489,20,0)/1000</f>
        <v>1.8340000000000001</v>
      </c>
      <c r="K178" s="162">
        <f ca="1">VLOOKUP($A178,'BC.115+740'!$B$13:$X$489,21,0)/1000</f>
        <v>-0.16600000000000001</v>
      </c>
      <c r="L178" s="160">
        <f t="shared" ca="1" si="6"/>
        <v>-140</v>
      </c>
      <c r="M178" s="161">
        <f t="shared" ca="1" si="7"/>
        <v>-103.00000000000001</v>
      </c>
      <c r="N178" s="160">
        <f t="shared" ca="1" si="8"/>
        <v>-126</v>
      </c>
      <c r="O178" s="160"/>
    </row>
    <row r="179" spans="1:15" ht="15.6" customHeight="1">
      <c r="A179" s="164">
        <f>'BC.115+740'!B178</f>
        <v>45237</v>
      </c>
      <c r="B179" s="160">
        <v>165</v>
      </c>
      <c r="C179" s="162">
        <f ca="1">'BC.115+740'!M178/1000</f>
        <v>0.89700000000000002</v>
      </c>
      <c r="D179" s="162">
        <f ca="1">'BC.115+740'!AA178</f>
        <v>1.0069999999999999</v>
      </c>
      <c r="E179" s="163">
        <f ca="1">'BC.115+740'!AB178</f>
        <v>0.80400000000000005</v>
      </c>
      <c r="F179" s="162">
        <f ca="1">VLOOKUP($A179,'BC.115+740'!$B$13:$X$489,8,0)/1000</f>
        <v>1.9</v>
      </c>
      <c r="G179" s="162">
        <f ca="1">VLOOKUP($A179,'BC.115+740'!$B$13:$X$489,9,0)/1000</f>
        <v>-0.1</v>
      </c>
      <c r="H179" s="162">
        <f ca="1">VLOOKUP($A179,'BC.115+740'!$B$13:$X$489,14,0)/1000</f>
        <v>1.887</v>
      </c>
      <c r="I179" s="162">
        <f ca="1">VLOOKUP($A179,'BC.115+740'!$B$13:$X$489,15,0)/1000</f>
        <v>-0.113</v>
      </c>
      <c r="J179" s="162">
        <f ca="1">VLOOKUP($A179,'BC.115+740'!$B$13:$X$489,20,0)/1000</f>
        <v>1.8340000000000001</v>
      </c>
      <c r="K179" s="162">
        <f ca="1">VLOOKUP($A179,'BC.115+740'!$B$13:$X$489,21,0)/1000</f>
        <v>-0.16600000000000001</v>
      </c>
      <c r="L179" s="160">
        <f t="shared" ca="1" si="6"/>
        <v>-140</v>
      </c>
      <c r="M179" s="161">
        <f t="shared" ca="1" si="7"/>
        <v>-103.00000000000001</v>
      </c>
      <c r="N179" s="160">
        <f t="shared" ca="1" si="8"/>
        <v>-126</v>
      </c>
      <c r="O179" s="160"/>
    </row>
    <row r="180" spans="1:15" ht="15.6" customHeight="1">
      <c r="A180" s="164">
        <f>'BC.115+740'!B179</f>
        <v>45238</v>
      </c>
      <c r="B180" s="160">
        <v>166</v>
      </c>
      <c r="C180" s="162">
        <f ca="1">'BC.115+740'!M179/1000</f>
        <v>0.89700000000000002</v>
      </c>
      <c r="D180" s="162">
        <f ca="1">'BC.115+740'!AA179</f>
        <v>1.0069999999999999</v>
      </c>
      <c r="E180" s="163">
        <f ca="1">'BC.115+740'!AB179</f>
        <v>0.80400000000000005</v>
      </c>
      <c r="F180" s="162">
        <f ca="1">VLOOKUP($A180,'BC.115+740'!$B$13:$X$489,8,0)/1000</f>
        <v>1.9</v>
      </c>
      <c r="G180" s="162">
        <f ca="1">VLOOKUP($A180,'BC.115+740'!$B$13:$X$489,9,0)/1000</f>
        <v>-0.1</v>
      </c>
      <c r="H180" s="162">
        <f ca="1">VLOOKUP($A180,'BC.115+740'!$B$13:$X$489,14,0)/1000</f>
        <v>1.887</v>
      </c>
      <c r="I180" s="162">
        <f ca="1">VLOOKUP($A180,'BC.115+740'!$B$13:$X$489,15,0)/1000</f>
        <v>-0.113</v>
      </c>
      <c r="J180" s="162">
        <f ca="1">VLOOKUP($A180,'BC.115+740'!$B$13:$X$489,20,0)/1000</f>
        <v>1.8340000000000001</v>
      </c>
      <c r="K180" s="162">
        <f ca="1">VLOOKUP($A180,'BC.115+740'!$B$13:$X$489,21,0)/1000</f>
        <v>-0.16600000000000001</v>
      </c>
      <c r="L180" s="160">
        <f t="shared" ca="1" si="6"/>
        <v>-140</v>
      </c>
      <c r="M180" s="161">
        <f t="shared" ca="1" si="7"/>
        <v>-103.00000000000001</v>
      </c>
      <c r="N180" s="160">
        <f t="shared" ca="1" si="8"/>
        <v>-126</v>
      </c>
      <c r="O180" s="160"/>
    </row>
    <row r="181" spans="1:15" ht="15.6" customHeight="1">
      <c r="A181" s="164">
        <f>'BC.115+740'!B180</f>
        <v>45239</v>
      </c>
      <c r="B181" s="160">
        <v>167</v>
      </c>
      <c r="C181" s="162">
        <f ca="1">'BC.115+740'!M180/1000</f>
        <v>0.89700000000000002</v>
      </c>
      <c r="D181" s="162">
        <f ca="1">'BC.115+740'!AA180</f>
        <v>1.0069999999999999</v>
      </c>
      <c r="E181" s="163">
        <f ca="1">'BC.115+740'!AB180</f>
        <v>0.80400000000000005</v>
      </c>
      <c r="F181" s="162">
        <f ca="1">VLOOKUP($A181,'BC.115+740'!$B$13:$X$489,8,0)/1000</f>
        <v>1.9</v>
      </c>
      <c r="G181" s="162">
        <f ca="1">VLOOKUP($A181,'BC.115+740'!$B$13:$X$489,9,0)/1000</f>
        <v>-0.1</v>
      </c>
      <c r="H181" s="162">
        <f ca="1">VLOOKUP($A181,'BC.115+740'!$B$13:$X$489,14,0)/1000</f>
        <v>1.887</v>
      </c>
      <c r="I181" s="162">
        <f ca="1">VLOOKUP($A181,'BC.115+740'!$B$13:$X$489,15,0)/1000</f>
        <v>-0.113</v>
      </c>
      <c r="J181" s="162">
        <f ca="1">VLOOKUP($A181,'BC.115+740'!$B$13:$X$489,20,0)/1000</f>
        <v>1.8340000000000001</v>
      </c>
      <c r="K181" s="162">
        <f ca="1">VLOOKUP($A181,'BC.115+740'!$B$13:$X$489,21,0)/1000</f>
        <v>-0.16600000000000001</v>
      </c>
      <c r="L181" s="160">
        <f t="shared" ca="1" si="6"/>
        <v>-140</v>
      </c>
      <c r="M181" s="161">
        <f t="shared" ca="1" si="7"/>
        <v>-103.00000000000001</v>
      </c>
      <c r="N181" s="160">
        <f t="shared" ca="1" si="8"/>
        <v>-126</v>
      </c>
      <c r="O181" s="160"/>
    </row>
    <row r="182" spans="1:15" ht="15.6" customHeight="1">
      <c r="A182" s="164">
        <f>'BC.115+740'!B181</f>
        <v>45240</v>
      </c>
      <c r="B182" s="160">
        <v>168</v>
      </c>
      <c r="C182" s="162">
        <f ca="1">'BC.115+740'!M181/1000</f>
        <v>0.89700000000000002</v>
      </c>
      <c r="D182" s="162">
        <f ca="1">'BC.115+740'!AA181</f>
        <v>1.0069999999999999</v>
      </c>
      <c r="E182" s="163">
        <f ca="1">'BC.115+740'!AB181</f>
        <v>0.80400000000000005</v>
      </c>
      <c r="F182" s="162">
        <f ca="1">VLOOKUP($A182,'BC.115+740'!$B$13:$X$489,8,0)/1000</f>
        <v>1.9</v>
      </c>
      <c r="G182" s="162">
        <f ca="1">VLOOKUP($A182,'BC.115+740'!$B$13:$X$489,9,0)/1000</f>
        <v>-0.1</v>
      </c>
      <c r="H182" s="162">
        <f ca="1">VLOOKUP($A182,'BC.115+740'!$B$13:$X$489,14,0)/1000</f>
        <v>1.887</v>
      </c>
      <c r="I182" s="162">
        <f ca="1">VLOOKUP($A182,'BC.115+740'!$B$13:$X$489,15,0)/1000</f>
        <v>-0.113</v>
      </c>
      <c r="J182" s="162">
        <f ca="1">VLOOKUP($A182,'BC.115+740'!$B$13:$X$489,20,0)/1000</f>
        <v>1.8340000000000001</v>
      </c>
      <c r="K182" s="162">
        <f ca="1">VLOOKUP($A182,'BC.115+740'!$B$13:$X$489,21,0)/1000</f>
        <v>-0.16600000000000001</v>
      </c>
      <c r="L182" s="160">
        <f t="shared" ca="1" si="6"/>
        <v>-140</v>
      </c>
      <c r="M182" s="161">
        <f t="shared" ca="1" si="7"/>
        <v>-103.00000000000001</v>
      </c>
      <c r="N182" s="160">
        <f t="shared" ca="1" si="8"/>
        <v>-126</v>
      </c>
      <c r="O182" s="160"/>
    </row>
    <row r="183" spans="1:15" ht="15.6" customHeight="1">
      <c r="A183" s="164">
        <f>'BC.115+740'!B182</f>
        <v>45241</v>
      </c>
      <c r="B183" s="160">
        <v>169</v>
      </c>
      <c r="C183" s="162">
        <f ca="1">'BC.115+740'!M182/1000</f>
        <v>0.89700000000000002</v>
      </c>
      <c r="D183" s="162">
        <f ca="1">'BC.115+740'!AA182</f>
        <v>1.0069999999999999</v>
      </c>
      <c r="E183" s="163">
        <f ca="1">'BC.115+740'!AB182</f>
        <v>0.80400000000000005</v>
      </c>
      <c r="F183" s="162">
        <f ca="1">VLOOKUP($A183,'BC.115+740'!$B$13:$X$489,8,0)/1000</f>
        <v>1.9</v>
      </c>
      <c r="G183" s="162">
        <f ca="1">VLOOKUP($A183,'BC.115+740'!$B$13:$X$489,9,0)/1000</f>
        <v>-0.1</v>
      </c>
      <c r="H183" s="162">
        <f ca="1">VLOOKUP($A183,'BC.115+740'!$B$13:$X$489,14,0)/1000</f>
        <v>1.887</v>
      </c>
      <c r="I183" s="162">
        <f ca="1">VLOOKUP($A183,'BC.115+740'!$B$13:$X$489,15,0)/1000</f>
        <v>-0.113</v>
      </c>
      <c r="J183" s="162">
        <f ca="1">VLOOKUP($A183,'BC.115+740'!$B$13:$X$489,20,0)/1000</f>
        <v>1.8340000000000001</v>
      </c>
      <c r="K183" s="162">
        <f ca="1">VLOOKUP($A183,'BC.115+740'!$B$13:$X$489,21,0)/1000</f>
        <v>-0.16600000000000001</v>
      </c>
      <c r="L183" s="160">
        <f t="shared" ca="1" si="6"/>
        <v>-140</v>
      </c>
      <c r="M183" s="161">
        <f t="shared" ca="1" si="7"/>
        <v>-103.00000000000001</v>
      </c>
      <c r="N183" s="160">
        <f t="shared" ca="1" si="8"/>
        <v>-126</v>
      </c>
      <c r="O183" s="160"/>
    </row>
    <row r="184" spans="1:15" ht="15.6" customHeight="1">
      <c r="A184" s="164">
        <f>'BC.115+740'!B183</f>
        <v>45242</v>
      </c>
      <c r="B184" s="160">
        <v>170</v>
      </c>
      <c r="C184" s="162">
        <f ca="1">'BC.115+740'!M183/1000</f>
        <v>0.89700000000000002</v>
      </c>
      <c r="D184" s="162">
        <f ca="1">'BC.115+740'!AA183</f>
        <v>1.0069999999999999</v>
      </c>
      <c r="E184" s="163">
        <f ca="1">'BC.115+740'!AB183</f>
        <v>0.80400000000000005</v>
      </c>
      <c r="F184" s="162">
        <f ca="1">VLOOKUP($A184,'BC.115+740'!$B$13:$X$489,8,0)/1000</f>
        <v>1.9</v>
      </c>
      <c r="G184" s="162">
        <f ca="1">VLOOKUP($A184,'BC.115+740'!$B$13:$X$489,9,0)/1000</f>
        <v>-0.1</v>
      </c>
      <c r="H184" s="162">
        <f ca="1">VLOOKUP($A184,'BC.115+740'!$B$13:$X$489,14,0)/1000</f>
        <v>1.887</v>
      </c>
      <c r="I184" s="162">
        <f ca="1">VLOOKUP($A184,'BC.115+740'!$B$13:$X$489,15,0)/1000</f>
        <v>-0.113</v>
      </c>
      <c r="J184" s="162">
        <f ca="1">VLOOKUP($A184,'BC.115+740'!$B$13:$X$489,20,0)/1000</f>
        <v>1.8340000000000001</v>
      </c>
      <c r="K184" s="162">
        <f ca="1">VLOOKUP($A184,'BC.115+740'!$B$13:$X$489,21,0)/1000</f>
        <v>-0.16600000000000001</v>
      </c>
      <c r="L184" s="160">
        <f t="shared" ca="1" si="6"/>
        <v>-140</v>
      </c>
      <c r="M184" s="161">
        <f t="shared" ca="1" si="7"/>
        <v>-103.00000000000001</v>
      </c>
      <c r="N184" s="160">
        <f t="shared" ca="1" si="8"/>
        <v>-126</v>
      </c>
      <c r="O184" s="160"/>
    </row>
    <row r="185" spans="1:15" ht="15.6" customHeight="1">
      <c r="A185" s="164">
        <f>'BC.115+740'!B184</f>
        <v>45243</v>
      </c>
      <c r="B185" s="160">
        <v>171</v>
      </c>
      <c r="C185" s="162">
        <f ca="1">'BC.115+740'!M184/1000</f>
        <v>0.89700000000000002</v>
      </c>
      <c r="D185" s="162">
        <f ca="1">'BC.115+740'!AA184</f>
        <v>1.0069999999999999</v>
      </c>
      <c r="E185" s="163">
        <f ca="1">'BC.115+740'!AB184</f>
        <v>0.80400000000000005</v>
      </c>
      <c r="F185" s="162">
        <f ca="1">VLOOKUP($A185,'BC.115+740'!$B$13:$X$489,8,0)/1000</f>
        <v>1.9</v>
      </c>
      <c r="G185" s="162">
        <f ca="1">VLOOKUP($A185,'BC.115+740'!$B$13:$X$489,9,0)/1000</f>
        <v>-0.1</v>
      </c>
      <c r="H185" s="162">
        <f ca="1">VLOOKUP($A185,'BC.115+740'!$B$13:$X$489,14,0)/1000</f>
        <v>1.887</v>
      </c>
      <c r="I185" s="162">
        <f ca="1">VLOOKUP($A185,'BC.115+740'!$B$13:$X$489,15,0)/1000</f>
        <v>-0.113</v>
      </c>
      <c r="J185" s="162">
        <f ca="1">VLOOKUP($A185,'BC.115+740'!$B$13:$X$489,20,0)/1000</f>
        <v>1.8340000000000001</v>
      </c>
      <c r="K185" s="162">
        <f ca="1">VLOOKUP($A185,'BC.115+740'!$B$13:$X$489,21,0)/1000</f>
        <v>-0.16600000000000001</v>
      </c>
      <c r="L185" s="160">
        <f t="shared" ca="1" si="6"/>
        <v>-140</v>
      </c>
      <c r="M185" s="161">
        <f t="shared" ca="1" si="7"/>
        <v>-103.00000000000001</v>
      </c>
      <c r="N185" s="160">
        <f t="shared" ca="1" si="8"/>
        <v>-126</v>
      </c>
      <c r="O185" s="160"/>
    </row>
    <row r="186" spans="1:15" ht="15.6" customHeight="1">
      <c r="A186" s="164">
        <f>'BC.115+740'!B185</f>
        <v>45244</v>
      </c>
      <c r="B186" s="160">
        <v>172</v>
      </c>
      <c r="C186" s="162">
        <f ca="1">'BC.115+740'!M185/1000</f>
        <v>0.89700000000000002</v>
      </c>
      <c r="D186" s="162">
        <f ca="1">'BC.115+740'!AA185</f>
        <v>1.0069999999999999</v>
      </c>
      <c r="E186" s="163">
        <f ca="1">'BC.115+740'!AB185</f>
        <v>0.80400000000000005</v>
      </c>
      <c r="F186" s="162">
        <f ca="1">VLOOKUP($A186,'BC.115+740'!$B$13:$X$489,8,0)/1000</f>
        <v>1.9</v>
      </c>
      <c r="G186" s="162">
        <f ca="1">VLOOKUP($A186,'BC.115+740'!$B$13:$X$489,9,0)/1000</f>
        <v>-0.1</v>
      </c>
      <c r="H186" s="162">
        <f ca="1">VLOOKUP($A186,'BC.115+740'!$B$13:$X$489,14,0)/1000</f>
        <v>1.887</v>
      </c>
      <c r="I186" s="162">
        <f ca="1">VLOOKUP($A186,'BC.115+740'!$B$13:$X$489,15,0)/1000</f>
        <v>-0.113</v>
      </c>
      <c r="J186" s="162">
        <f ca="1">VLOOKUP($A186,'BC.115+740'!$B$13:$X$489,20,0)/1000</f>
        <v>1.8340000000000001</v>
      </c>
      <c r="K186" s="162">
        <f ca="1">VLOOKUP($A186,'BC.115+740'!$B$13:$X$489,21,0)/1000</f>
        <v>-0.16600000000000001</v>
      </c>
      <c r="L186" s="160">
        <f t="shared" ca="1" si="6"/>
        <v>-140</v>
      </c>
      <c r="M186" s="161">
        <f t="shared" ca="1" si="7"/>
        <v>-103.00000000000001</v>
      </c>
      <c r="N186" s="160">
        <f t="shared" ca="1" si="8"/>
        <v>-126</v>
      </c>
      <c r="O186" s="160"/>
    </row>
    <row r="187" spans="1:15" ht="15.6" customHeight="1">
      <c r="A187" s="164">
        <f>'BC.115+740'!B186</f>
        <v>45245</v>
      </c>
      <c r="B187" s="160">
        <v>173</v>
      </c>
      <c r="C187" s="162">
        <f ca="1">'BC.115+740'!M186/1000</f>
        <v>0.89700000000000002</v>
      </c>
      <c r="D187" s="162">
        <f ca="1">'BC.115+740'!AA186</f>
        <v>1.0069999999999999</v>
      </c>
      <c r="E187" s="163">
        <f ca="1">'BC.115+740'!AB186</f>
        <v>0.80400000000000005</v>
      </c>
      <c r="F187" s="162">
        <f ca="1">VLOOKUP($A187,'BC.115+740'!$B$13:$X$489,8,0)/1000</f>
        <v>1.9</v>
      </c>
      <c r="G187" s="162">
        <f ca="1">VLOOKUP($A187,'BC.115+740'!$B$13:$X$489,9,0)/1000</f>
        <v>-0.1</v>
      </c>
      <c r="H187" s="162">
        <f ca="1">VLOOKUP($A187,'BC.115+740'!$B$13:$X$489,14,0)/1000</f>
        <v>1.887</v>
      </c>
      <c r="I187" s="162">
        <f ca="1">VLOOKUP($A187,'BC.115+740'!$B$13:$X$489,15,0)/1000</f>
        <v>-0.113</v>
      </c>
      <c r="J187" s="162">
        <f ca="1">VLOOKUP($A187,'BC.115+740'!$B$13:$X$489,20,0)/1000</f>
        <v>1.8340000000000001</v>
      </c>
      <c r="K187" s="162">
        <f ca="1">VLOOKUP($A187,'BC.115+740'!$B$13:$X$489,21,0)/1000</f>
        <v>-0.16600000000000001</v>
      </c>
      <c r="L187" s="160">
        <f t="shared" ca="1" si="6"/>
        <v>-140</v>
      </c>
      <c r="M187" s="161">
        <f t="shared" ca="1" si="7"/>
        <v>-103.00000000000001</v>
      </c>
      <c r="N187" s="160">
        <f t="shared" ca="1" si="8"/>
        <v>-126</v>
      </c>
      <c r="O187" s="160"/>
    </row>
    <row r="188" spans="1:15" ht="15.6" customHeight="1">
      <c r="A188" s="164">
        <f>'BC.115+740'!B187</f>
        <v>45246</v>
      </c>
      <c r="B188" s="160">
        <v>174</v>
      </c>
      <c r="C188" s="162">
        <f ca="1">'BC.115+740'!M187/1000</f>
        <v>0.89700000000000002</v>
      </c>
      <c r="D188" s="162">
        <f ca="1">'BC.115+740'!AA187</f>
        <v>1.0069999999999999</v>
      </c>
      <c r="E188" s="163">
        <f ca="1">'BC.115+740'!AB187</f>
        <v>0.80400000000000005</v>
      </c>
      <c r="F188" s="162">
        <f ca="1">VLOOKUP($A188,'BC.115+740'!$B$13:$X$489,8,0)/1000</f>
        <v>1.9</v>
      </c>
      <c r="G188" s="162">
        <f ca="1">VLOOKUP($A188,'BC.115+740'!$B$13:$X$489,9,0)/1000</f>
        <v>-0.1</v>
      </c>
      <c r="H188" s="162">
        <f ca="1">VLOOKUP($A188,'BC.115+740'!$B$13:$X$489,14,0)/1000</f>
        <v>1.887</v>
      </c>
      <c r="I188" s="162">
        <f ca="1">VLOOKUP($A188,'BC.115+740'!$B$13:$X$489,15,0)/1000</f>
        <v>-0.113</v>
      </c>
      <c r="J188" s="162">
        <f ca="1">VLOOKUP($A188,'BC.115+740'!$B$13:$X$489,20,0)/1000</f>
        <v>1.8340000000000001</v>
      </c>
      <c r="K188" s="162">
        <f ca="1">VLOOKUP($A188,'BC.115+740'!$B$13:$X$489,21,0)/1000</f>
        <v>-0.16600000000000001</v>
      </c>
      <c r="L188" s="160">
        <f t="shared" ca="1" si="6"/>
        <v>-140</v>
      </c>
      <c r="M188" s="161">
        <f t="shared" ca="1" si="7"/>
        <v>-103.00000000000001</v>
      </c>
      <c r="N188" s="160">
        <f t="shared" ca="1" si="8"/>
        <v>-126</v>
      </c>
      <c r="O188" s="160"/>
    </row>
    <row r="189" spans="1:15" ht="15.6" customHeight="1">
      <c r="A189" s="164">
        <f>'BC.115+740'!B188</f>
        <v>45247</v>
      </c>
      <c r="B189" s="160">
        <v>175</v>
      </c>
      <c r="C189" s="162">
        <f ca="1">'BC.115+740'!M188/1000</f>
        <v>0.89700000000000002</v>
      </c>
      <c r="D189" s="162">
        <f ca="1">'BC.115+740'!AA188</f>
        <v>1.0069999999999999</v>
      </c>
      <c r="E189" s="163">
        <f ca="1">'BC.115+740'!AB188</f>
        <v>0.80400000000000005</v>
      </c>
      <c r="F189" s="162">
        <f ca="1">VLOOKUP($A189,'BC.115+740'!$B$13:$X$489,8,0)/1000</f>
        <v>1.9</v>
      </c>
      <c r="G189" s="162">
        <f ca="1">VLOOKUP($A189,'BC.115+740'!$B$13:$X$489,9,0)/1000</f>
        <v>-0.1</v>
      </c>
      <c r="H189" s="162">
        <f ca="1">VLOOKUP($A189,'BC.115+740'!$B$13:$X$489,14,0)/1000</f>
        <v>1.887</v>
      </c>
      <c r="I189" s="162">
        <f ca="1">VLOOKUP($A189,'BC.115+740'!$B$13:$X$489,15,0)/1000</f>
        <v>-0.113</v>
      </c>
      <c r="J189" s="162">
        <f ca="1">VLOOKUP($A189,'BC.115+740'!$B$13:$X$489,20,0)/1000</f>
        <v>1.8340000000000001</v>
      </c>
      <c r="K189" s="162">
        <f ca="1">VLOOKUP($A189,'BC.115+740'!$B$13:$X$489,21,0)/1000</f>
        <v>-0.16600000000000001</v>
      </c>
      <c r="L189" s="160">
        <f t="shared" ca="1" si="6"/>
        <v>-140</v>
      </c>
      <c r="M189" s="161">
        <f t="shared" ca="1" si="7"/>
        <v>-103.00000000000001</v>
      </c>
      <c r="N189" s="160">
        <f t="shared" ca="1" si="8"/>
        <v>-126</v>
      </c>
      <c r="O189" s="160"/>
    </row>
    <row r="190" spans="1:15" ht="15.6" customHeight="1">
      <c r="A190" s="164">
        <f>'BC.115+740'!B189</f>
        <v>45248</v>
      </c>
      <c r="B190" s="160">
        <v>176</v>
      </c>
      <c r="C190" s="162">
        <f ca="1">'BC.115+740'!M189/1000</f>
        <v>0.89700000000000002</v>
      </c>
      <c r="D190" s="162">
        <f ca="1">'BC.115+740'!AA189</f>
        <v>1.0069999999999999</v>
      </c>
      <c r="E190" s="163">
        <f ca="1">'BC.115+740'!AB189</f>
        <v>0.80400000000000005</v>
      </c>
      <c r="F190" s="162">
        <f ca="1">VLOOKUP($A190,'BC.115+740'!$B$13:$X$489,8,0)/1000</f>
        <v>1.9</v>
      </c>
      <c r="G190" s="162">
        <f ca="1">VLOOKUP($A190,'BC.115+740'!$B$13:$X$489,9,0)/1000</f>
        <v>-0.1</v>
      </c>
      <c r="H190" s="162">
        <f ca="1">VLOOKUP($A190,'BC.115+740'!$B$13:$X$489,14,0)/1000</f>
        <v>1.887</v>
      </c>
      <c r="I190" s="162">
        <f ca="1">VLOOKUP($A190,'BC.115+740'!$B$13:$X$489,15,0)/1000</f>
        <v>-0.113</v>
      </c>
      <c r="J190" s="162">
        <f ca="1">VLOOKUP($A190,'BC.115+740'!$B$13:$X$489,20,0)/1000</f>
        <v>1.8340000000000001</v>
      </c>
      <c r="K190" s="162">
        <f ca="1">VLOOKUP($A190,'BC.115+740'!$B$13:$X$489,21,0)/1000</f>
        <v>-0.16600000000000001</v>
      </c>
      <c r="L190" s="160">
        <f t="shared" ca="1" si="6"/>
        <v>-140</v>
      </c>
      <c r="M190" s="161">
        <f t="shared" ca="1" si="7"/>
        <v>-103.00000000000001</v>
      </c>
      <c r="N190" s="160">
        <f t="shared" ca="1" si="8"/>
        <v>-126</v>
      </c>
      <c r="O190" s="160"/>
    </row>
    <row r="191" spans="1:15" ht="15.6" customHeight="1">
      <c r="A191" s="164">
        <f>'BC.115+740'!B190</f>
        <v>45249</v>
      </c>
      <c r="B191" s="160">
        <v>177</v>
      </c>
      <c r="C191" s="162">
        <f ca="1">'BC.115+740'!M190/1000</f>
        <v>0.89700000000000002</v>
      </c>
      <c r="D191" s="162">
        <f ca="1">'BC.115+740'!AA190</f>
        <v>1.0069999999999999</v>
      </c>
      <c r="E191" s="163">
        <f ca="1">'BC.115+740'!AB190</f>
        <v>0.80400000000000005</v>
      </c>
      <c r="F191" s="162">
        <f ca="1">VLOOKUP($A191,'BC.115+740'!$B$13:$X$489,8,0)/1000</f>
        <v>1.9</v>
      </c>
      <c r="G191" s="162">
        <f ca="1">VLOOKUP($A191,'BC.115+740'!$B$13:$X$489,9,0)/1000</f>
        <v>-0.1</v>
      </c>
      <c r="H191" s="162">
        <f ca="1">VLOOKUP($A191,'BC.115+740'!$B$13:$X$489,14,0)/1000</f>
        <v>1.887</v>
      </c>
      <c r="I191" s="162">
        <f ca="1">VLOOKUP($A191,'BC.115+740'!$B$13:$X$489,15,0)/1000</f>
        <v>-0.113</v>
      </c>
      <c r="J191" s="162">
        <f ca="1">VLOOKUP($A191,'BC.115+740'!$B$13:$X$489,20,0)/1000</f>
        <v>1.8340000000000001</v>
      </c>
      <c r="K191" s="162">
        <f ca="1">VLOOKUP($A191,'BC.115+740'!$B$13:$X$489,21,0)/1000</f>
        <v>-0.16600000000000001</v>
      </c>
      <c r="L191" s="160">
        <f t="shared" ca="1" si="6"/>
        <v>-140</v>
      </c>
      <c r="M191" s="161">
        <f t="shared" ca="1" si="7"/>
        <v>-103.00000000000001</v>
      </c>
      <c r="N191" s="160">
        <f t="shared" ca="1" si="8"/>
        <v>-126</v>
      </c>
      <c r="O191" s="160"/>
    </row>
    <row r="192" spans="1:15" ht="15.6" customHeight="1">
      <c r="A192" s="164">
        <f>'BC.115+740'!B191</f>
        <v>45250</v>
      </c>
      <c r="B192" s="160">
        <v>178</v>
      </c>
      <c r="C192" s="162">
        <f ca="1">'BC.115+740'!M191/1000</f>
        <v>0.89700000000000002</v>
      </c>
      <c r="D192" s="162">
        <f ca="1">'BC.115+740'!AA191</f>
        <v>1.0069999999999999</v>
      </c>
      <c r="E192" s="163">
        <f ca="1">'BC.115+740'!AB191</f>
        <v>0.80400000000000005</v>
      </c>
      <c r="F192" s="162">
        <f ca="1">VLOOKUP($A192,'BC.115+740'!$B$13:$X$489,8,0)/1000</f>
        <v>1.9</v>
      </c>
      <c r="G192" s="162">
        <f ca="1">VLOOKUP($A192,'BC.115+740'!$B$13:$X$489,9,0)/1000</f>
        <v>-0.1</v>
      </c>
      <c r="H192" s="162">
        <f ca="1">VLOOKUP($A192,'BC.115+740'!$B$13:$X$489,14,0)/1000</f>
        <v>1.887</v>
      </c>
      <c r="I192" s="162">
        <f ca="1">VLOOKUP($A192,'BC.115+740'!$B$13:$X$489,15,0)/1000</f>
        <v>-0.113</v>
      </c>
      <c r="J192" s="162">
        <f ca="1">VLOOKUP($A192,'BC.115+740'!$B$13:$X$489,20,0)/1000</f>
        <v>1.8340000000000001</v>
      </c>
      <c r="K192" s="162">
        <f ca="1">VLOOKUP($A192,'BC.115+740'!$B$13:$X$489,21,0)/1000</f>
        <v>-0.16600000000000001</v>
      </c>
      <c r="L192" s="160">
        <f t="shared" ca="1" si="6"/>
        <v>-140</v>
      </c>
      <c r="M192" s="161">
        <f t="shared" ca="1" si="7"/>
        <v>-103.00000000000001</v>
      </c>
      <c r="N192" s="160">
        <f t="shared" ca="1" si="8"/>
        <v>-126</v>
      </c>
      <c r="O192" s="160"/>
    </row>
    <row r="193" spans="1:15" ht="15.6" customHeight="1">
      <c r="A193" s="164">
        <f>'BC.115+740'!B192</f>
        <v>45251</v>
      </c>
      <c r="B193" s="160">
        <v>179</v>
      </c>
      <c r="C193" s="162">
        <f ca="1">'BC.115+740'!M192/1000</f>
        <v>0.89700000000000002</v>
      </c>
      <c r="D193" s="162">
        <f ca="1">'BC.115+740'!AA192</f>
        <v>1.0069999999999999</v>
      </c>
      <c r="E193" s="163">
        <f ca="1">'BC.115+740'!AB192</f>
        <v>0.80400000000000005</v>
      </c>
      <c r="F193" s="162">
        <f ca="1">VLOOKUP($A193,'BC.115+740'!$B$13:$X$489,8,0)/1000</f>
        <v>1.9</v>
      </c>
      <c r="G193" s="162">
        <f ca="1">VLOOKUP($A193,'BC.115+740'!$B$13:$X$489,9,0)/1000</f>
        <v>-0.1</v>
      </c>
      <c r="H193" s="162">
        <f ca="1">VLOOKUP($A193,'BC.115+740'!$B$13:$X$489,14,0)/1000</f>
        <v>1.887</v>
      </c>
      <c r="I193" s="162">
        <f ca="1">VLOOKUP($A193,'BC.115+740'!$B$13:$X$489,15,0)/1000</f>
        <v>-0.113</v>
      </c>
      <c r="J193" s="162">
        <f ca="1">VLOOKUP($A193,'BC.115+740'!$B$13:$X$489,20,0)/1000</f>
        <v>1.8340000000000001</v>
      </c>
      <c r="K193" s="162">
        <f ca="1">VLOOKUP($A193,'BC.115+740'!$B$13:$X$489,21,0)/1000</f>
        <v>-0.16600000000000001</v>
      </c>
      <c r="L193" s="160">
        <f t="shared" ca="1" si="6"/>
        <v>-140</v>
      </c>
      <c r="M193" s="161">
        <f t="shared" ca="1" si="7"/>
        <v>-103.00000000000001</v>
      </c>
      <c r="N193" s="160">
        <f t="shared" ca="1" si="8"/>
        <v>-126</v>
      </c>
      <c r="O193" s="160"/>
    </row>
    <row r="194" spans="1:15" ht="15.6" customHeight="1">
      <c r="A194" s="164">
        <f>'BC.115+740'!B193</f>
        <v>45252</v>
      </c>
      <c r="B194" s="160">
        <v>180</v>
      </c>
      <c r="C194" s="162">
        <f ca="1">'BC.115+740'!M193/1000</f>
        <v>0.89700000000000002</v>
      </c>
      <c r="D194" s="162">
        <f ca="1">'BC.115+740'!AA193</f>
        <v>1.0069999999999999</v>
      </c>
      <c r="E194" s="163">
        <f ca="1">'BC.115+740'!AB193</f>
        <v>0.80400000000000005</v>
      </c>
      <c r="F194" s="162">
        <f ca="1">VLOOKUP($A194,'BC.115+740'!$B$13:$X$489,8,0)/1000</f>
        <v>1.9</v>
      </c>
      <c r="G194" s="162">
        <f ca="1">VLOOKUP($A194,'BC.115+740'!$B$13:$X$489,9,0)/1000</f>
        <v>-0.1</v>
      </c>
      <c r="H194" s="162">
        <f ca="1">VLOOKUP($A194,'BC.115+740'!$B$13:$X$489,14,0)/1000</f>
        <v>1.887</v>
      </c>
      <c r="I194" s="162">
        <f ca="1">VLOOKUP($A194,'BC.115+740'!$B$13:$X$489,15,0)/1000</f>
        <v>-0.113</v>
      </c>
      <c r="J194" s="162">
        <f ca="1">VLOOKUP($A194,'BC.115+740'!$B$13:$X$489,20,0)/1000</f>
        <v>1.8340000000000001</v>
      </c>
      <c r="K194" s="162">
        <f ca="1">VLOOKUP($A194,'BC.115+740'!$B$13:$X$489,21,0)/1000</f>
        <v>-0.16600000000000001</v>
      </c>
      <c r="L194" s="160">
        <f t="shared" ca="1" si="6"/>
        <v>-140</v>
      </c>
      <c r="M194" s="161">
        <f t="shared" ca="1" si="7"/>
        <v>-103.00000000000001</v>
      </c>
      <c r="N194" s="160">
        <f t="shared" ca="1" si="8"/>
        <v>-126</v>
      </c>
      <c r="O194" s="160"/>
    </row>
    <row r="195" spans="1:15" ht="15.6" customHeight="1">
      <c r="A195" s="164">
        <f>'BC.115+740'!B194</f>
        <v>45253</v>
      </c>
      <c r="B195" s="160">
        <v>181</v>
      </c>
      <c r="C195" s="162">
        <f ca="1">'BC.115+740'!M194/1000</f>
        <v>0.89700000000000002</v>
      </c>
      <c r="D195" s="162">
        <f ca="1">'BC.115+740'!AA194</f>
        <v>1.0069999999999999</v>
      </c>
      <c r="E195" s="163">
        <f ca="1">'BC.115+740'!AB194</f>
        <v>0.80400000000000005</v>
      </c>
      <c r="F195" s="162">
        <f ca="1">VLOOKUP($A195,'BC.115+740'!$B$13:$X$489,8,0)/1000</f>
        <v>1.9</v>
      </c>
      <c r="G195" s="162">
        <f ca="1">VLOOKUP($A195,'BC.115+740'!$B$13:$X$489,9,0)/1000</f>
        <v>-0.1</v>
      </c>
      <c r="H195" s="162">
        <f ca="1">VLOOKUP($A195,'BC.115+740'!$B$13:$X$489,14,0)/1000</f>
        <v>1.887</v>
      </c>
      <c r="I195" s="162">
        <f ca="1">VLOOKUP($A195,'BC.115+740'!$B$13:$X$489,15,0)/1000</f>
        <v>-0.113</v>
      </c>
      <c r="J195" s="162">
        <f ca="1">VLOOKUP($A195,'BC.115+740'!$B$13:$X$489,20,0)/1000</f>
        <v>1.8340000000000001</v>
      </c>
      <c r="K195" s="162">
        <f ca="1">VLOOKUP($A195,'BC.115+740'!$B$13:$X$489,21,0)/1000</f>
        <v>-0.16600000000000001</v>
      </c>
      <c r="L195" s="160">
        <f t="shared" ca="1" si="6"/>
        <v>-140</v>
      </c>
      <c r="M195" s="161">
        <f t="shared" ca="1" si="7"/>
        <v>-103.00000000000001</v>
      </c>
      <c r="N195" s="160">
        <f t="shared" ca="1" si="8"/>
        <v>-126</v>
      </c>
      <c r="O195" s="160"/>
    </row>
    <row r="196" spans="1:15" ht="15.6" customHeight="1">
      <c r="A196" s="164">
        <f>'BC.115+740'!B195</f>
        <v>45254</v>
      </c>
      <c r="B196" s="160">
        <v>182</v>
      </c>
      <c r="C196" s="162">
        <f ca="1">'BC.115+740'!M195/1000</f>
        <v>0.89700000000000002</v>
      </c>
      <c r="D196" s="162">
        <f ca="1">'BC.115+740'!AA195</f>
        <v>1.0069999999999999</v>
      </c>
      <c r="E196" s="163">
        <f ca="1">'BC.115+740'!AB195</f>
        <v>0.80400000000000005</v>
      </c>
      <c r="F196" s="162">
        <f ca="1">VLOOKUP($A196,'BC.115+740'!$B$13:$X$489,8,0)/1000</f>
        <v>1.9</v>
      </c>
      <c r="G196" s="162">
        <f ca="1">VLOOKUP($A196,'BC.115+740'!$B$13:$X$489,9,0)/1000</f>
        <v>-0.1</v>
      </c>
      <c r="H196" s="162">
        <f ca="1">VLOOKUP($A196,'BC.115+740'!$B$13:$X$489,14,0)/1000</f>
        <v>1.887</v>
      </c>
      <c r="I196" s="162">
        <f ca="1">VLOOKUP($A196,'BC.115+740'!$B$13:$X$489,15,0)/1000</f>
        <v>-0.113</v>
      </c>
      <c r="J196" s="162">
        <f ca="1">VLOOKUP($A196,'BC.115+740'!$B$13:$X$489,20,0)/1000</f>
        <v>1.8340000000000001</v>
      </c>
      <c r="K196" s="162">
        <f ca="1">VLOOKUP($A196,'BC.115+740'!$B$13:$X$489,21,0)/1000</f>
        <v>-0.16600000000000001</v>
      </c>
      <c r="L196" s="160">
        <f t="shared" ca="1" si="6"/>
        <v>-140</v>
      </c>
      <c r="M196" s="161">
        <f t="shared" ca="1" si="7"/>
        <v>-103.00000000000001</v>
      </c>
      <c r="N196" s="160">
        <f t="shared" ca="1" si="8"/>
        <v>-126</v>
      </c>
      <c r="O196" s="160"/>
    </row>
    <row r="197" spans="1:15" ht="15.6" customHeight="1">
      <c r="A197" s="164">
        <f>'BC.115+740'!B196</f>
        <v>45255</v>
      </c>
      <c r="B197" s="160">
        <v>183</v>
      </c>
      <c r="C197" s="162">
        <f ca="1">'BC.115+740'!M196/1000</f>
        <v>0.89700000000000002</v>
      </c>
      <c r="D197" s="162">
        <f ca="1">'BC.115+740'!AA196</f>
        <v>1.0069999999999999</v>
      </c>
      <c r="E197" s="163">
        <f ca="1">'BC.115+740'!AB196</f>
        <v>0.80400000000000005</v>
      </c>
      <c r="F197" s="162">
        <f ca="1">VLOOKUP($A197,'BC.115+740'!$B$13:$X$489,8,0)/1000</f>
        <v>1.9</v>
      </c>
      <c r="G197" s="162">
        <f ca="1">VLOOKUP($A197,'BC.115+740'!$B$13:$X$489,9,0)/1000</f>
        <v>-0.1</v>
      </c>
      <c r="H197" s="162">
        <f ca="1">VLOOKUP($A197,'BC.115+740'!$B$13:$X$489,14,0)/1000</f>
        <v>1.887</v>
      </c>
      <c r="I197" s="162">
        <f ca="1">VLOOKUP($A197,'BC.115+740'!$B$13:$X$489,15,0)/1000</f>
        <v>-0.113</v>
      </c>
      <c r="J197" s="162">
        <f ca="1">VLOOKUP($A197,'BC.115+740'!$B$13:$X$489,20,0)/1000</f>
        <v>1.8340000000000001</v>
      </c>
      <c r="K197" s="162">
        <f ca="1">VLOOKUP($A197,'BC.115+740'!$B$13:$X$489,21,0)/1000</f>
        <v>-0.16600000000000001</v>
      </c>
      <c r="L197" s="160">
        <f t="shared" ca="1" si="6"/>
        <v>-140</v>
      </c>
      <c r="M197" s="161">
        <f t="shared" ca="1" si="7"/>
        <v>-103.00000000000001</v>
      </c>
      <c r="N197" s="160">
        <f t="shared" ca="1" si="8"/>
        <v>-126</v>
      </c>
      <c r="O197" s="160"/>
    </row>
    <row r="198" spans="1:15" ht="15.6" customHeight="1">
      <c r="A198" s="164">
        <f>'BC.115+740'!B197</f>
        <v>45256</v>
      </c>
      <c r="B198" s="160">
        <v>184</v>
      </c>
      <c r="C198" s="162">
        <f ca="1">'BC.115+740'!M197/1000</f>
        <v>0.89700000000000002</v>
      </c>
      <c r="D198" s="162">
        <f ca="1">'BC.115+740'!AA197</f>
        <v>1.0069999999999999</v>
      </c>
      <c r="E198" s="163">
        <f ca="1">'BC.115+740'!AB197</f>
        <v>0.80400000000000005</v>
      </c>
      <c r="F198" s="162">
        <f ca="1">VLOOKUP($A198,'BC.115+740'!$B$13:$X$489,8,0)/1000</f>
        <v>1.9</v>
      </c>
      <c r="G198" s="162">
        <f ca="1">VLOOKUP($A198,'BC.115+740'!$B$13:$X$489,9,0)/1000</f>
        <v>-0.1</v>
      </c>
      <c r="H198" s="162">
        <f ca="1">VLOOKUP($A198,'BC.115+740'!$B$13:$X$489,14,0)/1000</f>
        <v>1.887</v>
      </c>
      <c r="I198" s="162">
        <f ca="1">VLOOKUP($A198,'BC.115+740'!$B$13:$X$489,15,0)/1000</f>
        <v>-0.113</v>
      </c>
      <c r="J198" s="162">
        <f ca="1">VLOOKUP($A198,'BC.115+740'!$B$13:$X$489,20,0)/1000</f>
        <v>1.8340000000000001</v>
      </c>
      <c r="K198" s="162">
        <f ca="1">VLOOKUP($A198,'BC.115+740'!$B$13:$X$489,21,0)/1000</f>
        <v>-0.16600000000000001</v>
      </c>
      <c r="L198" s="160">
        <f t="shared" ca="1" si="6"/>
        <v>-140</v>
      </c>
      <c r="M198" s="161">
        <f t="shared" ca="1" si="7"/>
        <v>-103.00000000000001</v>
      </c>
      <c r="N198" s="160">
        <f t="shared" ca="1" si="8"/>
        <v>-126</v>
      </c>
      <c r="O198" s="160"/>
    </row>
    <row r="199" spans="1:15" ht="15.6" customHeight="1">
      <c r="A199" s="164">
        <f>'BC.115+740'!B198</f>
        <v>45257</v>
      </c>
      <c r="B199" s="160">
        <v>185</v>
      </c>
      <c r="C199" s="162">
        <f ca="1">'BC.115+740'!M198/1000</f>
        <v>0.89700000000000002</v>
      </c>
      <c r="D199" s="162">
        <f ca="1">'BC.115+740'!AA198</f>
        <v>1.0069999999999999</v>
      </c>
      <c r="E199" s="163">
        <f ca="1">'BC.115+740'!AB198</f>
        <v>0.80400000000000005</v>
      </c>
      <c r="F199" s="162">
        <f ca="1">VLOOKUP($A199,'BC.115+740'!$B$13:$X$489,8,0)/1000</f>
        <v>1.9</v>
      </c>
      <c r="G199" s="162">
        <f ca="1">VLOOKUP($A199,'BC.115+740'!$B$13:$X$489,9,0)/1000</f>
        <v>-0.1</v>
      </c>
      <c r="H199" s="162">
        <f ca="1">VLOOKUP($A199,'BC.115+740'!$B$13:$X$489,14,0)/1000</f>
        <v>1.887</v>
      </c>
      <c r="I199" s="162">
        <f ca="1">VLOOKUP($A199,'BC.115+740'!$B$13:$X$489,15,0)/1000</f>
        <v>-0.113</v>
      </c>
      <c r="J199" s="162">
        <f ca="1">VLOOKUP($A199,'BC.115+740'!$B$13:$X$489,20,0)/1000</f>
        <v>1.8340000000000001</v>
      </c>
      <c r="K199" s="162">
        <f ca="1">VLOOKUP($A199,'BC.115+740'!$B$13:$X$489,21,0)/1000</f>
        <v>-0.16600000000000001</v>
      </c>
      <c r="L199" s="160">
        <f t="shared" ca="1" si="6"/>
        <v>-140</v>
      </c>
      <c r="M199" s="161">
        <f t="shared" ca="1" si="7"/>
        <v>-103.00000000000001</v>
      </c>
      <c r="N199" s="160">
        <f t="shared" ca="1" si="8"/>
        <v>-126</v>
      </c>
      <c r="O199" s="160"/>
    </row>
    <row r="200" spans="1:15" ht="15.6" customHeight="1">
      <c r="A200" s="164">
        <f>'BC.115+740'!B199</f>
        <v>45258</v>
      </c>
      <c r="B200" s="160">
        <v>186</v>
      </c>
      <c r="C200" s="162">
        <f ca="1">'BC.115+740'!M199/1000</f>
        <v>0.89700000000000002</v>
      </c>
      <c r="D200" s="162">
        <f ca="1">'BC.115+740'!AA199</f>
        <v>1.0069999999999999</v>
      </c>
      <c r="E200" s="163">
        <f ca="1">'BC.115+740'!AB199</f>
        <v>0.80400000000000005</v>
      </c>
      <c r="F200" s="162">
        <f ca="1">VLOOKUP($A200,'BC.115+740'!$B$13:$X$489,8,0)/1000</f>
        <v>1.9</v>
      </c>
      <c r="G200" s="162">
        <f ca="1">VLOOKUP($A200,'BC.115+740'!$B$13:$X$489,9,0)/1000</f>
        <v>-0.1</v>
      </c>
      <c r="H200" s="162">
        <f ca="1">VLOOKUP($A200,'BC.115+740'!$B$13:$X$489,14,0)/1000</f>
        <v>1.887</v>
      </c>
      <c r="I200" s="162">
        <f ca="1">VLOOKUP($A200,'BC.115+740'!$B$13:$X$489,15,0)/1000</f>
        <v>-0.113</v>
      </c>
      <c r="J200" s="162">
        <f ca="1">VLOOKUP($A200,'BC.115+740'!$B$13:$X$489,20,0)/1000</f>
        <v>1.8340000000000001</v>
      </c>
      <c r="K200" s="162">
        <f ca="1">VLOOKUP($A200,'BC.115+740'!$B$13:$X$489,21,0)/1000</f>
        <v>-0.16600000000000001</v>
      </c>
      <c r="L200" s="160">
        <f t="shared" ca="1" si="6"/>
        <v>-140</v>
      </c>
      <c r="M200" s="161">
        <f t="shared" ca="1" si="7"/>
        <v>-103.00000000000001</v>
      </c>
      <c r="N200" s="160">
        <f t="shared" ca="1" si="8"/>
        <v>-126</v>
      </c>
      <c r="O200" s="160"/>
    </row>
    <row r="201" spans="1:15">
      <c r="A201" s="164">
        <f>'BC.115+740'!B200</f>
        <v>45259</v>
      </c>
      <c r="B201" s="160">
        <v>187</v>
      </c>
      <c r="C201" s="162">
        <f ca="1">'BC.115+740'!M200/1000</f>
        <v>0.89700000000000002</v>
      </c>
      <c r="D201" s="162">
        <f ca="1">'BC.115+740'!AA200</f>
        <v>1.0069999999999999</v>
      </c>
      <c r="E201" s="163">
        <f ca="1">'BC.115+740'!AB200</f>
        <v>0.80400000000000005</v>
      </c>
      <c r="F201" s="162">
        <f ca="1">VLOOKUP($A201,'BC.115+740'!$B$13:$X$489,8,0)/1000</f>
        <v>1.9</v>
      </c>
      <c r="G201" s="162">
        <f ca="1">VLOOKUP($A201,'BC.115+740'!$B$13:$X$489,9,0)/1000</f>
        <v>-0.1</v>
      </c>
      <c r="H201" s="162">
        <f ca="1">VLOOKUP($A201,'BC.115+740'!$B$13:$X$489,14,0)/1000</f>
        <v>1.887</v>
      </c>
      <c r="I201" s="162">
        <f ca="1">VLOOKUP($A201,'BC.115+740'!$B$13:$X$489,15,0)/1000</f>
        <v>-0.113</v>
      </c>
      <c r="J201" s="162">
        <f ca="1">VLOOKUP($A201,'BC.115+740'!$B$13:$X$489,20,0)/1000</f>
        <v>1.8340000000000001</v>
      </c>
      <c r="K201" s="162">
        <f ca="1">VLOOKUP($A201,'BC.115+740'!$B$13:$X$489,21,0)/1000</f>
        <v>-0.16600000000000001</v>
      </c>
      <c r="L201" s="160">
        <f t="shared" ca="1" si="6"/>
        <v>-140</v>
      </c>
      <c r="M201" s="161">
        <f t="shared" ca="1" si="7"/>
        <v>-103.00000000000001</v>
      </c>
      <c r="N201" s="160">
        <f t="shared" ca="1" si="8"/>
        <v>-126</v>
      </c>
      <c r="O201" s="160"/>
    </row>
    <row r="202" spans="1:15">
      <c r="A202" s="164">
        <f>'BC.115+740'!B201</f>
        <v>45260</v>
      </c>
      <c r="B202" s="160">
        <v>188</v>
      </c>
      <c r="C202" s="162">
        <f ca="1">'BC.115+740'!M201/1000</f>
        <v>0.89700000000000002</v>
      </c>
      <c r="D202" s="162">
        <f ca="1">'BC.115+740'!AA201</f>
        <v>1.0069999999999999</v>
      </c>
      <c r="E202" s="163">
        <f ca="1">'BC.115+740'!AB201</f>
        <v>0.80400000000000005</v>
      </c>
      <c r="F202" s="162">
        <f ca="1">VLOOKUP($A202,'BC.115+740'!$B$13:$X$489,8,0)/1000</f>
        <v>1.9</v>
      </c>
      <c r="G202" s="162">
        <f ca="1">VLOOKUP($A202,'BC.115+740'!$B$13:$X$489,9,0)/1000</f>
        <v>-0.1</v>
      </c>
      <c r="H202" s="162">
        <f ca="1">VLOOKUP($A202,'BC.115+740'!$B$13:$X$489,14,0)/1000</f>
        <v>1.887</v>
      </c>
      <c r="I202" s="162">
        <f ca="1">VLOOKUP($A202,'BC.115+740'!$B$13:$X$489,15,0)/1000</f>
        <v>-0.113</v>
      </c>
      <c r="J202" s="162">
        <f ca="1">VLOOKUP($A202,'BC.115+740'!$B$13:$X$489,20,0)/1000</f>
        <v>1.8340000000000001</v>
      </c>
      <c r="K202" s="162">
        <f ca="1">VLOOKUP($A202,'BC.115+740'!$B$13:$X$489,21,0)/1000</f>
        <v>-0.16600000000000001</v>
      </c>
      <c r="L202" s="160">
        <f t="shared" ca="1" si="6"/>
        <v>-140</v>
      </c>
      <c r="M202" s="161">
        <f t="shared" ca="1" si="7"/>
        <v>-103.00000000000001</v>
      </c>
      <c r="N202" s="160">
        <f t="shared" ca="1" si="8"/>
        <v>-126</v>
      </c>
      <c r="O202" s="160"/>
    </row>
    <row r="203" spans="1:15">
      <c r="A203" s="164">
        <f>'BC.115+740'!B202</f>
        <v>45261</v>
      </c>
      <c r="B203" s="160">
        <v>189</v>
      </c>
      <c r="C203" s="162">
        <f ca="1">'BC.115+740'!M202/1000</f>
        <v>0.89700000000000002</v>
      </c>
      <c r="D203" s="162">
        <f ca="1">'BC.115+740'!AA202</f>
        <v>1.0069999999999999</v>
      </c>
      <c r="E203" s="163">
        <f ca="1">'BC.115+740'!AB202</f>
        <v>0.80400000000000005</v>
      </c>
      <c r="F203" s="162">
        <f ca="1">VLOOKUP($A203,'BC.115+740'!$B$13:$X$489,8,0)/1000</f>
        <v>1.9</v>
      </c>
      <c r="G203" s="162">
        <f ca="1">VLOOKUP($A203,'BC.115+740'!$B$13:$X$489,9,0)/1000</f>
        <v>-0.1</v>
      </c>
      <c r="H203" s="162">
        <f ca="1">VLOOKUP($A203,'BC.115+740'!$B$13:$X$489,14,0)/1000</f>
        <v>1.887</v>
      </c>
      <c r="I203" s="162">
        <f ca="1">VLOOKUP($A203,'BC.115+740'!$B$13:$X$489,15,0)/1000</f>
        <v>-0.113</v>
      </c>
      <c r="J203" s="162">
        <f ca="1">VLOOKUP($A203,'BC.115+740'!$B$13:$X$489,20,0)/1000</f>
        <v>1.8340000000000001</v>
      </c>
      <c r="K203" s="162">
        <f ca="1">VLOOKUP($A203,'BC.115+740'!$B$13:$X$489,21,0)/1000</f>
        <v>-0.16600000000000001</v>
      </c>
      <c r="L203" s="160">
        <f t="shared" ca="1" si="6"/>
        <v>-140</v>
      </c>
      <c r="M203" s="161">
        <f t="shared" ca="1" si="7"/>
        <v>-103.00000000000001</v>
      </c>
      <c r="N203" s="160">
        <f t="shared" ca="1" si="8"/>
        <v>-126</v>
      </c>
      <c r="O203" s="160"/>
    </row>
    <row r="204" spans="1:15">
      <c r="A204" s="164">
        <f>'BC.115+740'!B203</f>
        <v>45262</v>
      </c>
      <c r="B204" s="160">
        <v>190</v>
      </c>
      <c r="C204" s="162">
        <f ca="1">'BC.115+740'!M203/1000</f>
        <v>0.89700000000000002</v>
      </c>
      <c r="D204" s="162">
        <f ca="1">'BC.115+740'!AA203</f>
        <v>1.0069999999999999</v>
      </c>
      <c r="E204" s="163">
        <f ca="1">'BC.115+740'!AB203</f>
        <v>0.80400000000000005</v>
      </c>
      <c r="F204" s="162">
        <f ca="1">VLOOKUP($A204,'BC.115+740'!$B$13:$X$489,8,0)/1000</f>
        <v>1.9</v>
      </c>
      <c r="G204" s="162">
        <f ca="1">VLOOKUP($A204,'BC.115+740'!$B$13:$X$489,9,0)/1000</f>
        <v>-0.1</v>
      </c>
      <c r="H204" s="162">
        <f ca="1">VLOOKUP($A204,'BC.115+740'!$B$13:$X$489,14,0)/1000</f>
        <v>1.887</v>
      </c>
      <c r="I204" s="162">
        <f ca="1">VLOOKUP($A204,'BC.115+740'!$B$13:$X$489,15,0)/1000</f>
        <v>-0.113</v>
      </c>
      <c r="J204" s="162">
        <f ca="1">VLOOKUP($A204,'BC.115+740'!$B$13:$X$489,20,0)/1000</f>
        <v>1.8340000000000001</v>
      </c>
      <c r="K204" s="162">
        <f ca="1">VLOOKUP($A204,'BC.115+740'!$B$13:$X$489,21,0)/1000</f>
        <v>-0.16600000000000001</v>
      </c>
      <c r="L204" s="160">
        <f t="shared" ca="1" si="6"/>
        <v>-140</v>
      </c>
      <c r="M204" s="161">
        <f t="shared" ca="1" si="7"/>
        <v>-103.00000000000001</v>
      </c>
      <c r="N204" s="160">
        <f t="shared" ca="1" si="8"/>
        <v>-126</v>
      </c>
      <c r="O204" s="160"/>
    </row>
    <row r="205" spans="1:15">
      <c r="A205" s="164">
        <f>'BC.115+740'!B204</f>
        <v>45263</v>
      </c>
      <c r="B205" s="160">
        <v>191</v>
      </c>
      <c r="C205" s="162">
        <f ca="1">'BC.115+740'!M204/1000</f>
        <v>0.89700000000000002</v>
      </c>
      <c r="D205" s="162">
        <f ca="1">'BC.115+740'!AA204</f>
        <v>1.0069999999999999</v>
      </c>
      <c r="E205" s="163">
        <f ca="1">'BC.115+740'!AB204</f>
        <v>0.80400000000000005</v>
      </c>
      <c r="F205" s="162">
        <f ca="1">VLOOKUP($A205,'BC.115+740'!$B$13:$X$489,8,0)/1000</f>
        <v>1.9</v>
      </c>
      <c r="G205" s="162">
        <f ca="1">VLOOKUP($A205,'BC.115+740'!$B$13:$X$489,9,0)/1000</f>
        <v>-0.1</v>
      </c>
      <c r="H205" s="162">
        <f ca="1">VLOOKUP($A205,'BC.115+740'!$B$13:$X$489,14,0)/1000</f>
        <v>1.887</v>
      </c>
      <c r="I205" s="162">
        <f ca="1">VLOOKUP($A205,'BC.115+740'!$B$13:$X$489,15,0)/1000</f>
        <v>-0.113</v>
      </c>
      <c r="J205" s="162">
        <f ca="1">VLOOKUP($A205,'BC.115+740'!$B$13:$X$489,20,0)/1000</f>
        <v>1.8340000000000001</v>
      </c>
      <c r="K205" s="162">
        <f ca="1">VLOOKUP($A205,'BC.115+740'!$B$13:$X$489,21,0)/1000</f>
        <v>-0.16600000000000001</v>
      </c>
      <c r="L205" s="160">
        <f t="shared" ca="1" si="6"/>
        <v>-140</v>
      </c>
      <c r="M205" s="161">
        <f t="shared" ca="1" si="7"/>
        <v>-103.00000000000001</v>
      </c>
      <c r="N205" s="160">
        <f t="shared" ca="1" si="8"/>
        <v>-126</v>
      </c>
      <c r="O205" s="160"/>
    </row>
    <row r="206" spans="1:15">
      <c r="A206" s="164">
        <f>'BC.115+740'!B205</f>
        <v>45264</v>
      </c>
      <c r="B206" s="160">
        <v>192</v>
      </c>
      <c r="C206" s="162">
        <f ca="1">'BC.115+740'!M205/1000</f>
        <v>0.89700000000000002</v>
      </c>
      <c r="D206" s="162">
        <f ca="1">'BC.115+740'!AA205</f>
        <v>1.0069999999999999</v>
      </c>
      <c r="E206" s="163">
        <f ca="1">'BC.115+740'!AB205</f>
        <v>0.80400000000000005</v>
      </c>
      <c r="F206" s="162">
        <f ca="1">VLOOKUP($A206,'BC.115+740'!$B$13:$X$489,8,0)/1000</f>
        <v>1.9</v>
      </c>
      <c r="G206" s="162">
        <f ca="1">VLOOKUP($A206,'BC.115+740'!$B$13:$X$489,9,0)/1000</f>
        <v>-0.1</v>
      </c>
      <c r="H206" s="162">
        <f ca="1">VLOOKUP($A206,'BC.115+740'!$B$13:$X$489,14,0)/1000</f>
        <v>1.887</v>
      </c>
      <c r="I206" s="162">
        <f ca="1">VLOOKUP($A206,'BC.115+740'!$B$13:$X$489,15,0)/1000</f>
        <v>-0.113</v>
      </c>
      <c r="J206" s="162">
        <f ca="1">VLOOKUP($A206,'BC.115+740'!$B$13:$X$489,20,0)/1000</f>
        <v>1.8340000000000001</v>
      </c>
      <c r="K206" s="162">
        <f ca="1">VLOOKUP($A206,'BC.115+740'!$B$13:$X$489,21,0)/1000</f>
        <v>-0.16600000000000001</v>
      </c>
      <c r="L206" s="160">
        <f t="shared" ref="L206:L269" ca="1" si="9">(G206-$G$14)*1000</f>
        <v>-140</v>
      </c>
      <c r="M206" s="161">
        <f t="shared" ref="M206:M269" ca="1" si="10">(I206-$I$14)*1000</f>
        <v>-103.00000000000001</v>
      </c>
      <c r="N206" s="160">
        <f t="shared" ca="1" si="8"/>
        <v>-126</v>
      </c>
      <c r="O206" s="160"/>
    </row>
    <row r="207" spans="1:15">
      <c r="A207" s="164">
        <f>'BC.115+740'!B206</f>
        <v>45265</v>
      </c>
      <c r="B207" s="160">
        <v>193</v>
      </c>
      <c r="C207" s="162">
        <f ca="1">'BC.115+740'!M206/1000</f>
        <v>0.89700000000000002</v>
      </c>
      <c r="D207" s="162">
        <f ca="1">'BC.115+740'!AA206</f>
        <v>1.0069999999999999</v>
      </c>
      <c r="E207" s="163">
        <f ca="1">'BC.115+740'!AB206</f>
        <v>0.80400000000000005</v>
      </c>
      <c r="F207" s="162">
        <f ca="1">VLOOKUP($A207,'BC.115+740'!$B$13:$X$489,8,0)/1000</f>
        <v>1.9</v>
      </c>
      <c r="G207" s="162">
        <f ca="1">VLOOKUP($A207,'BC.115+740'!$B$13:$X$489,9,0)/1000</f>
        <v>-0.1</v>
      </c>
      <c r="H207" s="162">
        <f ca="1">VLOOKUP($A207,'BC.115+740'!$B$13:$X$489,14,0)/1000</f>
        <v>1.887</v>
      </c>
      <c r="I207" s="162">
        <f ca="1">VLOOKUP($A207,'BC.115+740'!$B$13:$X$489,15,0)/1000</f>
        <v>-0.113</v>
      </c>
      <c r="J207" s="162">
        <f ca="1">VLOOKUP($A207,'BC.115+740'!$B$13:$X$489,20,0)/1000</f>
        <v>1.8340000000000001</v>
      </c>
      <c r="K207" s="162">
        <f ca="1">VLOOKUP($A207,'BC.115+740'!$B$13:$X$489,21,0)/1000</f>
        <v>-0.16600000000000001</v>
      </c>
      <c r="L207" s="160">
        <f t="shared" ca="1" si="9"/>
        <v>-140</v>
      </c>
      <c r="M207" s="161">
        <f t="shared" ca="1" si="10"/>
        <v>-103.00000000000001</v>
      </c>
      <c r="N207" s="160">
        <f t="shared" ref="N207:N270" ca="1" si="11">(K207-$K$14)*1000</f>
        <v>-126</v>
      </c>
      <c r="O207" s="160"/>
    </row>
    <row r="208" spans="1:15">
      <c r="A208" s="164">
        <f>'BC.115+740'!B207</f>
        <v>45266</v>
      </c>
      <c r="B208" s="160">
        <v>194</v>
      </c>
      <c r="C208" s="162">
        <f ca="1">'BC.115+740'!M207/1000</f>
        <v>0.89700000000000002</v>
      </c>
      <c r="D208" s="162">
        <f ca="1">'BC.115+740'!AA207</f>
        <v>1.0069999999999999</v>
      </c>
      <c r="E208" s="163">
        <f ca="1">'BC.115+740'!AB207</f>
        <v>0.80400000000000005</v>
      </c>
      <c r="F208" s="162">
        <f ca="1">VLOOKUP($A208,'BC.115+740'!$B$13:$X$489,8,0)/1000</f>
        <v>1.9</v>
      </c>
      <c r="G208" s="162">
        <f ca="1">VLOOKUP($A208,'BC.115+740'!$B$13:$X$489,9,0)/1000</f>
        <v>-0.1</v>
      </c>
      <c r="H208" s="162">
        <f ca="1">VLOOKUP($A208,'BC.115+740'!$B$13:$X$489,14,0)/1000</f>
        <v>1.887</v>
      </c>
      <c r="I208" s="162">
        <f ca="1">VLOOKUP($A208,'BC.115+740'!$B$13:$X$489,15,0)/1000</f>
        <v>-0.113</v>
      </c>
      <c r="J208" s="162">
        <f ca="1">VLOOKUP($A208,'BC.115+740'!$B$13:$X$489,20,0)/1000</f>
        <v>1.8340000000000001</v>
      </c>
      <c r="K208" s="162">
        <f ca="1">VLOOKUP($A208,'BC.115+740'!$B$13:$X$489,21,0)/1000</f>
        <v>-0.16600000000000001</v>
      </c>
      <c r="L208" s="160">
        <f t="shared" ca="1" si="9"/>
        <v>-140</v>
      </c>
      <c r="M208" s="161">
        <f t="shared" ca="1" si="10"/>
        <v>-103.00000000000001</v>
      </c>
      <c r="N208" s="160">
        <f t="shared" ca="1" si="11"/>
        <v>-126</v>
      </c>
      <c r="O208" s="160"/>
    </row>
    <row r="209" spans="1:15">
      <c r="A209" s="164">
        <f>'BC.115+740'!B208</f>
        <v>45267</v>
      </c>
      <c r="B209" s="160">
        <v>195</v>
      </c>
      <c r="C209" s="162">
        <f ca="1">'BC.115+740'!M208/1000</f>
        <v>0.89700000000000002</v>
      </c>
      <c r="D209" s="162">
        <f ca="1">'BC.115+740'!AA208</f>
        <v>1.0069999999999999</v>
      </c>
      <c r="E209" s="163">
        <f ca="1">'BC.115+740'!AB208</f>
        <v>0.80400000000000005</v>
      </c>
      <c r="F209" s="162">
        <f ca="1">VLOOKUP($A209,'BC.115+740'!$B$13:$X$489,8,0)/1000</f>
        <v>1.9</v>
      </c>
      <c r="G209" s="162">
        <f ca="1">VLOOKUP($A209,'BC.115+740'!$B$13:$X$489,9,0)/1000</f>
        <v>-0.1</v>
      </c>
      <c r="H209" s="162">
        <f ca="1">VLOOKUP($A209,'BC.115+740'!$B$13:$X$489,14,0)/1000</f>
        <v>1.887</v>
      </c>
      <c r="I209" s="162">
        <f ca="1">VLOOKUP($A209,'BC.115+740'!$B$13:$X$489,15,0)/1000</f>
        <v>-0.113</v>
      </c>
      <c r="J209" s="162">
        <f ca="1">VLOOKUP($A209,'BC.115+740'!$B$13:$X$489,20,0)/1000</f>
        <v>1.8340000000000001</v>
      </c>
      <c r="K209" s="162">
        <f ca="1">VLOOKUP($A209,'BC.115+740'!$B$13:$X$489,21,0)/1000</f>
        <v>-0.16600000000000001</v>
      </c>
      <c r="L209" s="160">
        <f t="shared" ca="1" si="9"/>
        <v>-140</v>
      </c>
      <c r="M209" s="161">
        <f t="shared" ca="1" si="10"/>
        <v>-103.00000000000001</v>
      </c>
      <c r="N209" s="160">
        <f t="shared" ca="1" si="11"/>
        <v>-126</v>
      </c>
      <c r="O209" s="160"/>
    </row>
    <row r="210" spans="1:15">
      <c r="A210" s="164">
        <f>'BC.115+740'!B209</f>
        <v>45268</v>
      </c>
      <c r="B210" s="160">
        <v>196</v>
      </c>
      <c r="C210" s="162">
        <f ca="1">'BC.115+740'!M209/1000</f>
        <v>0.89700000000000002</v>
      </c>
      <c r="D210" s="162">
        <f ca="1">'BC.115+740'!AA209</f>
        <v>1.0069999999999999</v>
      </c>
      <c r="E210" s="163">
        <f ca="1">'BC.115+740'!AB209</f>
        <v>0.80400000000000005</v>
      </c>
      <c r="F210" s="162">
        <f ca="1">VLOOKUP($A210,'BC.115+740'!$B$13:$X$489,8,0)/1000</f>
        <v>1.9</v>
      </c>
      <c r="G210" s="162">
        <f ca="1">VLOOKUP($A210,'BC.115+740'!$B$13:$X$489,9,0)/1000</f>
        <v>-0.1</v>
      </c>
      <c r="H210" s="162">
        <f ca="1">VLOOKUP($A210,'BC.115+740'!$B$13:$X$489,14,0)/1000</f>
        <v>1.887</v>
      </c>
      <c r="I210" s="162">
        <f ca="1">VLOOKUP($A210,'BC.115+740'!$B$13:$X$489,15,0)/1000</f>
        <v>-0.113</v>
      </c>
      <c r="J210" s="162">
        <f ca="1">VLOOKUP($A210,'BC.115+740'!$B$13:$X$489,20,0)/1000</f>
        <v>1.8340000000000001</v>
      </c>
      <c r="K210" s="162">
        <f ca="1">VLOOKUP($A210,'BC.115+740'!$B$13:$X$489,21,0)/1000</f>
        <v>-0.16600000000000001</v>
      </c>
      <c r="L210" s="160">
        <f t="shared" ca="1" si="9"/>
        <v>-140</v>
      </c>
      <c r="M210" s="161">
        <f t="shared" ca="1" si="10"/>
        <v>-103.00000000000001</v>
      </c>
      <c r="N210" s="160">
        <f t="shared" ca="1" si="11"/>
        <v>-126</v>
      </c>
      <c r="O210" s="160"/>
    </row>
    <row r="211" spans="1:15">
      <c r="A211" s="164">
        <f>'BC.115+740'!B210</f>
        <v>45269</v>
      </c>
      <c r="B211" s="160">
        <v>197</v>
      </c>
      <c r="C211" s="162">
        <f ca="1">'BC.115+740'!M210/1000</f>
        <v>0.89700000000000002</v>
      </c>
      <c r="D211" s="162">
        <f ca="1">'BC.115+740'!AA210</f>
        <v>1.0069999999999999</v>
      </c>
      <c r="E211" s="163">
        <f ca="1">'BC.115+740'!AB210</f>
        <v>0.80400000000000005</v>
      </c>
      <c r="F211" s="162">
        <f ca="1">VLOOKUP($A211,'BC.115+740'!$B$13:$X$489,8,0)/1000</f>
        <v>1.9</v>
      </c>
      <c r="G211" s="162">
        <f ca="1">VLOOKUP($A211,'BC.115+740'!$B$13:$X$489,9,0)/1000</f>
        <v>-0.1</v>
      </c>
      <c r="H211" s="162">
        <f ca="1">VLOOKUP($A211,'BC.115+740'!$B$13:$X$489,14,0)/1000</f>
        <v>1.887</v>
      </c>
      <c r="I211" s="162">
        <f ca="1">VLOOKUP($A211,'BC.115+740'!$B$13:$X$489,15,0)/1000</f>
        <v>-0.113</v>
      </c>
      <c r="J211" s="162">
        <f ca="1">VLOOKUP($A211,'BC.115+740'!$B$13:$X$489,20,0)/1000</f>
        <v>1.8340000000000001</v>
      </c>
      <c r="K211" s="162">
        <f ca="1">VLOOKUP($A211,'BC.115+740'!$B$13:$X$489,21,0)/1000</f>
        <v>-0.16600000000000001</v>
      </c>
      <c r="L211" s="160">
        <f t="shared" ca="1" si="9"/>
        <v>-140</v>
      </c>
      <c r="M211" s="161">
        <f t="shared" ca="1" si="10"/>
        <v>-103.00000000000001</v>
      </c>
      <c r="N211" s="160">
        <f t="shared" ca="1" si="11"/>
        <v>-126</v>
      </c>
      <c r="O211" s="160"/>
    </row>
    <row r="212" spans="1:15">
      <c r="A212" s="164">
        <f>'BC.115+740'!B211</f>
        <v>45270</v>
      </c>
      <c r="B212" s="160">
        <v>198</v>
      </c>
      <c r="C212" s="162">
        <f ca="1">'BC.115+740'!M211/1000</f>
        <v>0.89700000000000002</v>
      </c>
      <c r="D212" s="162">
        <f ca="1">'BC.115+740'!AA211</f>
        <v>1.0069999999999999</v>
      </c>
      <c r="E212" s="163">
        <f ca="1">'BC.115+740'!AB211</f>
        <v>0.80400000000000005</v>
      </c>
      <c r="F212" s="162">
        <f ca="1">VLOOKUP($A212,'BC.115+740'!$B$13:$X$489,8,0)/1000</f>
        <v>1.9</v>
      </c>
      <c r="G212" s="162">
        <f ca="1">VLOOKUP($A212,'BC.115+740'!$B$13:$X$489,9,0)/1000</f>
        <v>-0.1</v>
      </c>
      <c r="H212" s="162">
        <f ca="1">VLOOKUP($A212,'BC.115+740'!$B$13:$X$489,14,0)/1000</f>
        <v>1.887</v>
      </c>
      <c r="I212" s="162">
        <f ca="1">VLOOKUP($A212,'BC.115+740'!$B$13:$X$489,15,0)/1000</f>
        <v>-0.113</v>
      </c>
      <c r="J212" s="162">
        <f ca="1">VLOOKUP($A212,'BC.115+740'!$B$13:$X$489,20,0)/1000</f>
        <v>1.8340000000000001</v>
      </c>
      <c r="K212" s="162">
        <f ca="1">VLOOKUP($A212,'BC.115+740'!$B$13:$X$489,21,0)/1000</f>
        <v>-0.16600000000000001</v>
      </c>
      <c r="L212" s="160">
        <f t="shared" ca="1" si="9"/>
        <v>-140</v>
      </c>
      <c r="M212" s="161">
        <f t="shared" ca="1" si="10"/>
        <v>-103.00000000000001</v>
      </c>
      <c r="N212" s="160">
        <f t="shared" ca="1" si="11"/>
        <v>-126</v>
      </c>
      <c r="O212" s="160"/>
    </row>
    <row r="213" spans="1:15">
      <c r="A213" s="164">
        <f>'BC.115+740'!B212</f>
        <v>45271</v>
      </c>
      <c r="B213" s="160">
        <v>199</v>
      </c>
      <c r="C213" s="162">
        <f ca="1">'BC.115+740'!M212/1000</f>
        <v>0.89700000000000002</v>
      </c>
      <c r="D213" s="162">
        <f ca="1">'BC.115+740'!AA212</f>
        <v>1.0069999999999999</v>
      </c>
      <c r="E213" s="163">
        <f ca="1">'BC.115+740'!AB212</f>
        <v>0.80400000000000005</v>
      </c>
      <c r="F213" s="162">
        <f ca="1">VLOOKUP($A213,'BC.115+740'!$B$13:$X$489,8,0)/1000</f>
        <v>1.9</v>
      </c>
      <c r="G213" s="162">
        <f ca="1">VLOOKUP($A213,'BC.115+740'!$B$13:$X$489,9,0)/1000</f>
        <v>-0.1</v>
      </c>
      <c r="H213" s="162">
        <f ca="1">VLOOKUP($A213,'BC.115+740'!$B$13:$X$489,14,0)/1000</f>
        <v>1.887</v>
      </c>
      <c r="I213" s="162">
        <f ca="1">VLOOKUP($A213,'BC.115+740'!$B$13:$X$489,15,0)/1000</f>
        <v>-0.113</v>
      </c>
      <c r="J213" s="162">
        <f ca="1">VLOOKUP($A213,'BC.115+740'!$B$13:$X$489,20,0)/1000</f>
        <v>1.8340000000000001</v>
      </c>
      <c r="K213" s="162">
        <f ca="1">VLOOKUP($A213,'BC.115+740'!$B$13:$X$489,21,0)/1000</f>
        <v>-0.16600000000000001</v>
      </c>
      <c r="L213" s="160">
        <f t="shared" ca="1" si="9"/>
        <v>-140</v>
      </c>
      <c r="M213" s="161">
        <f t="shared" ca="1" si="10"/>
        <v>-103.00000000000001</v>
      </c>
      <c r="N213" s="160">
        <f t="shared" ca="1" si="11"/>
        <v>-126</v>
      </c>
      <c r="O213" s="160"/>
    </row>
    <row r="214" spans="1:15">
      <c r="A214" s="164">
        <f>'BC.115+740'!B213</f>
        <v>45272</v>
      </c>
      <c r="B214" s="160">
        <v>200</v>
      </c>
      <c r="C214" s="162">
        <f ca="1">'BC.115+740'!M213/1000</f>
        <v>0.89700000000000002</v>
      </c>
      <c r="D214" s="162">
        <f ca="1">'BC.115+740'!AA213</f>
        <v>1.0069999999999999</v>
      </c>
      <c r="E214" s="163">
        <f ca="1">'BC.115+740'!AB213</f>
        <v>0.80400000000000005</v>
      </c>
      <c r="F214" s="162">
        <f ca="1">VLOOKUP($A214,'BC.115+740'!$B$13:$X$489,8,0)/1000</f>
        <v>1.9</v>
      </c>
      <c r="G214" s="162">
        <f ca="1">VLOOKUP($A214,'BC.115+740'!$B$13:$X$489,9,0)/1000</f>
        <v>-0.1</v>
      </c>
      <c r="H214" s="162">
        <f ca="1">VLOOKUP($A214,'BC.115+740'!$B$13:$X$489,14,0)/1000</f>
        <v>1.887</v>
      </c>
      <c r="I214" s="162">
        <f ca="1">VLOOKUP($A214,'BC.115+740'!$B$13:$X$489,15,0)/1000</f>
        <v>-0.113</v>
      </c>
      <c r="J214" s="162">
        <f ca="1">VLOOKUP($A214,'BC.115+740'!$B$13:$X$489,20,0)/1000</f>
        <v>1.8340000000000001</v>
      </c>
      <c r="K214" s="162">
        <f ca="1">VLOOKUP($A214,'BC.115+740'!$B$13:$X$489,21,0)/1000</f>
        <v>-0.16600000000000001</v>
      </c>
      <c r="L214" s="160">
        <f t="shared" ca="1" si="9"/>
        <v>-140</v>
      </c>
      <c r="M214" s="161">
        <f t="shared" ca="1" si="10"/>
        <v>-103.00000000000001</v>
      </c>
      <c r="N214" s="160">
        <f t="shared" ca="1" si="11"/>
        <v>-126</v>
      </c>
      <c r="O214" s="160"/>
    </row>
    <row r="215" spans="1:15">
      <c r="A215" s="164">
        <f>'BC.115+740'!B214</f>
        <v>45273</v>
      </c>
      <c r="B215" s="160">
        <v>201</v>
      </c>
      <c r="C215" s="162">
        <f ca="1">'BC.115+740'!M214/1000</f>
        <v>0.89700000000000002</v>
      </c>
      <c r="D215" s="162">
        <f ca="1">'BC.115+740'!AA214</f>
        <v>1.0069999999999999</v>
      </c>
      <c r="E215" s="163">
        <f ca="1">'BC.115+740'!AB214</f>
        <v>0.80400000000000005</v>
      </c>
      <c r="F215" s="162">
        <f ca="1">VLOOKUP($A215,'BC.115+740'!$B$13:$X$489,8,0)/1000</f>
        <v>1.9</v>
      </c>
      <c r="G215" s="162">
        <f ca="1">VLOOKUP($A215,'BC.115+740'!$B$13:$X$489,9,0)/1000</f>
        <v>-0.1</v>
      </c>
      <c r="H215" s="162">
        <f ca="1">VLOOKUP($A215,'BC.115+740'!$B$13:$X$489,14,0)/1000</f>
        <v>1.887</v>
      </c>
      <c r="I215" s="162">
        <f ca="1">VLOOKUP($A215,'BC.115+740'!$B$13:$X$489,15,0)/1000</f>
        <v>-0.113</v>
      </c>
      <c r="J215" s="162">
        <f ca="1">VLOOKUP($A215,'BC.115+740'!$B$13:$X$489,20,0)/1000</f>
        <v>1.8340000000000001</v>
      </c>
      <c r="K215" s="162">
        <f ca="1">VLOOKUP($A215,'BC.115+740'!$B$13:$X$489,21,0)/1000</f>
        <v>-0.16600000000000001</v>
      </c>
      <c r="L215" s="160">
        <f t="shared" ca="1" si="9"/>
        <v>-140</v>
      </c>
      <c r="M215" s="161">
        <f t="shared" ca="1" si="10"/>
        <v>-103.00000000000001</v>
      </c>
      <c r="N215" s="160">
        <f t="shared" ca="1" si="11"/>
        <v>-126</v>
      </c>
      <c r="O215" s="160"/>
    </row>
    <row r="216" spans="1:15">
      <c r="A216" s="164">
        <f>'BC.115+740'!B215</f>
        <v>45274</v>
      </c>
      <c r="B216" s="160">
        <v>202</v>
      </c>
      <c r="C216" s="162">
        <f ca="1">'BC.115+740'!M215/1000</f>
        <v>0.89700000000000002</v>
      </c>
      <c r="D216" s="162">
        <f ca="1">'BC.115+740'!AA215</f>
        <v>1.0069999999999999</v>
      </c>
      <c r="E216" s="163">
        <f ca="1">'BC.115+740'!AB215</f>
        <v>0.80400000000000005</v>
      </c>
      <c r="F216" s="162">
        <f ca="1">VLOOKUP($A216,'BC.115+740'!$B$13:$X$489,8,0)/1000</f>
        <v>1.9</v>
      </c>
      <c r="G216" s="162">
        <f ca="1">VLOOKUP($A216,'BC.115+740'!$B$13:$X$489,9,0)/1000</f>
        <v>-0.1</v>
      </c>
      <c r="H216" s="162">
        <f ca="1">VLOOKUP($A216,'BC.115+740'!$B$13:$X$489,14,0)/1000</f>
        <v>1.887</v>
      </c>
      <c r="I216" s="162">
        <f ca="1">VLOOKUP($A216,'BC.115+740'!$B$13:$X$489,15,0)/1000</f>
        <v>-0.113</v>
      </c>
      <c r="J216" s="162">
        <f ca="1">VLOOKUP($A216,'BC.115+740'!$B$13:$X$489,20,0)/1000</f>
        <v>1.8340000000000001</v>
      </c>
      <c r="K216" s="162">
        <f ca="1">VLOOKUP($A216,'BC.115+740'!$B$13:$X$489,21,0)/1000</f>
        <v>-0.16600000000000001</v>
      </c>
      <c r="L216" s="160">
        <f t="shared" ca="1" si="9"/>
        <v>-140</v>
      </c>
      <c r="M216" s="161">
        <f t="shared" ca="1" si="10"/>
        <v>-103.00000000000001</v>
      </c>
      <c r="N216" s="160">
        <f t="shared" ca="1" si="11"/>
        <v>-126</v>
      </c>
      <c r="O216" s="160"/>
    </row>
    <row r="217" spans="1:15">
      <c r="A217" s="164">
        <f>'BC.115+740'!B216</f>
        <v>45275</v>
      </c>
      <c r="B217" s="160">
        <v>203</v>
      </c>
      <c r="C217" s="162">
        <f ca="1">'BC.115+740'!M216/1000</f>
        <v>0.89700000000000002</v>
      </c>
      <c r="D217" s="162">
        <f ca="1">'BC.115+740'!AA216</f>
        <v>1.0069999999999999</v>
      </c>
      <c r="E217" s="163">
        <f ca="1">'BC.115+740'!AB216</f>
        <v>0.80400000000000005</v>
      </c>
      <c r="F217" s="162">
        <f ca="1">VLOOKUP($A217,'BC.115+740'!$B$13:$X$489,8,0)/1000</f>
        <v>1.9</v>
      </c>
      <c r="G217" s="162">
        <f ca="1">VLOOKUP($A217,'BC.115+740'!$B$13:$X$489,9,0)/1000</f>
        <v>-0.1</v>
      </c>
      <c r="H217" s="162">
        <f ca="1">VLOOKUP($A217,'BC.115+740'!$B$13:$X$489,14,0)/1000</f>
        <v>1.887</v>
      </c>
      <c r="I217" s="162">
        <f ca="1">VLOOKUP($A217,'BC.115+740'!$B$13:$X$489,15,0)/1000</f>
        <v>-0.113</v>
      </c>
      <c r="J217" s="162">
        <f ca="1">VLOOKUP($A217,'BC.115+740'!$B$13:$X$489,20,0)/1000</f>
        <v>1.8340000000000001</v>
      </c>
      <c r="K217" s="162">
        <f ca="1">VLOOKUP($A217,'BC.115+740'!$B$13:$X$489,21,0)/1000</f>
        <v>-0.16600000000000001</v>
      </c>
      <c r="L217" s="160">
        <f t="shared" ca="1" si="9"/>
        <v>-140</v>
      </c>
      <c r="M217" s="161">
        <f t="shared" ca="1" si="10"/>
        <v>-103.00000000000001</v>
      </c>
      <c r="N217" s="160">
        <f t="shared" ca="1" si="11"/>
        <v>-126</v>
      </c>
      <c r="O217" s="160"/>
    </row>
    <row r="218" spans="1:15">
      <c r="A218" s="164">
        <f>'BC.115+740'!B217</f>
        <v>45276</v>
      </c>
      <c r="B218" s="160">
        <v>204</v>
      </c>
      <c r="C218" s="162">
        <f ca="1">'BC.115+740'!M217/1000</f>
        <v>0.89700000000000002</v>
      </c>
      <c r="D218" s="162">
        <f ca="1">'BC.115+740'!AA217</f>
        <v>1.0069999999999999</v>
      </c>
      <c r="E218" s="163">
        <f ca="1">'BC.115+740'!AB217</f>
        <v>0.80400000000000005</v>
      </c>
      <c r="F218" s="162">
        <f ca="1">VLOOKUP($A218,'BC.115+740'!$B$13:$X$489,8,0)/1000</f>
        <v>1.9</v>
      </c>
      <c r="G218" s="162">
        <f ca="1">VLOOKUP($A218,'BC.115+740'!$B$13:$X$489,9,0)/1000</f>
        <v>-0.1</v>
      </c>
      <c r="H218" s="162">
        <f ca="1">VLOOKUP($A218,'BC.115+740'!$B$13:$X$489,14,0)/1000</f>
        <v>1.887</v>
      </c>
      <c r="I218" s="162">
        <f ca="1">VLOOKUP($A218,'BC.115+740'!$B$13:$X$489,15,0)/1000</f>
        <v>-0.113</v>
      </c>
      <c r="J218" s="162">
        <f ca="1">VLOOKUP($A218,'BC.115+740'!$B$13:$X$489,20,0)/1000</f>
        <v>1.8340000000000001</v>
      </c>
      <c r="K218" s="162">
        <f ca="1">VLOOKUP($A218,'BC.115+740'!$B$13:$X$489,21,0)/1000</f>
        <v>-0.16600000000000001</v>
      </c>
      <c r="L218" s="160">
        <f t="shared" ca="1" si="9"/>
        <v>-140</v>
      </c>
      <c r="M218" s="161">
        <f t="shared" ca="1" si="10"/>
        <v>-103.00000000000001</v>
      </c>
      <c r="N218" s="160">
        <f t="shared" ca="1" si="11"/>
        <v>-126</v>
      </c>
      <c r="O218" s="160"/>
    </row>
    <row r="219" spans="1:15">
      <c r="A219" s="164">
        <f>'BC.115+740'!B218</f>
        <v>45277</v>
      </c>
      <c r="B219" s="160">
        <v>205</v>
      </c>
      <c r="C219" s="162">
        <f ca="1">'BC.115+740'!M218/1000</f>
        <v>0.89700000000000002</v>
      </c>
      <c r="D219" s="162">
        <f ca="1">'BC.115+740'!AA218</f>
        <v>1.0069999999999999</v>
      </c>
      <c r="E219" s="163">
        <f ca="1">'BC.115+740'!AB218</f>
        <v>0.80400000000000005</v>
      </c>
      <c r="F219" s="162">
        <f ca="1">VLOOKUP($A219,'BC.115+740'!$B$13:$X$489,8,0)/1000</f>
        <v>1.9</v>
      </c>
      <c r="G219" s="162">
        <f ca="1">VLOOKUP($A219,'BC.115+740'!$B$13:$X$489,9,0)/1000</f>
        <v>-0.1</v>
      </c>
      <c r="H219" s="162">
        <f ca="1">VLOOKUP($A219,'BC.115+740'!$B$13:$X$489,14,0)/1000</f>
        <v>1.887</v>
      </c>
      <c r="I219" s="162">
        <f ca="1">VLOOKUP($A219,'BC.115+740'!$B$13:$X$489,15,0)/1000</f>
        <v>-0.113</v>
      </c>
      <c r="J219" s="162">
        <f ca="1">VLOOKUP($A219,'BC.115+740'!$B$13:$X$489,20,0)/1000</f>
        <v>1.8340000000000001</v>
      </c>
      <c r="K219" s="162">
        <f ca="1">VLOOKUP($A219,'BC.115+740'!$B$13:$X$489,21,0)/1000</f>
        <v>-0.16600000000000001</v>
      </c>
      <c r="L219" s="160">
        <f t="shared" ca="1" si="9"/>
        <v>-140</v>
      </c>
      <c r="M219" s="161">
        <f t="shared" ca="1" si="10"/>
        <v>-103.00000000000001</v>
      </c>
      <c r="N219" s="160">
        <f t="shared" ca="1" si="11"/>
        <v>-126</v>
      </c>
      <c r="O219" s="160"/>
    </row>
    <row r="220" spans="1:15">
      <c r="A220" s="164">
        <f>'BC.115+740'!B219</f>
        <v>45278</v>
      </c>
      <c r="B220" s="160">
        <v>206</v>
      </c>
      <c r="C220" s="162">
        <f ca="1">'BC.115+740'!M219/1000</f>
        <v>0.89700000000000002</v>
      </c>
      <c r="D220" s="162">
        <f ca="1">'BC.115+740'!AA219</f>
        <v>1.0069999999999999</v>
      </c>
      <c r="E220" s="163">
        <f ca="1">'BC.115+740'!AB219</f>
        <v>0.80400000000000005</v>
      </c>
      <c r="F220" s="162">
        <f ca="1">VLOOKUP($A220,'BC.115+740'!$B$13:$X$489,8,0)/1000</f>
        <v>1.9</v>
      </c>
      <c r="G220" s="162">
        <f ca="1">VLOOKUP($A220,'BC.115+740'!$B$13:$X$489,9,0)/1000</f>
        <v>-0.1</v>
      </c>
      <c r="H220" s="162">
        <f ca="1">VLOOKUP($A220,'BC.115+740'!$B$13:$X$489,14,0)/1000</f>
        <v>1.887</v>
      </c>
      <c r="I220" s="162">
        <f ca="1">VLOOKUP($A220,'BC.115+740'!$B$13:$X$489,15,0)/1000</f>
        <v>-0.113</v>
      </c>
      <c r="J220" s="162">
        <f ca="1">VLOOKUP($A220,'BC.115+740'!$B$13:$X$489,20,0)/1000</f>
        <v>1.8340000000000001</v>
      </c>
      <c r="K220" s="162">
        <f ca="1">VLOOKUP($A220,'BC.115+740'!$B$13:$X$489,21,0)/1000</f>
        <v>-0.16600000000000001</v>
      </c>
      <c r="L220" s="160">
        <f t="shared" ca="1" si="9"/>
        <v>-140</v>
      </c>
      <c r="M220" s="161">
        <f t="shared" ca="1" si="10"/>
        <v>-103.00000000000001</v>
      </c>
      <c r="N220" s="160">
        <f t="shared" ca="1" si="11"/>
        <v>-126</v>
      </c>
      <c r="O220" s="160"/>
    </row>
    <row r="221" spans="1:15">
      <c r="A221" s="164">
        <f>'BC.115+740'!B220</f>
        <v>45279</v>
      </c>
      <c r="B221" s="160">
        <v>207</v>
      </c>
      <c r="C221" s="162">
        <f ca="1">'BC.115+740'!M220/1000</f>
        <v>0.89700000000000002</v>
      </c>
      <c r="D221" s="162">
        <f ca="1">'BC.115+740'!AA220</f>
        <v>1.0069999999999999</v>
      </c>
      <c r="E221" s="163">
        <f ca="1">'BC.115+740'!AB220</f>
        <v>0.80400000000000005</v>
      </c>
      <c r="F221" s="162">
        <f ca="1">VLOOKUP($A221,'BC.115+740'!$B$13:$X$489,8,0)/1000</f>
        <v>1.9</v>
      </c>
      <c r="G221" s="162">
        <f ca="1">VLOOKUP($A221,'BC.115+740'!$B$13:$X$489,9,0)/1000</f>
        <v>-0.1</v>
      </c>
      <c r="H221" s="162">
        <f ca="1">VLOOKUP($A221,'BC.115+740'!$B$13:$X$489,14,0)/1000</f>
        <v>1.887</v>
      </c>
      <c r="I221" s="162">
        <f ca="1">VLOOKUP($A221,'BC.115+740'!$B$13:$X$489,15,0)/1000</f>
        <v>-0.113</v>
      </c>
      <c r="J221" s="162">
        <f ca="1">VLOOKUP($A221,'BC.115+740'!$B$13:$X$489,20,0)/1000</f>
        <v>1.8340000000000001</v>
      </c>
      <c r="K221" s="162">
        <f ca="1">VLOOKUP($A221,'BC.115+740'!$B$13:$X$489,21,0)/1000</f>
        <v>-0.16600000000000001</v>
      </c>
      <c r="L221" s="160">
        <f t="shared" ca="1" si="9"/>
        <v>-140</v>
      </c>
      <c r="M221" s="161">
        <f t="shared" ca="1" si="10"/>
        <v>-103.00000000000001</v>
      </c>
      <c r="N221" s="160">
        <f t="shared" ca="1" si="11"/>
        <v>-126</v>
      </c>
      <c r="O221" s="160"/>
    </row>
    <row r="222" spans="1:15">
      <c r="A222" s="164">
        <f>'BC.115+740'!B221</f>
        <v>45280</v>
      </c>
      <c r="B222" s="160">
        <v>208</v>
      </c>
      <c r="C222" s="162">
        <f ca="1">'BC.115+740'!M221/1000</f>
        <v>0.89700000000000002</v>
      </c>
      <c r="D222" s="162">
        <f ca="1">'BC.115+740'!AA221</f>
        <v>1.0069999999999999</v>
      </c>
      <c r="E222" s="163">
        <f ca="1">'BC.115+740'!AB221</f>
        <v>0.80400000000000005</v>
      </c>
      <c r="F222" s="162">
        <f ca="1">VLOOKUP($A222,'BC.115+740'!$B$13:$X$489,8,0)/1000</f>
        <v>1.9</v>
      </c>
      <c r="G222" s="162">
        <f ca="1">VLOOKUP($A222,'BC.115+740'!$B$13:$X$489,9,0)/1000</f>
        <v>-0.1</v>
      </c>
      <c r="H222" s="162">
        <f ca="1">VLOOKUP($A222,'BC.115+740'!$B$13:$X$489,14,0)/1000</f>
        <v>1.887</v>
      </c>
      <c r="I222" s="162">
        <f ca="1">VLOOKUP($A222,'BC.115+740'!$B$13:$X$489,15,0)/1000</f>
        <v>-0.113</v>
      </c>
      <c r="J222" s="162">
        <f ca="1">VLOOKUP($A222,'BC.115+740'!$B$13:$X$489,20,0)/1000</f>
        <v>1.8340000000000001</v>
      </c>
      <c r="K222" s="162">
        <f ca="1">VLOOKUP($A222,'BC.115+740'!$B$13:$X$489,21,0)/1000</f>
        <v>-0.16600000000000001</v>
      </c>
      <c r="L222" s="160">
        <f t="shared" ca="1" si="9"/>
        <v>-140</v>
      </c>
      <c r="M222" s="161">
        <f t="shared" ca="1" si="10"/>
        <v>-103.00000000000001</v>
      </c>
      <c r="N222" s="160">
        <f t="shared" ca="1" si="11"/>
        <v>-126</v>
      </c>
      <c r="O222" s="160"/>
    </row>
    <row r="223" spans="1:15">
      <c r="A223" s="164">
        <f>'BC.115+740'!B222</f>
        <v>45281</v>
      </c>
      <c r="B223" s="160">
        <v>209</v>
      </c>
      <c r="C223" s="162">
        <f ca="1">'BC.115+740'!M222/1000</f>
        <v>0.89700000000000002</v>
      </c>
      <c r="D223" s="162">
        <f ca="1">'BC.115+740'!AA222</f>
        <v>1.0069999999999999</v>
      </c>
      <c r="E223" s="163">
        <f ca="1">'BC.115+740'!AB222</f>
        <v>0.80400000000000005</v>
      </c>
      <c r="F223" s="162">
        <f ca="1">VLOOKUP($A223,'BC.115+740'!$B$13:$X$489,8,0)/1000</f>
        <v>1.9</v>
      </c>
      <c r="G223" s="162">
        <f ca="1">VLOOKUP($A223,'BC.115+740'!$B$13:$X$489,9,0)/1000</f>
        <v>-0.1</v>
      </c>
      <c r="H223" s="162">
        <f ca="1">VLOOKUP($A223,'BC.115+740'!$B$13:$X$489,14,0)/1000</f>
        <v>1.887</v>
      </c>
      <c r="I223" s="162">
        <f ca="1">VLOOKUP($A223,'BC.115+740'!$B$13:$X$489,15,0)/1000</f>
        <v>-0.113</v>
      </c>
      <c r="J223" s="162">
        <f ca="1">VLOOKUP($A223,'BC.115+740'!$B$13:$X$489,20,0)/1000</f>
        <v>1.8340000000000001</v>
      </c>
      <c r="K223" s="162">
        <f ca="1">VLOOKUP($A223,'BC.115+740'!$B$13:$X$489,21,0)/1000</f>
        <v>-0.16600000000000001</v>
      </c>
      <c r="L223" s="160">
        <f t="shared" ca="1" si="9"/>
        <v>-140</v>
      </c>
      <c r="M223" s="161">
        <f t="shared" ca="1" si="10"/>
        <v>-103.00000000000001</v>
      </c>
      <c r="N223" s="160">
        <f t="shared" ca="1" si="11"/>
        <v>-126</v>
      </c>
      <c r="O223" s="160"/>
    </row>
    <row r="224" spans="1:15">
      <c r="A224" s="164">
        <f>'BC.115+740'!B223</f>
        <v>45282</v>
      </c>
      <c r="B224" s="160">
        <v>210</v>
      </c>
      <c r="C224" s="162">
        <f ca="1">'BC.115+740'!M223/1000</f>
        <v>0.89700000000000002</v>
      </c>
      <c r="D224" s="162">
        <f ca="1">'BC.115+740'!AA223</f>
        <v>1.0069999999999999</v>
      </c>
      <c r="E224" s="163">
        <f ca="1">'BC.115+740'!AB223</f>
        <v>0.80400000000000005</v>
      </c>
      <c r="F224" s="162">
        <f ca="1">VLOOKUP($A224,'BC.115+740'!$B$13:$X$489,8,0)/1000</f>
        <v>1.9</v>
      </c>
      <c r="G224" s="162">
        <f ca="1">VLOOKUP($A224,'BC.115+740'!$B$13:$X$489,9,0)/1000</f>
        <v>-0.1</v>
      </c>
      <c r="H224" s="162">
        <f ca="1">VLOOKUP($A224,'BC.115+740'!$B$13:$X$489,14,0)/1000</f>
        <v>1.887</v>
      </c>
      <c r="I224" s="162">
        <f ca="1">VLOOKUP($A224,'BC.115+740'!$B$13:$X$489,15,0)/1000</f>
        <v>-0.113</v>
      </c>
      <c r="J224" s="162">
        <f ca="1">VLOOKUP($A224,'BC.115+740'!$B$13:$X$489,20,0)/1000</f>
        <v>1.8340000000000001</v>
      </c>
      <c r="K224" s="162">
        <f ca="1">VLOOKUP($A224,'BC.115+740'!$B$13:$X$489,21,0)/1000</f>
        <v>-0.16600000000000001</v>
      </c>
      <c r="L224" s="160">
        <f t="shared" ca="1" si="9"/>
        <v>-140</v>
      </c>
      <c r="M224" s="161">
        <f t="shared" ca="1" si="10"/>
        <v>-103.00000000000001</v>
      </c>
      <c r="N224" s="160">
        <f t="shared" ca="1" si="11"/>
        <v>-126</v>
      </c>
      <c r="O224" s="160"/>
    </row>
    <row r="225" spans="1:15">
      <c r="A225" s="164">
        <f>'BC.115+740'!B224</f>
        <v>45283</v>
      </c>
      <c r="B225" s="160">
        <v>211</v>
      </c>
      <c r="C225" s="162">
        <f ca="1">'BC.115+740'!M224/1000</f>
        <v>0.89700000000000002</v>
      </c>
      <c r="D225" s="162">
        <f ca="1">'BC.115+740'!AA224</f>
        <v>1.0069999999999999</v>
      </c>
      <c r="E225" s="163">
        <f ca="1">'BC.115+740'!AB224</f>
        <v>0.80400000000000005</v>
      </c>
      <c r="F225" s="162">
        <f ca="1">VLOOKUP($A225,'BC.115+740'!$B$13:$X$489,8,0)/1000</f>
        <v>1.9</v>
      </c>
      <c r="G225" s="162">
        <f ca="1">VLOOKUP($A225,'BC.115+740'!$B$13:$X$489,9,0)/1000</f>
        <v>-0.1</v>
      </c>
      <c r="H225" s="162">
        <f ca="1">VLOOKUP($A225,'BC.115+740'!$B$13:$X$489,14,0)/1000</f>
        <v>1.887</v>
      </c>
      <c r="I225" s="162">
        <f ca="1">VLOOKUP($A225,'BC.115+740'!$B$13:$X$489,15,0)/1000</f>
        <v>-0.113</v>
      </c>
      <c r="J225" s="162">
        <f ca="1">VLOOKUP($A225,'BC.115+740'!$B$13:$X$489,20,0)/1000</f>
        <v>1.8340000000000001</v>
      </c>
      <c r="K225" s="162">
        <f ca="1">VLOOKUP($A225,'BC.115+740'!$B$13:$X$489,21,0)/1000</f>
        <v>-0.16600000000000001</v>
      </c>
      <c r="L225" s="160">
        <f t="shared" ca="1" si="9"/>
        <v>-140</v>
      </c>
      <c r="M225" s="161">
        <f t="shared" ca="1" si="10"/>
        <v>-103.00000000000001</v>
      </c>
      <c r="N225" s="160">
        <f t="shared" ca="1" si="11"/>
        <v>-126</v>
      </c>
      <c r="O225" s="160"/>
    </row>
    <row r="226" spans="1:15">
      <c r="A226" s="164">
        <f>'BC.115+740'!B225</f>
        <v>45284</v>
      </c>
      <c r="B226" s="160">
        <v>212</v>
      </c>
      <c r="C226" s="162">
        <f ca="1">'BC.115+740'!M225/1000</f>
        <v>0.89700000000000002</v>
      </c>
      <c r="D226" s="162">
        <f ca="1">'BC.115+740'!AA225</f>
        <v>1.0069999999999999</v>
      </c>
      <c r="E226" s="163">
        <f ca="1">'BC.115+740'!AB225</f>
        <v>0.80400000000000005</v>
      </c>
      <c r="F226" s="162">
        <f ca="1">VLOOKUP($A226,'BC.115+740'!$B$13:$X$489,8,0)/1000</f>
        <v>1.9</v>
      </c>
      <c r="G226" s="162">
        <f ca="1">VLOOKUP($A226,'BC.115+740'!$B$13:$X$489,9,0)/1000</f>
        <v>-0.1</v>
      </c>
      <c r="H226" s="162">
        <f ca="1">VLOOKUP($A226,'BC.115+740'!$B$13:$X$489,14,0)/1000</f>
        <v>1.887</v>
      </c>
      <c r="I226" s="162">
        <f ca="1">VLOOKUP($A226,'BC.115+740'!$B$13:$X$489,15,0)/1000</f>
        <v>-0.113</v>
      </c>
      <c r="J226" s="162">
        <f ca="1">VLOOKUP($A226,'BC.115+740'!$B$13:$X$489,20,0)/1000</f>
        <v>1.8340000000000001</v>
      </c>
      <c r="K226" s="162">
        <f ca="1">VLOOKUP($A226,'BC.115+740'!$B$13:$X$489,21,0)/1000</f>
        <v>-0.16600000000000001</v>
      </c>
      <c r="L226" s="160">
        <f t="shared" ca="1" si="9"/>
        <v>-140</v>
      </c>
      <c r="M226" s="161">
        <f t="shared" ca="1" si="10"/>
        <v>-103.00000000000001</v>
      </c>
      <c r="N226" s="160">
        <f t="shared" ca="1" si="11"/>
        <v>-126</v>
      </c>
      <c r="O226" s="160"/>
    </row>
    <row r="227" spans="1:15">
      <c r="A227" s="164">
        <f>'BC.115+740'!B226</f>
        <v>45285</v>
      </c>
      <c r="B227" s="160">
        <v>213</v>
      </c>
      <c r="C227" s="162">
        <f ca="1">'BC.115+740'!M226/1000</f>
        <v>0.89700000000000002</v>
      </c>
      <c r="D227" s="162">
        <f ca="1">'BC.115+740'!AA226</f>
        <v>1.0069999999999999</v>
      </c>
      <c r="E227" s="163">
        <f ca="1">'BC.115+740'!AB226</f>
        <v>0.80400000000000005</v>
      </c>
      <c r="F227" s="162">
        <f ca="1">VLOOKUP($A227,'BC.115+740'!$B$13:$X$489,8,0)/1000</f>
        <v>1.9</v>
      </c>
      <c r="G227" s="162">
        <f ca="1">VLOOKUP($A227,'BC.115+740'!$B$13:$X$489,9,0)/1000</f>
        <v>-0.1</v>
      </c>
      <c r="H227" s="162">
        <f ca="1">VLOOKUP($A227,'BC.115+740'!$B$13:$X$489,14,0)/1000</f>
        <v>1.887</v>
      </c>
      <c r="I227" s="162">
        <f ca="1">VLOOKUP($A227,'BC.115+740'!$B$13:$X$489,15,0)/1000</f>
        <v>-0.113</v>
      </c>
      <c r="J227" s="162">
        <f ca="1">VLOOKUP($A227,'BC.115+740'!$B$13:$X$489,20,0)/1000</f>
        <v>1.8340000000000001</v>
      </c>
      <c r="K227" s="162">
        <f ca="1">VLOOKUP($A227,'BC.115+740'!$B$13:$X$489,21,0)/1000</f>
        <v>-0.16600000000000001</v>
      </c>
      <c r="L227" s="160">
        <f t="shared" ca="1" si="9"/>
        <v>-140</v>
      </c>
      <c r="M227" s="161">
        <f t="shared" ca="1" si="10"/>
        <v>-103.00000000000001</v>
      </c>
      <c r="N227" s="160">
        <f t="shared" ca="1" si="11"/>
        <v>-126</v>
      </c>
      <c r="O227" s="160"/>
    </row>
    <row r="228" spans="1:15">
      <c r="A228" s="164">
        <f>'BC.115+740'!B227</f>
        <v>45286</v>
      </c>
      <c r="B228" s="160">
        <v>214</v>
      </c>
      <c r="C228" s="162">
        <f ca="1">'BC.115+740'!M227/1000</f>
        <v>0.89700000000000002</v>
      </c>
      <c r="D228" s="162">
        <f ca="1">'BC.115+740'!AA227</f>
        <v>1.0069999999999999</v>
      </c>
      <c r="E228" s="163">
        <f ca="1">'BC.115+740'!AB227</f>
        <v>0.80400000000000005</v>
      </c>
      <c r="F228" s="162">
        <f ca="1">VLOOKUP($A228,'BC.115+740'!$B$13:$X$489,8,0)/1000</f>
        <v>1.9</v>
      </c>
      <c r="G228" s="162">
        <f ca="1">VLOOKUP($A228,'BC.115+740'!$B$13:$X$489,9,0)/1000</f>
        <v>-0.1</v>
      </c>
      <c r="H228" s="162">
        <f ca="1">VLOOKUP($A228,'BC.115+740'!$B$13:$X$489,14,0)/1000</f>
        <v>1.887</v>
      </c>
      <c r="I228" s="162">
        <f ca="1">VLOOKUP($A228,'BC.115+740'!$B$13:$X$489,15,0)/1000</f>
        <v>-0.113</v>
      </c>
      <c r="J228" s="162">
        <f ca="1">VLOOKUP($A228,'BC.115+740'!$B$13:$X$489,20,0)/1000</f>
        <v>1.8340000000000001</v>
      </c>
      <c r="K228" s="162">
        <f ca="1">VLOOKUP($A228,'BC.115+740'!$B$13:$X$489,21,0)/1000</f>
        <v>-0.16600000000000001</v>
      </c>
      <c r="L228" s="160">
        <f t="shared" ca="1" si="9"/>
        <v>-140</v>
      </c>
      <c r="M228" s="161">
        <f t="shared" ca="1" si="10"/>
        <v>-103.00000000000001</v>
      </c>
      <c r="N228" s="160">
        <f t="shared" ca="1" si="11"/>
        <v>-126</v>
      </c>
      <c r="O228" s="160"/>
    </row>
    <row r="229" spans="1:15">
      <c r="A229" s="164">
        <f>'BC.115+740'!B228</f>
        <v>45287</v>
      </c>
      <c r="B229" s="160">
        <v>215</v>
      </c>
      <c r="C229" s="162">
        <f ca="1">'BC.115+740'!M228/1000</f>
        <v>0.89700000000000002</v>
      </c>
      <c r="D229" s="162">
        <f ca="1">'BC.115+740'!AA228</f>
        <v>1.0069999999999999</v>
      </c>
      <c r="E229" s="163">
        <f ca="1">'BC.115+740'!AB228</f>
        <v>0.80400000000000005</v>
      </c>
      <c r="F229" s="162">
        <f ca="1">VLOOKUP($A229,'BC.115+740'!$B$13:$X$489,8,0)/1000</f>
        <v>1.9</v>
      </c>
      <c r="G229" s="162">
        <f ca="1">VLOOKUP($A229,'BC.115+740'!$B$13:$X$489,9,0)/1000</f>
        <v>-0.1</v>
      </c>
      <c r="H229" s="162">
        <f ca="1">VLOOKUP($A229,'BC.115+740'!$B$13:$X$489,14,0)/1000</f>
        <v>1.887</v>
      </c>
      <c r="I229" s="162">
        <f ca="1">VLOOKUP($A229,'BC.115+740'!$B$13:$X$489,15,0)/1000</f>
        <v>-0.113</v>
      </c>
      <c r="J229" s="162">
        <f ca="1">VLOOKUP($A229,'BC.115+740'!$B$13:$X$489,20,0)/1000</f>
        <v>1.8340000000000001</v>
      </c>
      <c r="K229" s="162">
        <f ca="1">VLOOKUP($A229,'BC.115+740'!$B$13:$X$489,21,0)/1000</f>
        <v>-0.16600000000000001</v>
      </c>
      <c r="L229" s="160">
        <f t="shared" ca="1" si="9"/>
        <v>-140</v>
      </c>
      <c r="M229" s="161">
        <f t="shared" ca="1" si="10"/>
        <v>-103.00000000000001</v>
      </c>
      <c r="N229" s="160">
        <f t="shared" ca="1" si="11"/>
        <v>-126</v>
      </c>
      <c r="O229" s="160"/>
    </row>
    <row r="230" spans="1:15">
      <c r="A230" s="164">
        <f>'BC.115+740'!B229</f>
        <v>45288</v>
      </c>
      <c r="B230" s="160">
        <v>216</v>
      </c>
      <c r="C230" s="162">
        <f ca="1">'BC.115+740'!M229/1000</f>
        <v>0.89700000000000002</v>
      </c>
      <c r="D230" s="162">
        <f ca="1">'BC.115+740'!AA229</f>
        <v>1.0069999999999999</v>
      </c>
      <c r="E230" s="163">
        <f ca="1">'BC.115+740'!AB229</f>
        <v>0.80400000000000005</v>
      </c>
      <c r="F230" s="162">
        <f ca="1">VLOOKUP($A230,'BC.115+740'!$B$13:$X$489,8,0)/1000</f>
        <v>1.9</v>
      </c>
      <c r="G230" s="162">
        <f ca="1">VLOOKUP($A230,'BC.115+740'!$B$13:$X$489,9,0)/1000</f>
        <v>-0.1</v>
      </c>
      <c r="H230" s="162">
        <f ca="1">VLOOKUP($A230,'BC.115+740'!$B$13:$X$489,14,0)/1000</f>
        <v>1.887</v>
      </c>
      <c r="I230" s="162">
        <f ca="1">VLOOKUP($A230,'BC.115+740'!$B$13:$X$489,15,0)/1000</f>
        <v>-0.113</v>
      </c>
      <c r="J230" s="162">
        <f ca="1">VLOOKUP($A230,'BC.115+740'!$B$13:$X$489,20,0)/1000</f>
        <v>1.8340000000000001</v>
      </c>
      <c r="K230" s="162">
        <f ca="1">VLOOKUP($A230,'BC.115+740'!$B$13:$X$489,21,0)/1000</f>
        <v>-0.16600000000000001</v>
      </c>
      <c r="L230" s="160">
        <f t="shared" ca="1" si="9"/>
        <v>-140</v>
      </c>
      <c r="M230" s="161">
        <f t="shared" ca="1" si="10"/>
        <v>-103.00000000000001</v>
      </c>
      <c r="N230" s="160">
        <f t="shared" ca="1" si="11"/>
        <v>-126</v>
      </c>
      <c r="O230" s="160"/>
    </row>
    <row r="231" spans="1:15">
      <c r="A231" s="164">
        <f>'BC.115+740'!B230</f>
        <v>45289</v>
      </c>
      <c r="B231" s="160">
        <v>217</v>
      </c>
      <c r="C231" s="162">
        <f ca="1">'BC.115+740'!M230/1000</f>
        <v>0.89700000000000002</v>
      </c>
      <c r="D231" s="162">
        <f ca="1">'BC.115+740'!AA230</f>
        <v>1.0069999999999999</v>
      </c>
      <c r="E231" s="163">
        <f ca="1">'BC.115+740'!AB230</f>
        <v>0.80400000000000005</v>
      </c>
      <c r="F231" s="162">
        <f ca="1">VLOOKUP($A231,'BC.115+740'!$B$13:$X$489,8,0)/1000</f>
        <v>1.9</v>
      </c>
      <c r="G231" s="162">
        <f ca="1">VLOOKUP($A231,'BC.115+740'!$B$13:$X$489,9,0)/1000</f>
        <v>-0.1</v>
      </c>
      <c r="H231" s="162">
        <f ca="1">VLOOKUP($A231,'BC.115+740'!$B$13:$X$489,14,0)/1000</f>
        <v>1.887</v>
      </c>
      <c r="I231" s="162">
        <f ca="1">VLOOKUP($A231,'BC.115+740'!$B$13:$X$489,15,0)/1000</f>
        <v>-0.113</v>
      </c>
      <c r="J231" s="162">
        <f ca="1">VLOOKUP($A231,'BC.115+740'!$B$13:$X$489,20,0)/1000</f>
        <v>1.8340000000000001</v>
      </c>
      <c r="K231" s="162">
        <f ca="1">VLOOKUP($A231,'BC.115+740'!$B$13:$X$489,21,0)/1000</f>
        <v>-0.16600000000000001</v>
      </c>
      <c r="L231" s="160">
        <f t="shared" ca="1" si="9"/>
        <v>-140</v>
      </c>
      <c r="M231" s="161">
        <f t="shared" ca="1" si="10"/>
        <v>-103.00000000000001</v>
      </c>
      <c r="N231" s="160">
        <f t="shared" ca="1" si="11"/>
        <v>-126</v>
      </c>
      <c r="O231" s="160"/>
    </row>
    <row r="232" spans="1:15">
      <c r="A232" s="164">
        <f>'BC.115+740'!B231</f>
        <v>45290</v>
      </c>
      <c r="B232" s="160">
        <v>218</v>
      </c>
      <c r="C232" s="162">
        <f ca="1">'BC.115+740'!M231/1000</f>
        <v>0.89700000000000002</v>
      </c>
      <c r="D232" s="162">
        <f ca="1">'BC.115+740'!AA231</f>
        <v>1.0069999999999999</v>
      </c>
      <c r="E232" s="163">
        <f ca="1">'BC.115+740'!AB231</f>
        <v>0.80400000000000005</v>
      </c>
      <c r="F232" s="162">
        <f ca="1">VLOOKUP($A232,'BC.115+740'!$B$13:$X$489,8,0)/1000</f>
        <v>1.9</v>
      </c>
      <c r="G232" s="162">
        <f ca="1">VLOOKUP($A232,'BC.115+740'!$B$13:$X$489,9,0)/1000</f>
        <v>-0.1</v>
      </c>
      <c r="H232" s="162">
        <f ca="1">VLOOKUP($A232,'BC.115+740'!$B$13:$X$489,14,0)/1000</f>
        <v>1.887</v>
      </c>
      <c r="I232" s="162">
        <f ca="1">VLOOKUP($A232,'BC.115+740'!$B$13:$X$489,15,0)/1000</f>
        <v>-0.113</v>
      </c>
      <c r="J232" s="162">
        <f ca="1">VLOOKUP($A232,'BC.115+740'!$B$13:$X$489,20,0)/1000</f>
        <v>1.8340000000000001</v>
      </c>
      <c r="K232" s="162">
        <f ca="1">VLOOKUP($A232,'BC.115+740'!$B$13:$X$489,21,0)/1000</f>
        <v>-0.16600000000000001</v>
      </c>
      <c r="L232" s="160">
        <f t="shared" ca="1" si="9"/>
        <v>-140</v>
      </c>
      <c r="M232" s="161">
        <f t="shared" ca="1" si="10"/>
        <v>-103.00000000000001</v>
      </c>
      <c r="N232" s="160">
        <f t="shared" ca="1" si="11"/>
        <v>-126</v>
      </c>
      <c r="O232" s="160"/>
    </row>
    <row r="233" spans="1:15">
      <c r="A233" s="164">
        <f>'BC.115+740'!B232</f>
        <v>45291</v>
      </c>
      <c r="B233" s="160">
        <v>219</v>
      </c>
      <c r="C233" s="162">
        <f ca="1">'BC.115+740'!M232/1000</f>
        <v>0.89700000000000002</v>
      </c>
      <c r="D233" s="162">
        <f ca="1">'BC.115+740'!AA232</f>
        <v>1.0069999999999999</v>
      </c>
      <c r="E233" s="163">
        <f ca="1">'BC.115+740'!AB232</f>
        <v>0.80400000000000005</v>
      </c>
      <c r="F233" s="162">
        <f ca="1">VLOOKUP($A233,'BC.115+740'!$B$13:$X$489,8,0)/1000</f>
        <v>1.9</v>
      </c>
      <c r="G233" s="162">
        <f ca="1">VLOOKUP($A233,'BC.115+740'!$B$13:$X$489,9,0)/1000</f>
        <v>-0.1</v>
      </c>
      <c r="H233" s="162">
        <f ca="1">VLOOKUP($A233,'BC.115+740'!$B$13:$X$489,14,0)/1000</f>
        <v>1.887</v>
      </c>
      <c r="I233" s="162">
        <f ca="1">VLOOKUP($A233,'BC.115+740'!$B$13:$X$489,15,0)/1000</f>
        <v>-0.113</v>
      </c>
      <c r="J233" s="162">
        <f ca="1">VLOOKUP($A233,'BC.115+740'!$B$13:$X$489,20,0)/1000</f>
        <v>1.8340000000000001</v>
      </c>
      <c r="K233" s="162">
        <f ca="1">VLOOKUP($A233,'BC.115+740'!$B$13:$X$489,21,0)/1000</f>
        <v>-0.16600000000000001</v>
      </c>
      <c r="L233" s="160">
        <f t="shared" ca="1" si="9"/>
        <v>-140</v>
      </c>
      <c r="M233" s="161">
        <f t="shared" ca="1" si="10"/>
        <v>-103.00000000000001</v>
      </c>
      <c r="N233" s="160">
        <f t="shared" ca="1" si="11"/>
        <v>-126</v>
      </c>
      <c r="O233" s="160"/>
    </row>
    <row r="234" spans="1:15">
      <c r="A234" s="164">
        <f>'BC.115+740'!B233</f>
        <v>45292</v>
      </c>
      <c r="B234" s="160">
        <v>220</v>
      </c>
      <c r="C234" s="162">
        <f ca="1">'BC.115+740'!M233/1000</f>
        <v>0.89700000000000002</v>
      </c>
      <c r="D234" s="162">
        <f ca="1">'BC.115+740'!AA233</f>
        <v>1.0069999999999999</v>
      </c>
      <c r="E234" s="163">
        <f ca="1">'BC.115+740'!AB233</f>
        <v>0.80400000000000005</v>
      </c>
      <c r="F234" s="162">
        <f ca="1">VLOOKUP($A234,'BC.115+740'!$B$13:$X$489,8,0)/1000</f>
        <v>1.9</v>
      </c>
      <c r="G234" s="162">
        <f ca="1">VLOOKUP($A234,'BC.115+740'!$B$13:$X$489,9,0)/1000</f>
        <v>-0.1</v>
      </c>
      <c r="H234" s="162">
        <f ca="1">VLOOKUP($A234,'BC.115+740'!$B$13:$X$489,14,0)/1000</f>
        <v>1.887</v>
      </c>
      <c r="I234" s="162">
        <f ca="1">VLOOKUP($A234,'BC.115+740'!$B$13:$X$489,15,0)/1000</f>
        <v>-0.113</v>
      </c>
      <c r="J234" s="162">
        <f ca="1">VLOOKUP($A234,'BC.115+740'!$B$13:$X$489,20,0)/1000</f>
        <v>1.8340000000000001</v>
      </c>
      <c r="K234" s="162">
        <f ca="1">VLOOKUP($A234,'BC.115+740'!$B$13:$X$489,21,0)/1000</f>
        <v>-0.16600000000000001</v>
      </c>
      <c r="L234" s="160">
        <f t="shared" ca="1" si="9"/>
        <v>-140</v>
      </c>
      <c r="M234" s="161">
        <f t="shared" ca="1" si="10"/>
        <v>-103.00000000000001</v>
      </c>
      <c r="N234" s="160">
        <f t="shared" ca="1" si="11"/>
        <v>-126</v>
      </c>
      <c r="O234" s="160"/>
    </row>
    <row r="235" spans="1:15">
      <c r="A235" s="164">
        <f>'BC.115+740'!B234</f>
        <v>45293</v>
      </c>
      <c r="B235" s="160">
        <v>221</v>
      </c>
      <c r="C235" s="162">
        <f ca="1">'BC.115+740'!M234/1000</f>
        <v>0.89700000000000002</v>
      </c>
      <c r="D235" s="162">
        <f ca="1">'BC.115+740'!AA234</f>
        <v>1.0069999999999999</v>
      </c>
      <c r="E235" s="163">
        <f ca="1">'BC.115+740'!AB234</f>
        <v>0.80400000000000005</v>
      </c>
      <c r="F235" s="162">
        <f ca="1">VLOOKUP($A235,'BC.115+740'!$B$13:$X$489,8,0)/1000</f>
        <v>1.9</v>
      </c>
      <c r="G235" s="162">
        <f ca="1">VLOOKUP($A235,'BC.115+740'!$B$13:$X$489,9,0)/1000</f>
        <v>-0.1</v>
      </c>
      <c r="H235" s="162">
        <f ca="1">VLOOKUP($A235,'BC.115+740'!$B$13:$X$489,14,0)/1000</f>
        <v>1.887</v>
      </c>
      <c r="I235" s="162">
        <f ca="1">VLOOKUP($A235,'BC.115+740'!$B$13:$X$489,15,0)/1000</f>
        <v>-0.113</v>
      </c>
      <c r="J235" s="162">
        <f ca="1">VLOOKUP($A235,'BC.115+740'!$B$13:$X$489,20,0)/1000</f>
        <v>1.8340000000000001</v>
      </c>
      <c r="K235" s="162">
        <f ca="1">VLOOKUP($A235,'BC.115+740'!$B$13:$X$489,21,0)/1000</f>
        <v>-0.16600000000000001</v>
      </c>
      <c r="L235" s="160">
        <f t="shared" ca="1" si="9"/>
        <v>-140</v>
      </c>
      <c r="M235" s="161">
        <f t="shared" ca="1" si="10"/>
        <v>-103.00000000000001</v>
      </c>
      <c r="N235" s="160">
        <f t="shared" ca="1" si="11"/>
        <v>-126</v>
      </c>
      <c r="O235" s="160"/>
    </row>
    <row r="236" spans="1:15">
      <c r="A236" s="164">
        <f>'BC.115+740'!B235</f>
        <v>45294</v>
      </c>
      <c r="B236" s="160">
        <v>222</v>
      </c>
      <c r="C236" s="162">
        <f ca="1">'BC.115+740'!M235/1000</f>
        <v>0.89700000000000002</v>
      </c>
      <c r="D236" s="162">
        <f ca="1">'BC.115+740'!AA235</f>
        <v>1.0069999999999999</v>
      </c>
      <c r="E236" s="163">
        <f ca="1">'BC.115+740'!AB235</f>
        <v>0.80400000000000005</v>
      </c>
      <c r="F236" s="162">
        <f ca="1">VLOOKUP($A236,'BC.115+740'!$B$13:$X$489,8,0)/1000</f>
        <v>1.9</v>
      </c>
      <c r="G236" s="162">
        <f ca="1">VLOOKUP($A236,'BC.115+740'!$B$13:$X$489,9,0)/1000</f>
        <v>-0.1</v>
      </c>
      <c r="H236" s="162">
        <f ca="1">VLOOKUP($A236,'BC.115+740'!$B$13:$X$489,14,0)/1000</f>
        <v>1.887</v>
      </c>
      <c r="I236" s="162">
        <f ca="1">VLOOKUP($A236,'BC.115+740'!$B$13:$X$489,15,0)/1000</f>
        <v>-0.113</v>
      </c>
      <c r="J236" s="162">
        <f ca="1">VLOOKUP($A236,'BC.115+740'!$B$13:$X$489,20,0)/1000</f>
        <v>1.8340000000000001</v>
      </c>
      <c r="K236" s="162">
        <f ca="1">VLOOKUP($A236,'BC.115+740'!$B$13:$X$489,21,0)/1000</f>
        <v>-0.16600000000000001</v>
      </c>
      <c r="L236" s="160">
        <f t="shared" ca="1" si="9"/>
        <v>-140</v>
      </c>
      <c r="M236" s="161">
        <f t="shared" ca="1" si="10"/>
        <v>-103.00000000000001</v>
      </c>
      <c r="N236" s="160">
        <f t="shared" ca="1" si="11"/>
        <v>-126</v>
      </c>
      <c r="O236" s="160"/>
    </row>
    <row r="237" spans="1:15">
      <c r="A237" s="164">
        <f>'BC.115+740'!B236</f>
        <v>45295</v>
      </c>
      <c r="B237" s="160">
        <v>223</v>
      </c>
      <c r="C237" s="162">
        <f ca="1">'BC.115+740'!M236/1000</f>
        <v>0.89700000000000002</v>
      </c>
      <c r="D237" s="162">
        <f ca="1">'BC.115+740'!AA236</f>
        <v>1.0069999999999999</v>
      </c>
      <c r="E237" s="163">
        <f ca="1">'BC.115+740'!AB236</f>
        <v>0.80400000000000005</v>
      </c>
      <c r="F237" s="162">
        <f ca="1">VLOOKUP($A237,'BC.115+740'!$B$13:$X$489,8,0)/1000</f>
        <v>1.9</v>
      </c>
      <c r="G237" s="162">
        <f ca="1">VLOOKUP($A237,'BC.115+740'!$B$13:$X$489,9,0)/1000</f>
        <v>-0.1</v>
      </c>
      <c r="H237" s="162">
        <f ca="1">VLOOKUP($A237,'BC.115+740'!$B$13:$X$489,14,0)/1000</f>
        <v>1.887</v>
      </c>
      <c r="I237" s="162">
        <f ca="1">VLOOKUP($A237,'BC.115+740'!$B$13:$X$489,15,0)/1000</f>
        <v>-0.113</v>
      </c>
      <c r="J237" s="162">
        <f ca="1">VLOOKUP($A237,'BC.115+740'!$B$13:$X$489,20,0)/1000</f>
        <v>1.8340000000000001</v>
      </c>
      <c r="K237" s="162">
        <f ca="1">VLOOKUP($A237,'BC.115+740'!$B$13:$X$489,21,0)/1000</f>
        <v>-0.16600000000000001</v>
      </c>
      <c r="L237" s="160">
        <f t="shared" ca="1" si="9"/>
        <v>-140</v>
      </c>
      <c r="M237" s="161">
        <f t="shared" ca="1" si="10"/>
        <v>-103.00000000000001</v>
      </c>
      <c r="N237" s="160">
        <f t="shared" ca="1" si="11"/>
        <v>-126</v>
      </c>
      <c r="O237" s="160"/>
    </row>
    <row r="238" spans="1:15">
      <c r="A238" s="164">
        <f>'BC.115+740'!B237</f>
        <v>45296</v>
      </c>
      <c r="B238" s="160">
        <v>224</v>
      </c>
      <c r="C238" s="162">
        <f ca="1">'BC.115+740'!M237/1000</f>
        <v>0.89700000000000002</v>
      </c>
      <c r="D238" s="162">
        <f ca="1">'BC.115+740'!AA237</f>
        <v>1.0069999999999999</v>
      </c>
      <c r="E238" s="163">
        <f ca="1">'BC.115+740'!AB237</f>
        <v>0.80400000000000005</v>
      </c>
      <c r="F238" s="162">
        <f ca="1">VLOOKUP($A238,'BC.115+740'!$B$13:$X$489,8,0)/1000</f>
        <v>1.9</v>
      </c>
      <c r="G238" s="162">
        <f ca="1">VLOOKUP($A238,'BC.115+740'!$B$13:$X$489,9,0)/1000</f>
        <v>-0.1</v>
      </c>
      <c r="H238" s="162">
        <f ca="1">VLOOKUP($A238,'BC.115+740'!$B$13:$X$489,14,0)/1000</f>
        <v>1.887</v>
      </c>
      <c r="I238" s="162">
        <f ca="1">VLOOKUP($A238,'BC.115+740'!$B$13:$X$489,15,0)/1000</f>
        <v>-0.113</v>
      </c>
      <c r="J238" s="162">
        <f ca="1">VLOOKUP($A238,'BC.115+740'!$B$13:$X$489,20,0)/1000</f>
        <v>1.8340000000000001</v>
      </c>
      <c r="K238" s="162">
        <f ca="1">VLOOKUP($A238,'BC.115+740'!$B$13:$X$489,21,0)/1000</f>
        <v>-0.16600000000000001</v>
      </c>
      <c r="L238" s="160">
        <f t="shared" ca="1" si="9"/>
        <v>-140</v>
      </c>
      <c r="M238" s="161">
        <f t="shared" ca="1" si="10"/>
        <v>-103.00000000000001</v>
      </c>
      <c r="N238" s="160">
        <f t="shared" ca="1" si="11"/>
        <v>-126</v>
      </c>
      <c r="O238" s="160"/>
    </row>
    <row r="239" spans="1:15">
      <c r="A239" s="164">
        <f>'BC.115+740'!B238</f>
        <v>45297</v>
      </c>
      <c r="B239" s="160">
        <v>225</v>
      </c>
      <c r="C239" s="162">
        <f ca="1">'BC.115+740'!M238/1000</f>
        <v>0.89700000000000002</v>
      </c>
      <c r="D239" s="162">
        <f ca="1">'BC.115+740'!AA238</f>
        <v>1.0069999999999999</v>
      </c>
      <c r="E239" s="163">
        <f ca="1">'BC.115+740'!AB238</f>
        <v>0.80400000000000005</v>
      </c>
      <c r="F239" s="162">
        <f ca="1">VLOOKUP($A239,'BC.115+740'!$B$13:$X$489,8,0)/1000</f>
        <v>1.9</v>
      </c>
      <c r="G239" s="162">
        <f ca="1">VLOOKUP($A239,'BC.115+740'!$B$13:$X$489,9,0)/1000</f>
        <v>-0.1</v>
      </c>
      <c r="H239" s="162">
        <f ca="1">VLOOKUP($A239,'BC.115+740'!$B$13:$X$489,14,0)/1000</f>
        <v>1.887</v>
      </c>
      <c r="I239" s="162">
        <f ca="1">VLOOKUP($A239,'BC.115+740'!$B$13:$X$489,15,0)/1000</f>
        <v>-0.113</v>
      </c>
      <c r="J239" s="162">
        <f ca="1">VLOOKUP($A239,'BC.115+740'!$B$13:$X$489,20,0)/1000</f>
        <v>1.8340000000000001</v>
      </c>
      <c r="K239" s="162">
        <f ca="1">VLOOKUP($A239,'BC.115+740'!$B$13:$X$489,21,0)/1000</f>
        <v>-0.16600000000000001</v>
      </c>
      <c r="L239" s="160">
        <f t="shared" ca="1" si="9"/>
        <v>-140</v>
      </c>
      <c r="M239" s="161">
        <f t="shared" ca="1" si="10"/>
        <v>-103.00000000000001</v>
      </c>
      <c r="N239" s="160">
        <f t="shared" ca="1" si="11"/>
        <v>-126</v>
      </c>
      <c r="O239" s="160"/>
    </row>
    <row r="240" spans="1:15">
      <c r="A240" s="164">
        <f>'BC.115+740'!B239</f>
        <v>45298</v>
      </c>
      <c r="B240" s="160">
        <v>226</v>
      </c>
      <c r="C240" s="162">
        <f ca="1">'BC.115+740'!M239/1000</f>
        <v>0.89700000000000002</v>
      </c>
      <c r="D240" s="162">
        <f ca="1">'BC.115+740'!AA239</f>
        <v>1.0069999999999999</v>
      </c>
      <c r="E240" s="163">
        <f ca="1">'BC.115+740'!AB239</f>
        <v>0.80400000000000005</v>
      </c>
      <c r="F240" s="162">
        <f ca="1">VLOOKUP($A240,'BC.115+740'!$B$13:$X$489,8,0)/1000</f>
        <v>1.9</v>
      </c>
      <c r="G240" s="162">
        <f ca="1">VLOOKUP($A240,'BC.115+740'!$B$13:$X$489,9,0)/1000</f>
        <v>-0.1</v>
      </c>
      <c r="H240" s="162">
        <f ca="1">VLOOKUP($A240,'BC.115+740'!$B$13:$X$489,14,0)/1000</f>
        <v>1.887</v>
      </c>
      <c r="I240" s="162">
        <f ca="1">VLOOKUP($A240,'BC.115+740'!$B$13:$X$489,15,0)/1000</f>
        <v>-0.113</v>
      </c>
      <c r="J240" s="162">
        <f ca="1">VLOOKUP($A240,'BC.115+740'!$B$13:$X$489,20,0)/1000</f>
        <v>1.8340000000000001</v>
      </c>
      <c r="K240" s="162">
        <f ca="1">VLOOKUP($A240,'BC.115+740'!$B$13:$X$489,21,0)/1000</f>
        <v>-0.16600000000000001</v>
      </c>
      <c r="L240" s="160">
        <f t="shared" ca="1" si="9"/>
        <v>-140</v>
      </c>
      <c r="M240" s="161">
        <f t="shared" ca="1" si="10"/>
        <v>-103.00000000000001</v>
      </c>
      <c r="N240" s="160">
        <f t="shared" ca="1" si="11"/>
        <v>-126</v>
      </c>
      <c r="O240" s="160"/>
    </row>
    <row r="241" spans="1:15">
      <c r="A241" s="164">
        <f>'BC.115+740'!B240</f>
        <v>45299</v>
      </c>
      <c r="B241" s="160">
        <v>227</v>
      </c>
      <c r="C241" s="162">
        <f ca="1">'BC.115+740'!M240/1000</f>
        <v>0.89700000000000002</v>
      </c>
      <c r="D241" s="162">
        <f ca="1">'BC.115+740'!AA240</f>
        <v>1.0069999999999999</v>
      </c>
      <c r="E241" s="163">
        <f ca="1">'BC.115+740'!AB240</f>
        <v>0.80400000000000005</v>
      </c>
      <c r="F241" s="162">
        <f ca="1">VLOOKUP($A241,'BC.115+740'!$B$13:$X$489,8,0)/1000</f>
        <v>1.9</v>
      </c>
      <c r="G241" s="162">
        <f ca="1">VLOOKUP($A241,'BC.115+740'!$B$13:$X$489,9,0)/1000</f>
        <v>-0.1</v>
      </c>
      <c r="H241" s="162">
        <f ca="1">VLOOKUP($A241,'BC.115+740'!$B$13:$X$489,14,0)/1000</f>
        <v>1.887</v>
      </c>
      <c r="I241" s="162">
        <f ca="1">VLOOKUP($A241,'BC.115+740'!$B$13:$X$489,15,0)/1000</f>
        <v>-0.113</v>
      </c>
      <c r="J241" s="162">
        <f ca="1">VLOOKUP($A241,'BC.115+740'!$B$13:$X$489,20,0)/1000</f>
        <v>1.8340000000000001</v>
      </c>
      <c r="K241" s="162">
        <f ca="1">VLOOKUP($A241,'BC.115+740'!$B$13:$X$489,21,0)/1000</f>
        <v>-0.16600000000000001</v>
      </c>
      <c r="L241" s="160">
        <f t="shared" ca="1" si="9"/>
        <v>-140</v>
      </c>
      <c r="M241" s="161">
        <f t="shared" ca="1" si="10"/>
        <v>-103.00000000000001</v>
      </c>
      <c r="N241" s="160">
        <f t="shared" ca="1" si="11"/>
        <v>-126</v>
      </c>
      <c r="O241" s="160"/>
    </row>
    <row r="242" spans="1:15">
      <c r="A242" s="164">
        <f>'BC.115+740'!B241</f>
        <v>45300</v>
      </c>
      <c r="B242" s="160">
        <v>228</v>
      </c>
      <c r="C242" s="162">
        <f ca="1">'BC.115+740'!M241/1000</f>
        <v>0.89700000000000002</v>
      </c>
      <c r="D242" s="162">
        <f ca="1">'BC.115+740'!AA241</f>
        <v>1.0069999999999999</v>
      </c>
      <c r="E242" s="163">
        <f ca="1">'BC.115+740'!AB241</f>
        <v>0.80400000000000005</v>
      </c>
      <c r="F242" s="162">
        <f ca="1">VLOOKUP($A242,'BC.115+740'!$B$13:$X$489,8,0)/1000</f>
        <v>1.9</v>
      </c>
      <c r="G242" s="162">
        <f ca="1">VLOOKUP($A242,'BC.115+740'!$B$13:$X$489,9,0)/1000</f>
        <v>-0.1</v>
      </c>
      <c r="H242" s="162">
        <f ca="1">VLOOKUP($A242,'BC.115+740'!$B$13:$X$489,14,0)/1000</f>
        <v>1.887</v>
      </c>
      <c r="I242" s="162">
        <f ca="1">VLOOKUP($A242,'BC.115+740'!$B$13:$X$489,15,0)/1000</f>
        <v>-0.113</v>
      </c>
      <c r="J242" s="162">
        <f ca="1">VLOOKUP($A242,'BC.115+740'!$B$13:$X$489,20,0)/1000</f>
        <v>1.8340000000000001</v>
      </c>
      <c r="K242" s="162">
        <f ca="1">VLOOKUP($A242,'BC.115+740'!$B$13:$X$489,21,0)/1000</f>
        <v>-0.16600000000000001</v>
      </c>
      <c r="L242" s="160">
        <f t="shared" ca="1" si="9"/>
        <v>-140</v>
      </c>
      <c r="M242" s="161">
        <f t="shared" ca="1" si="10"/>
        <v>-103.00000000000001</v>
      </c>
      <c r="N242" s="160">
        <f t="shared" ca="1" si="11"/>
        <v>-126</v>
      </c>
      <c r="O242" s="160"/>
    </row>
    <row r="243" spans="1:15">
      <c r="A243" s="164">
        <f>'BC.115+740'!B242</f>
        <v>45301</v>
      </c>
      <c r="B243" s="160">
        <v>229</v>
      </c>
      <c r="C243" s="162">
        <f ca="1">'BC.115+740'!M242/1000</f>
        <v>0.89700000000000002</v>
      </c>
      <c r="D243" s="162">
        <f ca="1">'BC.115+740'!AA242</f>
        <v>1.0069999999999999</v>
      </c>
      <c r="E243" s="163">
        <f ca="1">'BC.115+740'!AB242</f>
        <v>0.80400000000000005</v>
      </c>
      <c r="F243" s="162">
        <f ca="1">VLOOKUP($A243,'BC.115+740'!$B$13:$X$489,8,0)/1000</f>
        <v>1.9</v>
      </c>
      <c r="G243" s="162">
        <f ca="1">VLOOKUP($A243,'BC.115+740'!$B$13:$X$489,9,0)/1000</f>
        <v>-0.1</v>
      </c>
      <c r="H243" s="162">
        <f ca="1">VLOOKUP($A243,'BC.115+740'!$B$13:$X$489,14,0)/1000</f>
        <v>1.887</v>
      </c>
      <c r="I243" s="162">
        <f ca="1">VLOOKUP($A243,'BC.115+740'!$B$13:$X$489,15,0)/1000</f>
        <v>-0.113</v>
      </c>
      <c r="J243" s="162">
        <f ca="1">VLOOKUP($A243,'BC.115+740'!$B$13:$X$489,20,0)/1000</f>
        <v>1.8340000000000001</v>
      </c>
      <c r="K243" s="162">
        <f ca="1">VLOOKUP($A243,'BC.115+740'!$B$13:$X$489,21,0)/1000</f>
        <v>-0.16600000000000001</v>
      </c>
      <c r="L243" s="160">
        <f t="shared" ca="1" si="9"/>
        <v>-140</v>
      </c>
      <c r="M243" s="161">
        <f t="shared" ca="1" si="10"/>
        <v>-103.00000000000001</v>
      </c>
      <c r="N243" s="160">
        <f t="shared" ca="1" si="11"/>
        <v>-126</v>
      </c>
      <c r="O243" s="160"/>
    </row>
    <row r="244" spans="1:15">
      <c r="A244" s="164">
        <f>'BC.115+740'!B243</f>
        <v>45302</v>
      </c>
      <c r="B244" s="160">
        <v>230</v>
      </c>
      <c r="C244" s="162">
        <f ca="1">'BC.115+740'!M243/1000</f>
        <v>0.89700000000000002</v>
      </c>
      <c r="D244" s="162">
        <f ca="1">'BC.115+740'!AA243</f>
        <v>1.0069999999999999</v>
      </c>
      <c r="E244" s="163">
        <f ca="1">'BC.115+740'!AB243</f>
        <v>0.80400000000000005</v>
      </c>
      <c r="F244" s="162">
        <f ca="1">VLOOKUP($A244,'BC.115+740'!$B$13:$X$489,8,0)/1000</f>
        <v>1.9</v>
      </c>
      <c r="G244" s="162">
        <f ca="1">VLOOKUP($A244,'BC.115+740'!$B$13:$X$489,9,0)/1000</f>
        <v>-0.1</v>
      </c>
      <c r="H244" s="162">
        <f ca="1">VLOOKUP($A244,'BC.115+740'!$B$13:$X$489,14,0)/1000</f>
        <v>1.887</v>
      </c>
      <c r="I244" s="162">
        <f ca="1">VLOOKUP($A244,'BC.115+740'!$B$13:$X$489,15,0)/1000</f>
        <v>-0.113</v>
      </c>
      <c r="J244" s="162">
        <f ca="1">VLOOKUP($A244,'BC.115+740'!$B$13:$X$489,20,0)/1000</f>
        <v>1.8340000000000001</v>
      </c>
      <c r="K244" s="162">
        <f ca="1">VLOOKUP($A244,'BC.115+740'!$B$13:$X$489,21,0)/1000</f>
        <v>-0.16600000000000001</v>
      </c>
      <c r="L244" s="160">
        <f t="shared" ca="1" si="9"/>
        <v>-140</v>
      </c>
      <c r="M244" s="161">
        <f t="shared" ca="1" si="10"/>
        <v>-103.00000000000001</v>
      </c>
      <c r="N244" s="160">
        <f t="shared" ca="1" si="11"/>
        <v>-126</v>
      </c>
      <c r="O244" s="160"/>
    </row>
    <row r="245" spans="1:15">
      <c r="A245" s="164">
        <f>'BC.115+740'!B244</f>
        <v>45303</v>
      </c>
      <c r="B245" s="160">
        <v>231</v>
      </c>
      <c r="C245" s="162">
        <f ca="1">'BC.115+740'!M244/1000</f>
        <v>0.89700000000000002</v>
      </c>
      <c r="D245" s="162">
        <f ca="1">'BC.115+740'!AA244</f>
        <v>1.0069999999999999</v>
      </c>
      <c r="E245" s="163">
        <f ca="1">'BC.115+740'!AB244</f>
        <v>0.80400000000000005</v>
      </c>
      <c r="F245" s="162">
        <f ca="1">VLOOKUP($A245,'BC.115+740'!$B$13:$X$489,8,0)/1000</f>
        <v>1.9</v>
      </c>
      <c r="G245" s="162">
        <f ca="1">VLOOKUP($A245,'BC.115+740'!$B$13:$X$489,9,0)/1000</f>
        <v>-0.1</v>
      </c>
      <c r="H245" s="162">
        <f ca="1">VLOOKUP($A245,'BC.115+740'!$B$13:$X$489,14,0)/1000</f>
        <v>1.887</v>
      </c>
      <c r="I245" s="162">
        <f ca="1">VLOOKUP($A245,'BC.115+740'!$B$13:$X$489,15,0)/1000</f>
        <v>-0.113</v>
      </c>
      <c r="J245" s="162">
        <f ca="1">VLOOKUP($A245,'BC.115+740'!$B$13:$X$489,20,0)/1000</f>
        <v>1.8340000000000001</v>
      </c>
      <c r="K245" s="162">
        <f ca="1">VLOOKUP($A245,'BC.115+740'!$B$13:$X$489,21,0)/1000</f>
        <v>-0.16600000000000001</v>
      </c>
      <c r="L245" s="160">
        <f t="shared" ca="1" si="9"/>
        <v>-140</v>
      </c>
      <c r="M245" s="161">
        <f t="shared" ca="1" si="10"/>
        <v>-103.00000000000001</v>
      </c>
      <c r="N245" s="160">
        <f t="shared" ca="1" si="11"/>
        <v>-126</v>
      </c>
      <c r="O245" s="160"/>
    </row>
    <row r="246" spans="1:15">
      <c r="A246" s="164">
        <f>'BC.115+740'!B245</f>
        <v>45304</v>
      </c>
      <c r="B246" s="160">
        <v>232</v>
      </c>
      <c r="C246" s="162">
        <f ca="1">'BC.115+740'!M245/1000</f>
        <v>0.89700000000000002</v>
      </c>
      <c r="D246" s="162">
        <f ca="1">'BC.115+740'!AA245</f>
        <v>1.0069999999999999</v>
      </c>
      <c r="E246" s="163">
        <f ca="1">'BC.115+740'!AB245</f>
        <v>0.80400000000000005</v>
      </c>
      <c r="F246" s="162">
        <f ca="1">VLOOKUP($A246,'BC.115+740'!$B$13:$X$489,8,0)/1000</f>
        <v>1.9</v>
      </c>
      <c r="G246" s="162">
        <f ca="1">VLOOKUP($A246,'BC.115+740'!$B$13:$X$489,9,0)/1000</f>
        <v>-0.1</v>
      </c>
      <c r="H246" s="162">
        <f ca="1">VLOOKUP($A246,'BC.115+740'!$B$13:$X$489,14,0)/1000</f>
        <v>1.887</v>
      </c>
      <c r="I246" s="162">
        <f ca="1">VLOOKUP($A246,'BC.115+740'!$B$13:$X$489,15,0)/1000</f>
        <v>-0.113</v>
      </c>
      <c r="J246" s="162">
        <f ca="1">VLOOKUP($A246,'BC.115+740'!$B$13:$X$489,20,0)/1000</f>
        <v>1.8340000000000001</v>
      </c>
      <c r="K246" s="162">
        <f ca="1">VLOOKUP($A246,'BC.115+740'!$B$13:$X$489,21,0)/1000</f>
        <v>-0.16600000000000001</v>
      </c>
      <c r="L246" s="160">
        <f t="shared" ca="1" si="9"/>
        <v>-140</v>
      </c>
      <c r="M246" s="161">
        <f t="shared" ca="1" si="10"/>
        <v>-103.00000000000001</v>
      </c>
      <c r="N246" s="160">
        <f t="shared" ca="1" si="11"/>
        <v>-126</v>
      </c>
      <c r="O246" s="160"/>
    </row>
    <row r="247" spans="1:15">
      <c r="A247" s="164">
        <f>'BC.115+740'!B246</f>
        <v>45305</v>
      </c>
      <c r="B247" s="160">
        <v>233</v>
      </c>
      <c r="C247" s="162">
        <f ca="1">'BC.115+740'!M246/1000</f>
        <v>0.89700000000000002</v>
      </c>
      <c r="D247" s="162">
        <f ca="1">'BC.115+740'!AA246</f>
        <v>1.0069999999999999</v>
      </c>
      <c r="E247" s="163">
        <f ca="1">'BC.115+740'!AB246</f>
        <v>0.80400000000000005</v>
      </c>
      <c r="F247" s="162">
        <f ca="1">VLOOKUP($A247,'BC.115+740'!$B$13:$X$489,8,0)/1000</f>
        <v>1.9</v>
      </c>
      <c r="G247" s="162">
        <f ca="1">VLOOKUP($A247,'BC.115+740'!$B$13:$X$489,9,0)/1000</f>
        <v>-0.1</v>
      </c>
      <c r="H247" s="162">
        <f ca="1">VLOOKUP($A247,'BC.115+740'!$B$13:$X$489,14,0)/1000</f>
        <v>1.887</v>
      </c>
      <c r="I247" s="162">
        <f ca="1">VLOOKUP($A247,'BC.115+740'!$B$13:$X$489,15,0)/1000</f>
        <v>-0.113</v>
      </c>
      <c r="J247" s="162">
        <f ca="1">VLOOKUP($A247,'BC.115+740'!$B$13:$X$489,20,0)/1000</f>
        <v>1.8340000000000001</v>
      </c>
      <c r="K247" s="162">
        <f ca="1">VLOOKUP($A247,'BC.115+740'!$B$13:$X$489,21,0)/1000</f>
        <v>-0.16600000000000001</v>
      </c>
      <c r="L247" s="160">
        <f t="shared" ca="1" si="9"/>
        <v>-140</v>
      </c>
      <c r="M247" s="161">
        <f t="shared" ca="1" si="10"/>
        <v>-103.00000000000001</v>
      </c>
      <c r="N247" s="160">
        <f t="shared" ca="1" si="11"/>
        <v>-126</v>
      </c>
      <c r="O247" s="160"/>
    </row>
    <row r="248" spans="1:15">
      <c r="A248" s="164">
        <f>'BC.115+740'!B247</f>
        <v>45306</v>
      </c>
      <c r="B248" s="160">
        <v>234</v>
      </c>
      <c r="C248" s="162">
        <f ca="1">'BC.115+740'!M247/1000</f>
        <v>0.89700000000000002</v>
      </c>
      <c r="D248" s="162">
        <f ca="1">'BC.115+740'!AA247</f>
        <v>1.0069999999999999</v>
      </c>
      <c r="E248" s="163">
        <f ca="1">'BC.115+740'!AB247</f>
        <v>0.80400000000000005</v>
      </c>
      <c r="F248" s="162">
        <f ca="1">VLOOKUP($A248,'BC.115+740'!$B$13:$X$489,8,0)/1000</f>
        <v>1.9</v>
      </c>
      <c r="G248" s="162">
        <f ca="1">VLOOKUP($A248,'BC.115+740'!$B$13:$X$489,9,0)/1000</f>
        <v>-0.1</v>
      </c>
      <c r="H248" s="162">
        <f ca="1">VLOOKUP($A248,'BC.115+740'!$B$13:$X$489,14,0)/1000</f>
        <v>1.887</v>
      </c>
      <c r="I248" s="162">
        <f ca="1">VLOOKUP($A248,'BC.115+740'!$B$13:$X$489,15,0)/1000</f>
        <v>-0.113</v>
      </c>
      <c r="J248" s="162">
        <f ca="1">VLOOKUP($A248,'BC.115+740'!$B$13:$X$489,20,0)/1000</f>
        <v>1.8340000000000001</v>
      </c>
      <c r="K248" s="162">
        <f ca="1">VLOOKUP($A248,'BC.115+740'!$B$13:$X$489,21,0)/1000</f>
        <v>-0.16600000000000001</v>
      </c>
      <c r="L248" s="160">
        <f t="shared" ca="1" si="9"/>
        <v>-140</v>
      </c>
      <c r="M248" s="161">
        <f t="shared" ca="1" si="10"/>
        <v>-103.00000000000001</v>
      </c>
      <c r="N248" s="160">
        <f t="shared" ca="1" si="11"/>
        <v>-126</v>
      </c>
      <c r="O248" s="160"/>
    </row>
    <row r="249" spans="1:15">
      <c r="A249" s="164">
        <f>'BC.115+740'!B248</f>
        <v>45307</v>
      </c>
      <c r="B249" s="160">
        <v>235</v>
      </c>
      <c r="C249" s="162">
        <f ca="1">'BC.115+740'!M248/1000</f>
        <v>0.89700000000000002</v>
      </c>
      <c r="D249" s="162">
        <f ca="1">'BC.115+740'!AA248</f>
        <v>1.0069999999999999</v>
      </c>
      <c r="E249" s="163">
        <f ca="1">'BC.115+740'!AB248</f>
        <v>0.80400000000000005</v>
      </c>
      <c r="F249" s="162">
        <f ca="1">VLOOKUP($A249,'BC.115+740'!$B$13:$X$489,8,0)/1000</f>
        <v>1.9</v>
      </c>
      <c r="G249" s="162">
        <f ca="1">VLOOKUP($A249,'BC.115+740'!$B$13:$X$489,9,0)/1000</f>
        <v>-0.1</v>
      </c>
      <c r="H249" s="162">
        <f ca="1">VLOOKUP($A249,'BC.115+740'!$B$13:$X$489,14,0)/1000</f>
        <v>1.887</v>
      </c>
      <c r="I249" s="162">
        <f ca="1">VLOOKUP($A249,'BC.115+740'!$B$13:$X$489,15,0)/1000</f>
        <v>-0.113</v>
      </c>
      <c r="J249" s="162">
        <f ca="1">VLOOKUP($A249,'BC.115+740'!$B$13:$X$489,20,0)/1000</f>
        <v>1.8340000000000001</v>
      </c>
      <c r="K249" s="162">
        <f ca="1">VLOOKUP($A249,'BC.115+740'!$B$13:$X$489,21,0)/1000</f>
        <v>-0.16600000000000001</v>
      </c>
      <c r="L249" s="160">
        <f t="shared" ca="1" si="9"/>
        <v>-140</v>
      </c>
      <c r="M249" s="161">
        <f t="shared" ca="1" si="10"/>
        <v>-103.00000000000001</v>
      </c>
      <c r="N249" s="160">
        <f t="shared" ca="1" si="11"/>
        <v>-126</v>
      </c>
      <c r="O249" s="160"/>
    </row>
    <row r="250" spans="1:15">
      <c r="A250" s="164">
        <f>'BC.115+740'!B249</f>
        <v>45308</v>
      </c>
      <c r="B250" s="160">
        <v>236</v>
      </c>
      <c r="C250" s="162">
        <f ca="1">'BC.115+740'!M249/1000</f>
        <v>0.89700000000000002</v>
      </c>
      <c r="D250" s="162">
        <f ca="1">'BC.115+740'!AA249</f>
        <v>1.0069999999999999</v>
      </c>
      <c r="E250" s="163">
        <f ca="1">'BC.115+740'!AB249</f>
        <v>0.80400000000000005</v>
      </c>
      <c r="F250" s="162">
        <f ca="1">VLOOKUP($A250,'BC.115+740'!$B$13:$X$489,8,0)/1000</f>
        <v>1.9</v>
      </c>
      <c r="G250" s="162">
        <f ca="1">VLOOKUP($A250,'BC.115+740'!$B$13:$X$489,9,0)/1000</f>
        <v>-0.1</v>
      </c>
      <c r="H250" s="162">
        <f ca="1">VLOOKUP($A250,'BC.115+740'!$B$13:$X$489,14,0)/1000</f>
        <v>1.887</v>
      </c>
      <c r="I250" s="162">
        <f ca="1">VLOOKUP($A250,'BC.115+740'!$B$13:$X$489,15,0)/1000</f>
        <v>-0.113</v>
      </c>
      <c r="J250" s="162">
        <f ca="1">VLOOKUP($A250,'BC.115+740'!$B$13:$X$489,20,0)/1000</f>
        <v>1.8340000000000001</v>
      </c>
      <c r="K250" s="162">
        <f ca="1">VLOOKUP($A250,'BC.115+740'!$B$13:$X$489,21,0)/1000</f>
        <v>-0.16600000000000001</v>
      </c>
      <c r="L250" s="160">
        <f t="shared" ca="1" si="9"/>
        <v>-140</v>
      </c>
      <c r="M250" s="161">
        <f t="shared" ca="1" si="10"/>
        <v>-103.00000000000001</v>
      </c>
      <c r="N250" s="160">
        <f t="shared" ca="1" si="11"/>
        <v>-126</v>
      </c>
      <c r="O250" s="160"/>
    </row>
    <row r="251" spans="1:15">
      <c r="A251" s="164">
        <f>'BC.115+740'!B250</f>
        <v>45309</v>
      </c>
      <c r="B251" s="160">
        <v>237</v>
      </c>
      <c r="C251" s="162">
        <f ca="1">'BC.115+740'!M250/1000</f>
        <v>0.89700000000000002</v>
      </c>
      <c r="D251" s="162">
        <f ca="1">'BC.115+740'!AA250</f>
        <v>1.0069999999999999</v>
      </c>
      <c r="E251" s="163">
        <f ca="1">'BC.115+740'!AB250</f>
        <v>0.80400000000000005</v>
      </c>
      <c r="F251" s="162">
        <f ca="1">VLOOKUP($A251,'BC.115+740'!$B$13:$X$489,8,0)/1000</f>
        <v>1.9</v>
      </c>
      <c r="G251" s="162">
        <f ca="1">VLOOKUP($A251,'BC.115+740'!$B$13:$X$489,9,0)/1000</f>
        <v>-0.1</v>
      </c>
      <c r="H251" s="162">
        <f ca="1">VLOOKUP($A251,'BC.115+740'!$B$13:$X$489,14,0)/1000</f>
        <v>1.887</v>
      </c>
      <c r="I251" s="162">
        <f ca="1">VLOOKUP($A251,'BC.115+740'!$B$13:$X$489,15,0)/1000</f>
        <v>-0.113</v>
      </c>
      <c r="J251" s="162">
        <f ca="1">VLOOKUP($A251,'BC.115+740'!$B$13:$X$489,20,0)/1000</f>
        <v>1.8340000000000001</v>
      </c>
      <c r="K251" s="162">
        <f ca="1">VLOOKUP($A251,'BC.115+740'!$B$13:$X$489,21,0)/1000</f>
        <v>-0.16600000000000001</v>
      </c>
      <c r="L251" s="160">
        <f t="shared" ca="1" si="9"/>
        <v>-140</v>
      </c>
      <c r="M251" s="161">
        <f t="shared" ca="1" si="10"/>
        <v>-103.00000000000001</v>
      </c>
      <c r="N251" s="160">
        <f t="shared" ca="1" si="11"/>
        <v>-126</v>
      </c>
      <c r="O251" s="160"/>
    </row>
    <row r="252" spans="1:15">
      <c r="A252" s="164">
        <f>'BC.115+740'!B251</f>
        <v>45310</v>
      </c>
      <c r="B252" s="160">
        <v>238</v>
      </c>
      <c r="C252" s="162">
        <f ca="1">'BC.115+740'!M251/1000</f>
        <v>0.89700000000000002</v>
      </c>
      <c r="D252" s="162">
        <f ca="1">'BC.115+740'!AA251</f>
        <v>1.0069999999999999</v>
      </c>
      <c r="E252" s="163">
        <f ca="1">'BC.115+740'!AB251</f>
        <v>0.80400000000000005</v>
      </c>
      <c r="F252" s="162">
        <f ca="1">VLOOKUP($A252,'BC.115+740'!$B$13:$X$489,8,0)/1000</f>
        <v>1.9</v>
      </c>
      <c r="G252" s="162">
        <f ca="1">VLOOKUP($A252,'BC.115+740'!$B$13:$X$489,9,0)/1000</f>
        <v>-0.1</v>
      </c>
      <c r="H252" s="162">
        <f ca="1">VLOOKUP($A252,'BC.115+740'!$B$13:$X$489,14,0)/1000</f>
        <v>1.887</v>
      </c>
      <c r="I252" s="162">
        <f ca="1">VLOOKUP($A252,'BC.115+740'!$B$13:$X$489,15,0)/1000</f>
        <v>-0.113</v>
      </c>
      <c r="J252" s="162">
        <f ca="1">VLOOKUP($A252,'BC.115+740'!$B$13:$X$489,20,0)/1000</f>
        <v>1.8340000000000001</v>
      </c>
      <c r="K252" s="162">
        <f ca="1">VLOOKUP($A252,'BC.115+740'!$B$13:$X$489,21,0)/1000</f>
        <v>-0.16600000000000001</v>
      </c>
      <c r="L252" s="160">
        <f t="shared" ca="1" si="9"/>
        <v>-140</v>
      </c>
      <c r="M252" s="161">
        <f t="shared" ca="1" si="10"/>
        <v>-103.00000000000001</v>
      </c>
      <c r="N252" s="160">
        <f t="shared" ca="1" si="11"/>
        <v>-126</v>
      </c>
      <c r="O252" s="160"/>
    </row>
    <row r="253" spans="1:15">
      <c r="A253" s="164">
        <f>'BC.115+740'!B252</f>
        <v>45311</v>
      </c>
      <c r="B253" s="160">
        <v>239</v>
      </c>
      <c r="C253" s="162">
        <f ca="1">'BC.115+740'!M252/1000</f>
        <v>0.89700000000000002</v>
      </c>
      <c r="D253" s="162">
        <f ca="1">'BC.115+740'!AA252</f>
        <v>1.0069999999999999</v>
      </c>
      <c r="E253" s="163">
        <f ca="1">'BC.115+740'!AB252</f>
        <v>0.80400000000000005</v>
      </c>
      <c r="F253" s="162">
        <f ca="1">VLOOKUP($A253,'BC.115+740'!$B$13:$X$489,8,0)/1000</f>
        <v>1.9</v>
      </c>
      <c r="G253" s="162">
        <f ca="1">VLOOKUP($A253,'BC.115+740'!$B$13:$X$489,9,0)/1000</f>
        <v>-0.1</v>
      </c>
      <c r="H253" s="162">
        <f ca="1">VLOOKUP($A253,'BC.115+740'!$B$13:$X$489,14,0)/1000</f>
        <v>1.887</v>
      </c>
      <c r="I253" s="162">
        <f ca="1">VLOOKUP($A253,'BC.115+740'!$B$13:$X$489,15,0)/1000</f>
        <v>-0.113</v>
      </c>
      <c r="J253" s="162">
        <f ca="1">VLOOKUP($A253,'BC.115+740'!$B$13:$X$489,20,0)/1000</f>
        <v>1.8340000000000001</v>
      </c>
      <c r="K253" s="162">
        <f ca="1">VLOOKUP($A253,'BC.115+740'!$B$13:$X$489,21,0)/1000</f>
        <v>-0.16600000000000001</v>
      </c>
      <c r="L253" s="160">
        <f t="shared" ca="1" si="9"/>
        <v>-140</v>
      </c>
      <c r="M253" s="161">
        <f t="shared" ca="1" si="10"/>
        <v>-103.00000000000001</v>
      </c>
      <c r="N253" s="160">
        <f t="shared" ca="1" si="11"/>
        <v>-126</v>
      </c>
      <c r="O253" s="160"/>
    </row>
    <row r="254" spans="1:15">
      <c r="A254" s="164">
        <f>'BC.115+740'!B253</f>
        <v>45312</v>
      </c>
      <c r="B254" s="160">
        <v>240</v>
      </c>
      <c r="C254" s="162">
        <f ca="1">'BC.115+740'!M253/1000</f>
        <v>0.89700000000000002</v>
      </c>
      <c r="D254" s="162">
        <f ca="1">'BC.115+740'!AA253</f>
        <v>1.0069999999999999</v>
      </c>
      <c r="E254" s="163">
        <f ca="1">'BC.115+740'!AB253</f>
        <v>0.80400000000000005</v>
      </c>
      <c r="F254" s="162">
        <f ca="1">VLOOKUP($A254,'BC.115+740'!$B$13:$X$489,8,0)/1000</f>
        <v>1.9</v>
      </c>
      <c r="G254" s="162">
        <f ca="1">VLOOKUP($A254,'BC.115+740'!$B$13:$X$489,9,0)/1000</f>
        <v>-0.1</v>
      </c>
      <c r="H254" s="162">
        <f ca="1">VLOOKUP($A254,'BC.115+740'!$B$13:$X$489,14,0)/1000</f>
        <v>1.887</v>
      </c>
      <c r="I254" s="162">
        <f ca="1">VLOOKUP($A254,'BC.115+740'!$B$13:$X$489,15,0)/1000</f>
        <v>-0.113</v>
      </c>
      <c r="J254" s="162">
        <f ca="1">VLOOKUP($A254,'BC.115+740'!$B$13:$X$489,20,0)/1000</f>
        <v>1.8340000000000001</v>
      </c>
      <c r="K254" s="162">
        <f ca="1">VLOOKUP($A254,'BC.115+740'!$B$13:$X$489,21,0)/1000</f>
        <v>-0.16600000000000001</v>
      </c>
      <c r="L254" s="160">
        <f t="shared" ca="1" si="9"/>
        <v>-140</v>
      </c>
      <c r="M254" s="161">
        <f t="shared" ca="1" si="10"/>
        <v>-103.00000000000001</v>
      </c>
      <c r="N254" s="160">
        <f t="shared" ca="1" si="11"/>
        <v>-126</v>
      </c>
      <c r="O254" s="160"/>
    </row>
    <row r="255" spans="1:15">
      <c r="A255" s="164">
        <f>'BC.115+740'!B254</f>
        <v>45313</v>
      </c>
      <c r="B255" s="160">
        <v>241</v>
      </c>
      <c r="C255" s="162">
        <f ca="1">'BC.115+740'!M254/1000</f>
        <v>0.89700000000000002</v>
      </c>
      <c r="D255" s="162">
        <f ca="1">'BC.115+740'!AA254</f>
        <v>1.0069999999999999</v>
      </c>
      <c r="E255" s="163">
        <f ca="1">'BC.115+740'!AB254</f>
        <v>0.80400000000000005</v>
      </c>
      <c r="F255" s="162">
        <f ca="1">VLOOKUP($A255,'BC.115+740'!$B$13:$X$489,8,0)/1000</f>
        <v>1.9</v>
      </c>
      <c r="G255" s="162">
        <f ca="1">VLOOKUP($A255,'BC.115+740'!$B$13:$X$489,9,0)/1000</f>
        <v>-0.1</v>
      </c>
      <c r="H255" s="162">
        <f ca="1">VLOOKUP($A255,'BC.115+740'!$B$13:$X$489,14,0)/1000</f>
        <v>1.887</v>
      </c>
      <c r="I255" s="162">
        <f ca="1">VLOOKUP($A255,'BC.115+740'!$B$13:$X$489,15,0)/1000</f>
        <v>-0.113</v>
      </c>
      <c r="J255" s="162">
        <f ca="1">VLOOKUP($A255,'BC.115+740'!$B$13:$X$489,20,0)/1000</f>
        <v>1.8340000000000001</v>
      </c>
      <c r="K255" s="162">
        <f ca="1">VLOOKUP($A255,'BC.115+740'!$B$13:$X$489,21,0)/1000</f>
        <v>-0.16600000000000001</v>
      </c>
      <c r="L255" s="160">
        <f t="shared" ca="1" si="9"/>
        <v>-140</v>
      </c>
      <c r="M255" s="161">
        <f t="shared" ca="1" si="10"/>
        <v>-103.00000000000001</v>
      </c>
      <c r="N255" s="160">
        <f t="shared" ca="1" si="11"/>
        <v>-126</v>
      </c>
      <c r="O255" s="160"/>
    </row>
    <row r="256" spans="1:15">
      <c r="A256" s="164">
        <f>'BC.115+740'!B255</f>
        <v>45314</v>
      </c>
      <c r="B256" s="160">
        <v>242</v>
      </c>
      <c r="C256" s="162">
        <f ca="1">'BC.115+740'!M255/1000</f>
        <v>0.89700000000000002</v>
      </c>
      <c r="D256" s="162">
        <f ca="1">'BC.115+740'!AA255</f>
        <v>1.0069999999999999</v>
      </c>
      <c r="E256" s="163">
        <f ca="1">'BC.115+740'!AB255</f>
        <v>0.80400000000000005</v>
      </c>
      <c r="F256" s="162">
        <f ca="1">VLOOKUP($A256,'BC.115+740'!$B$13:$X$489,8,0)/1000</f>
        <v>1.9</v>
      </c>
      <c r="G256" s="162">
        <f ca="1">VLOOKUP($A256,'BC.115+740'!$B$13:$X$489,9,0)/1000</f>
        <v>-0.1</v>
      </c>
      <c r="H256" s="162">
        <f ca="1">VLOOKUP($A256,'BC.115+740'!$B$13:$X$489,14,0)/1000</f>
        <v>1.887</v>
      </c>
      <c r="I256" s="162">
        <f ca="1">VLOOKUP($A256,'BC.115+740'!$B$13:$X$489,15,0)/1000</f>
        <v>-0.113</v>
      </c>
      <c r="J256" s="162">
        <f ca="1">VLOOKUP($A256,'BC.115+740'!$B$13:$X$489,20,0)/1000</f>
        <v>1.8340000000000001</v>
      </c>
      <c r="K256" s="162">
        <f ca="1">VLOOKUP($A256,'BC.115+740'!$B$13:$X$489,21,0)/1000</f>
        <v>-0.16600000000000001</v>
      </c>
      <c r="L256" s="160">
        <f t="shared" ca="1" si="9"/>
        <v>-140</v>
      </c>
      <c r="M256" s="161">
        <f t="shared" ca="1" si="10"/>
        <v>-103.00000000000001</v>
      </c>
      <c r="N256" s="160">
        <f t="shared" ca="1" si="11"/>
        <v>-126</v>
      </c>
      <c r="O256" s="160"/>
    </row>
    <row r="257" spans="1:15">
      <c r="A257" s="164">
        <f>'BC.115+740'!B256</f>
        <v>45315</v>
      </c>
      <c r="B257" s="160">
        <v>243</v>
      </c>
      <c r="C257" s="162">
        <f ca="1">'BC.115+740'!M256/1000</f>
        <v>0.89700000000000002</v>
      </c>
      <c r="D257" s="162">
        <f ca="1">'BC.115+740'!AA256</f>
        <v>1.0069999999999999</v>
      </c>
      <c r="E257" s="163">
        <f ca="1">'BC.115+740'!AB256</f>
        <v>0.80400000000000005</v>
      </c>
      <c r="F257" s="162">
        <f ca="1">VLOOKUP($A257,'BC.115+740'!$B$13:$X$489,8,0)/1000</f>
        <v>1.9</v>
      </c>
      <c r="G257" s="162">
        <f ca="1">VLOOKUP($A257,'BC.115+740'!$B$13:$X$489,9,0)/1000</f>
        <v>-0.1</v>
      </c>
      <c r="H257" s="162">
        <f ca="1">VLOOKUP($A257,'BC.115+740'!$B$13:$X$489,14,0)/1000</f>
        <v>1.887</v>
      </c>
      <c r="I257" s="162">
        <f ca="1">VLOOKUP($A257,'BC.115+740'!$B$13:$X$489,15,0)/1000</f>
        <v>-0.113</v>
      </c>
      <c r="J257" s="162">
        <f ca="1">VLOOKUP($A257,'BC.115+740'!$B$13:$X$489,20,0)/1000</f>
        <v>1.8340000000000001</v>
      </c>
      <c r="K257" s="162">
        <f ca="1">VLOOKUP($A257,'BC.115+740'!$B$13:$X$489,21,0)/1000</f>
        <v>-0.16600000000000001</v>
      </c>
      <c r="L257" s="160">
        <f t="shared" ca="1" si="9"/>
        <v>-140</v>
      </c>
      <c r="M257" s="161">
        <f t="shared" ca="1" si="10"/>
        <v>-103.00000000000001</v>
      </c>
      <c r="N257" s="160">
        <f t="shared" ca="1" si="11"/>
        <v>-126</v>
      </c>
      <c r="O257" s="160"/>
    </row>
    <row r="258" spans="1:15">
      <c r="A258" s="164">
        <f>'BC.115+740'!B257</f>
        <v>45316</v>
      </c>
      <c r="B258" s="160">
        <v>244</v>
      </c>
      <c r="C258" s="162">
        <f ca="1">'BC.115+740'!M257/1000</f>
        <v>0.89700000000000002</v>
      </c>
      <c r="D258" s="162">
        <f ca="1">'BC.115+740'!AA257</f>
        <v>1.0069999999999999</v>
      </c>
      <c r="E258" s="163">
        <f ca="1">'BC.115+740'!AB257</f>
        <v>0.80400000000000005</v>
      </c>
      <c r="F258" s="162">
        <f ca="1">VLOOKUP($A258,'BC.115+740'!$B$13:$X$489,8,0)/1000</f>
        <v>1.9</v>
      </c>
      <c r="G258" s="162">
        <f ca="1">VLOOKUP($A258,'BC.115+740'!$B$13:$X$489,9,0)/1000</f>
        <v>-0.1</v>
      </c>
      <c r="H258" s="162">
        <f ca="1">VLOOKUP($A258,'BC.115+740'!$B$13:$X$489,14,0)/1000</f>
        <v>1.887</v>
      </c>
      <c r="I258" s="162">
        <f ca="1">VLOOKUP($A258,'BC.115+740'!$B$13:$X$489,15,0)/1000</f>
        <v>-0.113</v>
      </c>
      <c r="J258" s="162">
        <f ca="1">VLOOKUP($A258,'BC.115+740'!$B$13:$X$489,20,0)/1000</f>
        <v>1.8340000000000001</v>
      </c>
      <c r="K258" s="162">
        <f ca="1">VLOOKUP($A258,'BC.115+740'!$B$13:$X$489,21,0)/1000</f>
        <v>-0.16600000000000001</v>
      </c>
      <c r="L258" s="160">
        <f t="shared" ca="1" si="9"/>
        <v>-140</v>
      </c>
      <c r="M258" s="161">
        <f t="shared" ca="1" si="10"/>
        <v>-103.00000000000001</v>
      </c>
      <c r="N258" s="160">
        <f t="shared" ca="1" si="11"/>
        <v>-126</v>
      </c>
      <c r="O258" s="160"/>
    </row>
    <row r="259" spans="1:15">
      <c r="A259" s="164">
        <f>'BC.115+740'!B258</f>
        <v>45317</v>
      </c>
      <c r="B259" s="160">
        <v>245</v>
      </c>
      <c r="C259" s="162">
        <f ca="1">'BC.115+740'!M258/1000</f>
        <v>0.89700000000000002</v>
      </c>
      <c r="D259" s="162">
        <f ca="1">'BC.115+740'!AA258</f>
        <v>1.0069999999999999</v>
      </c>
      <c r="E259" s="163">
        <f ca="1">'BC.115+740'!AB258</f>
        <v>0.80400000000000005</v>
      </c>
      <c r="F259" s="162">
        <f ca="1">VLOOKUP($A259,'BC.115+740'!$B$13:$X$489,8,0)/1000</f>
        <v>1.9</v>
      </c>
      <c r="G259" s="162">
        <f ca="1">VLOOKUP($A259,'BC.115+740'!$B$13:$X$489,9,0)/1000</f>
        <v>-0.1</v>
      </c>
      <c r="H259" s="162">
        <f ca="1">VLOOKUP($A259,'BC.115+740'!$B$13:$X$489,14,0)/1000</f>
        <v>1.887</v>
      </c>
      <c r="I259" s="162">
        <f ca="1">VLOOKUP($A259,'BC.115+740'!$B$13:$X$489,15,0)/1000</f>
        <v>-0.113</v>
      </c>
      <c r="J259" s="162">
        <f ca="1">VLOOKUP($A259,'BC.115+740'!$B$13:$X$489,20,0)/1000</f>
        <v>1.8340000000000001</v>
      </c>
      <c r="K259" s="162">
        <f ca="1">VLOOKUP($A259,'BC.115+740'!$B$13:$X$489,21,0)/1000</f>
        <v>-0.16600000000000001</v>
      </c>
      <c r="L259" s="160">
        <f t="shared" ca="1" si="9"/>
        <v>-140</v>
      </c>
      <c r="M259" s="161">
        <f t="shared" ca="1" si="10"/>
        <v>-103.00000000000001</v>
      </c>
      <c r="N259" s="160">
        <f t="shared" ca="1" si="11"/>
        <v>-126</v>
      </c>
      <c r="O259" s="160"/>
    </row>
    <row r="260" spans="1:15">
      <c r="A260" s="164">
        <f>'BC.115+740'!B259</f>
        <v>45318</v>
      </c>
      <c r="B260" s="160">
        <v>246</v>
      </c>
      <c r="C260" s="162">
        <f ca="1">'BC.115+740'!M259/1000</f>
        <v>0.89700000000000002</v>
      </c>
      <c r="D260" s="162">
        <f ca="1">'BC.115+740'!AA259</f>
        <v>1.0069999999999999</v>
      </c>
      <c r="E260" s="163">
        <f ca="1">'BC.115+740'!AB259</f>
        <v>0.80400000000000005</v>
      </c>
      <c r="F260" s="162">
        <f ca="1">VLOOKUP($A260,'BC.115+740'!$B$13:$X$489,8,0)/1000</f>
        <v>1.9</v>
      </c>
      <c r="G260" s="162">
        <f ca="1">VLOOKUP($A260,'BC.115+740'!$B$13:$X$489,9,0)/1000</f>
        <v>-0.1</v>
      </c>
      <c r="H260" s="162">
        <f ca="1">VLOOKUP($A260,'BC.115+740'!$B$13:$X$489,14,0)/1000</f>
        <v>1.887</v>
      </c>
      <c r="I260" s="162">
        <f ca="1">VLOOKUP($A260,'BC.115+740'!$B$13:$X$489,15,0)/1000</f>
        <v>-0.113</v>
      </c>
      <c r="J260" s="162">
        <f ca="1">VLOOKUP($A260,'BC.115+740'!$B$13:$X$489,20,0)/1000</f>
        <v>1.8340000000000001</v>
      </c>
      <c r="K260" s="162">
        <f ca="1">VLOOKUP($A260,'BC.115+740'!$B$13:$X$489,21,0)/1000</f>
        <v>-0.16600000000000001</v>
      </c>
      <c r="L260" s="160">
        <f t="shared" ca="1" si="9"/>
        <v>-140</v>
      </c>
      <c r="M260" s="161">
        <f t="shared" ca="1" si="10"/>
        <v>-103.00000000000001</v>
      </c>
      <c r="N260" s="160">
        <f t="shared" ca="1" si="11"/>
        <v>-126</v>
      </c>
      <c r="O260" s="160"/>
    </row>
    <row r="261" spans="1:15">
      <c r="A261" s="164">
        <f>'BC.115+740'!B260</f>
        <v>45319</v>
      </c>
      <c r="B261" s="160">
        <v>247</v>
      </c>
      <c r="C261" s="162">
        <f ca="1">'BC.115+740'!M260/1000</f>
        <v>0.89700000000000002</v>
      </c>
      <c r="D261" s="162">
        <f ca="1">'BC.115+740'!AA260</f>
        <v>1.0069999999999999</v>
      </c>
      <c r="E261" s="163">
        <f ca="1">'BC.115+740'!AB260</f>
        <v>0.80400000000000005</v>
      </c>
      <c r="F261" s="162">
        <f ca="1">VLOOKUP($A261,'BC.115+740'!$B$13:$X$489,8,0)/1000</f>
        <v>1.9</v>
      </c>
      <c r="G261" s="162">
        <f ca="1">VLOOKUP($A261,'BC.115+740'!$B$13:$X$489,9,0)/1000</f>
        <v>-0.1</v>
      </c>
      <c r="H261" s="162">
        <f ca="1">VLOOKUP($A261,'BC.115+740'!$B$13:$X$489,14,0)/1000</f>
        <v>1.887</v>
      </c>
      <c r="I261" s="162">
        <f ca="1">VLOOKUP($A261,'BC.115+740'!$B$13:$X$489,15,0)/1000</f>
        <v>-0.113</v>
      </c>
      <c r="J261" s="162">
        <f ca="1">VLOOKUP($A261,'BC.115+740'!$B$13:$X$489,20,0)/1000</f>
        <v>1.8340000000000001</v>
      </c>
      <c r="K261" s="162">
        <f ca="1">VLOOKUP($A261,'BC.115+740'!$B$13:$X$489,21,0)/1000</f>
        <v>-0.16600000000000001</v>
      </c>
      <c r="L261" s="160">
        <f t="shared" ca="1" si="9"/>
        <v>-140</v>
      </c>
      <c r="M261" s="161">
        <f t="shared" ca="1" si="10"/>
        <v>-103.00000000000001</v>
      </c>
      <c r="N261" s="160">
        <f t="shared" ca="1" si="11"/>
        <v>-126</v>
      </c>
      <c r="O261" s="160"/>
    </row>
    <row r="262" spans="1:15">
      <c r="A262" s="164">
        <f>'BC.115+740'!B261</f>
        <v>45320</v>
      </c>
      <c r="B262" s="160">
        <v>248</v>
      </c>
      <c r="C262" s="162">
        <f ca="1">'BC.115+740'!M261/1000</f>
        <v>0.89700000000000002</v>
      </c>
      <c r="D262" s="162">
        <f ca="1">'BC.115+740'!AA261</f>
        <v>1.0069999999999999</v>
      </c>
      <c r="E262" s="163">
        <f ca="1">'BC.115+740'!AB261</f>
        <v>0.80400000000000005</v>
      </c>
      <c r="F262" s="162">
        <f ca="1">VLOOKUP($A262,'BC.115+740'!$B$13:$X$489,8,0)/1000</f>
        <v>1.9</v>
      </c>
      <c r="G262" s="162">
        <f ca="1">VLOOKUP($A262,'BC.115+740'!$B$13:$X$489,9,0)/1000</f>
        <v>-0.1</v>
      </c>
      <c r="H262" s="162">
        <f ca="1">VLOOKUP($A262,'BC.115+740'!$B$13:$X$489,14,0)/1000</f>
        <v>1.887</v>
      </c>
      <c r="I262" s="162">
        <f ca="1">VLOOKUP($A262,'BC.115+740'!$B$13:$X$489,15,0)/1000</f>
        <v>-0.113</v>
      </c>
      <c r="J262" s="162">
        <f ca="1">VLOOKUP($A262,'BC.115+740'!$B$13:$X$489,20,0)/1000</f>
        <v>1.8340000000000001</v>
      </c>
      <c r="K262" s="162">
        <f ca="1">VLOOKUP($A262,'BC.115+740'!$B$13:$X$489,21,0)/1000</f>
        <v>-0.16600000000000001</v>
      </c>
      <c r="L262" s="160">
        <f t="shared" ca="1" si="9"/>
        <v>-140</v>
      </c>
      <c r="M262" s="161">
        <f t="shared" ca="1" si="10"/>
        <v>-103.00000000000001</v>
      </c>
      <c r="N262" s="160">
        <f t="shared" ca="1" si="11"/>
        <v>-126</v>
      </c>
      <c r="O262" s="160"/>
    </row>
    <row r="263" spans="1:15">
      <c r="A263" s="164">
        <f>'BC.115+740'!B262</f>
        <v>45321</v>
      </c>
      <c r="B263" s="160">
        <v>249</v>
      </c>
      <c r="C263" s="162">
        <f ca="1">'BC.115+740'!M262/1000</f>
        <v>0.89700000000000002</v>
      </c>
      <c r="D263" s="162">
        <f ca="1">'BC.115+740'!AA262</f>
        <v>1.0069999999999999</v>
      </c>
      <c r="E263" s="163">
        <f ca="1">'BC.115+740'!AB262</f>
        <v>0.80400000000000005</v>
      </c>
      <c r="F263" s="162">
        <f ca="1">VLOOKUP($A263,'BC.115+740'!$B$13:$X$489,8,0)/1000</f>
        <v>1.9</v>
      </c>
      <c r="G263" s="162">
        <f ca="1">VLOOKUP($A263,'BC.115+740'!$B$13:$X$489,9,0)/1000</f>
        <v>-0.1</v>
      </c>
      <c r="H263" s="162">
        <f ca="1">VLOOKUP($A263,'BC.115+740'!$B$13:$X$489,14,0)/1000</f>
        <v>1.887</v>
      </c>
      <c r="I263" s="162">
        <f ca="1">VLOOKUP($A263,'BC.115+740'!$B$13:$X$489,15,0)/1000</f>
        <v>-0.113</v>
      </c>
      <c r="J263" s="162">
        <f ca="1">VLOOKUP($A263,'BC.115+740'!$B$13:$X$489,20,0)/1000</f>
        <v>1.8340000000000001</v>
      </c>
      <c r="K263" s="162">
        <f ca="1">VLOOKUP($A263,'BC.115+740'!$B$13:$X$489,21,0)/1000</f>
        <v>-0.16600000000000001</v>
      </c>
      <c r="L263" s="160">
        <f t="shared" ca="1" si="9"/>
        <v>-140</v>
      </c>
      <c r="M263" s="161">
        <f t="shared" ca="1" si="10"/>
        <v>-103.00000000000001</v>
      </c>
      <c r="N263" s="160">
        <f t="shared" ca="1" si="11"/>
        <v>-126</v>
      </c>
      <c r="O263" s="160"/>
    </row>
    <row r="264" spans="1:15">
      <c r="A264" s="164">
        <f>'BC.115+740'!B263</f>
        <v>45322</v>
      </c>
      <c r="B264" s="160">
        <v>250</v>
      </c>
      <c r="C264" s="162">
        <f ca="1">'BC.115+740'!M263/1000</f>
        <v>0.89700000000000002</v>
      </c>
      <c r="D264" s="162">
        <f ca="1">'BC.115+740'!AA263</f>
        <v>1.0069999999999999</v>
      </c>
      <c r="E264" s="163">
        <f ca="1">'BC.115+740'!AB263</f>
        <v>0.80400000000000005</v>
      </c>
      <c r="F264" s="162">
        <f ca="1">VLOOKUP($A264,'BC.115+740'!$B$13:$X$489,8,0)/1000</f>
        <v>1.9</v>
      </c>
      <c r="G264" s="162">
        <f ca="1">VLOOKUP($A264,'BC.115+740'!$B$13:$X$489,9,0)/1000</f>
        <v>-0.1</v>
      </c>
      <c r="H264" s="162">
        <f ca="1">VLOOKUP($A264,'BC.115+740'!$B$13:$X$489,14,0)/1000</f>
        <v>1.887</v>
      </c>
      <c r="I264" s="162">
        <f ca="1">VLOOKUP($A264,'BC.115+740'!$B$13:$X$489,15,0)/1000</f>
        <v>-0.113</v>
      </c>
      <c r="J264" s="162">
        <f ca="1">VLOOKUP($A264,'BC.115+740'!$B$13:$X$489,20,0)/1000</f>
        <v>1.8340000000000001</v>
      </c>
      <c r="K264" s="162">
        <f ca="1">VLOOKUP($A264,'BC.115+740'!$B$13:$X$489,21,0)/1000</f>
        <v>-0.16600000000000001</v>
      </c>
      <c r="L264" s="160">
        <f t="shared" ca="1" si="9"/>
        <v>-140</v>
      </c>
      <c r="M264" s="161">
        <f t="shared" ca="1" si="10"/>
        <v>-103.00000000000001</v>
      </c>
      <c r="N264" s="160">
        <f t="shared" ca="1" si="11"/>
        <v>-126</v>
      </c>
      <c r="O264" s="160"/>
    </row>
    <row r="265" spans="1:15">
      <c r="A265" s="164">
        <f>'BC.115+740'!B264</f>
        <v>45323</v>
      </c>
      <c r="B265" s="160">
        <v>251</v>
      </c>
      <c r="C265" s="162">
        <f ca="1">'BC.115+740'!M264/1000</f>
        <v>0.89700000000000002</v>
      </c>
      <c r="D265" s="162">
        <f ca="1">'BC.115+740'!AA264</f>
        <v>1.0069999999999999</v>
      </c>
      <c r="E265" s="163">
        <f ca="1">'BC.115+740'!AB264</f>
        <v>0.80400000000000005</v>
      </c>
      <c r="F265" s="162">
        <f ca="1">VLOOKUP($A265,'BC.115+740'!$B$13:$X$489,8,0)/1000</f>
        <v>1.9</v>
      </c>
      <c r="G265" s="162">
        <f ca="1">VLOOKUP($A265,'BC.115+740'!$B$13:$X$489,9,0)/1000</f>
        <v>-0.1</v>
      </c>
      <c r="H265" s="162">
        <f ca="1">VLOOKUP($A265,'BC.115+740'!$B$13:$X$489,14,0)/1000</f>
        <v>1.887</v>
      </c>
      <c r="I265" s="162">
        <f ca="1">VLOOKUP($A265,'BC.115+740'!$B$13:$X$489,15,0)/1000</f>
        <v>-0.113</v>
      </c>
      <c r="J265" s="162">
        <f ca="1">VLOOKUP($A265,'BC.115+740'!$B$13:$X$489,20,0)/1000</f>
        <v>1.8340000000000001</v>
      </c>
      <c r="K265" s="162">
        <f ca="1">VLOOKUP($A265,'BC.115+740'!$B$13:$X$489,21,0)/1000</f>
        <v>-0.16600000000000001</v>
      </c>
      <c r="L265" s="160">
        <f t="shared" ca="1" si="9"/>
        <v>-140</v>
      </c>
      <c r="M265" s="161">
        <f t="shared" ca="1" si="10"/>
        <v>-103.00000000000001</v>
      </c>
      <c r="N265" s="160">
        <f t="shared" ca="1" si="11"/>
        <v>-126</v>
      </c>
      <c r="O265" s="160"/>
    </row>
    <row r="266" spans="1:15">
      <c r="A266" s="164">
        <f>'BC.115+740'!B265</f>
        <v>45324</v>
      </c>
      <c r="B266" s="160">
        <v>252</v>
      </c>
      <c r="C266" s="162">
        <f ca="1">'BC.115+740'!M265/1000</f>
        <v>0.89700000000000002</v>
      </c>
      <c r="D266" s="162">
        <f ca="1">'BC.115+740'!AA265</f>
        <v>1.0069999999999999</v>
      </c>
      <c r="E266" s="163">
        <f ca="1">'BC.115+740'!AB265</f>
        <v>0.80400000000000005</v>
      </c>
      <c r="F266" s="162">
        <f ca="1">VLOOKUP($A266,'BC.115+740'!$B$13:$X$489,8,0)/1000</f>
        <v>1.9</v>
      </c>
      <c r="G266" s="162">
        <f ca="1">VLOOKUP($A266,'BC.115+740'!$B$13:$X$489,9,0)/1000</f>
        <v>-0.1</v>
      </c>
      <c r="H266" s="162">
        <f ca="1">VLOOKUP($A266,'BC.115+740'!$B$13:$X$489,14,0)/1000</f>
        <v>1.887</v>
      </c>
      <c r="I266" s="162">
        <f ca="1">VLOOKUP($A266,'BC.115+740'!$B$13:$X$489,15,0)/1000</f>
        <v>-0.113</v>
      </c>
      <c r="J266" s="162">
        <f ca="1">VLOOKUP($A266,'BC.115+740'!$B$13:$X$489,20,0)/1000</f>
        <v>1.8340000000000001</v>
      </c>
      <c r="K266" s="162">
        <f ca="1">VLOOKUP($A266,'BC.115+740'!$B$13:$X$489,21,0)/1000</f>
        <v>-0.16600000000000001</v>
      </c>
      <c r="L266" s="160">
        <f t="shared" ca="1" si="9"/>
        <v>-140</v>
      </c>
      <c r="M266" s="161">
        <f t="shared" ca="1" si="10"/>
        <v>-103.00000000000001</v>
      </c>
      <c r="N266" s="160">
        <f t="shared" ca="1" si="11"/>
        <v>-126</v>
      </c>
      <c r="O266" s="160"/>
    </row>
    <row r="267" spans="1:15">
      <c r="A267" s="164">
        <f>'BC.115+740'!B266</f>
        <v>45325</v>
      </c>
      <c r="B267" s="160">
        <v>253</v>
      </c>
      <c r="C267" s="162">
        <f ca="1">'BC.115+740'!M266/1000</f>
        <v>0.89700000000000002</v>
      </c>
      <c r="D267" s="162">
        <f ca="1">'BC.115+740'!AA266</f>
        <v>1.0069999999999999</v>
      </c>
      <c r="E267" s="163">
        <f ca="1">'BC.115+740'!AB266</f>
        <v>0.80400000000000005</v>
      </c>
      <c r="F267" s="162">
        <f ca="1">VLOOKUP($A267,'BC.115+740'!$B$13:$X$489,8,0)/1000</f>
        <v>1.9</v>
      </c>
      <c r="G267" s="162">
        <f ca="1">VLOOKUP($A267,'BC.115+740'!$B$13:$X$489,9,0)/1000</f>
        <v>-0.1</v>
      </c>
      <c r="H267" s="162">
        <f ca="1">VLOOKUP($A267,'BC.115+740'!$B$13:$X$489,14,0)/1000</f>
        <v>1.887</v>
      </c>
      <c r="I267" s="162">
        <f ca="1">VLOOKUP($A267,'BC.115+740'!$B$13:$X$489,15,0)/1000</f>
        <v>-0.113</v>
      </c>
      <c r="J267" s="162">
        <f ca="1">VLOOKUP($A267,'BC.115+740'!$B$13:$X$489,20,0)/1000</f>
        <v>1.8340000000000001</v>
      </c>
      <c r="K267" s="162">
        <f ca="1">VLOOKUP($A267,'BC.115+740'!$B$13:$X$489,21,0)/1000</f>
        <v>-0.16600000000000001</v>
      </c>
      <c r="L267" s="160">
        <f t="shared" ca="1" si="9"/>
        <v>-140</v>
      </c>
      <c r="M267" s="161">
        <f t="shared" ca="1" si="10"/>
        <v>-103.00000000000001</v>
      </c>
      <c r="N267" s="160">
        <f t="shared" ca="1" si="11"/>
        <v>-126</v>
      </c>
      <c r="O267" s="160"/>
    </row>
    <row r="268" spans="1:15">
      <c r="A268" s="164">
        <f>'BC.115+740'!B267</f>
        <v>45326</v>
      </c>
      <c r="B268" s="160">
        <v>254</v>
      </c>
      <c r="C268" s="162">
        <f ca="1">'BC.115+740'!M267/1000</f>
        <v>0.89700000000000002</v>
      </c>
      <c r="D268" s="162">
        <f ca="1">'BC.115+740'!AA267</f>
        <v>1.0069999999999999</v>
      </c>
      <c r="E268" s="163">
        <f ca="1">'BC.115+740'!AB267</f>
        <v>0.80400000000000005</v>
      </c>
      <c r="F268" s="162">
        <f ca="1">VLOOKUP($A268,'BC.115+740'!$B$13:$X$489,8,0)/1000</f>
        <v>1.9</v>
      </c>
      <c r="G268" s="162">
        <f ca="1">VLOOKUP($A268,'BC.115+740'!$B$13:$X$489,9,0)/1000</f>
        <v>-0.1</v>
      </c>
      <c r="H268" s="162">
        <f ca="1">VLOOKUP($A268,'BC.115+740'!$B$13:$X$489,14,0)/1000</f>
        <v>1.887</v>
      </c>
      <c r="I268" s="162">
        <f ca="1">VLOOKUP($A268,'BC.115+740'!$B$13:$X$489,15,0)/1000</f>
        <v>-0.113</v>
      </c>
      <c r="J268" s="162">
        <f ca="1">VLOOKUP($A268,'BC.115+740'!$B$13:$X$489,20,0)/1000</f>
        <v>1.8340000000000001</v>
      </c>
      <c r="K268" s="162">
        <f ca="1">VLOOKUP($A268,'BC.115+740'!$B$13:$X$489,21,0)/1000</f>
        <v>-0.16600000000000001</v>
      </c>
      <c r="L268" s="160">
        <f t="shared" ca="1" si="9"/>
        <v>-140</v>
      </c>
      <c r="M268" s="161">
        <f t="shared" ca="1" si="10"/>
        <v>-103.00000000000001</v>
      </c>
      <c r="N268" s="160">
        <f t="shared" ca="1" si="11"/>
        <v>-126</v>
      </c>
      <c r="O268" s="160"/>
    </row>
    <row r="269" spans="1:15">
      <c r="A269" s="164">
        <f>'BC.115+740'!B268</f>
        <v>45327</v>
      </c>
      <c r="B269" s="160">
        <v>255</v>
      </c>
      <c r="C269" s="162">
        <f ca="1">'BC.115+740'!M268/1000</f>
        <v>0.89700000000000002</v>
      </c>
      <c r="D269" s="162">
        <f ca="1">'BC.115+740'!AA268</f>
        <v>1.0069999999999999</v>
      </c>
      <c r="E269" s="163">
        <f ca="1">'BC.115+740'!AB268</f>
        <v>0.80400000000000005</v>
      </c>
      <c r="F269" s="162">
        <f ca="1">VLOOKUP($A269,'BC.115+740'!$B$13:$X$489,8,0)/1000</f>
        <v>1.9</v>
      </c>
      <c r="G269" s="162">
        <f ca="1">VLOOKUP($A269,'BC.115+740'!$B$13:$X$489,9,0)/1000</f>
        <v>-0.1</v>
      </c>
      <c r="H269" s="162">
        <f ca="1">VLOOKUP($A269,'BC.115+740'!$B$13:$X$489,14,0)/1000</f>
        <v>1.887</v>
      </c>
      <c r="I269" s="162">
        <f ca="1">VLOOKUP($A269,'BC.115+740'!$B$13:$X$489,15,0)/1000</f>
        <v>-0.113</v>
      </c>
      <c r="J269" s="162">
        <f ca="1">VLOOKUP($A269,'BC.115+740'!$B$13:$X$489,20,0)/1000</f>
        <v>1.8340000000000001</v>
      </c>
      <c r="K269" s="162">
        <f ca="1">VLOOKUP($A269,'BC.115+740'!$B$13:$X$489,21,0)/1000</f>
        <v>-0.16600000000000001</v>
      </c>
      <c r="L269" s="160">
        <f t="shared" ca="1" si="9"/>
        <v>-140</v>
      </c>
      <c r="M269" s="161">
        <f t="shared" ca="1" si="10"/>
        <v>-103.00000000000001</v>
      </c>
      <c r="N269" s="160">
        <f t="shared" ca="1" si="11"/>
        <v>-126</v>
      </c>
      <c r="O269" s="160"/>
    </row>
    <row r="270" spans="1:15">
      <c r="A270" s="164">
        <f>'BC.115+740'!B269</f>
        <v>45328</v>
      </c>
      <c r="B270" s="160">
        <v>256</v>
      </c>
      <c r="C270" s="162">
        <f ca="1">'BC.115+740'!M269/1000</f>
        <v>0.89700000000000002</v>
      </c>
      <c r="D270" s="162">
        <f ca="1">'BC.115+740'!AA269</f>
        <v>1.0069999999999999</v>
      </c>
      <c r="E270" s="163">
        <f ca="1">'BC.115+740'!AB269</f>
        <v>0.80400000000000005</v>
      </c>
      <c r="F270" s="162">
        <f ca="1">VLOOKUP($A270,'BC.115+740'!$B$13:$X$489,8,0)/1000</f>
        <v>1.9</v>
      </c>
      <c r="G270" s="162">
        <f ca="1">VLOOKUP($A270,'BC.115+740'!$B$13:$X$489,9,0)/1000</f>
        <v>-0.1</v>
      </c>
      <c r="H270" s="162">
        <f ca="1">VLOOKUP($A270,'BC.115+740'!$B$13:$X$489,14,0)/1000</f>
        <v>1.887</v>
      </c>
      <c r="I270" s="162">
        <f ca="1">VLOOKUP($A270,'BC.115+740'!$B$13:$X$489,15,0)/1000</f>
        <v>-0.113</v>
      </c>
      <c r="J270" s="162">
        <f ca="1">VLOOKUP($A270,'BC.115+740'!$B$13:$X$489,20,0)/1000</f>
        <v>1.8340000000000001</v>
      </c>
      <c r="K270" s="162">
        <f ca="1">VLOOKUP($A270,'BC.115+740'!$B$13:$X$489,21,0)/1000</f>
        <v>-0.16600000000000001</v>
      </c>
      <c r="L270" s="160">
        <f t="shared" ref="L270:L333" ca="1" si="12">(G270-$G$14)*1000</f>
        <v>-140</v>
      </c>
      <c r="M270" s="161">
        <f t="shared" ref="M270:M333" ca="1" si="13">(I270-$I$14)*1000</f>
        <v>-103.00000000000001</v>
      </c>
      <c r="N270" s="160">
        <f t="shared" ca="1" si="11"/>
        <v>-126</v>
      </c>
      <c r="O270" s="160"/>
    </row>
    <row r="271" spans="1:15">
      <c r="A271" s="164">
        <f>'BC.115+740'!B270</f>
        <v>45329</v>
      </c>
      <c r="B271" s="160">
        <v>257</v>
      </c>
      <c r="C271" s="162">
        <f ca="1">'BC.115+740'!M270/1000</f>
        <v>0.89700000000000002</v>
      </c>
      <c r="D271" s="162">
        <f ca="1">'BC.115+740'!AA270</f>
        <v>1.0069999999999999</v>
      </c>
      <c r="E271" s="163">
        <f ca="1">'BC.115+740'!AB270</f>
        <v>0.80400000000000005</v>
      </c>
      <c r="F271" s="162">
        <f ca="1">VLOOKUP($A271,'BC.115+740'!$B$13:$X$489,8,0)/1000</f>
        <v>1.9</v>
      </c>
      <c r="G271" s="162">
        <f ca="1">VLOOKUP($A271,'BC.115+740'!$B$13:$X$489,9,0)/1000</f>
        <v>-0.1</v>
      </c>
      <c r="H271" s="162">
        <f ca="1">VLOOKUP($A271,'BC.115+740'!$B$13:$X$489,14,0)/1000</f>
        <v>1.887</v>
      </c>
      <c r="I271" s="162">
        <f ca="1">VLOOKUP($A271,'BC.115+740'!$B$13:$X$489,15,0)/1000</f>
        <v>-0.113</v>
      </c>
      <c r="J271" s="162">
        <f ca="1">VLOOKUP($A271,'BC.115+740'!$B$13:$X$489,20,0)/1000</f>
        <v>1.8340000000000001</v>
      </c>
      <c r="K271" s="162">
        <f ca="1">VLOOKUP($A271,'BC.115+740'!$B$13:$X$489,21,0)/1000</f>
        <v>-0.16600000000000001</v>
      </c>
      <c r="L271" s="160">
        <f t="shared" ca="1" si="12"/>
        <v>-140</v>
      </c>
      <c r="M271" s="161">
        <f t="shared" ca="1" si="13"/>
        <v>-103.00000000000001</v>
      </c>
      <c r="N271" s="160">
        <f t="shared" ref="N271:N334" ca="1" si="14">(K271-$K$14)*1000</f>
        <v>-126</v>
      </c>
      <c r="O271" s="160"/>
    </row>
    <row r="272" spans="1:15">
      <c r="A272" s="164">
        <f>'BC.115+740'!B271</f>
        <v>45330</v>
      </c>
      <c r="B272" s="160">
        <v>258</v>
      </c>
      <c r="C272" s="162">
        <f ca="1">'BC.115+740'!M271/1000</f>
        <v>0.89700000000000002</v>
      </c>
      <c r="D272" s="162">
        <f ca="1">'BC.115+740'!AA271</f>
        <v>1.0069999999999999</v>
      </c>
      <c r="E272" s="163">
        <f ca="1">'BC.115+740'!AB271</f>
        <v>0.80400000000000005</v>
      </c>
      <c r="F272" s="162">
        <f ca="1">VLOOKUP($A272,'BC.115+740'!$B$13:$X$489,8,0)/1000</f>
        <v>1.9</v>
      </c>
      <c r="G272" s="162">
        <f ca="1">VLOOKUP($A272,'BC.115+740'!$B$13:$X$489,9,0)/1000</f>
        <v>-0.1</v>
      </c>
      <c r="H272" s="162">
        <f ca="1">VLOOKUP($A272,'BC.115+740'!$B$13:$X$489,14,0)/1000</f>
        <v>1.887</v>
      </c>
      <c r="I272" s="162">
        <f ca="1">VLOOKUP($A272,'BC.115+740'!$B$13:$X$489,15,0)/1000</f>
        <v>-0.113</v>
      </c>
      <c r="J272" s="162">
        <f ca="1">VLOOKUP($A272,'BC.115+740'!$B$13:$X$489,20,0)/1000</f>
        <v>1.8340000000000001</v>
      </c>
      <c r="K272" s="162">
        <f ca="1">VLOOKUP($A272,'BC.115+740'!$B$13:$X$489,21,0)/1000</f>
        <v>-0.16600000000000001</v>
      </c>
      <c r="L272" s="160">
        <f t="shared" ca="1" si="12"/>
        <v>-140</v>
      </c>
      <c r="M272" s="161">
        <f t="shared" ca="1" si="13"/>
        <v>-103.00000000000001</v>
      </c>
      <c r="N272" s="160">
        <f t="shared" ca="1" si="14"/>
        <v>-126</v>
      </c>
      <c r="O272" s="160"/>
    </row>
    <row r="273" spans="1:15">
      <c r="A273" s="164">
        <f>'BC.115+740'!B272</f>
        <v>45331</v>
      </c>
      <c r="B273" s="160">
        <v>259</v>
      </c>
      <c r="C273" s="162">
        <f ca="1">'BC.115+740'!M272/1000</f>
        <v>0.89700000000000002</v>
      </c>
      <c r="D273" s="162">
        <f ca="1">'BC.115+740'!AA272</f>
        <v>1.0069999999999999</v>
      </c>
      <c r="E273" s="163">
        <f ca="1">'BC.115+740'!AB272</f>
        <v>0.80400000000000005</v>
      </c>
      <c r="F273" s="162">
        <f ca="1">VLOOKUP($A273,'BC.115+740'!$B$13:$X$489,8,0)/1000</f>
        <v>1.9</v>
      </c>
      <c r="G273" s="162">
        <f ca="1">VLOOKUP($A273,'BC.115+740'!$B$13:$X$489,9,0)/1000</f>
        <v>-0.1</v>
      </c>
      <c r="H273" s="162">
        <f ca="1">VLOOKUP($A273,'BC.115+740'!$B$13:$X$489,14,0)/1000</f>
        <v>1.887</v>
      </c>
      <c r="I273" s="162">
        <f ca="1">VLOOKUP($A273,'BC.115+740'!$B$13:$X$489,15,0)/1000</f>
        <v>-0.113</v>
      </c>
      <c r="J273" s="162">
        <f ca="1">VLOOKUP($A273,'BC.115+740'!$B$13:$X$489,20,0)/1000</f>
        <v>1.8340000000000001</v>
      </c>
      <c r="K273" s="162">
        <f ca="1">VLOOKUP($A273,'BC.115+740'!$B$13:$X$489,21,0)/1000</f>
        <v>-0.16600000000000001</v>
      </c>
      <c r="L273" s="160">
        <f t="shared" ca="1" si="12"/>
        <v>-140</v>
      </c>
      <c r="M273" s="161">
        <f t="shared" ca="1" si="13"/>
        <v>-103.00000000000001</v>
      </c>
      <c r="N273" s="160">
        <f t="shared" ca="1" si="14"/>
        <v>-126</v>
      </c>
      <c r="O273" s="160"/>
    </row>
    <row r="274" spans="1:15">
      <c r="A274" s="164">
        <f>'BC.115+740'!B273</f>
        <v>45332</v>
      </c>
      <c r="B274" s="160">
        <v>260</v>
      </c>
      <c r="C274" s="162">
        <f ca="1">'BC.115+740'!M273/1000</f>
        <v>0.89700000000000002</v>
      </c>
      <c r="D274" s="162">
        <f ca="1">'BC.115+740'!AA273</f>
        <v>1.0069999999999999</v>
      </c>
      <c r="E274" s="163">
        <f ca="1">'BC.115+740'!AB273</f>
        <v>0.80400000000000005</v>
      </c>
      <c r="F274" s="162">
        <f ca="1">VLOOKUP($A274,'BC.115+740'!$B$13:$X$489,8,0)/1000</f>
        <v>1.9</v>
      </c>
      <c r="G274" s="162">
        <f ca="1">VLOOKUP($A274,'BC.115+740'!$B$13:$X$489,9,0)/1000</f>
        <v>-0.1</v>
      </c>
      <c r="H274" s="162">
        <f ca="1">VLOOKUP($A274,'BC.115+740'!$B$13:$X$489,14,0)/1000</f>
        <v>1.887</v>
      </c>
      <c r="I274" s="162">
        <f ca="1">VLOOKUP($A274,'BC.115+740'!$B$13:$X$489,15,0)/1000</f>
        <v>-0.113</v>
      </c>
      <c r="J274" s="162">
        <f ca="1">VLOOKUP($A274,'BC.115+740'!$B$13:$X$489,20,0)/1000</f>
        <v>1.8340000000000001</v>
      </c>
      <c r="K274" s="162">
        <f ca="1">VLOOKUP($A274,'BC.115+740'!$B$13:$X$489,21,0)/1000</f>
        <v>-0.16600000000000001</v>
      </c>
      <c r="L274" s="160">
        <f t="shared" ca="1" si="12"/>
        <v>-140</v>
      </c>
      <c r="M274" s="161">
        <f t="shared" ca="1" si="13"/>
        <v>-103.00000000000001</v>
      </c>
      <c r="N274" s="160">
        <f t="shared" ca="1" si="14"/>
        <v>-126</v>
      </c>
      <c r="O274" s="160"/>
    </row>
    <row r="275" spans="1:15">
      <c r="A275" s="164">
        <f>'BC.115+740'!B274</f>
        <v>45333</v>
      </c>
      <c r="B275" s="160">
        <v>261</v>
      </c>
      <c r="C275" s="162">
        <f ca="1">'BC.115+740'!M274/1000</f>
        <v>0.89700000000000002</v>
      </c>
      <c r="D275" s="162">
        <f ca="1">'BC.115+740'!AA274</f>
        <v>1.0069999999999999</v>
      </c>
      <c r="E275" s="163">
        <f ca="1">'BC.115+740'!AB274</f>
        <v>0.80400000000000005</v>
      </c>
      <c r="F275" s="162">
        <f ca="1">VLOOKUP($A275,'BC.115+740'!$B$13:$X$489,8,0)/1000</f>
        <v>1.9</v>
      </c>
      <c r="G275" s="162">
        <f ca="1">VLOOKUP($A275,'BC.115+740'!$B$13:$X$489,9,0)/1000</f>
        <v>-0.1</v>
      </c>
      <c r="H275" s="162">
        <f ca="1">VLOOKUP($A275,'BC.115+740'!$B$13:$X$489,14,0)/1000</f>
        <v>1.887</v>
      </c>
      <c r="I275" s="162">
        <f ca="1">VLOOKUP($A275,'BC.115+740'!$B$13:$X$489,15,0)/1000</f>
        <v>-0.113</v>
      </c>
      <c r="J275" s="162">
        <f ca="1">VLOOKUP($A275,'BC.115+740'!$B$13:$X$489,20,0)/1000</f>
        <v>1.8340000000000001</v>
      </c>
      <c r="K275" s="162">
        <f ca="1">VLOOKUP($A275,'BC.115+740'!$B$13:$X$489,21,0)/1000</f>
        <v>-0.16600000000000001</v>
      </c>
      <c r="L275" s="160">
        <f t="shared" ca="1" si="12"/>
        <v>-140</v>
      </c>
      <c r="M275" s="161">
        <f t="shared" ca="1" si="13"/>
        <v>-103.00000000000001</v>
      </c>
      <c r="N275" s="160">
        <f t="shared" ca="1" si="14"/>
        <v>-126</v>
      </c>
      <c r="O275" s="160"/>
    </row>
    <row r="276" spans="1:15">
      <c r="A276" s="164">
        <f>'BC.115+740'!B275</f>
        <v>45334</v>
      </c>
      <c r="B276" s="160">
        <v>262</v>
      </c>
      <c r="C276" s="162">
        <f ca="1">'BC.115+740'!M275/1000</f>
        <v>0.89700000000000002</v>
      </c>
      <c r="D276" s="162">
        <f ca="1">'BC.115+740'!AA275</f>
        <v>1.0069999999999999</v>
      </c>
      <c r="E276" s="163">
        <f ca="1">'BC.115+740'!AB275</f>
        <v>0.80400000000000005</v>
      </c>
      <c r="F276" s="162">
        <f ca="1">VLOOKUP($A276,'BC.115+740'!$B$13:$X$489,8,0)/1000</f>
        <v>1.9</v>
      </c>
      <c r="G276" s="162">
        <f ca="1">VLOOKUP($A276,'BC.115+740'!$B$13:$X$489,9,0)/1000</f>
        <v>-0.1</v>
      </c>
      <c r="H276" s="162">
        <f ca="1">VLOOKUP($A276,'BC.115+740'!$B$13:$X$489,14,0)/1000</f>
        <v>1.887</v>
      </c>
      <c r="I276" s="162">
        <f ca="1">VLOOKUP($A276,'BC.115+740'!$B$13:$X$489,15,0)/1000</f>
        <v>-0.113</v>
      </c>
      <c r="J276" s="162">
        <f ca="1">VLOOKUP($A276,'BC.115+740'!$B$13:$X$489,20,0)/1000</f>
        <v>1.8340000000000001</v>
      </c>
      <c r="K276" s="162">
        <f ca="1">VLOOKUP($A276,'BC.115+740'!$B$13:$X$489,21,0)/1000</f>
        <v>-0.16600000000000001</v>
      </c>
      <c r="L276" s="160">
        <f t="shared" ca="1" si="12"/>
        <v>-140</v>
      </c>
      <c r="M276" s="161">
        <f t="shared" ca="1" si="13"/>
        <v>-103.00000000000001</v>
      </c>
      <c r="N276" s="160">
        <f t="shared" ca="1" si="14"/>
        <v>-126</v>
      </c>
      <c r="O276" s="160"/>
    </row>
    <row r="277" spans="1:15">
      <c r="A277" s="164">
        <f>'BC.115+740'!B276</f>
        <v>45335</v>
      </c>
      <c r="B277" s="160">
        <v>263</v>
      </c>
      <c r="C277" s="162">
        <f ca="1">'BC.115+740'!M276/1000</f>
        <v>0.89700000000000002</v>
      </c>
      <c r="D277" s="162">
        <f ca="1">'BC.115+740'!AA276</f>
        <v>1.0069999999999999</v>
      </c>
      <c r="E277" s="163">
        <f ca="1">'BC.115+740'!AB276</f>
        <v>0.80400000000000005</v>
      </c>
      <c r="F277" s="162">
        <f ca="1">VLOOKUP($A277,'BC.115+740'!$B$13:$X$489,8,0)/1000</f>
        <v>1.9</v>
      </c>
      <c r="G277" s="162">
        <f ca="1">VLOOKUP($A277,'BC.115+740'!$B$13:$X$489,9,0)/1000</f>
        <v>-0.1</v>
      </c>
      <c r="H277" s="162">
        <f ca="1">VLOOKUP($A277,'BC.115+740'!$B$13:$X$489,14,0)/1000</f>
        <v>1.887</v>
      </c>
      <c r="I277" s="162">
        <f ca="1">VLOOKUP($A277,'BC.115+740'!$B$13:$X$489,15,0)/1000</f>
        <v>-0.113</v>
      </c>
      <c r="J277" s="162">
        <f ca="1">VLOOKUP($A277,'BC.115+740'!$B$13:$X$489,20,0)/1000</f>
        <v>1.8340000000000001</v>
      </c>
      <c r="K277" s="162">
        <f ca="1">VLOOKUP($A277,'BC.115+740'!$B$13:$X$489,21,0)/1000</f>
        <v>-0.16600000000000001</v>
      </c>
      <c r="L277" s="160">
        <f t="shared" ca="1" si="12"/>
        <v>-140</v>
      </c>
      <c r="M277" s="161">
        <f t="shared" ca="1" si="13"/>
        <v>-103.00000000000001</v>
      </c>
      <c r="N277" s="160">
        <f t="shared" ca="1" si="14"/>
        <v>-126</v>
      </c>
      <c r="O277" s="160"/>
    </row>
    <row r="278" spans="1:15">
      <c r="A278" s="164">
        <f>'BC.115+740'!B277</f>
        <v>45336</v>
      </c>
      <c r="B278" s="160">
        <v>264</v>
      </c>
      <c r="C278" s="162">
        <f ca="1">'BC.115+740'!M277/1000</f>
        <v>0.89700000000000002</v>
      </c>
      <c r="D278" s="162">
        <f ca="1">'BC.115+740'!AA277</f>
        <v>1.0069999999999999</v>
      </c>
      <c r="E278" s="163">
        <f ca="1">'BC.115+740'!AB277</f>
        <v>0.80400000000000005</v>
      </c>
      <c r="F278" s="162">
        <f ca="1">VLOOKUP($A278,'BC.115+740'!$B$13:$X$489,8,0)/1000</f>
        <v>1.9</v>
      </c>
      <c r="G278" s="162">
        <f ca="1">VLOOKUP($A278,'BC.115+740'!$B$13:$X$489,9,0)/1000</f>
        <v>-0.1</v>
      </c>
      <c r="H278" s="162">
        <f ca="1">VLOOKUP($A278,'BC.115+740'!$B$13:$X$489,14,0)/1000</f>
        <v>1.887</v>
      </c>
      <c r="I278" s="162">
        <f ca="1">VLOOKUP($A278,'BC.115+740'!$B$13:$X$489,15,0)/1000</f>
        <v>-0.113</v>
      </c>
      <c r="J278" s="162">
        <f ca="1">VLOOKUP($A278,'BC.115+740'!$B$13:$X$489,20,0)/1000</f>
        <v>1.8340000000000001</v>
      </c>
      <c r="K278" s="162">
        <f ca="1">VLOOKUP($A278,'BC.115+740'!$B$13:$X$489,21,0)/1000</f>
        <v>-0.16600000000000001</v>
      </c>
      <c r="L278" s="160">
        <f t="shared" ca="1" si="12"/>
        <v>-140</v>
      </c>
      <c r="M278" s="161">
        <f t="shared" ca="1" si="13"/>
        <v>-103.00000000000001</v>
      </c>
      <c r="N278" s="160">
        <f t="shared" ca="1" si="14"/>
        <v>-126</v>
      </c>
      <c r="O278" s="160"/>
    </row>
    <row r="279" spans="1:15">
      <c r="A279" s="164">
        <f>'BC.115+740'!B278</f>
        <v>45337</v>
      </c>
      <c r="B279" s="160">
        <v>265</v>
      </c>
      <c r="C279" s="162">
        <f ca="1">'BC.115+740'!M278/1000</f>
        <v>0.89700000000000002</v>
      </c>
      <c r="D279" s="162">
        <f ca="1">'BC.115+740'!AA278</f>
        <v>1.0069999999999999</v>
      </c>
      <c r="E279" s="163">
        <f ca="1">'BC.115+740'!AB278</f>
        <v>0.80400000000000005</v>
      </c>
      <c r="F279" s="162">
        <f ca="1">VLOOKUP($A279,'BC.115+740'!$B$13:$X$489,8,0)/1000</f>
        <v>1.9</v>
      </c>
      <c r="G279" s="162">
        <f ca="1">VLOOKUP($A279,'BC.115+740'!$B$13:$X$489,9,0)/1000</f>
        <v>-0.1</v>
      </c>
      <c r="H279" s="162">
        <f ca="1">VLOOKUP($A279,'BC.115+740'!$B$13:$X$489,14,0)/1000</f>
        <v>1.887</v>
      </c>
      <c r="I279" s="162">
        <f ca="1">VLOOKUP($A279,'BC.115+740'!$B$13:$X$489,15,0)/1000</f>
        <v>-0.113</v>
      </c>
      <c r="J279" s="162">
        <f ca="1">VLOOKUP($A279,'BC.115+740'!$B$13:$X$489,20,0)/1000</f>
        <v>1.8340000000000001</v>
      </c>
      <c r="K279" s="162">
        <f ca="1">VLOOKUP($A279,'BC.115+740'!$B$13:$X$489,21,0)/1000</f>
        <v>-0.16600000000000001</v>
      </c>
      <c r="L279" s="160">
        <f t="shared" ca="1" si="12"/>
        <v>-140</v>
      </c>
      <c r="M279" s="161">
        <f t="shared" ca="1" si="13"/>
        <v>-103.00000000000001</v>
      </c>
      <c r="N279" s="160">
        <f t="shared" ca="1" si="14"/>
        <v>-126</v>
      </c>
      <c r="O279" s="160"/>
    </row>
    <row r="280" spans="1:15">
      <c r="A280" s="164">
        <f>'BC.115+740'!B279</f>
        <v>45338</v>
      </c>
      <c r="B280" s="160">
        <v>266</v>
      </c>
      <c r="C280" s="162">
        <f ca="1">'BC.115+740'!M279/1000</f>
        <v>0.89700000000000002</v>
      </c>
      <c r="D280" s="162">
        <f ca="1">'BC.115+740'!AA279</f>
        <v>1.0069999999999999</v>
      </c>
      <c r="E280" s="163">
        <f ca="1">'BC.115+740'!AB279</f>
        <v>0.80400000000000005</v>
      </c>
      <c r="F280" s="162">
        <f ca="1">VLOOKUP($A280,'BC.115+740'!$B$13:$X$489,8,0)/1000</f>
        <v>1.9</v>
      </c>
      <c r="G280" s="162">
        <f ca="1">VLOOKUP($A280,'BC.115+740'!$B$13:$X$489,9,0)/1000</f>
        <v>-0.1</v>
      </c>
      <c r="H280" s="162">
        <f ca="1">VLOOKUP($A280,'BC.115+740'!$B$13:$X$489,14,0)/1000</f>
        <v>1.887</v>
      </c>
      <c r="I280" s="162">
        <f ca="1">VLOOKUP($A280,'BC.115+740'!$B$13:$X$489,15,0)/1000</f>
        <v>-0.113</v>
      </c>
      <c r="J280" s="162">
        <f ca="1">VLOOKUP($A280,'BC.115+740'!$B$13:$X$489,20,0)/1000</f>
        <v>1.8340000000000001</v>
      </c>
      <c r="K280" s="162">
        <f ca="1">VLOOKUP($A280,'BC.115+740'!$B$13:$X$489,21,0)/1000</f>
        <v>-0.16600000000000001</v>
      </c>
      <c r="L280" s="160">
        <f t="shared" ca="1" si="12"/>
        <v>-140</v>
      </c>
      <c r="M280" s="161">
        <f t="shared" ca="1" si="13"/>
        <v>-103.00000000000001</v>
      </c>
      <c r="N280" s="160">
        <f t="shared" ca="1" si="14"/>
        <v>-126</v>
      </c>
      <c r="O280" s="160"/>
    </row>
    <row r="281" spans="1:15">
      <c r="A281" s="164">
        <f>'BC.115+740'!B280</f>
        <v>45339</v>
      </c>
      <c r="B281" s="160">
        <v>267</v>
      </c>
      <c r="C281" s="162">
        <f ca="1">'BC.115+740'!M280/1000</f>
        <v>0.89700000000000002</v>
      </c>
      <c r="D281" s="162">
        <f ca="1">'BC.115+740'!AA280</f>
        <v>1.0069999999999999</v>
      </c>
      <c r="E281" s="163">
        <f ca="1">'BC.115+740'!AB280</f>
        <v>0.80400000000000005</v>
      </c>
      <c r="F281" s="162">
        <f ca="1">VLOOKUP($A281,'BC.115+740'!$B$13:$X$489,8,0)/1000</f>
        <v>1.9</v>
      </c>
      <c r="G281" s="162">
        <f ca="1">VLOOKUP($A281,'BC.115+740'!$B$13:$X$489,9,0)/1000</f>
        <v>-0.1</v>
      </c>
      <c r="H281" s="162">
        <f ca="1">VLOOKUP($A281,'BC.115+740'!$B$13:$X$489,14,0)/1000</f>
        <v>1.887</v>
      </c>
      <c r="I281" s="162">
        <f ca="1">VLOOKUP($A281,'BC.115+740'!$B$13:$X$489,15,0)/1000</f>
        <v>-0.113</v>
      </c>
      <c r="J281" s="162">
        <f ca="1">VLOOKUP($A281,'BC.115+740'!$B$13:$X$489,20,0)/1000</f>
        <v>1.8340000000000001</v>
      </c>
      <c r="K281" s="162">
        <f ca="1">VLOOKUP($A281,'BC.115+740'!$B$13:$X$489,21,0)/1000</f>
        <v>-0.16600000000000001</v>
      </c>
      <c r="L281" s="160">
        <f t="shared" ca="1" si="12"/>
        <v>-140</v>
      </c>
      <c r="M281" s="161">
        <f t="shared" ca="1" si="13"/>
        <v>-103.00000000000001</v>
      </c>
      <c r="N281" s="160">
        <f t="shared" ca="1" si="14"/>
        <v>-126</v>
      </c>
      <c r="O281" s="160"/>
    </row>
    <row r="282" spans="1:15">
      <c r="A282" s="164">
        <f>'BC.115+740'!B281</f>
        <v>45340</v>
      </c>
      <c r="B282" s="160">
        <v>268</v>
      </c>
      <c r="C282" s="162">
        <f ca="1">'BC.115+740'!M281/1000</f>
        <v>0.89700000000000002</v>
      </c>
      <c r="D282" s="162">
        <f ca="1">'BC.115+740'!AA281</f>
        <v>1.0069999999999999</v>
      </c>
      <c r="E282" s="163">
        <f ca="1">'BC.115+740'!AB281</f>
        <v>0.80400000000000005</v>
      </c>
      <c r="F282" s="162">
        <f ca="1">VLOOKUP($A282,'BC.115+740'!$B$13:$X$489,8,0)/1000</f>
        <v>1.9</v>
      </c>
      <c r="G282" s="162">
        <f ca="1">VLOOKUP($A282,'BC.115+740'!$B$13:$X$489,9,0)/1000</f>
        <v>-0.1</v>
      </c>
      <c r="H282" s="162">
        <f ca="1">VLOOKUP($A282,'BC.115+740'!$B$13:$X$489,14,0)/1000</f>
        <v>1.887</v>
      </c>
      <c r="I282" s="162">
        <f ca="1">VLOOKUP($A282,'BC.115+740'!$B$13:$X$489,15,0)/1000</f>
        <v>-0.113</v>
      </c>
      <c r="J282" s="162">
        <f ca="1">VLOOKUP($A282,'BC.115+740'!$B$13:$X$489,20,0)/1000</f>
        <v>1.8340000000000001</v>
      </c>
      <c r="K282" s="162">
        <f ca="1">VLOOKUP($A282,'BC.115+740'!$B$13:$X$489,21,0)/1000</f>
        <v>-0.16600000000000001</v>
      </c>
      <c r="L282" s="160">
        <f t="shared" ca="1" si="12"/>
        <v>-140</v>
      </c>
      <c r="M282" s="161">
        <f t="shared" ca="1" si="13"/>
        <v>-103.00000000000001</v>
      </c>
      <c r="N282" s="160">
        <f t="shared" ca="1" si="14"/>
        <v>-126</v>
      </c>
      <c r="O282" s="160"/>
    </row>
    <row r="283" spans="1:15">
      <c r="A283" s="164">
        <f>'BC.115+740'!B282</f>
        <v>45341</v>
      </c>
      <c r="B283" s="160">
        <v>269</v>
      </c>
      <c r="C283" s="162">
        <f ca="1">'BC.115+740'!M282/1000</f>
        <v>0.89700000000000002</v>
      </c>
      <c r="D283" s="162">
        <f ca="1">'BC.115+740'!AA282</f>
        <v>1.0069999999999999</v>
      </c>
      <c r="E283" s="163">
        <f ca="1">'BC.115+740'!AB282</f>
        <v>0.80400000000000005</v>
      </c>
      <c r="F283" s="162">
        <f ca="1">VLOOKUP($A283,'BC.115+740'!$B$13:$X$489,8,0)/1000</f>
        <v>1.9</v>
      </c>
      <c r="G283" s="162">
        <f ca="1">VLOOKUP($A283,'BC.115+740'!$B$13:$X$489,9,0)/1000</f>
        <v>-0.1</v>
      </c>
      <c r="H283" s="162">
        <f ca="1">VLOOKUP($A283,'BC.115+740'!$B$13:$X$489,14,0)/1000</f>
        <v>1.887</v>
      </c>
      <c r="I283" s="162">
        <f ca="1">VLOOKUP($A283,'BC.115+740'!$B$13:$X$489,15,0)/1000</f>
        <v>-0.113</v>
      </c>
      <c r="J283" s="162">
        <f ca="1">VLOOKUP($A283,'BC.115+740'!$B$13:$X$489,20,0)/1000</f>
        <v>1.8340000000000001</v>
      </c>
      <c r="K283" s="162">
        <f ca="1">VLOOKUP($A283,'BC.115+740'!$B$13:$X$489,21,0)/1000</f>
        <v>-0.16600000000000001</v>
      </c>
      <c r="L283" s="160">
        <f t="shared" ca="1" si="12"/>
        <v>-140</v>
      </c>
      <c r="M283" s="161">
        <f t="shared" ca="1" si="13"/>
        <v>-103.00000000000001</v>
      </c>
      <c r="N283" s="160">
        <f t="shared" ca="1" si="14"/>
        <v>-126</v>
      </c>
      <c r="O283" s="160"/>
    </row>
    <row r="284" spans="1:15">
      <c r="A284" s="164">
        <f>'BC.115+740'!B283</f>
        <v>45342</v>
      </c>
      <c r="B284" s="160">
        <v>270</v>
      </c>
      <c r="C284" s="162">
        <f ca="1">'BC.115+740'!M283/1000</f>
        <v>0.89700000000000002</v>
      </c>
      <c r="D284" s="162">
        <f ca="1">'BC.115+740'!AA283</f>
        <v>1.0069999999999999</v>
      </c>
      <c r="E284" s="163">
        <f ca="1">'BC.115+740'!AB283</f>
        <v>0.80400000000000005</v>
      </c>
      <c r="F284" s="162">
        <f ca="1">VLOOKUP($A284,'BC.115+740'!$B$13:$X$489,8,0)/1000</f>
        <v>1.9</v>
      </c>
      <c r="G284" s="162">
        <f ca="1">VLOOKUP($A284,'BC.115+740'!$B$13:$X$489,9,0)/1000</f>
        <v>-0.1</v>
      </c>
      <c r="H284" s="162">
        <f ca="1">VLOOKUP($A284,'BC.115+740'!$B$13:$X$489,14,0)/1000</f>
        <v>1.887</v>
      </c>
      <c r="I284" s="162">
        <f ca="1">VLOOKUP($A284,'BC.115+740'!$B$13:$X$489,15,0)/1000</f>
        <v>-0.113</v>
      </c>
      <c r="J284" s="162">
        <f ca="1">VLOOKUP($A284,'BC.115+740'!$B$13:$X$489,20,0)/1000</f>
        <v>1.8340000000000001</v>
      </c>
      <c r="K284" s="162">
        <f ca="1">VLOOKUP($A284,'BC.115+740'!$B$13:$X$489,21,0)/1000</f>
        <v>-0.16600000000000001</v>
      </c>
      <c r="L284" s="160">
        <f t="shared" ca="1" si="12"/>
        <v>-140</v>
      </c>
      <c r="M284" s="161">
        <f t="shared" ca="1" si="13"/>
        <v>-103.00000000000001</v>
      </c>
      <c r="N284" s="160">
        <f t="shared" ca="1" si="14"/>
        <v>-126</v>
      </c>
      <c r="O284" s="160"/>
    </row>
    <row r="285" spans="1:15">
      <c r="A285" s="164">
        <f>'BC.115+740'!B284</f>
        <v>45343</v>
      </c>
      <c r="B285" s="160">
        <v>271</v>
      </c>
      <c r="C285" s="162">
        <f ca="1">'BC.115+740'!M284/1000</f>
        <v>0.89700000000000002</v>
      </c>
      <c r="D285" s="162">
        <f ca="1">'BC.115+740'!AA284</f>
        <v>1.0069999999999999</v>
      </c>
      <c r="E285" s="163">
        <f ca="1">'BC.115+740'!AB284</f>
        <v>0.80400000000000005</v>
      </c>
      <c r="F285" s="162">
        <f ca="1">VLOOKUP($A285,'BC.115+740'!$B$13:$X$489,8,0)/1000</f>
        <v>1.9</v>
      </c>
      <c r="G285" s="162">
        <f ca="1">VLOOKUP($A285,'BC.115+740'!$B$13:$X$489,9,0)/1000</f>
        <v>-0.1</v>
      </c>
      <c r="H285" s="162">
        <f ca="1">VLOOKUP($A285,'BC.115+740'!$B$13:$X$489,14,0)/1000</f>
        <v>1.887</v>
      </c>
      <c r="I285" s="162">
        <f ca="1">VLOOKUP($A285,'BC.115+740'!$B$13:$X$489,15,0)/1000</f>
        <v>-0.113</v>
      </c>
      <c r="J285" s="162">
        <f ca="1">VLOOKUP($A285,'BC.115+740'!$B$13:$X$489,20,0)/1000</f>
        <v>1.8340000000000001</v>
      </c>
      <c r="K285" s="162">
        <f ca="1">VLOOKUP($A285,'BC.115+740'!$B$13:$X$489,21,0)/1000</f>
        <v>-0.16600000000000001</v>
      </c>
      <c r="L285" s="160">
        <f t="shared" ca="1" si="12"/>
        <v>-140</v>
      </c>
      <c r="M285" s="161">
        <f t="shared" ca="1" si="13"/>
        <v>-103.00000000000001</v>
      </c>
      <c r="N285" s="160">
        <f t="shared" ca="1" si="14"/>
        <v>-126</v>
      </c>
      <c r="O285" s="160"/>
    </row>
    <row r="286" spans="1:15">
      <c r="A286" s="164">
        <f>'BC.115+740'!B285</f>
        <v>45344</v>
      </c>
      <c r="B286" s="160">
        <v>272</v>
      </c>
      <c r="C286" s="162">
        <f ca="1">'BC.115+740'!M285/1000</f>
        <v>0.89700000000000002</v>
      </c>
      <c r="D286" s="162">
        <f ca="1">'BC.115+740'!AA285</f>
        <v>1.0069999999999999</v>
      </c>
      <c r="E286" s="163">
        <f ca="1">'BC.115+740'!AB285</f>
        <v>0.80400000000000005</v>
      </c>
      <c r="F286" s="162">
        <f ca="1">VLOOKUP($A286,'BC.115+740'!$B$13:$X$489,8,0)/1000</f>
        <v>1.9</v>
      </c>
      <c r="G286" s="162">
        <f ca="1">VLOOKUP($A286,'BC.115+740'!$B$13:$X$489,9,0)/1000</f>
        <v>-0.1</v>
      </c>
      <c r="H286" s="162">
        <f ca="1">VLOOKUP($A286,'BC.115+740'!$B$13:$X$489,14,0)/1000</f>
        <v>1.887</v>
      </c>
      <c r="I286" s="162">
        <f ca="1">VLOOKUP($A286,'BC.115+740'!$B$13:$X$489,15,0)/1000</f>
        <v>-0.113</v>
      </c>
      <c r="J286" s="162">
        <f ca="1">VLOOKUP($A286,'BC.115+740'!$B$13:$X$489,20,0)/1000</f>
        <v>1.8340000000000001</v>
      </c>
      <c r="K286" s="162">
        <f ca="1">VLOOKUP($A286,'BC.115+740'!$B$13:$X$489,21,0)/1000</f>
        <v>-0.16600000000000001</v>
      </c>
      <c r="L286" s="160">
        <f t="shared" ca="1" si="12"/>
        <v>-140</v>
      </c>
      <c r="M286" s="161">
        <f t="shared" ca="1" si="13"/>
        <v>-103.00000000000001</v>
      </c>
      <c r="N286" s="160">
        <f t="shared" ca="1" si="14"/>
        <v>-126</v>
      </c>
      <c r="O286" s="160"/>
    </row>
    <row r="287" spans="1:15">
      <c r="A287" s="164">
        <f>'BC.115+740'!B286</f>
        <v>45345</v>
      </c>
      <c r="B287" s="160">
        <v>273</v>
      </c>
      <c r="C287" s="162">
        <f ca="1">'BC.115+740'!M286/1000</f>
        <v>0.89700000000000002</v>
      </c>
      <c r="D287" s="162">
        <f ca="1">'BC.115+740'!AA286</f>
        <v>1.0069999999999999</v>
      </c>
      <c r="E287" s="163">
        <f ca="1">'BC.115+740'!AB286</f>
        <v>0.80400000000000005</v>
      </c>
      <c r="F287" s="162">
        <f ca="1">VLOOKUP($A287,'BC.115+740'!$B$13:$X$489,8,0)/1000</f>
        <v>1.9</v>
      </c>
      <c r="G287" s="162">
        <f ca="1">VLOOKUP($A287,'BC.115+740'!$B$13:$X$489,9,0)/1000</f>
        <v>-0.1</v>
      </c>
      <c r="H287" s="162">
        <f ca="1">VLOOKUP($A287,'BC.115+740'!$B$13:$X$489,14,0)/1000</f>
        <v>1.887</v>
      </c>
      <c r="I287" s="162">
        <f ca="1">VLOOKUP($A287,'BC.115+740'!$B$13:$X$489,15,0)/1000</f>
        <v>-0.113</v>
      </c>
      <c r="J287" s="162">
        <f ca="1">VLOOKUP($A287,'BC.115+740'!$B$13:$X$489,20,0)/1000</f>
        <v>1.8340000000000001</v>
      </c>
      <c r="K287" s="162">
        <f ca="1">VLOOKUP($A287,'BC.115+740'!$B$13:$X$489,21,0)/1000</f>
        <v>-0.16600000000000001</v>
      </c>
      <c r="L287" s="160">
        <f t="shared" ca="1" si="12"/>
        <v>-140</v>
      </c>
      <c r="M287" s="161">
        <f t="shared" ca="1" si="13"/>
        <v>-103.00000000000001</v>
      </c>
      <c r="N287" s="160">
        <f t="shared" ca="1" si="14"/>
        <v>-126</v>
      </c>
      <c r="O287" s="160"/>
    </row>
    <row r="288" spans="1:15">
      <c r="A288" s="164">
        <f>'BC.115+740'!B287</f>
        <v>45346</v>
      </c>
      <c r="B288" s="160">
        <v>274</v>
      </c>
      <c r="C288" s="162">
        <f ca="1">'BC.115+740'!M287/1000</f>
        <v>0.89700000000000002</v>
      </c>
      <c r="D288" s="162">
        <f ca="1">'BC.115+740'!AA287</f>
        <v>1.0069999999999999</v>
      </c>
      <c r="E288" s="163">
        <f ca="1">'BC.115+740'!AB287</f>
        <v>0.80400000000000005</v>
      </c>
      <c r="F288" s="162">
        <f ca="1">VLOOKUP($A288,'BC.115+740'!$B$13:$X$489,8,0)/1000</f>
        <v>1.9</v>
      </c>
      <c r="G288" s="162">
        <f ca="1">VLOOKUP($A288,'BC.115+740'!$B$13:$X$489,9,0)/1000</f>
        <v>-0.1</v>
      </c>
      <c r="H288" s="162">
        <f ca="1">VLOOKUP($A288,'BC.115+740'!$B$13:$X$489,14,0)/1000</f>
        <v>1.887</v>
      </c>
      <c r="I288" s="162">
        <f ca="1">VLOOKUP($A288,'BC.115+740'!$B$13:$X$489,15,0)/1000</f>
        <v>-0.113</v>
      </c>
      <c r="J288" s="162">
        <f ca="1">VLOOKUP($A288,'BC.115+740'!$B$13:$X$489,20,0)/1000</f>
        <v>1.8340000000000001</v>
      </c>
      <c r="K288" s="162">
        <f ca="1">VLOOKUP($A288,'BC.115+740'!$B$13:$X$489,21,0)/1000</f>
        <v>-0.16600000000000001</v>
      </c>
      <c r="L288" s="160">
        <f t="shared" ca="1" si="12"/>
        <v>-140</v>
      </c>
      <c r="M288" s="161">
        <f t="shared" ca="1" si="13"/>
        <v>-103.00000000000001</v>
      </c>
      <c r="N288" s="160">
        <f t="shared" ca="1" si="14"/>
        <v>-126</v>
      </c>
      <c r="O288" s="160"/>
    </row>
    <row r="289" spans="1:15">
      <c r="A289" s="164">
        <f>'BC.115+740'!B288</f>
        <v>45347</v>
      </c>
      <c r="B289" s="160">
        <v>275</v>
      </c>
      <c r="C289" s="162">
        <f ca="1">'BC.115+740'!M288/1000</f>
        <v>0.89700000000000002</v>
      </c>
      <c r="D289" s="162">
        <f ca="1">'BC.115+740'!AA288</f>
        <v>1.0069999999999999</v>
      </c>
      <c r="E289" s="163">
        <f ca="1">'BC.115+740'!AB288</f>
        <v>0.80400000000000005</v>
      </c>
      <c r="F289" s="162">
        <f ca="1">VLOOKUP($A289,'BC.115+740'!$B$13:$X$489,8,0)/1000</f>
        <v>1.9</v>
      </c>
      <c r="G289" s="162">
        <f ca="1">VLOOKUP($A289,'BC.115+740'!$B$13:$X$489,9,0)/1000</f>
        <v>-0.1</v>
      </c>
      <c r="H289" s="162">
        <f ca="1">VLOOKUP($A289,'BC.115+740'!$B$13:$X$489,14,0)/1000</f>
        <v>1.887</v>
      </c>
      <c r="I289" s="162">
        <f ca="1">VLOOKUP($A289,'BC.115+740'!$B$13:$X$489,15,0)/1000</f>
        <v>-0.113</v>
      </c>
      <c r="J289" s="162">
        <f ca="1">VLOOKUP($A289,'BC.115+740'!$B$13:$X$489,20,0)/1000</f>
        <v>1.8340000000000001</v>
      </c>
      <c r="K289" s="162">
        <f ca="1">VLOOKUP($A289,'BC.115+740'!$B$13:$X$489,21,0)/1000</f>
        <v>-0.16600000000000001</v>
      </c>
      <c r="L289" s="160">
        <f t="shared" ca="1" si="12"/>
        <v>-140</v>
      </c>
      <c r="M289" s="161">
        <f t="shared" ca="1" si="13"/>
        <v>-103.00000000000001</v>
      </c>
      <c r="N289" s="160">
        <f t="shared" ca="1" si="14"/>
        <v>-126</v>
      </c>
      <c r="O289" s="160"/>
    </row>
    <row r="290" spans="1:15">
      <c r="A290" s="164">
        <f>'BC.115+740'!B289</f>
        <v>45348</v>
      </c>
      <c r="B290" s="160">
        <v>276</v>
      </c>
      <c r="C290" s="162">
        <f ca="1">'BC.115+740'!M289/1000</f>
        <v>0.89700000000000002</v>
      </c>
      <c r="D290" s="162">
        <f ca="1">'BC.115+740'!AA289</f>
        <v>1.0069999999999999</v>
      </c>
      <c r="E290" s="163">
        <f ca="1">'BC.115+740'!AB289</f>
        <v>0.80400000000000005</v>
      </c>
      <c r="F290" s="162">
        <f ca="1">VLOOKUP($A290,'BC.115+740'!$B$13:$X$489,8,0)/1000</f>
        <v>1.9</v>
      </c>
      <c r="G290" s="162">
        <f ca="1">VLOOKUP($A290,'BC.115+740'!$B$13:$X$489,9,0)/1000</f>
        <v>-0.1</v>
      </c>
      <c r="H290" s="162">
        <f ca="1">VLOOKUP($A290,'BC.115+740'!$B$13:$X$489,14,0)/1000</f>
        <v>1.887</v>
      </c>
      <c r="I290" s="162">
        <f ca="1">VLOOKUP($A290,'BC.115+740'!$B$13:$X$489,15,0)/1000</f>
        <v>-0.113</v>
      </c>
      <c r="J290" s="162">
        <f ca="1">VLOOKUP($A290,'BC.115+740'!$B$13:$X$489,20,0)/1000</f>
        <v>1.8340000000000001</v>
      </c>
      <c r="K290" s="162">
        <f ca="1">VLOOKUP($A290,'BC.115+740'!$B$13:$X$489,21,0)/1000</f>
        <v>-0.16600000000000001</v>
      </c>
      <c r="L290" s="160">
        <f t="shared" ca="1" si="12"/>
        <v>-140</v>
      </c>
      <c r="M290" s="161">
        <f t="shared" ca="1" si="13"/>
        <v>-103.00000000000001</v>
      </c>
      <c r="N290" s="160">
        <f t="shared" ca="1" si="14"/>
        <v>-126</v>
      </c>
      <c r="O290" s="160"/>
    </row>
    <row r="291" spans="1:15">
      <c r="A291" s="164">
        <f>'BC.115+740'!B290</f>
        <v>45349</v>
      </c>
      <c r="B291" s="160">
        <v>277</v>
      </c>
      <c r="C291" s="162">
        <f ca="1">'BC.115+740'!M290/1000</f>
        <v>0.89700000000000002</v>
      </c>
      <c r="D291" s="162">
        <f ca="1">'BC.115+740'!AA290</f>
        <v>1.0069999999999999</v>
      </c>
      <c r="E291" s="163">
        <f ca="1">'BC.115+740'!AB290</f>
        <v>0.80400000000000005</v>
      </c>
      <c r="F291" s="162">
        <f ca="1">VLOOKUP($A291,'BC.115+740'!$B$13:$X$489,8,0)/1000</f>
        <v>1.9</v>
      </c>
      <c r="G291" s="162">
        <f ca="1">VLOOKUP($A291,'BC.115+740'!$B$13:$X$489,9,0)/1000</f>
        <v>-0.1</v>
      </c>
      <c r="H291" s="162">
        <f ca="1">VLOOKUP($A291,'BC.115+740'!$B$13:$X$489,14,0)/1000</f>
        <v>1.887</v>
      </c>
      <c r="I291" s="162">
        <f ca="1">VLOOKUP($A291,'BC.115+740'!$B$13:$X$489,15,0)/1000</f>
        <v>-0.113</v>
      </c>
      <c r="J291" s="162">
        <f ca="1">VLOOKUP($A291,'BC.115+740'!$B$13:$X$489,20,0)/1000</f>
        <v>1.8340000000000001</v>
      </c>
      <c r="K291" s="162">
        <f ca="1">VLOOKUP($A291,'BC.115+740'!$B$13:$X$489,21,0)/1000</f>
        <v>-0.16600000000000001</v>
      </c>
      <c r="L291" s="160">
        <f t="shared" ca="1" si="12"/>
        <v>-140</v>
      </c>
      <c r="M291" s="161">
        <f t="shared" ca="1" si="13"/>
        <v>-103.00000000000001</v>
      </c>
      <c r="N291" s="160">
        <f t="shared" ca="1" si="14"/>
        <v>-126</v>
      </c>
      <c r="O291" s="160"/>
    </row>
    <row r="292" spans="1:15">
      <c r="A292" s="164">
        <f>'BC.115+740'!B291</f>
        <v>45350</v>
      </c>
      <c r="B292" s="160">
        <v>278</v>
      </c>
      <c r="C292" s="162">
        <f ca="1">'BC.115+740'!M291/1000</f>
        <v>0.89700000000000002</v>
      </c>
      <c r="D292" s="162">
        <f ca="1">'BC.115+740'!AA291</f>
        <v>1.0069999999999999</v>
      </c>
      <c r="E292" s="163">
        <f ca="1">'BC.115+740'!AB291</f>
        <v>0.80400000000000005</v>
      </c>
      <c r="F292" s="162">
        <f ca="1">VLOOKUP($A292,'BC.115+740'!$B$13:$X$489,8,0)/1000</f>
        <v>1.9</v>
      </c>
      <c r="G292" s="162">
        <f ca="1">VLOOKUP($A292,'BC.115+740'!$B$13:$X$489,9,0)/1000</f>
        <v>-0.1</v>
      </c>
      <c r="H292" s="162">
        <f ca="1">VLOOKUP($A292,'BC.115+740'!$B$13:$X$489,14,0)/1000</f>
        <v>1.887</v>
      </c>
      <c r="I292" s="162">
        <f ca="1">VLOOKUP($A292,'BC.115+740'!$B$13:$X$489,15,0)/1000</f>
        <v>-0.113</v>
      </c>
      <c r="J292" s="162">
        <f ca="1">VLOOKUP($A292,'BC.115+740'!$B$13:$X$489,20,0)/1000</f>
        <v>1.8340000000000001</v>
      </c>
      <c r="K292" s="162">
        <f ca="1">VLOOKUP($A292,'BC.115+740'!$B$13:$X$489,21,0)/1000</f>
        <v>-0.16600000000000001</v>
      </c>
      <c r="L292" s="160">
        <f t="shared" ca="1" si="12"/>
        <v>-140</v>
      </c>
      <c r="M292" s="161">
        <f t="shared" ca="1" si="13"/>
        <v>-103.00000000000001</v>
      </c>
      <c r="N292" s="160">
        <f t="shared" ca="1" si="14"/>
        <v>-126</v>
      </c>
      <c r="O292" s="160"/>
    </row>
    <row r="293" spans="1:15">
      <c r="A293" s="164">
        <f>'BC.115+740'!B292</f>
        <v>45351</v>
      </c>
      <c r="B293" s="160">
        <v>279</v>
      </c>
      <c r="C293" s="162">
        <f ca="1">'BC.115+740'!M292/1000</f>
        <v>0.89700000000000002</v>
      </c>
      <c r="D293" s="162">
        <f ca="1">'BC.115+740'!AA292</f>
        <v>1.0069999999999999</v>
      </c>
      <c r="E293" s="163">
        <f ca="1">'BC.115+740'!AB292</f>
        <v>0.80400000000000005</v>
      </c>
      <c r="F293" s="162">
        <f ca="1">VLOOKUP($A293,'BC.115+740'!$B$13:$X$489,8,0)/1000</f>
        <v>1.9</v>
      </c>
      <c r="G293" s="162">
        <f ca="1">VLOOKUP($A293,'BC.115+740'!$B$13:$X$489,9,0)/1000</f>
        <v>-0.1</v>
      </c>
      <c r="H293" s="162">
        <f ca="1">VLOOKUP($A293,'BC.115+740'!$B$13:$X$489,14,0)/1000</f>
        <v>1.887</v>
      </c>
      <c r="I293" s="162">
        <f ca="1">VLOOKUP($A293,'BC.115+740'!$B$13:$X$489,15,0)/1000</f>
        <v>-0.113</v>
      </c>
      <c r="J293" s="162">
        <f ca="1">VLOOKUP($A293,'BC.115+740'!$B$13:$X$489,20,0)/1000</f>
        <v>1.8340000000000001</v>
      </c>
      <c r="K293" s="162">
        <f ca="1">VLOOKUP($A293,'BC.115+740'!$B$13:$X$489,21,0)/1000</f>
        <v>-0.16600000000000001</v>
      </c>
      <c r="L293" s="160">
        <f t="shared" ca="1" si="12"/>
        <v>-140</v>
      </c>
      <c r="M293" s="161">
        <f t="shared" ca="1" si="13"/>
        <v>-103.00000000000001</v>
      </c>
      <c r="N293" s="160">
        <f t="shared" ca="1" si="14"/>
        <v>-126</v>
      </c>
      <c r="O293" s="160"/>
    </row>
    <row r="294" spans="1:15">
      <c r="A294" s="164">
        <f>'BC.115+740'!B293</f>
        <v>45352</v>
      </c>
      <c r="B294" s="160">
        <v>280</v>
      </c>
      <c r="C294" s="162">
        <f ca="1">'BC.115+740'!M293/1000</f>
        <v>0.89700000000000002</v>
      </c>
      <c r="D294" s="162">
        <f ca="1">'BC.115+740'!AA293</f>
        <v>1.0069999999999999</v>
      </c>
      <c r="E294" s="163">
        <f ca="1">'BC.115+740'!AB293</f>
        <v>0.80400000000000005</v>
      </c>
      <c r="F294" s="162">
        <f ca="1">VLOOKUP($A294,'BC.115+740'!$B$13:$X$489,8,0)/1000</f>
        <v>1.9</v>
      </c>
      <c r="G294" s="162">
        <f ca="1">VLOOKUP($A294,'BC.115+740'!$B$13:$X$489,9,0)/1000</f>
        <v>-0.1</v>
      </c>
      <c r="H294" s="162">
        <f ca="1">VLOOKUP($A294,'BC.115+740'!$B$13:$X$489,14,0)/1000</f>
        <v>1.887</v>
      </c>
      <c r="I294" s="162">
        <f ca="1">VLOOKUP($A294,'BC.115+740'!$B$13:$X$489,15,0)/1000</f>
        <v>-0.113</v>
      </c>
      <c r="J294" s="162">
        <f ca="1">VLOOKUP($A294,'BC.115+740'!$B$13:$X$489,20,0)/1000</f>
        <v>1.8340000000000001</v>
      </c>
      <c r="K294" s="162">
        <f ca="1">VLOOKUP($A294,'BC.115+740'!$B$13:$X$489,21,0)/1000</f>
        <v>-0.16600000000000001</v>
      </c>
      <c r="L294" s="160">
        <f t="shared" ca="1" si="12"/>
        <v>-140</v>
      </c>
      <c r="M294" s="161">
        <f t="shared" ca="1" si="13"/>
        <v>-103.00000000000001</v>
      </c>
      <c r="N294" s="160">
        <f t="shared" ca="1" si="14"/>
        <v>-126</v>
      </c>
      <c r="O294" s="160"/>
    </row>
    <row r="295" spans="1:15">
      <c r="A295" s="164">
        <f>'BC.115+740'!B294</f>
        <v>45353</v>
      </c>
      <c r="B295" s="160">
        <v>281</v>
      </c>
      <c r="C295" s="162">
        <f ca="1">'BC.115+740'!M294/1000</f>
        <v>0.89700000000000002</v>
      </c>
      <c r="D295" s="162">
        <f ca="1">'BC.115+740'!AA294</f>
        <v>1.0069999999999999</v>
      </c>
      <c r="E295" s="163">
        <f ca="1">'BC.115+740'!AB294</f>
        <v>0.80400000000000005</v>
      </c>
      <c r="F295" s="162">
        <f ca="1">VLOOKUP($A295,'BC.115+740'!$B$13:$X$489,8,0)/1000</f>
        <v>1.9</v>
      </c>
      <c r="G295" s="162">
        <f ca="1">VLOOKUP($A295,'BC.115+740'!$B$13:$X$489,9,0)/1000</f>
        <v>-0.1</v>
      </c>
      <c r="H295" s="162">
        <f ca="1">VLOOKUP($A295,'BC.115+740'!$B$13:$X$489,14,0)/1000</f>
        <v>1.887</v>
      </c>
      <c r="I295" s="162">
        <f ca="1">VLOOKUP($A295,'BC.115+740'!$B$13:$X$489,15,0)/1000</f>
        <v>-0.113</v>
      </c>
      <c r="J295" s="162">
        <f ca="1">VLOOKUP($A295,'BC.115+740'!$B$13:$X$489,20,0)/1000</f>
        <v>1.8340000000000001</v>
      </c>
      <c r="K295" s="162">
        <f ca="1">VLOOKUP($A295,'BC.115+740'!$B$13:$X$489,21,0)/1000</f>
        <v>-0.16600000000000001</v>
      </c>
      <c r="L295" s="160">
        <f t="shared" ca="1" si="12"/>
        <v>-140</v>
      </c>
      <c r="M295" s="161">
        <f t="shared" ca="1" si="13"/>
        <v>-103.00000000000001</v>
      </c>
      <c r="N295" s="160">
        <f t="shared" ca="1" si="14"/>
        <v>-126</v>
      </c>
      <c r="O295" s="160"/>
    </row>
    <row r="296" spans="1:15">
      <c r="A296" s="164">
        <f>'BC.115+740'!B295</f>
        <v>45354</v>
      </c>
      <c r="B296" s="160">
        <v>282</v>
      </c>
      <c r="C296" s="162">
        <f ca="1">'BC.115+740'!M295/1000</f>
        <v>0.89700000000000002</v>
      </c>
      <c r="D296" s="162">
        <f ca="1">'BC.115+740'!AA295</f>
        <v>1.0069999999999999</v>
      </c>
      <c r="E296" s="163">
        <f ca="1">'BC.115+740'!AB295</f>
        <v>0.80400000000000005</v>
      </c>
      <c r="F296" s="162">
        <f ca="1">VLOOKUP($A296,'BC.115+740'!$B$13:$X$489,8,0)/1000</f>
        <v>1.9</v>
      </c>
      <c r="G296" s="162">
        <f ca="1">VLOOKUP($A296,'BC.115+740'!$B$13:$X$489,9,0)/1000</f>
        <v>-0.1</v>
      </c>
      <c r="H296" s="162">
        <f ca="1">VLOOKUP($A296,'BC.115+740'!$B$13:$X$489,14,0)/1000</f>
        <v>1.887</v>
      </c>
      <c r="I296" s="162">
        <f ca="1">VLOOKUP($A296,'BC.115+740'!$B$13:$X$489,15,0)/1000</f>
        <v>-0.113</v>
      </c>
      <c r="J296" s="162">
        <f ca="1">VLOOKUP($A296,'BC.115+740'!$B$13:$X$489,20,0)/1000</f>
        <v>1.8340000000000001</v>
      </c>
      <c r="K296" s="162">
        <f ca="1">VLOOKUP($A296,'BC.115+740'!$B$13:$X$489,21,0)/1000</f>
        <v>-0.16600000000000001</v>
      </c>
      <c r="L296" s="160">
        <f t="shared" ca="1" si="12"/>
        <v>-140</v>
      </c>
      <c r="M296" s="161">
        <f t="shared" ca="1" si="13"/>
        <v>-103.00000000000001</v>
      </c>
      <c r="N296" s="160">
        <f t="shared" ca="1" si="14"/>
        <v>-126</v>
      </c>
      <c r="O296" s="160"/>
    </row>
    <row r="297" spans="1:15">
      <c r="A297" s="164">
        <f>'BC.115+740'!B296</f>
        <v>45355</v>
      </c>
      <c r="B297" s="160">
        <v>283</v>
      </c>
      <c r="C297" s="162">
        <f ca="1">'BC.115+740'!M296/1000</f>
        <v>0.89700000000000002</v>
      </c>
      <c r="D297" s="162">
        <f ca="1">'BC.115+740'!AA296</f>
        <v>1.0069999999999999</v>
      </c>
      <c r="E297" s="163">
        <f ca="1">'BC.115+740'!AB296</f>
        <v>0.80400000000000005</v>
      </c>
      <c r="F297" s="162">
        <f ca="1">VLOOKUP($A297,'BC.115+740'!$B$13:$X$489,8,0)/1000</f>
        <v>1.9</v>
      </c>
      <c r="G297" s="162">
        <f ca="1">VLOOKUP($A297,'BC.115+740'!$B$13:$X$489,9,0)/1000</f>
        <v>-0.1</v>
      </c>
      <c r="H297" s="162">
        <f ca="1">VLOOKUP($A297,'BC.115+740'!$B$13:$X$489,14,0)/1000</f>
        <v>1.887</v>
      </c>
      <c r="I297" s="162">
        <f ca="1">VLOOKUP($A297,'BC.115+740'!$B$13:$X$489,15,0)/1000</f>
        <v>-0.113</v>
      </c>
      <c r="J297" s="162">
        <f ca="1">VLOOKUP($A297,'BC.115+740'!$B$13:$X$489,20,0)/1000</f>
        <v>1.8340000000000001</v>
      </c>
      <c r="K297" s="162">
        <f ca="1">VLOOKUP($A297,'BC.115+740'!$B$13:$X$489,21,0)/1000</f>
        <v>-0.16600000000000001</v>
      </c>
      <c r="L297" s="160">
        <f t="shared" ca="1" si="12"/>
        <v>-140</v>
      </c>
      <c r="M297" s="161">
        <f t="shared" ca="1" si="13"/>
        <v>-103.00000000000001</v>
      </c>
      <c r="N297" s="160">
        <f t="shared" ca="1" si="14"/>
        <v>-126</v>
      </c>
      <c r="O297" s="160"/>
    </row>
    <row r="298" spans="1:15">
      <c r="A298" s="164">
        <f>'BC.115+740'!B297</f>
        <v>45356</v>
      </c>
      <c r="B298" s="160">
        <v>284</v>
      </c>
      <c r="C298" s="162">
        <f ca="1">'BC.115+740'!M297/1000</f>
        <v>0.89700000000000002</v>
      </c>
      <c r="D298" s="162">
        <f ca="1">'BC.115+740'!AA297</f>
        <v>1.0069999999999999</v>
      </c>
      <c r="E298" s="163">
        <f ca="1">'BC.115+740'!AB297</f>
        <v>0.80400000000000005</v>
      </c>
      <c r="F298" s="162">
        <f ca="1">VLOOKUP($A298,'BC.115+740'!$B$13:$X$489,8,0)/1000</f>
        <v>1.9</v>
      </c>
      <c r="G298" s="162">
        <f ca="1">VLOOKUP($A298,'BC.115+740'!$B$13:$X$489,9,0)/1000</f>
        <v>-0.1</v>
      </c>
      <c r="H298" s="162">
        <f ca="1">VLOOKUP($A298,'BC.115+740'!$B$13:$X$489,14,0)/1000</f>
        <v>1.887</v>
      </c>
      <c r="I298" s="162">
        <f ca="1">VLOOKUP($A298,'BC.115+740'!$B$13:$X$489,15,0)/1000</f>
        <v>-0.113</v>
      </c>
      <c r="J298" s="162">
        <f ca="1">VLOOKUP($A298,'BC.115+740'!$B$13:$X$489,20,0)/1000</f>
        <v>1.8340000000000001</v>
      </c>
      <c r="K298" s="162">
        <f ca="1">VLOOKUP($A298,'BC.115+740'!$B$13:$X$489,21,0)/1000</f>
        <v>-0.16600000000000001</v>
      </c>
      <c r="L298" s="160">
        <f t="shared" ca="1" si="12"/>
        <v>-140</v>
      </c>
      <c r="M298" s="161">
        <f t="shared" ca="1" si="13"/>
        <v>-103.00000000000001</v>
      </c>
      <c r="N298" s="160">
        <f t="shared" ca="1" si="14"/>
        <v>-126</v>
      </c>
      <c r="O298" s="160"/>
    </row>
    <row r="299" spans="1:15">
      <c r="A299" s="164">
        <f>'BC.115+740'!B298</f>
        <v>45357</v>
      </c>
      <c r="B299" s="160">
        <v>285</v>
      </c>
      <c r="C299" s="162">
        <f ca="1">'BC.115+740'!M298/1000</f>
        <v>0.89700000000000002</v>
      </c>
      <c r="D299" s="162">
        <f ca="1">'BC.115+740'!AA298</f>
        <v>1.0069999999999999</v>
      </c>
      <c r="E299" s="163">
        <f ca="1">'BC.115+740'!AB298</f>
        <v>0.80400000000000005</v>
      </c>
      <c r="F299" s="162">
        <f ca="1">VLOOKUP($A299,'BC.115+740'!$B$13:$X$489,8,0)/1000</f>
        <v>1.9</v>
      </c>
      <c r="G299" s="162">
        <f ca="1">VLOOKUP($A299,'BC.115+740'!$B$13:$X$489,9,0)/1000</f>
        <v>-0.1</v>
      </c>
      <c r="H299" s="162">
        <f ca="1">VLOOKUP($A299,'BC.115+740'!$B$13:$X$489,14,0)/1000</f>
        <v>1.887</v>
      </c>
      <c r="I299" s="162">
        <f ca="1">VLOOKUP($A299,'BC.115+740'!$B$13:$X$489,15,0)/1000</f>
        <v>-0.113</v>
      </c>
      <c r="J299" s="162">
        <f ca="1">VLOOKUP($A299,'BC.115+740'!$B$13:$X$489,20,0)/1000</f>
        <v>1.8340000000000001</v>
      </c>
      <c r="K299" s="162">
        <f ca="1">VLOOKUP($A299,'BC.115+740'!$B$13:$X$489,21,0)/1000</f>
        <v>-0.16600000000000001</v>
      </c>
      <c r="L299" s="160">
        <f t="shared" ca="1" si="12"/>
        <v>-140</v>
      </c>
      <c r="M299" s="161">
        <f t="shared" ca="1" si="13"/>
        <v>-103.00000000000001</v>
      </c>
      <c r="N299" s="160">
        <f t="shared" ca="1" si="14"/>
        <v>-126</v>
      </c>
      <c r="O299" s="160"/>
    </row>
    <row r="300" spans="1:15">
      <c r="A300" s="164">
        <f>'BC.115+740'!B299</f>
        <v>45358</v>
      </c>
      <c r="B300" s="160">
        <v>286</v>
      </c>
      <c r="C300" s="162">
        <f ca="1">'BC.115+740'!M299/1000</f>
        <v>0.89700000000000002</v>
      </c>
      <c r="D300" s="162">
        <f ca="1">'BC.115+740'!AA299</f>
        <v>1.0069999999999999</v>
      </c>
      <c r="E300" s="163">
        <f ca="1">'BC.115+740'!AB299</f>
        <v>0.80400000000000005</v>
      </c>
      <c r="F300" s="162">
        <f ca="1">VLOOKUP($A300,'BC.115+740'!$B$13:$X$489,8,0)/1000</f>
        <v>1.9</v>
      </c>
      <c r="G300" s="162">
        <f ca="1">VLOOKUP($A300,'BC.115+740'!$B$13:$X$489,9,0)/1000</f>
        <v>-0.1</v>
      </c>
      <c r="H300" s="162">
        <f ca="1">VLOOKUP($A300,'BC.115+740'!$B$13:$X$489,14,0)/1000</f>
        <v>1.887</v>
      </c>
      <c r="I300" s="162">
        <f ca="1">VLOOKUP($A300,'BC.115+740'!$B$13:$X$489,15,0)/1000</f>
        <v>-0.113</v>
      </c>
      <c r="J300" s="162">
        <f ca="1">VLOOKUP($A300,'BC.115+740'!$B$13:$X$489,20,0)/1000</f>
        <v>1.8340000000000001</v>
      </c>
      <c r="K300" s="162">
        <f ca="1">VLOOKUP($A300,'BC.115+740'!$B$13:$X$489,21,0)/1000</f>
        <v>-0.16600000000000001</v>
      </c>
      <c r="L300" s="160">
        <f t="shared" ca="1" si="12"/>
        <v>-140</v>
      </c>
      <c r="M300" s="161">
        <f t="shared" ca="1" si="13"/>
        <v>-103.00000000000001</v>
      </c>
      <c r="N300" s="160">
        <f t="shared" ca="1" si="14"/>
        <v>-126</v>
      </c>
      <c r="O300" s="160"/>
    </row>
    <row r="301" spans="1:15">
      <c r="A301" s="164">
        <f>'BC.115+740'!B300</f>
        <v>45359</v>
      </c>
      <c r="B301" s="160">
        <v>287</v>
      </c>
      <c r="C301" s="162">
        <f ca="1">'BC.115+740'!M300/1000</f>
        <v>0.89700000000000002</v>
      </c>
      <c r="D301" s="162">
        <f ca="1">'BC.115+740'!AA300</f>
        <v>1.0069999999999999</v>
      </c>
      <c r="E301" s="163">
        <f ca="1">'BC.115+740'!AB300</f>
        <v>0.80400000000000005</v>
      </c>
      <c r="F301" s="162">
        <f ca="1">VLOOKUP($A301,'BC.115+740'!$B$13:$X$489,8,0)/1000</f>
        <v>1.9</v>
      </c>
      <c r="G301" s="162">
        <f ca="1">VLOOKUP($A301,'BC.115+740'!$B$13:$X$489,9,0)/1000</f>
        <v>-0.1</v>
      </c>
      <c r="H301" s="162">
        <f ca="1">VLOOKUP($A301,'BC.115+740'!$B$13:$X$489,14,0)/1000</f>
        <v>1.887</v>
      </c>
      <c r="I301" s="162">
        <f ca="1">VLOOKUP($A301,'BC.115+740'!$B$13:$X$489,15,0)/1000</f>
        <v>-0.113</v>
      </c>
      <c r="J301" s="162">
        <f ca="1">VLOOKUP($A301,'BC.115+740'!$B$13:$X$489,20,0)/1000</f>
        <v>1.8340000000000001</v>
      </c>
      <c r="K301" s="162">
        <f ca="1">VLOOKUP($A301,'BC.115+740'!$B$13:$X$489,21,0)/1000</f>
        <v>-0.16600000000000001</v>
      </c>
      <c r="L301" s="160">
        <f t="shared" ca="1" si="12"/>
        <v>-140</v>
      </c>
      <c r="M301" s="161">
        <f t="shared" ca="1" si="13"/>
        <v>-103.00000000000001</v>
      </c>
      <c r="N301" s="160">
        <f t="shared" ca="1" si="14"/>
        <v>-126</v>
      </c>
      <c r="O301" s="160"/>
    </row>
    <row r="302" spans="1:15">
      <c r="A302" s="164">
        <f>'BC.115+740'!B301</f>
        <v>45360</v>
      </c>
      <c r="B302" s="160">
        <v>288</v>
      </c>
      <c r="C302" s="162">
        <f ca="1">'BC.115+740'!M301/1000</f>
        <v>0.89700000000000002</v>
      </c>
      <c r="D302" s="162">
        <f ca="1">'BC.115+740'!AA301</f>
        <v>1.0069999999999999</v>
      </c>
      <c r="E302" s="163">
        <f ca="1">'BC.115+740'!AB301</f>
        <v>0.80400000000000005</v>
      </c>
      <c r="F302" s="162">
        <f ca="1">VLOOKUP($A302,'BC.115+740'!$B$13:$X$489,8,0)/1000</f>
        <v>1.9</v>
      </c>
      <c r="G302" s="162">
        <f ca="1">VLOOKUP($A302,'BC.115+740'!$B$13:$X$489,9,0)/1000</f>
        <v>-0.1</v>
      </c>
      <c r="H302" s="162">
        <f ca="1">VLOOKUP($A302,'BC.115+740'!$B$13:$X$489,14,0)/1000</f>
        <v>1.887</v>
      </c>
      <c r="I302" s="162">
        <f ca="1">VLOOKUP($A302,'BC.115+740'!$B$13:$X$489,15,0)/1000</f>
        <v>-0.113</v>
      </c>
      <c r="J302" s="162">
        <f ca="1">VLOOKUP($A302,'BC.115+740'!$B$13:$X$489,20,0)/1000</f>
        <v>1.8340000000000001</v>
      </c>
      <c r="K302" s="162">
        <f ca="1">VLOOKUP($A302,'BC.115+740'!$B$13:$X$489,21,0)/1000</f>
        <v>-0.16600000000000001</v>
      </c>
      <c r="L302" s="160">
        <f t="shared" ca="1" si="12"/>
        <v>-140</v>
      </c>
      <c r="M302" s="161">
        <f t="shared" ca="1" si="13"/>
        <v>-103.00000000000001</v>
      </c>
      <c r="N302" s="160">
        <f t="shared" ca="1" si="14"/>
        <v>-126</v>
      </c>
      <c r="O302" s="160"/>
    </row>
    <row r="303" spans="1:15">
      <c r="A303" s="164">
        <f>'BC.115+740'!B302</f>
        <v>45361</v>
      </c>
      <c r="B303" s="160">
        <v>289</v>
      </c>
      <c r="C303" s="162">
        <f ca="1">'BC.115+740'!M302/1000</f>
        <v>0.89700000000000002</v>
      </c>
      <c r="D303" s="162">
        <f ca="1">'BC.115+740'!AA302</f>
        <v>1.0069999999999999</v>
      </c>
      <c r="E303" s="163">
        <f ca="1">'BC.115+740'!AB302</f>
        <v>0.80400000000000005</v>
      </c>
      <c r="F303" s="162">
        <f ca="1">VLOOKUP($A303,'BC.115+740'!$B$13:$X$489,8,0)/1000</f>
        <v>1.9</v>
      </c>
      <c r="G303" s="162">
        <f ca="1">VLOOKUP($A303,'BC.115+740'!$B$13:$X$489,9,0)/1000</f>
        <v>-0.1</v>
      </c>
      <c r="H303" s="162">
        <f ca="1">VLOOKUP($A303,'BC.115+740'!$B$13:$X$489,14,0)/1000</f>
        <v>1.887</v>
      </c>
      <c r="I303" s="162">
        <f ca="1">VLOOKUP($A303,'BC.115+740'!$B$13:$X$489,15,0)/1000</f>
        <v>-0.113</v>
      </c>
      <c r="J303" s="162">
        <f ca="1">VLOOKUP($A303,'BC.115+740'!$B$13:$X$489,20,0)/1000</f>
        <v>1.8340000000000001</v>
      </c>
      <c r="K303" s="162">
        <f ca="1">VLOOKUP($A303,'BC.115+740'!$B$13:$X$489,21,0)/1000</f>
        <v>-0.16600000000000001</v>
      </c>
      <c r="L303" s="160">
        <f t="shared" ca="1" si="12"/>
        <v>-140</v>
      </c>
      <c r="M303" s="161">
        <f t="shared" ca="1" si="13"/>
        <v>-103.00000000000001</v>
      </c>
      <c r="N303" s="160">
        <f t="shared" ca="1" si="14"/>
        <v>-126</v>
      </c>
      <c r="O303" s="160"/>
    </row>
    <row r="304" spans="1:15">
      <c r="A304" s="164">
        <f>'BC.115+740'!B303</f>
        <v>45362</v>
      </c>
      <c r="B304" s="160">
        <v>290</v>
      </c>
      <c r="C304" s="162">
        <f ca="1">'BC.115+740'!M303/1000</f>
        <v>0.89700000000000002</v>
      </c>
      <c r="D304" s="162">
        <f ca="1">'BC.115+740'!AA303</f>
        <v>1.0069999999999999</v>
      </c>
      <c r="E304" s="163">
        <f ca="1">'BC.115+740'!AB303</f>
        <v>0.80400000000000005</v>
      </c>
      <c r="F304" s="162">
        <f ca="1">VLOOKUP($A304,'BC.115+740'!$B$13:$X$489,8,0)/1000</f>
        <v>1.9</v>
      </c>
      <c r="G304" s="162">
        <f ca="1">VLOOKUP($A304,'BC.115+740'!$B$13:$X$489,9,0)/1000</f>
        <v>-0.1</v>
      </c>
      <c r="H304" s="162">
        <f ca="1">VLOOKUP($A304,'BC.115+740'!$B$13:$X$489,14,0)/1000</f>
        <v>1.887</v>
      </c>
      <c r="I304" s="162">
        <f ca="1">VLOOKUP($A304,'BC.115+740'!$B$13:$X$489,15,0)/1000</f>
        <v>-0.113</v>
      </c>
      <c r="J304" s="162">
        <f ca="1">VLOOKUP($A304,'BC.115+740'!$B$13:$X$489,20,0)/1000</f>
        <v>1.8340000000000001</v>
      </c>
      <c r="K304" s="162">
        <f ca="1">VLOOKUP($A304,'BC.115+740'!$B$13:$X$489,21,0)/1000</f>
        <v>-0.16600000000000001</v>
      </c>
      <c r="L304" s="160">
        <f t="shared" ca="1" si="12"/>
        <v>-140</v>
      </c>
      <c r="M304" s="161">
        <f t="shared" ca="1" si="13"/>
        <v>-103.00000000000001</v>
      </c>
      <c r="N304" s="160">
        <f t="shared" ca="1" si="14"/>
        <v>-126</v>
      </c>
      <c r="O304" s="160"/>
    </row>
    <row r="305" spans="1:15">
      <c r="A305" s="164">
        <f>'BC.115+740'!B304</f>
        <v>45363</v>
      </c>
      <c r="B305" s="160">
        <v>291</v>
      </c>
      <c r="C305" s="162">
        <f ca="1">'BC.115+740'!M304/1000</f>
        <v>0.89700000000000002</v>
      </c>
      <c r="D305" s="162">
        <f ca="1">'BC.115+740'!AA304</f>
        <v>1.0069999999999999</v>
      </c>
      <c r="E305" s="163">
        <f ca="1">'BC.115+740'!AB304</f>
        <v>0.80400000000000005</v>
      </c>
      <c r="F305" s="162">
        <f ca="1">VLOOKUP($A305,'BC.115+740'!$B$13:$X$489,8,0)/1000</f>
        <v>1.9</v>
      </c>
      <c r="G305" s="162">
        <f ca="1">VLOOKUP($A305,'BC.115+740'!$B$13:$X$489,9,0)/1000</f>
        <v>-0.1</v>
      </c>
      <c r="H305" s="162">
        <f ca="1">VLOOKUP($A305,'BC.115+740'!$B$13:$X$489,14,0)/1000</f>
        <v>1.887</v>
      </c>
      <c r="I305" s="162">
        <f ca="1">VLOOKUP($A305,'BC.115+740'!$B$13:$X$489,15,0)/1000</f>
        <v>-0.113</v>
      </c>
      <c r="J305" s="162">
        <f ca="1">VLOOKUP($A305,'BC.115+740'!$B$13:$X$489,20,0)/1000</f>
        <v>1.8340000000000001</v>
      </c>
      <c r="K305" s="162">
        <f ca="1">VLOOKUP($A305,'BC.115+740'!$B$13:$X$489,21,0)/1000</f>
        <v>-0.16600000000000001</v>
      </c>
      <c r="L305" s="160">
        <f t="shared" ca="1" si="12"/>
        <v>-140</v>
      </c>
      <c r="M305" s="161">
        <f t="shared" ca="1" si="13"/>
        <v>-103.00000000000001</v>
      </c>
      <c r="N305" s="160">
        <f t="shared" ca="1" si="14"/>
        <v>-126</v>
      </c>
      <c r="O305" s="160"/>
    </row>
    <row r="306" spans="1:15">
      <c r="A306" s="164">
        <f>'BC.115+740'!B305</f>
        <v>45364</v>
      </c>
      <c r="B306" s="160">
        <v>292</v>
      </c>
      <c r="C306" s="162">
        <f ca="1">'BC.115+740'!M305/1000</f>
        <v>0.89700000000000002</v>
      </c>
      <c r="D306" s="162">
        <f ca="1">'BC.115+740'!AA305</f>
        <v>1.0069999999999999</v>
      </c>
      <c r="E306" s="163">
        <f ca="1">'BC.115+740'!AB305</f>
        <v>0.80400000000000005</v>
      </c>
      <c r="F306" s="162">
        <f ca="1">VLOOKUP($A306,'BC.115+740'!$B$13:$X$489,8,0)/1000</f>
        <v>1.9</v>
      </c>
      <c r="G306" s="162">
        <f ca="1">VLOOKUP($A306,'BC.115+740'!$B$13:$X$489,9,0)/1000</f>
        <v>-0.1</v>
      </c>
      <c r="H306" s="162">
        <f ca="1">VLOOKUP($A306,'BC.115+740'!$B$13:$X$489,14,0)/1000</f>
        <v>1.887</v>
      </c>
      <c r="I306" s="162">
        <f ca="1">VLOOKUP($A306,'BC.115+740'!$B$13:$X$489,15,0)/1000</f>
        <v>-0.113</v>
      </c>
      <c r="J306" s="162">
        <f ca="1">VLOOKUP($A306,'BC.115+740'!$B$13:$X$489,20,0)/1000</f>
        <v>1.8340000000000001</v>
      </c>
      <c r="K306" s="162">
        <f ca="1">VLOOKUP($A306,'BC.115+740'!$B$13:$X$489,21,0)/1000</f>
        <v>-0.16600000000000001</v>
      </c>
      <c r="L306" s="160">
        <f t="shared" ca="1" si="12"/>
        <v>-140</v>
      </c>
      <c r="M306" s="161">
        <f t="shared" ca="1" si="13"/>
        <v>-103.00000000000001</v>
      </c>
      <c r="N306" s="160">
        <f t="shared" ca="1" si="14"/>
        <v>-126</v>
      </c>
      <c r="O306" s="160"/>
    </row>
    <row r="307" spans="1:15">
      <c r="A307" s="164">
        <f>'BC.115+740'!B306</f>
        <v>45365</v>
      </c>
      <c r="B307" s="160">
        <v>293</v>
      </c>
      <c r="C307" s="162">
        <f ca="1">'BC.115+740'!M306/1000</f>
        <v>1.1879999999999999</v>
      </c>
      <c r="D307" s="162">
        <f ca="1">'BC.115+740'!AA306</f>
        <v>1.2989999999999999</v>
      </c>
      <c r="E307" s="163">
        <f ca="1">'BC.115+740'!AB306</f>
        <v>1.0860000000000001</v>
      </c>
      <c r="F307" s="162">
        <f ca="1">VLOOKUP($A307,'BC.115+740'!$B$13:$X$489,8,0)/1000</f>
        <v>1.891</v>
      </c>
      <c r="G307" s="162">
        <f ca="1">VLOOKUP($A307,'BC.115+740'!$B$13:$X$489,9,0)/1000</f>
        <v>-0.109</v>
      </c>
      <c r="H307" s="162">
        <f ca="1">VLOOKUP($A307,'BC.115+740'!$B$13:$X$489,14,0)/1000</f>
        <v>1.8779999999999999</v>
      </c>
      <c r="I307" s="162">
        <f ca="1">VLOOKUP($A307,'BC.115+740'!$B$13:$X$489,15,0)/1000</f>
        <v>-0.122</v>
      </c>
      <c r="J307" s="162">
        <f ca="1">VLOOKUP($A307,'BC.115+740'!$B$13:$X$489,20,0)/1000</f>
        <v>1.8260000000000001</v>
      </c>
      <c r="K307" s="162">
        <f ca="1">VLOOKUP($A307,'BC.115+740'!$B$13:$X$489,21,0)/1000</f>
        <v>-0.17399999999999999</v>
      </c>
      <c r="L307" s="160">
        <f t="shared" ca="1" si="12"/>
        <v>-149</v>
      </c>
      <c r="M307" s="161">
        <f t="shared" ca="1" si="13"/>
        <v>-112</v>
      </c>
      <c r="N307" s="160">
        <f t="shared" ca="1" si="14"/>
        <v>-133.99999999999997</v>
      </c>
      <c r="O307" s="160"/>
    </row>
    <row r="308" spans="1:15">
      <c r="A308" s="164">
        <f>'BC.115+740'!B307</f>
        <v>45366</v>
      </c>
      <c r="B308" s="160">
        <v>294</v>
      </c>
      <c r="C308" s="162">
        <f ca="1">'BC.115+740'!M307/1000</f>
        <v>1.1819999999999999</v>
      </c>
      <c r="D308" s="162">
        <f ca="1">'BC.115+740'!AA307</f>
        <v>1.2989999999999999</v>
      </c>
      <c r="E308" s="163">
        <f ca="1">'BC.115+740'!AB307</f>
        <v>1.0740000000000001</v>
      </c>
      <c r="F308" s="162">
        <f ca="1">VLOOKUP($A308,'BC.115+740'!$B$13:$X$489,8,0)/1000</f>
        <v>1.885</v>
      </c>
      <c r="G308" s="162">
        <f ca="1">VLOOKUP($A308,'BC.115+740'!$B$13:$X$489,9,0)/1000</f>
        <v>-0.115</v>
      </c>
      <c r="H308" s="162">
        <f ca="1">VLOOKUP($A308,'BC.115+740'!$B$13:$X$489,14,0)/1000</f>
        <v>1.8720000000000001</v>
      </c>
      <c r="I308" s="162">
        <f ca="1">VLOOKUP($A308,'BC.115+740'!$B$13:$X$489,15,0)/1000</f>
        <v>-0.128</v>
      </c>
      <c r="J308" s="162">
        <f ca="1">VLOOKUP($A308,'BC.115+740'!$B$13:$X$489,20,0)/1000</f>
        <v>1.823</v>
      </c>
      <c r="K308" s="162">
        <f ca="1">VLOOKUP($A308,'BC.115+740'!$B$13:$X$489,21,0)/1000</f>
        <v>-0.17699999999999999</v>
      </c>
      <c r="L308" s="160">
        <f t="shared" ca="1" si="12"/>
        <v>-155</v>
      </c>
      <c r="M308" s="161">
        <f t="shared" ca="1" si="13"/>
        <v>-118.00000000000001</v>
      </c>
      <c r="N308" s="160">
        <f t="shared" ca="1" si="14"/>
        <v>-136.99999999999997</v>
      </c>
      <c r="O308" s="160"/>
    </row>
    <row r="309" spans="1:15">
      <c r="A309" s="164">
        <f>'BC.115+740'!B308</f>
        <v>45367</v>
      </c>
      <c r="B309" s="160">
        <v>295</v>
      </c>
      <c r="C309" s="162">
        <f ca="1">'BC.115+740'!M308/1000</f>
        <v>1.177</v>
      </c>
      <c r="D309" s="162">
        <f ca="1">'BC.115+740'!AA308</f>
        <v>1.2989999999999999</v>
      </c>
      <c r="E309" s="163">
        <f ca="1">'BC.115+740'!AB308</f>
        <v>1.0640000000000001</v>
      </c>
      <c r="F309" s="162">
        <f ca="1">VLOOKUP($A309,'BC.115+740'!$B$13:$X$489,8,0)/1000</f>
        <v>1.88</v>
      </c>
      <c r="G309" s="162">
        <f ca="1">VLOOKUP($A309,'BC.115+740'!$B$13:$X$489,9,0)/1000</f>
        <v>-0.12</v>
      </c>
      <c r="H309" s="162">
        <f ca="1">VLOOKUP($A309,'BC.115+740'!$B$13:$X$489,14,0)/1000</f>
        <v>1.867</v>
      </c>
      <c r="I309" s="162">
        <f ca="1">VLOOKUP($A309,'BC.115+740'!$B$13:$X$489,15,0)/1000</f>
        <v>-0.13300000000000001</v>
      </c>
      <c r="J309" s="162">
        <f ca="1">VLOOKUP($A309,'BC.115+740'!$B$13:$X$489,20,0)/1000</f>
        <v>1.819</v>
      </c>
      <c r="K309" s="162">
        <f ca="1">VLOOKUP($A309,'BC.115+740'!$B$13:$X$489,21,0)/1000</f>
        <v>-0.18099999999999999</v>
      </c>
      <c r="L309" s="160">
        <f t="shared" ca="1" si="12"/>
        <v>-160</v>
      </c>
      <c r="M309" s="161">
        <f t="shared" ca="1" si="13"/>
        <v>-123.00000000000001</v>
      </c>
      <c r="N309" s="160">
        <f t="shared" ca="1" si="14"/>
        <v>-141</v>
      </c>
      <c r="O309" s="160"/>
    </row>
    <row r="310" spans="1:15">
      <c r="A310" s="164">
        <f>'BC.115+740'!B309</f>
        <v>45368</v>
      </c>
      <c r="B310" s="160">
        <v>296</v>
      </c>
      <c r="C310" s="162">
        <f ca="1">'BC.115+740'!M309/1000</f>
        <v>1.171</v>
      </c>
      <c r="D310" s="162">
        <f ca="1">'BC.115+740'!AA309</f>
        <v>1.2989999999999999</v>
      </c>
      <c r="E310" s="163">
        <f ca="1">'BC.115+740'!AB309</f>
        <v>1.052</v>
      </c>
      <c r="F310" s="162">
        <f ca="1">VLOOKUP($A310,'BC.115+740'!$B$13:$X$489,8,0)/1000</f>
        <v>1.875</v>
      </c>
      <c r="G310" s="162">
        <f ca="1">VLOOKUP($A310,'BC.115+740'!$B$13:$X$489,9,0)/1000</f>
        <v>-0.125</v>
      </c>
      <c r="H310" s="162">
        <f ca="1">VLOOKUP($A310,'BC.115+740'!$B$13:$X$489,14,0)/1000</f>
        <v>1.861</v>
      </c>
      <c r="I310" s="162">
        <f ca="1">VLOOKUP($A310,'BC.115+740'!$B$13:$X$489,15,0)/1000</f>
        <v>-0.13900000000000001</v>
      </c>
      <c r="J310" s="162">
        <f ca="1">VLOOKUP($A310,'BC.115+740'!$B$13:$X$489,20,0)/1000</f>
        <v>1.8149999999999999</v>
      </c>
      <c r="K310" s="162">
        <f ca="1">VLOOKUP($A310,'BC.115+740'!$B$13:$X$489,21,0)/1000</f>
        <v>-0.185</v>
      </c>
      <c r="L310" s="160">
        <f t="shared" ca="1" si="12"/>
        <v>-165</v>
      </c>
      <c r="M310" s="161">
        <f t="shared" ca="1" si="13"/>
        <v>-129</v>
      </c>
      <c r="N310" s="160">
        <f t="shared" ca="1" si="14"/>
        <v>-145</v>
      </c>
      <c r="O310" s="160"/>
    </row>
    <row r="311" spans="1:15">
      <c r="A311" s="164">
        <f>'BC.115+740'!B310</f>
        <v>45369</v>
      </c>
      <c r="B311" s="160">
        <v>297</v>
      </c>
      <c r="C311" s="162">
        <f ca="1">'BC.115+740'!M310/1000</f>
        <v>1.462</v>
      </c>
      <c r="D311" s="162">
        <f ca="1">'BC.115+740'!AA310</f>
        <v>1.591</v>
      </c>
      <c r="E311" s="163">
        <f ca="1">'BC.115+740'!AB310</f>
        <v>1.3340000000000001</v>
      </c>
      <c r="F311" s="162">
        <f ca="1">VLOOKUP($A311,'BC.115+740'!$B$13:$X$489,8,0)/1000</f>
        <v>1.8660000000000001</v>
      </c>
      <c r="G311" s="162">
        <f ca="1">VLOOKUP($A311,'BC.115+740'!$B$13:$X$489,9,0)/1000</f>
        <v>-0.13400000000000001</v>
      </c>
      <c r="H311" s="162">
        <f ca="1">VLOOKUP($A311,'BC.115+740'!$B$13:$X$489,14,0)/1000</f>
        <v>1.8520000000000001</v>
      </c>
      <c r="I311" s="162">
        <f ca="1">VLOOKUP($A311,'BC.115+740'!$B$13:$X$489,15,0)/1000</f>
        <v>-0.14799999999999999</v>
      </c>
      <c r="J311" s="162">
        <f ca="1">VLOOKUP($A311,'BC.115+740'!$B$13:$X$489,20,0)/1000</f>
        <v>1.8069999999999999</v>
      </c>
      <c r="K311" s="162">
        <f ca="1">VLOOKUP($A311,'BC.115+740'!$B$13:$X$489,21,0)/1000</f>
        <v>-0.193</v>
      </c>
      <c r="L311" s="160">
        <f t="shared" ca="1" si="12"/>
        <v>-174.00000000000003</v>
      </c>
      <c r="M311" s="161">
        <f t="shared" ca="1" si="13"/>
        <v>-137.99999999999997</v>
      </c>
      <c r="N311" s="160">
        <f t="shared" ca="1" si="14"/>
        <v>-153</v>
      </c>
      <c r="O311" s="160"/>
    </row>
    <row r="312" spans="1:15">
      <c r="A312" s="164">
        <f>'BC.115+740'!B311</f>
        <v>45370</v>
      </c>
      <c r="B312" s="160">
        <v>298</v>
      </c>
      <c r="C312" s="162">
        <f ca="1">'BC.115+740'!M311/1000</f>
        <v>1.456</v>
      </c>
      <c r="D312" s="162">
        <f ca="1">'BC.115+740'!AA311</f>
        <v>1.591</v>
      </c>
      <c r="E312" s="163">
        <f ca="1">'BC.115+740'!AB311</f>
        <v>1.3220000000000001</v>
      </c>
      <c r="F312" s="162">
        <f ca="1">VLOOKUP($A312,'BC.115+740'!$B$13:$X$489,8,0)/1000</f>
        <v>1.86</v>
      </c>
      <c r="G312" s="162">
        <f ca="1">VLOOKUP($A312,'BC.115+740'!$B$13:$X$489,9,0)/1000</f>
        <v>-0.14000000000000001</v>
      </c>
      <c r="H312" s="162">
        <f ca="1">VLOOKUP($A312,'BC.115+740'!$B$13:$X$489,14,0)/1000</f>
        <v>1.8460000000000001</v>
      </c>
      <c r="I312" s="162">
        <f ca="1">VLOOKUP($A312,'BC.115+740'!$B$13:$X$489,15,0)/1000</f>
        <v>-0.154</v>
      </c>
      <c r="J312" s="162">
        <f ca="1">VLOOKUP($A312,'BC.115+740'!$B$13:$X$489,20,0)/1000</f>
        <v>1.804</v>
      </c>
      <c r="K312" s="162">
        <f ca="1">VLOOKUP($A312,'BC.115+740'!$B$13:$X$489,21,0)/1000</f>
        <v>-0.19600000000000001</v>
      </c>
      <c r="L312" s="160">
        <f t="shared" ca="1" si="12"/>
        <v>-180.00000000000003</v>
      </c>
      <c r="M312" s="161">
        <f t="shared" ca="1" si="13"/>
        <v>-144</v>
      </c>
      <c r="N312" s="160">
        <f t="shared" ca="1" si="14"/>
        <v>-156</v>
      </c>
      <c r="O312" s="160"/>
    </row>
    <row r="313" spans="1:15">
      <c r="A313" s="164">
        <f>'BC.115+740'!B312</f>
        <v>45371</v>
      </c>
      <c r="B313" s="160">
        <v>299</v>
      </c>
      <c r="C313" s="162">
        <f ca="1">'BC.115+740'!M312/1000</f>
        <v>1.4510000000000001</v>
      </c>
      <c r="D313" s="162">
        <f ca="1">'BC.115+740'!AA312</f>
        <v>1.591</v>
      </c>
      <c r="E313" s="163">
        <f ca="1">'BC.115+740'!AB312</f>
        <v>1.3120000000000001</v>
      </c>
      <c r="F313" s="162">
        <f ca="1">VLOOKUP($A313,'BC.115+740'!$B$13:$X$489,8,0)/1000</f>
        <v>1.855</v>
      </c>
      <c r="G313" s="162">
        <f ca="1">VLOOKUP($A313,'BC.115+740'!$B$13:$X$489,9,0)/1000</f>
        <v>-0.14499999999999999</v>
      </c>
      <c r="H313" s="162">
        <f ca="1">VLOOKUP($A313,'BC.115+740'!$B$13:$X$489,14,0)/1000</f>
        <v>1.841</v>
      </c>
      <c r="I313" s="162">
        <f ca="1">VLOOKUP($A313,'BC.115+740'!$B$13:$X$489,15,0)/1000</f>
        <v>-0.159</v>
      </c>
      <c r="J313" s="162">
        <f ca="1">VLOOKUP($A313,'BC.115+740'!$B$13:$X$489,20,0)/1000</f>
        <v>1.8</v>
      </c>
      <c r="K313" s="162">
        <f ca="1">VLOOKUP($A313,'BC.115+740'!$B$13:$X$489,21,0)/1000</f>
        <v>-0.2</v>
      </c>
      <c r="L313" s="160">
        <f t="shared" ca="1" si="12"/>
        <v>-185</v>
      </c>
      <c r="M313" s="161">
        <f t="shared" ca="1" si="13"/>
        <v>-149</v>
      </c>
      <c r="N313" s="160">
        <f t="shared" ca="1" si="14"/>
        <v>-160</v>
      </c>
      <c r="O313" s="160"/>
    </row>
    <row r="314" spans="1:15">
      <c r="A314" s="164">
        <f>'BC.115+740'!B313</f>
        <v>45372</v>
      </c>
      <c r="B314" s="160">
        <v>300</v>
      </c>
      <c r="C314" s="162">
        <f ca="1">'BC.115+740'!M313/1000</f>
        <v>1.4450000000000001</v>
      </c>
      <c r="D314" s="162">
        <f ca="1">'BC.115+740'!AA313</f>
        <v>1.591</v>
      </c>
      <c r="E314" s="163">
        <f ca="1">'BC.115+740'!AB313</f>
        <v>1.3</v>
      </c>
      <c r="F314" s="162">
        <f ca="1">VLOOKUP($A314,'BC.115+740'!$B$13:$X$489,8,0)/1000</f>
        <v>1.85</v>
      </c>
      <c r="G314" s="162">
        <f ca="1">VLOOKUP($A314,'BC.115+740'!$B$13:$X$489,9,0)/1000</f>
        <v>-0.15</v>
      </c>
      <c r="H314" s="162">
        <f ca="1">VLOOKUP($A314,'BC.115+740'!$B$13:$X$489,14,0)/1000</f>
        <v>1.835</v>
      </c>
      <c r="I314" s="162">
        <f ca="1">VLOOKUP($A314,'BC.115+740'!$B$13:$X$489,15,0)/1000</f>
        <v>-0.16500000000000001</v>
      </c>
      <c r="J314" s="162">
        <f ca="1">VLOOKUP($A314,'BC.115+740'!$B$13:$X$489,20,0)/1000</f>
        <v>1.796</v>
      </c>
      <c r="K314" s="162">
        <f ca="1">VLOOKUP($A314,'BC.115+740'!$B$13:$X$489,21,0)/1000</f>
        <v>-0.20399999999999999</v>
      </c>
      <c r="L314" s="160">
        <f t="shared" ca="1" si="12"/>
        <v>-190</v>
      </c>
      <c r="M314" s="161">
        <f t="shared" ca="1" si="13"/>
        <v>-155</v>
      </c>
      <c r="N314" s="160">
        <f t="shared" ca="1" si="14"/>
        <v>-163.99999999999997</v>
      </c>
      <c r="O314" s="160"/>
    </row>
    <row r="315" spans="1:15">
      <c r="A315" s="164">
        <f>'BC.115+740'!B314</f>
        <v>45373</v>
      </c>
      <c r="B315" s="160">
        <v>301</v>
      </c>
      <c r="C315" s="162">
        <f ca="1">'BC.115+740'!M314/1000</f>
        <v>1.4390000000000001</v>
      </c>
      <c r="D315" s="162">
        <f ca="1">'BC.115+740'!AA314</f>
        <v>1.591</v>
      </c>
      <c r="E315" s="163">
        <f ca="1">'BC.115+740'!AB314</f>
        <v>1.288</v>
      </c>
      <c r="F315" s="162">
        <f ca="1">VLOOKUP($A315,'BC.115+740'!$B$13:$X$489,8,0)/1000</f>
        <v>1.845</v>
      </c>
      <c r="G315" s="162">
        <f ca="1">VLOOKUP($A315,'BC.115+740'!$B$13:$X$489,9,0)/1000</f>
        <v>-0.155</v>
      </c>
      <c r="H315" s="162">
        <f ca="1">VLOOKUP($A315,'BC.115+740'!$B$13:$X$489,14,0)/1000</f>
        <v>1.829</v>
      </c>
      <c r="I315" s="162">
        <f ca="1">VLOOKUP($A315,'BC.115+740'!$B$13:$X$489,15,0)/1000</f>
        <v>-0.17100000000000001</v>
      </c>
      <c r="J315" s="162">
        <f ca="1">VLOOKUP($A315,'BC.115+740'!$B$13:$X$489,20,0)/1000</f>
        <v>1.792</v>
      </c>
      <c r="K315" s="162">
        <f ca="1">VLOOKUP($A315,'BC.115+740'!$B$13:$X$489,21,0)/1000</f>
        <v>-0.20799999999999999</v>
      </c>
      <c r="L315" s="160">
        <f t="shared" ca="1" si="12"/>
        <v>-195</v>
      </c>
      <c r="M315" s="161">
        <f t="shared" ca="1" si="13"/>
        <v>-161</v>
      </c>
      <c r="N315" s="160">
        <f t="shared" ca="1" si="14"/>
        <v>-167.99999999999997</v>
      </c>
      <c r="O315" s="160"/>
    </row>
    <row r="316" spans="1:15">
      <c r="A316" s="164">
        <f>'BC.115+740'!B315</f>
        <v>45374</v>
      </c>
      <c r="B316" s="160">
        <v>302</v>
      </c>
      <c r="C316" s="162">
        <f ca="1">'BC.115+740'!M315/1000</f>
        <v>1.73</v>
      </c>
      <c r="D316" s="162">
        <f ca="1">'BC.115+740'!AA315</f>
        <v>1.8819999999999999</v>
      </c>
      <c r="E316" s="163">
        <f ca="1">'BC.115+740'!AB315</f>
        <v>1.57</v>
      </c>
      <c r="F316" s="162">
        <f ca="1">VLOOKUP($A316,'BC.115+740'!$B$13:$X$489,8,0)/1000</f>
        <v>1.8360000000000001</v>
      </c>
      <c r="G316" s="162">
        <f ca="1">VLOOKUP($A316,'BC.115+740'!$B$13:$X$489,9,0)/1000</f>
        <v>-0.16400000000000001</v>
      </c>
      <c r="H316" s="162">
        <f ca="1">VLOOKUP($A316,'BC.115+740'!$B$13:$X$489,14,0)/1000</f>
        <v>1.82</v>
      </c>
      <c r="I316" s="162">
        <f ca="1">VLOOKUP($A316,'BC.115+740'!$B$13:$X$489,15,0)/1000</f>
        <v>-0.18</v>
      </c>
      <c r="J316" s="162">
        <f ca="1">VLOOKUP($A316,'BC.115+740'!$B$13:$X$489,20,0)/1000</f>
        <v>1.7829999999999999</v>
      </c>
      <c r="K316" s="162">
        <f ca="1">VLOOKUP($A316,'BC.115+740'!$B$13:$X$489,21,0)/1000</f>
        <v>-0.217</v>
      </c>
      <c r="L316" s="160">
        <f t="shared" ca="1" si="12"/>
        <v>-204.00000000000003</v>
      </c>
      <c r="M316" s="161">
        <f t="shared" ca="1" si="13"/>
        <v>-169.99999999999997</v>
      </c>
      <c r="N316" s="160">
        <f t="shared" ca="1" si="14"/>
        <v>-177</v>
      </c>
      <c r="O316" s="160"/>
    </row>
    <row r="317" spans="1:15">
      <c r="A317" s="164">
        <f>'BC.115+740'!B316</f>
        <v>45375</v>
      </c>
      <c r="B317" s="160">
        <v>303</v>
      </c>
      <c r="C317" s="162">
        <f ca="1">'BC.115+740'!M316/1000</f>
        <v>1.726</v>
      </c>
      <c r="D317" s="162">
        <f ca="1">'BC.115+740'!AA316</f>
        <v>1.8819999999999999</v>
      </c>
      <c r="E317" s="163">
        <f ca="1">'BC.115+740'!AB316</f>
        <v>1.5620000000000001</v>
      </c>
      <c r="F317" s="162">
        <f ca="1">VLOOKUP($A317,'BC.115+740'!$B$13:$X$489,8,0)/1000</f>
        <v>1.833</v>
      </c>
      <c r="G317" s="162">
        <f ca="1">VLOOKUP($A317,'BC.115+740'!$B$13:$X$489,9,0)/1000</f>
        <v>-0.16700000000000001</v>
      </c>
      <c r="H317" s="162">
        <f ca="1">VLOOKUP($A317,'BC.115+740'!$B$13:$X$489,14,0)/1000</f>
        <v>1.8160000000000001</v>
      </c>
      <c r="I317" s="162">
        <f ca="1">VLOOKUP($A317,'BC.115+740'!$B$13:$X$489,15,0)/1000</f>
        <v>-0.184</v>
      </c>
      <c r="J317" s="162">
        <f ca="1">VLOOKUP($A317,'BC.115+740'!$B$13:$X$489,20,0)/1000</f>
        <v>1.7789999999999999</v>
      </c>
      <c r="K317" s="162">
        <f ca="1">VLOOKUP($A317,'BC.115+740'!$B$13:$X$489,21,0)/1000</f>
        <v>-0.221</v>
      </c>
      <c r="L317" s="160">
        <f t="shared" ca="1" si="12"/>
        <v>-207.00000000000003</v>
      </c>
      <c r="M317" s="161">
        <f t="shared" ca="1" si="13"/>
        <v>-174</v>
      </c>
      <c r="N317" s="160">
        <f t="shared" ca="1" si="14"/>
        <v>-181</v>
      </c>
      <c r="O317" s="160"/>
    </row>
    <row r="318" spans="1:15">
      <c r="A318" s="164">
        <f>'BC.115+740'!B317</f>
        <v>45376</v>
      </c>
      <c r="B318" s="160">
        <v>304</v>
      </c>
      <c r="C318" s="162">
        <f ca="1">'BC.115+740'!M317/1000</f>
        <v>1.7210000000000001</v>
      </c>
      <c r="D318" s="162">
        <f ca="1">'BC.115+740'!AA317</f>
        <v>1.8819999999999999</v>
      </c>
      <c r="E318" s="163">
        <f ca="1">'BC.115+740'!AB317</f>
        <v>1.552</v>
      </c>
      <c r="F318" s="162">
        <f ca="1">VLOOKUP($A318,'BC.115+740'!$B$13:$X$489,8,0)/1000</f>
        <v>1.831</v>
      </c>
      <c r="G318" s="162">
        <f ca="1">VLOOKUP($A318,'BC.115+740'!$B$13:$X$489,9,0)/1000</f>
        <v>-0.16900000000000001</v>
      </c>
      <c r="H318" s="162">
        <f ca="1">VLOOKUP($A318,'BC.115+740'!$B$13:$X$489,14,0)/1000</f>
        <v>1.8109999999999999</v>
      </c>
      <c r="I318" s="162">
        <f ca="1">VLOOKUP($A318,'BC.115+740'!$B$13:$X$489,15,0)/1000</f>
        <v>-0.189</v>
      </c>
      <c r="J318" s="162">
        <f ca="1">VLOOKUP($A318,'BC.115+740'!$B$13:$X$489,20,0)/1000</f>
        <v>1.7769999999999999</v>
      </c>
      <c r="K318" s="162">
        <f ca="1">VLOOKUP($A318,'BC.115+740'!$B$13:$X$489,21,0)/1000</f>
        <v>-0.223</v>
      </c>
      <c r="L318" s="160">
        <f t="shared" ca="1" si="12"/>
        <v>-209.00000000000003</v>
      </c>
      <c r="M318" s="161">
        <f t="shared" ca="1" si="13"/>
        <v>-179</v>
      </c>
      <c r="N318" s="160">
        <f t="shared" ca="1" si="14"/>
        <v>-183</v>
      </c>
      <c r="O318" s="160"/>
    </row>
    <row r="319" spans="1:15">
      <c r="A319" s="164">
        <f>'BC.115+740'!B318</f>
        <v>45377</v>
      </c>
      <c r="B319" s="160">
        <v>305</v>
      </c>
      <c r="C319" s="162">
        <f ca="1">'BC.115+740'!M318/1000</f>
        <v>1.716</v>
      </c>
      <c r="D319" s="162">
        <f ca="1">'BC.115+740'!AA318</f>
        <v>1.8819999999999999</v>
      </c>
      <c r="E319" s="163">
        <f ca="1">'BC.115+740'!AB318</f>
        <v>1.542</v>
      </c>
      <c r="F319" s="162">
        <f ca="1">VLOOKUP($A319,'BC.115+740'!$B$13:$X$489,8,0)/1000</f>
        <v>1.827</v>
      </c>
      <c r="G319" s="162">
        <f ca="1">VLOOKUP($A319,'BC.115+740'!$B$13:$X$489,9,0)/1000</f>
        <v>-0.17299999999999999</v>
      </c>
      <c r="H319" s="162">
        <f ca="1">VLOOKUP($A319,'BC.115+740'!$B$13:$X$489,14,0)/1000</f>
        <v>1.806</v>
      </c>
      <c r="I319" s="162">
        <f ca="1">VLOOKUP($A319,'BC.115+740'!$B$13:$X$489,15,0)/1000</f>
        <v>-0.19400000000000001</v>
      </c>
      <c r="J319" s="162">
        <f ca="1">VLOOKUP($A319,'BC.115+740'!$B$13:$X$489,20,0)/1000</f>
        <v>1.772</v>
      </c>
      <c r="K319" s="162">
        <f ca="1">VLOOKUP($A319,'BC.115+740'!$B$13:$X$489,21,0)/1000</f>
        <v>-0.22800000000000001</v>
      </c>
      <c r="L319" s="160">
        <f t="shared" ca="1" si="12"/>
        <v>-213</v>
      </c>
      <c r="M319" s="161">
        <f t="shared" ca="1" si="13"/>
        <v>-184</v>
      </c>
      <c r="N319" s="160">
        <f t="shared" ca="1" si="14"/>
        <v>-188</v>
      </c>
      <c r="O319" s="160"/>
    </row>
    <row r="320" spans="1:15">
      <c r="A320" s="164">
        <f>'BC.115+740'!B319</f>
        <v>45378</v>
      </c>
      <c r="B320" s="160">
        <v>306</v>
      </c>
      <c r="C320" s="162">
        <f ca="1">'BC.115+740'!M319/1000</f>
        <v>2.0070000000000001</v>
      </c>
      <c r="D320" s="162">
        <f ca="1">'BC.115+740'!AA319</f>
        <v>2.1739999999999999</v>
      </c>
      <c r="E320" s="163">
        <f ca="1">'BC.115+740'!AB319</f>
        <v>1.8240000000000001</v>
      </c>
      <c r="F320" s="162">
        <f ca="1">VLOOKUP($A320,'BC.115+740'!$B$13:$X$489,8,0)/1000</f>
        <v>1.819</v>
      </c>
      <c r="G320" s="162">
        <f ca="1">VLOOKUP($A320,'BC.115+740'!$B$13:$X$489,9,0)/1000</f>
        <v>-0.18099999999999999</v>
      </c>
      <c r="H320" s="162">
        <f ca="1">VLOOKUP($A320,'BC.115+740'!$B$13:$X$489,14,0)/1000</f>
        <v>1.7969999999999999</v>
      </c>
      <c r="I320" s="162">
        <f ca="1">VLOOKUP($A320,'BC.115+740'!$B$13:$X$489,15,0)/1000</f>
        <v>-0.20300000000000001</v>
      </c>
      <c r="J320" s="162">
        <f ca="1">VLOOKUP($A320,'BC.115+740'!$B$13:$X$489,20,0)/1000</f>
        <v>1.764</v>
      </c>
      <c r="K320" s="162">
        <f ca="1">VLOOKUP($A320,'BC.115+740'!$B$13:$X$489,21,0)/1000</f>
        <v>-0.23599999999999999</v>
      </c>
      <c r="L320" s="160">
        <f t="shared" ca="1" si="12"/>
        <v>-221</v>
      </c>
      <c r="M320" s="161">
        <f t="shared" ca="1" si="13"/>
        <v>-193</v>
      </c>
      <c r="N320" s="160">
        <f t="shared" ca="1" si="14"/>
        <v>-195.99999999999997</v>
      </c>
      <c r="O320" s="160"/>
    </row>
    <row r="321" spans="1:15">
      <c r="A321" s="164">
        <f>'BC.115+740'!B320</f>
        <v>45379</v>
      </c>
      <c r="B321" s="160">
        <v>307</v>
      </c>
      <c r="C321" s="162">
        <f ca="1">'BC.115+740'!M320/1000</f>
        <v>2.0019999999999998</v>
      </c>
      <c r="D321" s="162">
        <f ca="1">'BC.115+740'!AA320</f>
        <v>2.1739999999999999</v>
      </c>
      <c r="E321" s="163">
        <f ca="1">'BC.115+740'!AB320</f>
        <v>1.8140000000000001</v>
      </c>
      <c r="F321" s="162">
        <f ca="1">VLOOKUP($A321,'BC.115+740'!$B$13:$X$489,8,0)/1000</f>
        <v>1.8140000000000001</v>
      </c>
      <c r="G321" s="162">
        <f ca="1">VLOOKUP($A321,'BC.115+740'!$B$13:$X$489,9,0)/1000</f>
        <v>-0.186</v>
      </c>
      <c r="H321" s="162">
        <f ca="1">VLOOKUP($A321,'BC.115+740'!$B$13:$X$489,14,0)/1000</f>
        <v>1.792</v>
      </c>
      <c r="I321" s="162">
        <f ca="1">VLOOKUP($A321,'BC.115+740'!$B$13:$X$489,15,0)/1000</f>
        <v>-0.20799999999999999</v>
      </c>
      <c r="J321" s="162">
        <f ca="1">VLOOKUP($A321,'BC.115+740'!$B$13:$X$489,20,0)/1000</f>
        <v>1.76</v>
      </c>
      <c r="K321" s="162">
        <f ca="1">VLOOKUP($A321,'BC.115+740'!$B$13:$X$489,21,0)/1000</f>
        <v>-0.24</v>
      </c>
      <c r="L321" s="160">
        <f t="shared" ca="1" si="12"/>
        <v>-226</v>
      </c>
      <c r="M321" s="161">
        <f t="shared" ca="1" si="13"/>
        <v>-197.99999999999997</v>
      </c>
      <c r="N321" s="160">
        <f t="shared" ca="1" si="14"/>
        <v>-199.99999999999997</v>
      </c>
      <c r="O321" s="160"/>
    </row>
    <row r="322" spans="1:15">
      <c r="A322" s="164">
        <f>'BC.115+740'!B321</f>
        <v>45380</v>
      </c>
      <c r="B322" s="160">
        <v>308</v>
      </c>
      <c r="C322" s="162">
        <f ca="1">'BC.115+740'!M321/1000</f>
        <v>1.998</v>
      </c>
      <c r="D322" s="162">
        <f ca="1">'BC.115+740'!AA321</f>
        <v>2.1739999999999999</v>
      </c>
      <c r="E322" s="163">
        <f ca="1">'BC.115+740'!AB321</f>
        <v>1.806</v>
      </c>
      <c r="F322" s="162">
        <f ca="1">VLOOKUP($A322,'BC.115+740'!$B$13:$X$489,8,0)/1000</f>
        <v>1.8089999999999999</v>
      </c>
      <c r="G322" s="162">
        <f ca="1">VLOOKUP($A322,'BC.115+740'!$B$13:$X$489,9,0)/1000</f>
        <v>-0.191</v>
      </c>
      <c r="H322" s="162">
        <f ca="1">VLOOKUP($A322,'BC.115+740'!$B$13:$X$489,14,0)/1000</f>
        <v>1.788</v>
      </c>
      <c r="I322" s="162">
        <f ca="1">VLOOKUP($A322,'BC.115+740'!$B$13:$X$489,15,0)/1000</f>
        <v>-0.21199999999999999</v>
      </c>
      <c r="J322" s="162">
        <f ca="1">VLOOKUP($A322,'BC.115+740'!$B$13:$X$489,20,0)/1000</f>
        <v>1.7569999999999999</v>
      </c>
      <c r="K322" s="162">
        <f ca="1">VLOOKUP($A322,'BC.115+740'!$B$13:$X$489,21,0)/1000</f>
        <v>-0.24299999999999999</v>
      </c>
      <c r="L322" s="160">
        <f t="shared" ca="1" si="12"/>
        <v>-231</v>
      </c>
      <c r="M322" s="161">
        <f t="shared" ca="1" si="13"/>
        <v>-201.99999999999997</v>
      </c>
      <c r="N322" s="160">
        <f t="shared" ca="1" si="14"/>
        <v>-203</v>
      </c>
      <c r="O322" s="160"/>
    </row>
    <row r="323" spans="1:15">
      <c r="A323" s="164">
        <f>'BC.115+740'!B322</f>
        <v>45381</v>
      </c>
      <c r="B323" s="160">
        <v>309</v>
      </c>
      <c r="C323" s="162">
        <f ca="1">'BC.115+740'!M322/1000</f>
        <v>1.994</v>
      </c>
      <c r="D323" s="162">
        <f ca="1">'BC.115+740'!AA322</f>
        <v>2.1739999999999999</v>
      </c>
      <c r="E323" s="163">
        <f ca="1">'BC.115+740'!AB322</f>
        <v>1.798</v>
      </c>
      <c r="F323" s="162">
        <f ca="1">VLOOKUP($A323,'BC.115+740'!$B$13:$X$489,8,0)/1000</f>
        <v>1.8049999999999999</v>
      </c>
      <c r="G323" s="162">
        <f ca="1">VLOOKUP($A323,'BC.115+740'!$B$13:$X$489,9,0)/1000</f>
        <v>-0.19500000000000001</v>
      </c>
      <c r="H323" s="162">
        <f ca="1">VLOOKUP($A323,'BC.115+740'!$B$13:$X$489,14,0)/1000</f>
        <v>1.784</v>
      </c>
      <c r="I323" s="162">
        <f ca="1">VLOOKUP($A323,'BC.115+740'!$B$13:$X$489,15,0)/1000</f>
        <v>-0.216</v>
      </c>
      <c r="J323" s="162">
        <f ca="1">VLOOKUP($A323,'BC.115+740'!$B$13:$X$489,20,0)/1000</f>
        <v>1.756</v>
      </c>
      <c r="K323" s="162">
        <f ca="1">VLOOKUP($A323,'BC.115+740'!$B$13:$X$489,21,0)/1000</f>
        <v>-0.24399999999999999</v>
      </c>
      <c r="L323" s="160">
        <f t="shared" ca="1" si="12"/>
        <v>-235.00000000000003</v>
      </c>
      <c r="M323" s="161">
        <f t="shared" ca="1" si="13"/>
        <v>-206</v>
      </c>
      <c r="N323" s="160">
        <f t="shared" ca="1" si="14"/>
        <v>-204</v>
      </c>
      <c r="O323" s="160"/>
    </row>
    <row r="324" spans="1:15">
      <c r="A324" s="164">
        <f>'BC.115+740'!B323</f>
        <v>45382</v>
      </c>
      <c r="B324" s="160">
        <v>310</v>
      </c>
      <c r="C324" s="162">
        <f ca="1">'BC.115+740'!M323/1000</f>
        <v>1.9910000000000001</v>
      </c>
      <c r="D324" s="162">
        <f ca="1">'BC.115+740'!AA323</f>
        <v>2.1739999999999999</v>
      </c>
      <c r="E324" s="163">
        <f ca="1">'BC.115+740'!AB323</f>
        <v>1.792</v>
      </c>
      <c r="F324" s="162">
        <f ca="1">VLOOKUP($A324,'BC.115+740'!$B$13:$X$489,8,0)/1000</f>
        <v>2.802</v>
      </c>
      <c r="G324" s="162">
        <f ca="1">VLOOKUP($A324,'BC.115+740'!$B$13:$X$489,9,0)/1000</f>
        <v>-0.19800000000000001</v>
      </c>
      <c r="H324" s="162">
        <f ca="1">VLOOKUP($A324,'BC.115+740'!$B$13:$X$489,14,0)/1000</f>
        <v>2.7810000000000001</v>
      </c>
      <c r="I324" s="162">
        <f ca="1">VLOOKUP($A324,'BC.115+740'!$B$13:$X$489,15,0)/1000</f>
        <v>-0.219</v>
      </c>
      <c r="J324" s="162">
        <f ca="1">VLOOKUP($A324,'BC.115+740'!$B$13:$X$489,20,0)/1000</f>
        <v>2.7549999999999999</v>
      </c>
      <c r="K324" s="162">
        <f ca="1">VLOOKUP($A324,'BC.115+740'!$B$13:$X$489,21,0)/1000</f>
        <v>-0.245</v>
      </c>
      <c r="L324" s="160">
        <f t="shared" ca="1" si="12"/>
        <v>-238.00000000000003</v>
      </c>
      <c r="M324" s="161">
        <f t="shared" ca="1" si="13"/>
        <v>-209</v>
      </c>
      <c r="N324" s="160">
        <f t="shared" ca="1" si="14"/>
        <v>-205</v>
      </c>
      <c r="O324" s="160"/>
    </row>
    <row r="325" spans="1:15">
      <c r="A325" s="164">
        <f>'BC.115+740'!B324</f>
        <v>45383</v>
      </c>
      <c r="B325" s="160">
        <v>311</v>
      </c>
      <c r="C325" s="162">
        <f ca="1">'BC.115+740'!M324/1000</f>
        <v>1.986</v>
      </c>
      <c r="D325" s="162">
        <f ca="1">'BC.115+740'!AA324</f>
        <v>2.1739999999999999</v>
      </c>
      <c r="E325" s="163">
        <f ca="1">'BC.115+740'!AB324</f>
        <v>1.782</v>
      </c>
      <c r="F325" s="162">
        <f ca="1">VLOOKUP($A325,'BC.115+740'!$B$13:$X$489,8,0)/1000</f>
        <v>2.8</v>
      </c>
      <c r="G325" s="162">
        <f ca="1">VLOOKUP($A325,'BC.115+740'!$B$13:$X$489,9,0)/1000</f>
        <v>-0.2</v>
      </c>
      <c r="H325" s="162">
        <f ca="1">VLOOKUP($A325,'BC.115+740'!$B$13:$X$489,14,0)/1000</f>
        <v>2.7759999999999998</v>
      </c>
      <c r="I325" s="162">
        <f ca="1">VLOOKUP($A325,'BC.115+740'!$B$13:$X$489,15,0)/1000</f>
        <v>-0.224</v>
      </c>
      <c r="J325" s="162">
        <f ca="1">VLOOKUP($A325,'BC.115+740'!$B$13:$X$489,20,0)/1000</f>
        <v>2.754</v>
      </c>
      <c r="K325" s="162">
        <f ca="1">VLOOKUP($A325,'BC.115+740'!$B$13:$X$489,21,0)/1000</f>
        <v>-0.246</v>
      </c>
      <c r="L325" s="160">
        <f t="shared" ca="1" si="12"/>
        <v>-240.00000000000003</v>
      </c>
      <c r="M325" s="161">
        <f t="shared" ca="1" si="13"/>
        <v>-214</v>
      </c>
      <c r="N325" s="160">
        <f t="shared" ca="1" si="14"/>
        <v>-206</v>
      </c>
      <c r="O325" s="160"/>
    </row>
    <row r="326" spans="1:15">
      <c r="A326" s="164">
        <f>'BC.115+740'!B325</f>
        <v>45384</v>
      </c>
      <c r="B326" s="160">
        <v>312</v>
      </c>
      <c r="C326" s="162">
        <f ca="1">'BC.115+740'!M325/1000</f>
        <v>2.278</v>
      </c>
      <c r="D326" s="162">
        <f ca="1">'BC.115+740'!AA325</f>
        <v>2.468</v>
      </c>
      <c r="E326" s="163">
        <f ca="1">'BC.115+740'!AB325</f>
        <v>2.0659999999999998</v>
      </c>
      <c r="F326" s="162">
        <f ca="1">VLOOKUP($A326,'BC.115+740'!$B$13:$X$489,8,0)/1000</f>
        <v>2.7930000000000001</v>
      </c>
      <c r="G326" s="162">
        <f ca="1">VLOOKUP($A326,'BC.115+740'!$B$13:$X$489,9,0)/1000</f>
        <v>-0.20699999999999999</v>
      </c>
      <c r="H326" s="162">
        <f ca="1">VLOOKUP($A326,'BC.115+740'!$B$13:$X$489,14,0)/1000</f>
        <v>2.7679999999999998</v>
      </c>
      <c r="I326" s="162">
        <f ca="1">VLOOKUP($A326,'BC.115+740'!$B$13:$X$489,15,0)/1000</f>
        <v>-0.23200000000000001</v>
      </c>
      <c r="J326" s="162">
        <f ca="1">VLOOKUP($A326,'BC.115+740'!$B$13:$X$489,20,0)/1000</f>
        <v>2.7480000000000002</v>
      </c>
      <c r="K326" s="162">
        <f ca="1">VLOOKUP($A326,'BC.115+740'!$B$13:$X$489,21,0)/1000</f>
        <v>-0.252</v>
      </c>
      <c r="L326" s="160">
        <f t="shared" ca="1" si="12"/>
        <v>-247</v>
      </c>
      <c r="M326" s="161">
        <f t="shared" ca="1" si="13"/>
        <v>-222</v>
      </c>
      <c r="N326" s="160">
        <f t="shared" ca="1" si="14"/>
        <v>-212</v>
      </c>
      <c r="O326" s="160"/>
    </row>
    <row r="327" spans="1:15">
      <c r="A327" s="164">
        <f>'BC.115+740'!B326</f>
        <v>45385</v>
      </c>
      <c r="B327" s="160">
        <v>313</v>
      </c>
      <c r="C327" s="162">
        <f ca="1">'BC.115+740'!M326/1000</f>
        <v>2.274</v>
      </c>
      <c r="D327" s="162">
        <f ca="1">'BC.115+740'!AA326</f>
        <v>2.468</v>
      </c>
      <c r="E327" s="163">
        <f ca="1">'BC.115+740'!AB326</f>
        <v>2.0579999999999998</v>
      </c>
      <c r="F327" s="162">
        <f ca="1">VLOOKUP($A327,'BC.115+740'!$B$13:$X$489,8,0)/1000</f>
        <v>2.7909999999999999</v>
      </c>
      <c r="G327" s="162">
        <f ca="1">VLOOKUP($A327,'BC.115+740'!$B$13:$X$489,9,0)/1000</f>
        <v>-0.20899999999999999</v>
      </c>
      <c r="H327" s="162">
        <f ca="1">VLOOKUP($A327,'BC.115+740'!$B$13:$X$489,14,0)/1000</f>
        <v>2.7639999999999998</v>
      </c>
      <c r="I327" s="162">
        <f ca="1">VLOOKUP($A327,'BC.115+740'!$B$13:$X$489,15,0)/1000</f>
        <v>-0.23599999999999999</v>
      </c>
      <c r="J327" s="162">
        <f ca="1">VLOOKUP($A327,'BC.115+740'!$B$13:$X$489,20,0)/1000</f>
        <v>2.746</v>
      </c>
      <c r="K327" s="162">
        <f ca="1">VLOOKUP($A327,'BC.115+740'!$B$13:$X$489,21,0)/1000</f>
        <v>-0.254</v>
      </c>
      <c r="L327" s="160">
        <f t="shared" ca="1" si="12"/>
        <v>-249</v>
      </c>
      <c r="M327" s="161">
        <f t="shared" ca="1" si="13"/>
        <v>-225.99999999999997</v>
      </c>
      <c r="N327" s="160">
        <f t="shared" ca="1" si="14"/>
        <v>-214</v>
      </c>
      <c r="O327" s="160"/>
    </row>
    <row r="328" spans="1:15">
      <c r="A328" s="164">
        <f>'BC.115+740'!B327</f>
        <v>45386</v>
      </c>
      <c r="B328" s="160">
        <v>314</v>
      </c>
      <c r="C328" s="162">
        <f ca="1">'BC.115+740'!M327/1000</f>
        <v>2.2719999999999998</v>
      </c>
      <c r="D328" s="162">
        <f ca="1">'BC.115+740'!AA327</f>
        <v>2.468</v>
      </c>
      <c r="E328" s="163">
        <f ca="1">'BC.115+740'!AB327</f>
        <v>2.0539999999999998</v>
      </c>
      <c r="F328" s="162">
        <f ca="1">VLOOKUP($A328,'BC.115+740'!$B$13:$X$489,8,0)/1000</f>
        <v>2.79</v>
      </c>
      <c r="G328" s="162">
        <f ca="1">VLOOKUP($A328,'BC.115+740'!$B$13:$X$489,9,0)/1000</f>
        <v>-0.21</v>
      </c>
      <c r="H328" s="162">
        <f ca="1">VLOOKUP($A328,'BC.115+740'!$B$13:$X$489,14,0)/1000</f>
        <v>2.762</v>
      </c>
      <c r="I328" s="162">
        <f ca="1">VLOOKUP($A328,'BC.115+740'!$B$13:$X$489,15,0)/1000</f>
        <v>-0.23799999999999999</v>
      </c>
      <c r="J328" s="162">
        <f ca="1">VLOOKUP($A328,'BC.115+740'!$B$13:$X$489,20,0)/1000</f>
        <v>2.7440000000000002</v>
      </c>
      <c r="K328" s="162">
        <f ca="1">VLOOKUP($A328,'BC.115+740'!$B$13:$X$489,21,0)/1000</f>
        <v>-0.25600000000000001</v>
      </c>
      <c r="L328" s="160">
        <f t="shared" ca="1" si="12"/>
        <v>-250</v>
      </c>
      <c r="M328" s="161">
        <f t="shared" ca="1" si="13"/>
        <v>-227.99999999999997</v>
      </c>
      <c r="N328" s="160">
        <f t="shared" ca="1" si="14"/>
        <v>-216</v>
      </c>
      <c r="O328" s="160"/>
    </row>
    <row r="329" spans="1:15">
      <c r="A329" s="164">
        <f>'BC.115+740'!B328</f>
        <v>45387</v>
      </c>
      <c r="B329" s="160">
        <v>315</v>
      </c>
      <c r="C329" s="162">
        <f ca="1">'BC.115+740'!M328/1000</f>
        <v>2.2709999999999999</v>
      </c>
      <c r="D329" s="162">
        <f ca="1">'BC.115+740'!AA328</f>
        <v>2.468</v>
      </c>
      <c r="E329" s="163">
        <f ca="1">'BC.115+740'!AB328</f>
        <v>2.052</v>
      </c>
      <c r="F329" s="162">
        <f ca="1">VLOOKUP($A329,'BC.115+740'!$B$13:$X$489,8,0)/1000</f>
        <v>2.7890000000000001</v>
      </c>
      <c r="G329" s="162">
        <f ca="1">VLOOKUP($A329,'BC.115+740'!$B$13:$X$489,9,0)/1000</f>
        <v>-0.21099999999999999</v>
      </c>
      <c r="H329" s="162">
        <f ca="1">VLOOKUP($A329,'BC.115+740'!$B$13:$X$489,14,0)/1000</f>
        <v>2.7610000000000001</v>
      </c>
      <c r="I329" s="162">
        <f ca="1">VLOOKUP($A329,'BC.115+740'!$B$13:$X$489,15,0)/1000</f>
        <v>-0.23899999999999999</v>
      </c>
      <c r="J329" s="162">
        <f ca="1">VLOOKUP($A329,'BC.115+740'!$B$13:$X$489,20,0)/1000</f>
        <v>2.742</v>
      </c>
      <c r="K329" s="162">
        <f ca="1">VLOOKUP($A329,'BC.115+740'!$B$13:$X$489,21,0)/1000</f>
        <v>-0.25800000000000001</v>
      </c>
      <c r="L329" s="160">
        <f t="shared" ca="1" si="12"/>
        <v>-251</v>
      </c>
      <c r="M329" s="161">
        <f t="shared" ca="1" si="13"/>
        <v>-228.99999999999997</v>
      </c>
      <c r="N329" s="160">
        <f t="shared" ca="1" si="14"/>
        <v>-218</v>
      </c>
      <c r="O329" s="160"/>
    </row>
    <row r="330" spans="1:15">
      <c r="A330" s="164">
        <f>'BC.115+740'!B329</f>
        <v>45388</v>
      </c>
      <c r="B330" s="160">
        <v>316</v>
      </c>
      <c r="C330" s="162">
        <f ca="1">'BC.115+740'!M329/1000</f>
        <v>2.2690000000000001</v>
      </c>
      <c r="D330" s="162">
        <f ca="1">'BC.115+740'!AA329</f>
        <v>2.468</v>
      </c>
      <c r="E330" s="163">
        <f ca="1">'BC.115+740'!AB329</f>
        <v>2.048</v>
      </c>
      <c r="F330" s="162">
        <f ca="1">VLOOKUP($A330,'BC.115+740'!$B$13:$X$489,8,0)/1000</f>
        <v>2.7890000000000001</v>
      </c>
      <c r="G330" s="162">
        <f ca="1">VLOOKUP($A330,'BC.115+740'!$B$13:$X$489,9,0)/1000</f>
        <v>-0.21099999999999999</v>
      </c>
      <c r="H330" s="162">
        <f ca="1">VLOOKUP($A330,'BC.115+740'!$B$13:$X$489,14,0)/1000</f>
        <v>2.7589999999999999</v>
      </c>
      <c r="I330" s="162">
        <f ca="1">VLOOKUP($A330,'BC.115+740'!$B$13:$X$489,15,0)/1000</f>
        <v>-0.24099999999999999</v>
      </c>
      <c r="J330" s="162">
        <f ca="1">VLOOKUP($A330,'BC.115+740'!$B$13:$X$489,20,0)/1000</f>
        <v>2.74</v>
      </c>
      <c r="K330" s="162">
        <f ca="1">VLOOKUP($A330,'BC.115+740'!$B$13:$X$489,21,0)/1000</f>
        <v>-0.26</v>
      </c>
      <c r="L330" s="160">
        <f t="shared" ca="1" si="12"/>
        <v>-251</v>
      </c>
      <c r="M330" s="161">
        <f t="shared" ca="1" si="13"/>
        <v>-230.99999999999997</v>
      </c>
      <c r="N330" s="160">
        <f t="shared" ca="1" si="14"/>
        <v>-220</v>
      </c>
      <c r="O330" s="160"/>
    </row>
    <row r="331" spans="1:15">
      <c r="A331" s="164">
        <f>'BC.115+740'!B330</f>
        <v>45389</v>
      </c>
      <c r="B331" s="160">
        <v>317</v>
      </c>
      <c r="C331" s="162">
        <f ca="1">'BC.115+740'!M330/1000</f>
        <v>2.2669999999999999</v>
      </c>
      <c r="D331" s="162">
        <f ca="1">'BC.115+740'!AA330</f>
        <v>2.468</v>
      </c>
      <c r="E331" s="163">
        <f ca="1">'BC.115+740'!AB330</f>
        <v>2.044</v>
      </c>
      <c r="F331" s="162">
        <f ca="1">VLOOKUP($A331,'BC.115+740'!$B$13:$X$489,8,0)/1000</f>
        <v>2.7869999999999999</v>
      </c>
      <c r="G331" s="162">
        <f ca="1">VLOOKUP($A331,'BC.115+740'!$B$13:$X$489,9,0)/1000</f>
        <v>-0.21299999999999999</v>
      </c>
      <c r="H331" s="162">
        <f ca="1">VLOOKUP($A331,'BC.115+740'!$B$13:$X$489,14,0)/1000</f>
        <v>2.7570000000000001</v>
      </c>
      <c r="I331" s="162">
        <f ca="1">VLOOKUP($A331,'BC.115+740'!$B$13:$X$489,15,0)/1000</f>
        <v>-0.24299999999999999</v>
      </c>
      <c r="J331" s="162">
        <f ca="1">VLOOKUP($A331,'BC.115+740'!$B$13:$X$489,20,0)/1000</f>
        <v>2.74</v>
      </c>
      <c r="K331" s="162">
        <f ca="1">VLOOKUP($A331,'BC.115+740'!$B$13:$X$489,21,0)/1000</f>
        <v>-0.26</v>
      </c>
      <c r="L331" s="160">
        <f t="shared" ca="1" si="12"/>
        <v>-253</v>
      </c>
      <c r="M331" s="161">
        <f t="shared" ca="1" si="13"/>
        <v>-232.99999999999997</v>
      </c>
      <c r="N331" s="160">
        <f t="shared" ca="1" si="14"/>
        <v>-220</v>
      </c>
      <c r="O331" s="160"/>
    </row>
    <row r="332" spans="1:15">
      <c r="A332" s="164">
        <f>'BC.115+740'!B331</f>
        <v>45390</v>
      </c>
      <c r="B332" s="160">
        <v>318</v>
      </c>
      <c r="C332" s="162">
        <f ca="1">'BC.115+740'!M331/1000</f>
        <v>2.2669999999999999</v>
      </c>
      <c r="D332" s="162">
        <f ca="1">'BC.115+740'!AA331</f>
        <v>2.468</v>
      </c>
      <c r="E332" s="163">
        <f ca="1">'BC.115+740'!AB331</f>
        <v>2.044</v>
      </c>
      <c r="F332" s="162">
        <f ca="1">VLOOKUP($A332,'BC.115+740'!$B$13:$X$489,8,0)/1000</f>
        <v>2.786</v>
      </c>
      <c r="G332" s="162">
        <f ca="1">VLOOKUP($A332,'BC.115+740'!$B$13:$X$489,9,0)/1000</f>
        <v>-0.214</v>
      </c>
      <c r="H332" s="162">
        <f ca="1">VLOOKUP($A332,'BC.115+740'!$B$13:$X$489,14,0)/1000</f>
        <v>2.7570000000000001</v>
      </c>
      <c r="I332" s="162">
        <f ca="1">VLOOKUP($A332,'BC.115+740'!$B$13:$X$489,15,0)/1000</f>
        <v>-0.24299999999999999</v>
      </c>
      <c r="J332" s="162">
        <f ca="1">VLOOKUP($A332,'BC.115+740'!$B$13:$X$489,20,0)/1000</f>
        <v>2.738</v>
      </c>
      <c r="K332" s="162">
        <f ca="1">VLOOKUP($A332,'BC.115+740'!$B$13:$X$489,21,0)/1000</f>
        <v>-0.26200000000000001</v>
      </c>
      <c r="L332" s="160">
        <f t="shared" ca="1" si="12"/>
        <v>-254</v>
      </c>
      <c r="M332" s="161">
        <f t="shared" ca="1" si="13"/>
        <v>-232.99999999999997</v>
      </c>
      <c r="N332" s="160">
        <f t="shared" ca="1" si="14"/>
        <v>-222</v>
      </c>
      <c r="O332" s="160"/>
    </row>
    <row r="333" spans="1:15">
      <c r="A333" s="164">
        <f>'BC.115+740'!B332</f>
        <v>45391</v>
      </c>
      <c r="B333" s="160">
        <v>319</v>
      </c>
      <c r="C333" s="162">
        <f ca="1">'BC.115+740'!M332/1000</f>
        <v>2.266</v>
      </c>
      <c r="D333" s="162">
        <f ca="1">'BC.115+740'!AA332</f>
        <v>2.468</v>
      </c>
      <c r="E333" s="163">
        <f ca="1">'BC.115+740'!AB332</f>
        <v>2.0419999999999998</v>
      </c>
      <c r="F333" s="162">
        <f ca="1">VLOOKUP($A333,'BC.115+740'!$B$13:$X$489,8,0)/1000</f>
        <v>2.786</v>
      </c>
      <c r="G333" s="162">
        <f ca="1">VLOOKUP($A333,'BC.115+740'!$B$13:$X$489,9,0)/1000</f>
        <v>-0.214</v>
      </c>
      <c r="H333" s="162">
        <f ca="1">VLOOKUP($A333,'BC.115+740'!$B$13:$X$489,14,0)/1000</f>
        <v>2.7559999999999998</v>
      </c>
      <c r="I333" s="162">
        <f ca="1">VLOOKUP($A333,'BC.115+740'!$B$13:$X$489,15,0)/1000</f>
        <v>-0.24399999999999999</v>
      </c>
      <c r="J333" s="162">
        <f ca="1">VLOOKUP($A333,'BC.115+740'!$B$13:$X$489,20,0)/1000</f>
        <v>2.738</v>
      </c>
      <c r="K333" s="162">
        <f ca="1">VLOOKUP($A333,'BC.115+740'!$B$13:$X$489,21,0)/1000</f>
        <v>-0.26200000000000001</v>
      </c>
      <c r="L333" s="160">
        <f t="shared" ca="1" si="12"/>
        <v>-254</v>
      </c>
      <c r="M333" s="161">
        <f t="shared" ca="1" si="13"/>
        <v>-234</v>
      </c>
      <c r="N333" s="160">
        <f t="shared" ca="1" si="14"/>
        <v>-222</v>
      </c>
      <c r="O333" s="160"/>
    </row>
    <row r="334" spans="1:15">
      <c r="A334" s="164">
        <f>'BC.115+740'!B333</f>
        <v>45392</v>
      </c>
      <c r="B334" s="160">
        <v>320</v>
      </c>
      <c r="C334" s="162">
        <f ca="1">'BC.115+740'!M333/1000</f>
        <v>2.2650000000000001</v>
      </c>
      <c r="D334" s="162">
        <f ca="1">'BC.115+740'!AA333</f>
        <v>2.468</v>
      </c>
      <c r="E334" s="163">
        <f ca="1">'BC.115+740'!AB333</f>
        <v>2.04</v>
      </c>
      <c r="F334" s="162">
        <f ca="1">VLOOKUP($A334,'BC.115+740'!$B$13:$X$489,8,0)/1000</f>
        <v>2.7850000000000001</v>
      </c>
      <c r="G334" s="162">
        <f ca="1">VLOOKUP($A334,'BC.115+740'!$B$13:$X$489,9,0)/1000</f>
        <v>-0.215</v>
      </c>
      <c r="H334" s="162">
        <f ca="1">VLOOKUP($A334,'BC.115+740'!$B$13:$X$489,14,0)/1000</f>
        <v>2.7549999999999999</v>
      </c>
      <c r="I334" s="162">
        <f ca="1">VLOOKUP($A334,'BC.115+740'!$B$13:$X$489,15,0)/1000</f>
        <v>-0.245</v>
      </c>
      <c r="J334" s="162">
        <f ca="1">VLOOKUP($A334,'BC.115+740'!$B$13:$X$489,20,0)/1000</f>
        <v>2.7370000000000001</v>
      </c>
      <c r="K334" s="162">
        <f ca="1">VLOOKUP($A334,'BC.115+740'!$B$13:$X$489,21,0)/1000</f>
        <v>-0.26300000000000001</v>
      </c>
      <c r="L334" s="160">
        <f t="shared" ref="L334:L397" ca="1" si="15">(G334-$G$14)*1000</f>
        <v>-255</v>
      </c>
      <c r="M334" s="161">
        <f t="shared" ref="M334:M397" ca="1" si="16">(I334-$I$14)*1000</f>
        <v>-235</v>
      </c>
      <c r="N334" s="160">
        <f t="shared" ca="1" si="14"/>
        <v>-223</v>
      </c>
      <c r="O334" s="160"/>
    </row>
    <row r="335" spans="1:15">
      <c r="A335" s="164">
        <f>'BC.115+740'!B334</f>
        <v>45393</v>
      </c>
      <c r="B335" s="160">
        <v>321</v>
      </c>
      <c r="C335" s="162">
        <f ca="1">'BC.115+740'!M334/1000</f>
        <v>2.2650000000000001</v>
      </c>
      <c r="D335" s="162">
        <f ca="1">'BC.115+740'!AA334</f>
        <v>2.468</v>
      </c>
      <c r="E335" s="163">
        <f ca="1">'BC.115+740'!AB334</f>
        <v>2.04</v>
      </c>
      <c r="F335" s="162">
        <f ca="1">VLOOKUP($A335,'BC.115+740'!$B$13:$X$489,8,0)/1000</f>
        <v>2.7850000000000001</v>
      </c>
      <c r="G335" s="162">
        <f ca="1">VLOOKUP($A335,'BC.115+740'!$B$13:$X$489,9,0)/1000</f>
        <v>-0.215</v>
      </c>
      <c r="H335" s="162">
        <f ca="1">VLOOKUP($A335,'BC.115+740'!$B$13:$X$489,14,0)/1000</f>
        <v>2.7549999999999999</v>
      </c>
      <c r="I335" s="162">
        <f ca="1">VLOOKUP($A335,'BC.115+740'!$B$13:$X$489,15,0)/1000</f>
        <v>-0.245</v>
      </c>
      <c r="J335" s="162">
        <f ca="1">VLOOKUP($A335,'BC.115+740'!$B$13:$X$489,20,0)/1000</f>
        <v>2.7370000000000001</v>
      </c>
      <c r="K335" s="162">
        <f ca="1">VLOOKUP($A335,'BC.115+740'!$B$13:$X$489,21,0)/1000</f>
        <v>-0.26300000000000001</v>
      </c>
      <c r="L335" s="160">
        <f t="shared" ca="1" si="15"/>
        <v>-255</v>
      </c>
      <c r="M335" s="161">
        <f t="shared" ca="1" si="16"/>
        <v>-235</v>
      </c>
      <c r="N335" s="160">
        <f t="shared" ref="N335:N398" ca="1" si="17">(K335-$K$14)*1000</f>
        <v>-223</v>
      </c>
      <c r="O335" s="160"/>
    </row>
    <row r="336" spans="1:15">
      <c r="A336" s="164">
        <f>'BC.115+740'!B335</f>
        <v>45394</v>
      </c>
      <c r="B336" s="160">
        <v>322</v>
      </c>
      <c r="C336" s="162">
        <f ca="1">'BC.115+740'!M335/1000</f>
        <v>2.2639999999999998</v>
      </c>
      <c r="D336" s="162">
        <f ca="1">'BC.115+740'!AA335</f>
        <v>2.468</v>
      </c>
      <c r="E336" s="163">
        <f ca="1">'BC.115+740'!AB335</f>
        <v>2.0379999999999998</v>
      </c>
      <c r="F336" s="162">
        <f ca="1">VLOOKUP($A336,'BC.115+740'!$B$13:$X$489,8,0)/1000</f>
        <v>2.7850000000000001</v>
      </c>
      <c r="G336" s="162">
        <f ca="1">VLOOKUP($A336,'BC.115+740'!$B$13:$X$489,9,0)/1000</f>
        <v>-0.215</v>
      </c>
      <c r="H336" s="162">
        <f ca="1">VLOOKUP($A336,'BC.115+740'!$B$13:$X$489,14,0)/1000</f>
        <v>2.754</v>
      </c>
      <c r="I336" s="162">
        <f ca="1">VLOOKUP($A336,'BC.115+740'!$B$13:$X$489,15,0)/1000</f>
        <v>-0.246</v>
      </c>
      <c r="J336" s="162">
        <f ca="1">VLOOKUP($A336,'BC.115+740'!$B$13:$X$489,20,0)/1000</f>
        <v>2.7370000000000001</v>
      </c>
      <c r="K336" s="162">
        <f ca="1">VLOOKUP($A336,'BC.115+740'!$B$13:$X$489,21,0)/1000</f>
        <v>-0.26300000000000001</v>
      </c>
      <c r="L336" s="160">
        <f t="shared" ca="1" si="15"/>
        <v>-255</v>
      </c>
      <c r="M336" s="161">
        <f t="shared" ca="1" si="16"/>
        <v>-236</v>
      </c>
      <c r="N336" s="160">
        <f t="shared" ca="1" si="17"/>
        <v>-223</v>
      </c>
      <c r="O336" s="160"/>
    </row>
    <row r="337" spans="1:15">
      <c r="A337" s="164">
        <f>'BC.115+740'!B336</f>
        <v>45395</v>
      </c>
      <c r="B337" s="160">
        <v>323</v>
      </c>
      <c r="C337" s="162">
        <f ca="1">'BC.115+740'!M336/1000</f>
        <v>2.2629999999999999</v>
      </c>
      <c r="D337" s="162">
        <f ca="1">'BC.115+740'!AA336</f>
        <v>2.468</v>
      </c>
      <c r="E337" s="163">
        <f ca="1">'BC.115+740'!AB336</f>
        <v>2.036</v>
      </c>
      <c r="F337" s="162">
        <f ca="1">VLOOKUP($A337,'BC.115+740'!$B$13:$X$489,8,0)/1000</f>
        <v>2.7850000000000001</v>
      </c>
      <c r="G337" s="162">
        <f ca="1">VLOOKUP($A337,'BC.115+740'!$B$13:$X$489,9,0)/1000</f>
        <v>-0.215</v>
      </c>
      <c r="H337" s="162">
        <f ca="1">VLOOKUP($A337,'BC.115+740'!$B$13:$X$489,14,0)/1000</f>
        <v>2.7530000000000001</v>
      </c>
      <c r="I337" s="162">
        <f ca="1">VLOOKUP($A337,'BC.115+740'!$B$13:$X$489,15,0)/1000</f>
        <v>-0.247</v>
      </c>
      <c r="J337" s="162">
        <f ca="1">VLOOKUP($A337,'BC.115+740'!$B$13:$X$489,20,0)/1000</f>
        <v>2.7360000000000002</v>
      </c>
      <c r="K337" s="162">
        <f ca="1">VLOOKUP($A337,'BC.115+740'!$B$13:$X$489,21,0)/1000</f>
        <v>-0.26400000000000001</v>
      </c>
      <c r="L337" s="160">
        <f t="shared" ca="1" si="15"/>
        <v>-255</v>
      </c>
      <c r="M337" s="161">
        <f t="shared" ca="1" si="16"/>
        <v>-237</v>
      </c>
      <c r="N337" s="160">
        <f t="shared" ca="1" si="17"/>
        <v>-224</v>
      </c>
      <c r="O337" s="160"/>
    </row>
    <row r="338" spans="1:15">
      <c r="A338" s="164">
        <f>'BC.115+740'!B337</f>
        <v>45396</v>
      </c>
      <c r="B338" s="160">
        <v>324</v>
      </c>
      <c r="C338" s="162">
        <f ca="1">'BC.115+740'!M337/1000</f>
        <v>2.2629999999999999</v>
      </c>
      <c r="D338" s="162">
        <f ca="1">'BC.115+740'!AA337</f>
        <v>2.468</v>
      </c>
      <c r="E338" s="163">
        <f ca="1">'BC.115+740'!AB337</f>
        <v>2.036</v>
      </c>
      <c r="F338" s="162">
        <f ca="1">VLOOKUP($A338,'BC.115+740'!$B$13:$X$489,8,0)/1000</f>
        <v>2.7850000000000001</v>
      </c>
      <c r="G338" s="162">
        <f ca="1">VLOOKUP($A338,'BC.115+740'!$B$13:$X$489,9,0)/1000</f>
        <v>-0.215</v>
      </c>
      <c r="H338" s="162">
        <f ca="1">VLOOKUP($A338,'BC.115+740'!$B$13:$X$489,14,0)/1000</f>
        <v>2.7530000000000001</v>
      </c>
      <c r="I338" s="162">
        <f ca="1">VLOOKUP($A338,'BC.115+740'!$B$13:$X$489,15,0)/1000</f>
        <v>-0.247</v>
      </c>
      <c r="J338" s="162">
        <f ca="1">VLOOKUP($A338,'BC.115+740'!$B$13:$X$489,20,0)/1000</f>
        <v>2.7360000000000002</v>
      </c>
      <c r="K338" s="162">
        <f ca="1">VLOOKUP($A338,'BC.115+740'!$B$13:$X$489,21,0)/1000</f>
        <v>-0.26400000000000001</v>
      </c>
      <c r="L338" s="160">
        <f t="shared" ca="1" si="15"/>
        <v>-255</v>
      </c>
      <c r="M338" s="161">
        <f t="shared" ca="1" si="16"/>
        <v>-237</v>
      </c>
      <c r="N338" s="160">
        <f t="shared" ca="1" si="17"/>
        <v>-224</v>
      </c>
      <c r="O338" s="160"/>
    </row>
    <row r="339" spans="1:15">
      <c r="A339" s="164">
        <f>'BC.115+740'!B338</f>
        <v>45397</v>
      </c>
      <c r="B339" s="160">
        <v>325</v>
      </c>
      <c r="C339" s="162">
        <f ca="1">'BC.115+740'!M338/1000</f>
        <v>2.2629999999999999</v>
      </c>
      <c r="D339" s="162">
        <f ca="1">'BC.115+740'!AA338</f>
        <v>2.468</v>
      </c>
      <c r="E339" s="163">
        <f ca="1">'BC.115+740'!AB338</f>
        <v>2.036</v>
      </c>
      <c r="F339" s="162">
        <f ca="1">VLOOKUP($A339,'BC.115+740'!$B$13:$X$489,8,0)/1000</f>
        <v>2.7850000000000001</v>
      </c>
      <c r="G339" s="162">
        <f ca="1">VLOOKUP($A339,'BC.115+740'!$B$13:$X$489,9,0)/1000</f>
        <v>-0.215</v>
      </c>
      <c r="H339" s="162">
        <f ca="1">VLOOKUP($A339,'BC.115+740'!$B$13:$X$489,14,0)/1000</f>
        <v>2.7530000000000001</v>
      </c>
      <c r="I339" s="162">
        <f ca="1">VLOOKUP($A339,'BC.115+740'!$B$13:$X$489,15,0)/1000</f>
        <v>-0.247</v>
      </c>
      <c r="J339" s="162">
        <f ca="1">VLOOKUP($A339,'BC.115+740'!$B$13:$X$489,20,0)/1000</f>
        <v>2.7360000000000002</v>
      </c>
      <c r="K339" s="162">
        <f ca="1">VLOOKUP($A339,'BC.115+740'!$B$13:$X$489,21,0)/1000</f>
        <v>-0.26400000000000001</v>
      </c>
      <c r="L339" s="160">
        <f t="shared" ca="1" si="15"/>
        <v>-255</v>
      </c>
      <c r="M339" s="161">
        <f t="shared" ca="1" si="16"/>
        <v>-237</v>
      </c>
      <c r="N339" s="160">
        <f t="shared" ca="1" si="17"/>
        <v>-224</v>
      </c>
      <c r="O339" s="160"/>
    </row>
    <row r="340" spans="1:15">
      <c r="A340" s="164">
        <f>'BC.115+740'!B339</f>
        <v>45398</v>
      </c>
      <c r="B340" s="160">
        <v>326</v>
      </c>
      <c r="C340" s="162">
        <f ca="1">'BC.115+740'!M339/1000</f>
        <v>2.2629999999999999</v>
      </c>
      <c r="D340" s="162">
        <f ca="1">'BC.115+740'!AA339</f>
        <v>2.468</v>
      </c>
      <c r="E340" s="163">
        <f ca="1">'BC.115+740'!AB339</f>
        <v>2.036</v>
      </c>
      <c r="F340" s="162">
        <f ca="1">VLOOKUP($A340,'BC.115+740'!$B$13:$X$489,8,0)/1000</f>
        <v>2.7850000000000001</v>
      </c>
      <c r="G340" s="162">
        <f ca="1">VLOOKUP($A340,'BC.115+740'!$B$13:$X$489,9,0)/1000</f>
        <v>-0.215</v>
      </c>
      <c r="H340" s="162">
        <f ca="1">VLOOKUP($A340,'BC.115+740'!$B$13:$X$489,14,0)/1000</f>
        <v>2.7530000000000001</v>
      </c>
      <c r="I340" s="162">
        <f ca="1">VLOOKUP($A340,'BC.115+740'!$B$13:$X$489,15,0)/1000</f>
        <v>-0.247</v>
      </c>
      <c r="J340" s="162">
        <f ca="1">VLOOKUP($A340,'BC.115+740'!$B$13:$X$489,20,0)/1000</f>
        <v>2.7360000000000002</v>
      </c>
      <c r="K340" s="162">
        <f ca="1">VLOOKUP($A340,'BC.115+740'!$B$13:$X$489,21,0)/1000</f>
        <v>-0.26400000000000001</v>
      </c>
      <c r="L340" s="160">
        <f t="shared" ca="1" si="15"/>
        <v>-255</v>
      </c>
      <c r="M340" s="161">
        <f t="shared" ca="1" si="16"/>
        <v>-237</v>
      </c>
      <c r="N340" s="160">
        <f t="shared" ca="1" si="17"/>
        <v>-224</v>
      </c>
      <c r="O340" s="160"/>
    </row>
    <row r="341" spans="1:15">
      <c r="A341" s="164">
        <f>'BC.115+740'!B340</f>
        <v>45399</v>
      </c>
      <c r="B341" s="160">
        <v>327</v>
      </c>
      <c r="C341" s="162">
        <f ca="1">'BC.115+740'!M340/1000</f>
        <v>2.2629999999999999</v>
      </c>
      <c r="D341" s="162">
        <f ca="1">'BC.115+740'!AA340</f>
        <v>2.468</v>
      </c>
      <c r="E341" s="163">
        <f ca="1">'BC.115+740'!AB340</f>
        <v>2.036</v>
      </c>
      <c r="F341" s="162">
        <f ca="1">VLOOKUP($A341,'BC.115+740'!$B$13:$X$489,8,0)/1000</f>
        <v>2.7850000000000001</v>
      </c>
      <c r="G341" s="162">
        <f ca="1">VLOOKUP($A341,'BC.115+740'!$B$13:$X$489,9,0)/1000</f>
        <v>-0.215</v>
      </c>
      <c r="H341" s="162">
        <f ca="1">VLOOKUP($A341,'BC.115+740'!$B$13:$X$489,14,0)/1000</f>
        <v>2.7530000000000001</v>
      </c>
      <c r="I341" s="162">
        <f ca="1">VLOOKUP($A341,'BC.115+740'!$B$13:$X$489,15,0)/1000</f>
        <v>-0.247</v>
      </c>
      <c r="J341" s="162">
        <f ca="1">VLOOKUP($A341,'BC.115+740'!$B$13:$X$489,20,0)/1000</f>
        <v>2.7360000000000002</v>
      </c>
      <c r="K341" s="162">
        <f ca="1">VLOOKUP($A341,'BC.115+740'!$B$13:$X$489,21,0)/1000</f>
        <v>-0.26400000000000001</v>
      </c>
      <c r="L341" s="160">
        <f t="shared" ca="1" si="15"/>
        <v>-255</v>
      </c>
      <c r="M341" s="161">
        <f t="shared" ca="1" si="16"/>
        <v>-237</v>
      </c>
      <c r="N341" s="160">
        <f t="shared" ca="1" si="17"/>
        <v>-224</v>
      </c>
      <c r="O341" s="160"/>
    </row>
    <row r="342" spans="1:15">
      <c r="A342" s="164">
        <f>'BC.115+740'!B341</f>
        <v>45400</v>
      </c>
      <c r="B342" s="160">
        <v>328</v>
      </c>
      <c r="C342" s="162">
        <f ca="1">'BC.115+740'!M341/1000</f>
        <v>2.2629999999999999</v>
      </c>
      <c r="D342" s="162">
        <f ca="1">'BC.115+740'!AA341</f>
        <v>2.468</v>
      </c>
      <c r="E342" s="163">
        <f ca="1">'BC.115+740'!AB341</f>
        <v>2.036</v>
      </c>
      <c r="F342" s="162">
        <f ca="1">VLOOKUP($A342,'BC.115+740'!$B$13:$X$489,8,0)/1000</f>
        <v>2.7850000000000001</v>
      </c>
      <c r="G342" s="162">
        <f ca="1">VLOOKUP($A342,'BC.115+740'!$B$13:$X$489,9,0)/1000</f>
        <v>-0.215</v>
      </c>
      <c r="H342" s="162">
        <f ca="1">VLOOKUP($A342,'BC.115+740'!$B$13:$X$489,14,0)/1000</f>
        <v>2.7530000000000001</v>
      </c>
      <c r="I342" s="162">
        <f ca="1">VLOOKUP($A342,'BC.115+740'!$B$13:$X$489,15,0)/1000</f>
        <v>-0.247</v>
      </c>
      <c r="J342" s="162">
        <f ca="1">VLOOKUP($A342,'BC.115+740'!$B$13:$X$489,20,0)/1000</f>
        <v>2.7360000000000002</v>
      </c>
      <c r="K342" s="162">
        <f ca="1">VLOOKUP($A342,'BC.115+740'!$B$13:$X$489,21,0)/1000</f>
        <v>-0.26400000000000001</v>
      </c>
      <c r="L342" s="160">
        <f t="shared" ca="1" si="15"/>
        <v>-255</v>
      </c>
      <c r="M342" s="161">
        <f t="shared" ca="1" si="16"/>
        <v>-237</v>
      </c>
      <c r="N342" s="160">
        <f t="shared" ca="1" si="17"/>
        <v>-224</v>
      </c>
      <c r="O342" s="160"/>
    </row>
    <row r="343" spans="1:15">
      <c r="A343" s="164">
        <f>'BC.115+740'!B342</f>
        <v>45401</v>
      </c>
      <c r="B343" s="160">
        <v>329</v>
      </c>
      <c r="C343" s="162">
        <f ca="1">'BC.115+740'!M342/1000</f>
        <v>2.2629999999999999</v>
      </c>
      <c r="D343" s="162">
        <f ca="1">'BC.115+740'!AA342</f>
        <v>2.468</v>
      </c>
      <c r="E343" s="163">
        <f ca="1">'BC.115+740'!AB342</f>
        <v>2.036</v>
      </c>
      <c r="F343" s="162">
        <f ca="1">VLOOKUP($A343,'BC.115+740'!$B$13:$X$489,8,0)/1000</f>
        <v>2.7850000000000001</v>
      </c>
      <c r="G343" s="162">
        <f ca="1">VLOOKUP($A343,'BC.115+740'!$B$13:$X$489,9,0)/1000</f>
        <v>-0.215</v>
      </c>
      <c r="H343" s="162">
        <f ca="1">VLOOKUP($A343,'BC.115+740'!$B$13:$X$489,14,0)/1000</f>
        <v>2.7530000000000001</v>
      </c>
      <c r="I343" s="162">
        <f ca="1">VLOOKUP($A343,'BC.115+740'!$B$13:$X$489,15,0)/1000</f>
        <v>-0.247</v>
      </c>
      <c r="J343" s="162">
        <f ca="1">VLOOKUP($A343,'BC.115+740'!$B$13:$X$489,20,0)/1000</f>
        <v>2.7360000000000002</v>
      </c>
      <c r="K343" s="162">
        <f ca="1">VLOOKUP($A343,'BC.115+740'!$B$13:$X$489,21,0)/1000</f>
        <v>-0.26400000000000001</v>
      </c>
      <c r="L343" s="160">
        <f t="shared" ca="1" si="15"/>
        <v>-255</v>
      </c>
      <c r="M343" s="161">
        <f t="shared" ca="1" si="16"/>
        <v>-237</v>
      </c>
      <c r="N343" s="160">
        <f t="shared" ca="1" si="17"/>
        <v>-224</v>
      </c>
      <c r="O343" s="160"/>
    </row>
    <row r="344" spans="1:15">
      <c r="A344" s="164">
        <f>'BC.115+740'!B343</f>
        <v>45402</v>
      </c>
      <c r="B344" s="160">
        <v>330</v>
      </c>
      <c r="C344" s="162">
        <f ca="1">'BC.115+740'!M343/1000</f>
        <v>2.2629999999999999</v>
      </c>
      <c r="D344" s="162">
        <f ca="1">'BC.115+740'!AA343</f>
        <v>2.468</v>
      </c>
      <c r="E344" s="163">
        <f ca="1">'BC.115+740'!AB343</f>
        <v>2.036</v>
      </c>
      <c r="F344" s="162">
        <f ca="1">VLOOKUP($A344,'BC.115+740'!$B$13:$X$489,8,0)/1000</f>
        <v>2.7850000000000001</v>
      </c>
      <c r="G344" s="162">
        <f ca="1">VLOOKUP($A344,'BC.115+740'!$B$13:$X$489,9,0)/1000</f>
        <v>-0.215</v>
      </c>
      <c r="H344" s="162">
        <f ca="1">VLOOKUP($A344,'BC.115+740'!$B$13:$X$489,14,0)/1000</f>
        <v>2.7530000000000001</v>
      </c>
      <c r="I344" s="162">
        <f ca="1">VLOOKUP($A344,'BC.115+740'!$B$13:$X$489,15,0)/1000</f>
        <v>-0.247</v>
      </c>
      <c r="J344" s="162">
        <f ca="1">VLOOKUP($A344,'BC.115+740'!$B$13:$X$489,20,0)/1000</f>
        <v>2.7360000000000002</v>
      </c>
      <c r="K344" s="162">
        <f ca="1">VLOOKUP($A344,'BC.115+740'!$B$13:$X$489,21,0)/1000</f>
        <v>-0.26400000000000001</v>
      </c>
      <c r="L344" s="160">
        <f t="shared" ca="1" si="15"/>
        <v>-255</v>
      </c>
      <c r="M344" s="161">
        <f t="shared" ca="1" si="16"/>
        <v>-237</v>
      </c>
      <c r="N344" s="160">
        <f t="shared" ca="1" si="17"/>
        <v>-224</v>
      </c>
      <c r="O344" s="160"/>
    </row>
    <row r="345" spans="1:15">
      <c r="A345" s="164">
        <f>'BC.115+740'!B344</f>
        <v>45403</v>
      </c>
      <c r="B345" s="160">
        <v>331</v>
      </c>
      <c r="C345" s="162">
        <f ca="1">'BC.115+740'!M344/1000</f>
        <v>2.2629999999999999</v>
      </c>
      <c r="D345" s="162">
        <f ca="1">'BC.115+740'!AA344</f>
        <v>2.468</v>
      </c>
      <c r="E345" s="163">
        <f ca="1">'BC.115+740'!AB344</f>
        <v>2.036</v>
      </c>
      <c r="F345" s="162">
        <f ca="1">VLOOKUP($A345,'BC.115+740'!$B$13:$X$489,8,0)/1000</f>
        <v>2.7850000000000001</v>
      </c>
      <c r="G345" s="162">
        <f ca="1">VLOOKUP($A345,'BC.115+740'!$B$13:$X$489,9,0)/1000</f>
        <v>-0.215</v>
      </c>
      <c r="H345" s="162">
        <f ca="1">VLOOKUP($A345,'BC.115+740'!$B$13:$X$489,14,0)/1000</f>
        <v>2.7530000000000001</v>
      </c>
      <c r="I345" s="162">
        <f ca="1">VLOOKUP($A345,'BC.115+740'!$B$13:$X$489,15,0)/1000</f>
        <v>-0.247</v>
      </c>
      <c r="J345" s="162">
        <f ca="1">VLOOKUP($A345,'BC.115+740'!$B$13:$X$489,20,0)/1000</f>
        <v>2.7360000000000002</v>
      </c>
      <c r="K345" s="162">
        <f ca="1">VLOOKUP($A345,'BC.115+740'!$B$13:$X$489,21,0)/1000</f>
        <v>-0.26400000000000001</v>
      </c>
      <c r="L345" s="160">
        <f t="shared" ca="1" si="15"/>
        <v>-255</v>
      </c>
      <c r="M345" s="161">
        <f t="shared" ca="1" si="16"/>
        <v>-237</v>
      </c>
      <c r="N345" s="160">
        <f t="shared" ca="1" si="17"/>
        <v>-224</v>
      </c>
      <c r="O345" s="160"/>
    </row>
    <row r="346" spans="1:15">
      <c r="A346" s="164">
        <f>'BC.115+740'!B345</f>
        <v>45404</v>
      </c>
      <c r="B346" s="160">
        <v>332</v>
      </c>
      <c r="C346" s="162">
        <f ca="1">'BC.115+740'!M345/1000</f>
        <v>2.2629999999999999</v>
      </c>
      <c r="D346" s="162">
        <f ca="1">'BC.115+740'!AA345</f>
        <v>2.468</v>
      </c>
      <c r="E346" s="163">
        <f ca="1">'BC.115+740'!AB345</f>
        <v>2.036</v>
      </c>
      <c r="F346" s="162">
        <f ca="1">VLOOKUP($A346,'BC.115+740'!$B$13:$X$489,8,0)/1000</f>
        <v>2.7850000000000001</v>
      </c>
      <c r="G346" s="162">
        <f ca="1">VLOOKUP($A346,'BC.115+740'!$B$13:$X$489,9,0)/1000</f>
        <v>-0.215</v>
      </c>
      <c r="H346" s="162">
        <f ca="1">VLOOKUP($A346,'BC.115+740'!$B$13:$X$489,14,0)/1000</f>
        <v>2.7530000000000001</v>
      </c>
      <c r="I346" s="162">
        <f ca="1">VLOOKUP($A346,'BC.115+740'!$B$13:$X$489,15,0)/1000</f>
        <v>-0.247</v>
      </c>
      <c r="J346" s="162">
        <f ca="1">VLOOKUP($A346,'BC.115+740'!$B$13:$X$489,20,0)/1000</f>
        <v>2.7360000000000002</v>
      </c>
      <c r="K346" s="162">
        <f ca="1">VLOOKUP($A346,'BC.115+740'!$B$13:$X$489,21,0)/1000</f>
        <v>-0.26400000000000001</v>
      </c>
      <c r="L346" s="160">
        <f t="shared" ca="1" si="15"/>
        <v>-255</v>
      </c>
      <c r="M346" s="161">
        <f t="shared" ca="1" si="16"/>
        <v>-237</v>
      </c>
      <c r="N346" s="160">
        <f t="shared" ca="1" si="17"/>
        <v>-224</v>
      </c>
      <c r="O346" s="160"/>
    </row>
    <row r="347" spans="1:15">
      <c r="A347" s="164">
        <f>'BC.115+740'!B346</f>
        <v>45405</v>
      </c>
      <c r="B347" s="160">
        <v>333</v>
      </c>
      <c r="C347" s="162">
        <f ca="1">'BC.115+740'!M346/1000</f>
        <v>2.2629999999999999</v>
      </c>
      <c r="D347" s="162">
        <f ca="1">'BC.115+740'!AA346</f>
        <v>2.468</v>
      </c>
      <c r="E347" s="163">
        <f ca="1">'BC.115+740'!AB346</f>
        <v>2.036</v>
      </c>
      <c r="F347" s="162">
        <f ca="1">VLOOKUP($A347,'BC.115+740'!$B$13:$X$489,8,0)/1000</f>
        <v>2.7850000000000001</v>
      </c>
      <c r="G347" s="162">
        <f ca="1">VLOOKUP($A347,'BC.115+740'!$B$13:$X$489,9,0)/1000</f>
        <v>-0.215</v>
      </c>
      <c r="H347" s="162">
        <f ca="1">VLOOKUP($A347,'BC.115+740'!$B$13:$X$489,14,0)/1000</f>
        <v>2.7530000000000001</v>
      </c>
      <c r="I347" s="162">
        <f ca="1">VLOOKUP($A347,'BC.115+740'!$B$13:$X$489,15,0)/1000</f>
        <v>-0.247</v>
      </c>
      <c r="J347" s="162">
        <f ca="1">VLOOKUP($A347,'BC.115+740'!$B$13:$X$489,20,0)/1000</f>
        <v>2.7360000000000002</v>
      </c>
      <c r="K347" s="162">
        <f ca="1">VLOOKUP($A347,'BC.115+740'!$B$13:$X$489,21,0)/1000</f>
        <v>-0.26400000000000001</v>
      </c>
      <c r="L347" s="160">
        <f t="shared" ca="1" si="15"/>
        <v>-255</v>
      </c>
      <c r="M347" s="161">
        <f t="shared" ca="1" si="16"/>
        <v>-237</v>
      </c>
      <c r="N347" s="160">
        <f t="shared" ca="1" si="17"/>
        <v>-224</v>
      </c>
      <c r="O347" s="160"/>
    </row>
    <row r="348" spans="1:15">
      <c r="A348" s="164">
        <f>'BC.115+740'!B347</f>
        <v>45406</v>
      </c>
      <c r="B348" s="160">
        <v>334</v>
      </c>
      <c r="C348" s="162">
        <f ca="1">'BC.115+740'!M347/1000</f>
        <v>2.2629999999999999</v>
      </c>
      <c r="D348" s="162">
        <f ca="1">'BC.115+740'!AA347</f>
        <v>2.468</v>
      </c>
      <c r="E348" s="163">
        <f ca="1">'BC.115+740'!AB347</f>
        <v>2.036</v>
      </c>
      <c r="F348" s="162">
        <f ca="1">VLOOKUP($A348,'BC.115+740'!$B$13:$X$489,8,0)/1000</f>
        <v>2.7850000000000001</v>
      </c>
      <c r="G348" s="162">
        <f ca="1">VLOOKUP($A348,'BC.115+740'!$B$13:$X$489,9,0)/1000</f>
        <v>-0.215</v>
      </c>
      <c r="H348" s="162">
        <f ca="1">VLOOKUP($A348,'BC.115+740'!$B$13:$X$489,14,0)/1000</f>
        <v>2.7530000000000001</v>
      </c>
      <c r="I348" s="162">
        <f ca="1">VLOOKUP($A348,'BC.115+740'!$B$13:$X$489,15,0)/1000</f>
        <v>-0.247</v>
      </c>
      <c r="J348" s="162">
        <f ca="1">VLOOKUP($A348,'BC.115+740'!$B$13:$X$489,20,0)/1000</f>
        <v>2.7360000000000002</v>
      </c>
      <c r="K348" s="162">
        <f ca="1">VLOOKUP($A348,'BC.115+740'!$B$13:$X$489,21,0)/1000</f>
        <v>-0.26400000000000001</v>
      </c>
      <c r="L348" s="160">
        <f t="shared" ca="1" si="15"/>
        <v>-255</v>
      </c>
      <c r="M348" s="161">
        <f t="shared" ca="1" si="16"/>
        <v>-237</v>
      </c>
      <c r="N348" s="160">
        <f t="shared" ca="1" si="17"/>
        <v>-224</v>
      </c>
      <c r="O348" s="160"/>
    </row>
    <row r="349" spans="1:15">
      <c r="A349" s="164">
        <f>'BC.115+740'!B348</f>
        <v>45407</v>
      </c>
      <c r="B349" s="160">
        <v>335</v>
      </c>
      <c r="C349" s="162">
        <f ca="1">'BC.115+740'!M348/1000</f>
        <v>2.2629999999999999</v>
      </c>
      <c r="D349" s="162">
        <f ca="1">'BC.115+740'!AA348</f>
        <v>2.468</v>
      </c>
      <c r="E349" s="163">
        <f ca="1">'BC.115+740'!AB348</f>
        <v>2.036</v>
      </c>
      <c r="F349" s="162">
        <f ca="1">VLOOKUP($A349,'BC.115+740'!$B$13:$X$489,8,0)/1000</f>
        <v>2.7850000000000001</v>
      </c>
      <c r="G349" s="162">
        <f ca="1">VLOOKUP($A349,'BC.115+740'!$B$13:$X$489,9,0)/1000</f>
        <v>-0.215</v>
      </c>
      <c r="H349" s="162">
        <f ca="1">VLOOKUP($A349,'BC.115+740'!$B$13:$X$489,14,0)/1000</f>
        <v>2.7530000000000001</v>
      </c>
      <c r="I349" s="162">
        <f ca="1">VLOOKUP($A349,'BC.115+740'!$B$13:$X$489,15,0)/1000</f>
        <v>-0.247</v>
      </c>
      <c r="J349" s="162">
        <f ca="1">VLOOKUP($A349,'BC.115+740'!$B$13:$X$489,20,0)/1000</f>
        <v>2.7360000000000002</v>
      </c>
      <c r="K349" s="162">
        <f ca="1">VLOOKUP($A349,'BC.115+740'!$B$13:$X$489,21,0)/1000</f>
        <v>-0.26400000000000001</v>
      </c>
      <c r="L349" s="160">
        <f t="shared" ca="1" si="15"/>
        <v>-255</v>
      </c>
      <c r="M349" s="161">
        <f t="shared" ca="1" si="16"/>
        <v>-237</v>
      </c>
      <c r="N349" s="160">
        <f t="shared" ca="1" si="17"/>
        <v>-224</v>
      </c>
      <c r="O349" s="160"/>
    </row>
    <row r="350" spans="1:15">
      <c r="A350" s="164">
        <f>'BC.115+740'!B349</f>
        <v>45408</v>
      </c>
      <c r="B350" s="160">
        <v>336</v>
      </c>
      <c r="C350" s="162">
        <f ca="1">'BC.115+740'!M349/1000</f>
        <v>2.2629999999999999</v>
      </c>
      <c r="D350" s="162">
        <f ca="1">'BC.115+740'!AA349</f>
        <v>2.468</v>
      </c>
      <c r="E350" s="163">
        <f ca="1">'BC.115+740'!AB349</f>
        <v>2.036</v>
      </c>
      <c r="F350" s="162">
        <f ca="1">VLOOKUP($A350,'BC.115+740'!$B$13:$X$489,8,0)/1000</f>
        <v>2.7850000000000001</v>
      </c>
      <c r="G350" s="162">
        <f ca="1">VLOOKUP($A350,'BC.115+740'!$B$13:$X$489,9,0)/1000</f>
        <v>-0.215</v>
      </c>
      <c r="H350" s="162">
        <f ca="1">VLOOKUP($A350,'BC.115+740'!$B$13:$X$489,14,0)/1000</f>
        <v>2.7530000000000001</v>
      </c>
      <c r="I350" s="162">
        <f ca="1">VLOOKUP($A350,'BC.115+740'!$B$13:$X$489,15,0)/1000</f>
        <v>-0.247</v>
      </c>
      <c r="J350" s="162">
        <f ca="1">VLOOKUP($A350,'BC.115+740'!$B$13:$X$489,20,0)/1000</f>
        <v>2.7360000000000002</v>
      </c>
      <c r="K350" s="162">
        <f ca="1">VLOOKUP($A350,'BC.115+740'!$B$13:$X$489,21,0)/1000</f>
        <v>-0.26400000000000001</v>
      </c>
      <c r="L350" s="160">
        <f t="shared" ca="1" si="15"/>
        <v>-255</v>
      </c>
      <c r="M350" s="161">
        <f t="shared" ca="1" si="16"/>
        <v>-237</v>
      </c>
      <c r="N350" s="160">
        <f t="shared" ca="1" si="17"/>
        <v>-224</v>
      </c>
      <c r="O350" s="160"/>
    </row>
    <row r="351" spans="1:15">
      <c r="A351" s="164">
        <f>'BC.115+740'!B350</f>
        <v>45409</v>
      </c>
      <c r="B351" s="160">
        <v>337</v>
      </c>
      <c r="C351" s="162">
        <f ca="1">'BC.115+740'!M350/1000</f>
        <v>2.2629999999999999</v>
      </c>
      <c r="D351" s="162">
        <f ca="1">'BC.115+740'!AA350</f>
        <v>2.468</v>
      </c>
      <c r="E351" s="163">
        <f ca="1">'BC.115+740'!AB350</f>
        <v>2.036</v>
      </c>
      <c r="F351" s="162">
        <f ca="1">VLOOKUP($A351,'BC.115+740'!$B$13:$X$489,8,0)/1000</f>
        <v>2.7850000000000001</v>
      </c>
      <c r="G351" s="162">
        <f ca="1">VLOOKUP($A351,'BC.115+740'!$B$13:$X$489,9,0)/1000</f>
        <v>-0.215</v>
      </c>
      <c r="H351" s="162">
        <f ca="1">VLOOKUP($A351,'BC.115+740'!$B$13:$X$489,14,0)/1000</f>
        <v>2.7530000000000001</v>
      </c>
      <c r="I351" s="162">
        <f ca="1">VLOOKUP($A351,'BC.115+740'!$B$13:$X$489,15,0)/1000</f>
        <v>-0.247</v>
      </c>
      <c r="J351" s="162">
        <f ca="1">VLOOKUP($A351,'BC.115+740'!$B$13:$X$489,20,0)/1000</f>
        <v>2.7360000000000002</v>
      </c>
      <c r="K351" s="162">
        <f ca="1">VLOOKUP($A351,'BC.115+740'!$B$13:$X$489,21,0)/1000</f>
        <v>-0.26400000000000001</v>
      </c>
      <c r="L351" s="160">
        <f t="shared" ca="1" si="15"/>
        <v>-255</v>
      </c>
      <c r="M351" s="161">
        <f t="shared" ca="1" si="16"/>
        <v>-237</v>
      </c>
      <c r="N351" s="160">
        <f t="shared" ca="1" si="17"/>
        <v>-224</v>
      </c>
      <c r="O351" s="160"/>
    </row>
    <row r="352" spans="1:15">
      <c r="A352" s="164">
        <f>'BC.115+740'!B351</f>
        <v>45410</v>
      </c>
      <c r="B352" s="160">
        <v>338</v>
      </c>
      <c r="C352" s="162">
        <f ca="1">'BC.115+740'!M351/1000</f>
        <v>2.2629999999999999</v>
      </c>
      <c r="D352" s="162">
        <f ca="1">'BC.115+740'!AA351</f>
        <v>2.468</v>
      </c>
      <c r="E352" s="163">
        <f ca="1">'BC.115+740'!AB351</f>
        <v>2.036</v>
      </c>
      <c r="F352" s="162">
        <f ca="1">VLOOKUP($A352,'BC.115+740'!$B$13:$X$489,8,0)/1000</f>
        <v>2.7850000000000001</v>
      </c>
      <c r="G352" s="162">
        <f ca="1">VLOOKUP($A352,'BC.115+740'!$B$13:$X$489,9,0)/1000</f>
        <v>-0.215</v>
      </c>
      <c r="H352" s="162">
        <f ca="1">VLOOKUP($A352,'BC.115+740'!$B$13:$X$489,14,0)/1000</f>
        <v>2.7530000000000001</v>
      </c>
      <c r="I352" s="162">
        <f ca="1">VLOOKUP($A352,'BC.115+740'!$B$13:$X$489,15,0)/1000</f>
        <v>-0.247</v>
      </c>
      <c r="J352" s="162">
        <f ca="1">VLOOKUP($A352,'BC.115+740'!$B$13:$X$489,20,0)/1000</f>
        <v>2.7360000000000002</v>
      </c>
      <c r="K352" s="162">
        <f ca="1">VLOOKUP($A352,'BC.115+740'!$B$13:$X$489,21,0)/1000</f>
        <v>-0.26400000000000001</v>
      </c>
      <c r="L352" s="160">
        <f t="shared" ca="1" si="15"/>
        <v>-255</v>
      </c>
      <c r="M352" s="161">
        <f t="shared" ca="1" si="16"/>
        <v>-237</v>
      </c>
      <c r="N352" s="160">
        <f t="shared" ca="1" si="17"/>
        <v>-224</v>
      </c>
      <c r="O352" s="160"/>
    </row>
    <row r="353" spans="1:15">
      <c r="A353" s="164">
        <f>'BC.115+740'!B352</f>
        <v>45411</v>
      </c>
      <c r="B353" s="160">
        <v>339</v>
      </c>
      <c r="C353" s="162">
        <f ca="1">'BC.115+740'!M352/1000</f>
        <v>2.2629999999999999</v>
      </c>
      <c r="D353" s="162">
        <f ca="1">'BC.115+740'!AA352</f>
        <v>2.468</v>
      </c>
      <c r="E353" s="163">
        <f ca="1">'BC.115+740'!AB352</f>
        <v>2.036</v>
      </c>
      <c r="F353" s="162">
        <f ca="1">VLOOKUP($A353,'BC.115+740'!$B$13:$X$489,8,0)/1000</f>
        <v>2.7850000000000001</v>
      </c>
      <c r="G353" s="162">
        <f ca="1">VLOOKUP($A353,'BC.115+740'!$B$13:$X$489,9,0)/1000</f>
        <v>-0.215</v>
      </c>
      <c r="H353" s="162">
        <f ca="1">VLOOKUP($A353,'BC.115+740'!$B$13:$X$489,14,0)/1000</f>
        <v>2.7530000000000001</v>
      </c>
      <c r="I353" s="162">
        <f ca="1">VLOOKUP($A353,'BC.115+740'!$B$13:$X$489,15,0)/1000</f>
        <v>-0.247</v>
      </c>
      <c r="J353" s="162">
        <f ca="1">VLOOKUP($A353,'BC.115+740'!$B$13:$X$489,20,0)/1000</f>
        <v>2.7360000000000002</v>
      </c>
      <c r="K353" s="162">
        <f ca="1">VLOOKUP($A353,'BC.115+740'!$B$13:$X$489,21,0)/1000</f>
        <v>-0.26400000000000001</v>
      </c>
      <c r="L353" s="160">
        <f t="shared" ca="1" si="15"/>
        <v>-255</v>
      </c>
      <c r="M353" s="161">
        <f t="shared" ca="1" si="16"/>
        <v>-237</v>
      </c>
      <c r="N353" s="160">
        <f t="shared" ca="1" si="17"/>
        <v>-224</v>
      </c>
      <c r="O353" s="160"/>
    </row>
    <row r="354" spans="1:15">
      <c r="A354" s="164">
        <f>'BC.115+740'!B353</f>
        <v>45412</v>
      </c>
      <c r="B354" s="160">
        <v>340</v>
      </c>
      <c r="C354" s="162">
        <f ca="1">'BC.115+740'!M353/1000</f>
        <v>2.2629999999999999</v>
      </c>
      <c r="D354" s="162">
        <f ca="1">'BC.115+740'!AA353</f>
        <v>2.468</v>
      </c>
      <c r="E354" s="163">
        <f ca="1">'BC.115+740'!AB353</f>
        <v>2.036</v>
      </c>
      <c r="F354" s="162">
        <f ca="1">VLOOKUP($A354,'BC.115+740'!$B$13:$X$489,8,0)/1000</f>
        <v>2.7850000000000001</v>
      </c>
      <c r="G354" s="162">
        <f ca="1">VLOOKUP($A354,'BC.115+740'!$B$13:$X$489,9,0)/1000</f>
        <v>-0.215</v>
      </c>
      <c r="H354" s="162">
        <f ca="1">VLOOKUP($A354,'BC.115+740'!$B$13:$X$489,14,0)/1000</f>
        <v>2.7530000000000001</v>
      </c>
      <c r="I354" s="162">
        <f ca="1">VLOOKUP($A354,'BC.115+740'!$B$13:$X$489,15,0)/1000</f>
        <v>-0.247</v>
      </c>
      <c r="J354" s="162">
        <f ca="1">VLOOKUP($A354,'BC.115+740'!$B$13:$X$489,20,0)/1000</f>
        <v>2.7360000000000002</v>
      </c>
      <c r="K354" s="162">
        <f ca="1">VLOOKUP($A354,'BC.115+740'!$B$13:$X$489,21,0)/1000</f>
        <v>-0.26400000000000001</v>
      </c>
      <c r="L354" s="160">
        <f t="shared" ca="1" si="15"/>
        <v>-255</v>
      </c>
      <c r="M354" s="161">
        <f t="shared" ca="1" si="16"/>
        <v>-237</v>
      </c>
      <c r="N354" s="160">
        <f t="shared" ca="1" si="17"/>
        <v>-224</v>
      </c>
      <c r="O354" s="160"/>
    </row>
    <row r="355" spans="1:15">
      <c r="A355" s="164">
        <f>'BC.115+740'!B354</f>
        <v>45413</v>
      </c>
      <c r="B355" s="160">
        <v>341</v>
      </c>
      <c r="C355" s="162">
        <f ca="1">'BC.115+740'!M354/1000</f>
        <v>2.2629999999999999</v>
      </c>
      <c r="D355" s="162">
        <f ca="1">'BC.115+740'!AA354</f>
        <v>2.468</v>
      </c>
      <c r="E355" s="163">
        <f ca="1">'BC.115+740'!AB354</f>
        <v>2.036</v>
      </c>
      <c r="F355" s="162">
        <f ca="1">VLOOKUP($A355,'BC.115+740'!$B$13:$X$489,8,0)/1000</f>
        <v>2.7850000000000001</v>
      </c>
      <c r="G355" s="162">
        <f ca="1">VLOOKUP($A355,'BC.115+740'!$B$13:$X$489,9,0)/1000</f>
        <v>-0.215</v>
      </c>
      <c r="H355" s="162">
        <f ca="1">VLOOKUP($A355,'BC.115+740'!$B$13:$X$489,14,0)/1000</f>
        <v>2.7530000000000001</v>
      </c>
      <c r="I355" s="162">
        <f ca="1">VLOOKUP($A355,'BC.115+740'!$B$13:$X$489,15,0)/1000</f>
        <v>-0.247</v>
      </c>
      <c r="J355" s="162">
        <f ca="1">VLOOKUP($A355,'BC.115+740'!$B$13:$X$489,20,0)/1000</f>
        <v>2.7360000000000002</v>
      </c>
      <c r="K355" s="162">
        <f ca="1">VLOOKUP($A355,'BC.115+740'!$B$13:$X$489,21,0)/1000</f>
        <v>-0.26400000000000001</v>
      </c>
      <c r="L355" s="160">
        <f t="shared" ca="1" si="15"/>
        <v>-255</v>
      </c>
      <c r="M355" s="161">
        <f t="shared" ca="1" si="16"/>
        <v>-237</v>
      </c>
      <c r="N355" s="160">
        <f t="shared" ca="1" si="17"/>
        <v>-224</v>
      </c>
      <c r="O355" s="160"/>
    </row>
    <row r="356" spans="1:15">
      <c r="A356" s="164">
        <f>'BC.115+740'!B355</f>
        <v>45414</v>
      </c>
      <c r="B356" s="160">
        <v>342</v>
      </c>
      <c r="C356" s="162">
        <f ca="1">'BC.115+740'!M355/1000</f>
        <v>2.2629999999999999</v>
      </c>
      <c r="D356" s="162">
        <f ca="1">'BC.115+740'!AA355</f>
        <v>2.468</v>
      </c>
      <c r="E356" s="163">
        <f ca="1">'BC.115+740'!AB355</f>
        <v>2.036</v>
      </c>
      <c r="F356" s="162">
        <f ca="1">VLOOKUP($A356,'BC.115+740'!$B$13:$X$489,8,0)/1000</f>
        <v>2.7850000000000001</v>
      </c>
      <c r="G356" s="162">
        <f ca="1">VLOOKUP($A356,'BC.115+740'!$B$13:$X$489,9,0)/1000</f>
        <v>-0.215</v>
      </c>
      <c r="H356" s="162">
        <f ca="1">VLOOKUP($A356,'BC.115+740'!$B$13:$X$489,14,0)/1000</f>
        <v>2.7530000000000001</v>
      </c>
      <c r="I356" s="162">
        <f ca="1">VLOOKUP($A356,'BC.115+740'!$B$13:$X$489,15,0)/1000</f>
        <v>-0.247</v>
      </c>
      <c r="J356" s="162">
        <f ca="1">VLOOKUP($A356,'BC.115+740'!$B$13:$X$489,20,0)/1000</f>
        <v>2.7360000000000002</v>
      </c>
      <c r="K356" s="162">
        <f ca="1">VLOOKUP($A356,'BC.115+740'!$B$13:$X$489,21,0)/1000</f>
        <v>-0.26400000000000001</v>
      </c>
      <c r="L356" s="160">
        <f t="shared" ca="1" si="15"/>
        <v>-255</v>
      </c>
      <c r="M356" s="161">
        <f t="shared" ca="1" si="16"/>
        <v>-237</v>
      </c>
      <c r="N356" s="160">
        <f t="shared" ca="1" si="17"/>
        <v>-224</v>
      </c>
      <c r="O356" s="160"/>
    </row>
    <row r="357" spans="1:15">
      <c r="A357" s="164">
        <f>'BC.115+740'!B356</f>
        <v>45415</v>
      </c>
      <c r="B357" s="160">
        <v>343</v>
      </c>
      <c r="C357" s="162">
        <f ca="1">'BC.115+740'!M356/1000</f>
        <v>2.2629999999999999</v>
      </c>
      <c r="D357" s="162">
        <f ca="1">'BC.115+740'!AA356</f>
        <v>2.468</v>
      </c>
      <c r="E357" s="163">
        <f ca="1">'BC.115+740'!AB356</f>
        <v>2.036</v>
      </c>
      <c r="F357" s="162">
        <f ca="1">VLOOKUP($A357,'BC.115+740'!$B$13:$X$489,8,0)/1000</f>
        <v>2.7850000000000001</v>
      </c>
      <c r="G357" s="162">
        <f ca="1">VLOOKUP($A357,'BC.115+740'!$B$13:$X$489,9,0)/1000</f>
        <v>-0.215</v>
      </c>
      <c r="H357" s="162">
        <f ca="1">VLOOKUP($A357,'BC.115+740'!$B$13:$X$489,14,0)/1000</f>
        <v>2.7530000000000001</v>
      </c>
      <c r="I357" s="162">
        <f ca="1">VLOOKUP($A357,'BC.115+740'!$B$13:$X$489,15,0)/1000</f>
        <v>-0.247</v>
      </c>
      <c r="J357" s="162">
        <f ca="1">VLOOKUP($A357,'BC.115+740'!$B$13:$X$489,20,0)/1000</f>
        <v>2.7360000000000002</v>
      </c>
      <c r="K357" s="162">
        <f ca="1">VLOOKUP($A357,'BC.115+740'!$B$13:$X$489,21,0)/1000</f>
        <v>-0.26400000000000001</v>
      </c>
      <c r="L357" s="160">
        <f t="shared" ca="1" si="15"/>
        <v>-255</v>
      </c>
      <c r="M357" s="161">
        <f t="shared" ca="1" si="16"/>
        <v>-237</v>
      </c>
      <c r="N357" s="160">
        <f t="shared" ca="1" si="17"/>
        <v>-224</v>
      </c>
      <c r="O357" s="160"/>
    </row>
    <row r="358" spans="1:15">
      <c r="A358" s="164">
        <f>'BC.115+740'!B357</f>
        <v>45416</v>
      </c>
      <c r="B358" s="160">
        <v>344</v>
      </c>
      <c r="C358" s="162">
        <f ca="1">'BC.115+740'!M357/1000</f>
        <v>2.2629999999999999</v>
      </c>
      <c r="D358" s="162">
        <f ca="1">'BC.115+740'!AA357</f>
        <v>2.468</v>
      </c>
      <c r="E358" s="163">
        <f ca="1">'BC.115+740'!AB357</f>
        <v>2.036</v>
      </c>
      <c r="F358" s="162">
        <f ca="1">VLOOKUP($A358,'BC.115+740'!$B$13:$X$489,8,0)/1000</f>
        <v>2.7850000000000001</v>
      </c>
      <c r="G358" s="162">
        <f ca="1">VLOOKUP($A358,'BC.115+740'!$B$13:$X$489,9,0)/1000</f>
        <v>-0.215</v>
      </c>
      <c r="H358" s="162">
        <f ca="1">VLOOKUP($A358,'BC.115+740'!$B$13:$X$489,14,0)/1000</f>
        <v>2.7530000000000001</v>
      </c>
      <c r="I358" s="162">
        <f ca="1">VLOOKUP($A358,'BC.115+740'!$B$13:$X$489,15,0)/1000</f>
        <v>-0.247</v>
      </c>
      <c r="J358" s="162">
        <f ca="1">VLOOKUP($A358,'BC.115+740'!$B$13:$X$489,20,0)/1000</f>
        <v>2.7360000000000002</v>
      </c>
      <c r="K358" s="162">
        <f ca="1">VLOOKUP($A358,'BC.115+740'!$B$13:$X$489,21,0)/1000</f>
        <v>-0.26400000000000001</v>
      </c>
      <c r="L358" s="160">
        <f t="shared" ca="1" si="15"/>
        <v>-255</v>
      </c>
      <c r="M358" s="161">
        <f t="shared" ca="1" si="16"/>
        <v>-237</v>
      </c>
      <c r="N358" s="160">
        <f t="shared" ca="1" si="17"/>
        <v>-224</v>
      </c>
      <c r="O358" s="160"/>
    </row>
    <row r="359" spans="1:15">
      <c r="A359" s="164">
        <f>'BC.115+740'!B358</f>
        <v>45417</v>
      </c>
      <c r="B359" s="160">
        <v>345</v>
      </c>
      <c r="C359" s="162">
        <f ca="1">'BC.115+740'!M358/1000</f>
        <v>2.2629999999999999</v>
      </c>
      <c r="D359" s="162">
        <f ca="1">'BC.115+740'!AA358</f>
        <v>2.468</v>
      </c>
      <c r="E359" s="163">
        <f ca="1">'BC.115+740'!AB358</f>
        <v>2.036</v>
      </c>
      <c r="F359" s="162">
        <f ca="1">VLOOKUP($A359,'BC.115+740'!$B$13:$X$489,8,0)/1000</f>
        <v>2.7850000000000001</v>
      </c>
      <c r="G359" s="162">
        <f ca="1">VLOOKUP($A359,'BC.115+740'!$B$13:$X$489,9,0)/1000</f>
        <v>-0.215</v>
      </c>
      <c r="H359" s="162">
        <f ca="1">VLOOKUP($A359,'BC.115+740'!$B$13:$X$489,14,0)/1000</f>
        <v>2.7530000000000001</v>
      </c>
      <c r="I359" s="162">
        <f ca="1">VLOOKUP($A359,'BC.115+740'!$B$13:$X$489,15,0)/1000</f>
        <v>-0.247</v>
      </c>
      <c r="J359" s="162">
        <f ca="1">VLOOKUP($A359,'BC.115+740'!$B$13:$X$489,20,0)/1000</f>
        <v>2.7360000000000002</v>
      </c>
      <c r="K359" s="162">
        <f ca="1">VLOOKUP($A359,'BC.115+740'!$B$13:$X$489,21,0)/1000</f>
        <v>-0.26400000000000001</v>
      </c>
      <c r="L359" s="160">
        <f t="shared" ca="1" si="15"/>
        <v>-255</v>
      </c>
      <c r="M359" s="161">
        <f t="shared" ca="1" si="16"/>
        <v>-237</v>
      </c>
      <c r="N359" s="160">
        <f t="shared" ca="1" si="17"/>
        <v>-224</v>
      </c>
      <c r="O359" s="160"/>
    </row>
    <row r="360" spans="1:15">
      <c r="A360" s="164">
        <f>'BC.115+740'!B359</f>
        <v>45418</v>
      </c>
      <c r="B360" s="160">
        <v>346</v>
      </c>
      <c r="C360" s="162">
        <f ca="1">'BC.115+740'!M359/1000</f>
        <v>2.2629999999999999</v>
      </c>
      <c r="D360" s="162">
        <f ca="1">'BC.115+740'!AA359</f>
        <v>2.468</v>
      </c>
      <c r="E360" s="163">
        <f ca="1">'BC.115+740'!AB359</f>
        <v>2.036</v>
      </c>
      <c r="F360" s="162">
        <f ca="1">VLOOKUP($A360,'BC.115+740'!$B$13:$X$489,8,0)/1000</f>
        <v>2.7850000000000001</v>
      </c>
      <c r="G360" s="162">
        <f ca="1">VLOOKUP($A360,'BC.115+740'!$B$13:$X$489,9,0)/1000</f>
        <v>-0.215</v>
      </c>
      <c r="H360" s="162">
        <f ca="1">VLOOKUP($A360,'BC.115+740'!$B$13:$X$489,14,0)/1000</f>
        <v>2.7530000000000001</v>
      </c>
      <c r="I360" s="162">
        <f ca="1">VLOOKUP($A360,'BC.115+740'!$B$13:$X$489,15,0)/1000</f>
        <v>-0.247</v>
      </c>
      <c r="J360" s="162">
        <f ca="1">VLOOKUP($A360,'BC.115+740'!$B$13:$X$489,20,0)/1000</f>
        <v>2.7360000000000002</v>
      </c>
      <c r="K360" s="162">
        <f ca="1">VLOOKUP($A360,'BC.115+740'!$B$13:$X$489,21,0)/1000</f>
        <v>-0.26400000000000001</v>
      </c>
      <c r="L360" s="160">
        <f t="shared" ca="1" si="15"/>
        <v>-255</v>
      </c>
      <c r="M360" s="161">
        <f t="shared" ca="1" si="16"/>
        <v>-237</v>
      </c>
      <c r="N360" s="160">
        <f t="shared" ca="1" si="17"/>
        <v>-224</v>
      </c>
      <c r="O360" s="160"/>
    </row>
    <row r="361" spans="1:15">
      <c r="A361" s="164">
        <f>'BC.115+740'!B360</f>
        <v>45419</v>
      </c>
      <c r="B361" s="160">
        <v>347</v>
      </c>
      <c r="C361" s="162">
        <f ca="1">'BC.115+740'!M360/1000</f>
        <v>2.2629999999999999</v>
      </c>
      <c r="D361" s="162">
        <f ca="1">'BC.115+740'!AA360</f>
        <v>2.468</v>
      </c>
      <c r="E361" s="163">
        <f ca="1">'BC.115+740'!AB360</f>
        <v>2.036</v>
      </c>
      <c r="F361" s="162">
        <f ca="1">VLOOKUP($A361,'BC.115+740'!$B$13:$X$489,8,0)/1000</f>
        <v>2.7850000000000001</v>
      </c>
      <c r="G361" s="162">
        <f ca="1">VLOOKUP($A361,'BC.115+740'!$B$13:$X$489,9,0)/1000</f>
        <v>-0.215</v>
      </c>
      <c r="H361" s="162">
        <f ca="1">VLOOKUP($A361,'BC.115+740'!$B$13:$X$489,14,0)/1000</f>
        <v>2.7530000000000001</v>
      </c>
      <c r="I361" s="162">
        <f ca="1">VLOOKUP($A361,'BC.115+740'!$B$13:$X$489,15,0)/1000</f>
        <v>-0.247</v>
      </c>
      <c r="J361" s="162">
        <f ca="1">VLOOKUP($A361,'BC.115+740'!$B$13:$X$489,20,0)/1000</f>
        <v>2.7360000000000002</v>
      </c>
      <c r="K361" s="162">
        <f ca="1">VLOOKUP($A361,'BC.115+740'!$B$13:$X$489,21,0)/1000</f>
        <v>-0.26400000000000001</v>
      </c>
      <c r="L361" s="160">
        <f t="shared" ca="1" si="15"/>
        <v>-255</v>
      </c>
      <c r="M361" s="161">
        <f t="shared" ca="1" si="16"/>
        <v>-237</v>
      </c>
      <c r="N361" s="160">
        <f t="shared" ca="1" si="17"/>
        <v>-224</v>
      </c>
      <c r="O361" s="160"/>
    </row>
    <row r="362" spans="1:15">
      <c r="A362" s="164">
        <f>'BC.115+740'!B361</f>
        <v>45420</v>
      </c>
      <c r="B362" s="160">
        <v>348</v>
      </c>
      <c r="C362" s="162">
        <f ca="1">'BC.115+740'!M361/1000</f>
        <v>2.2629999999999999</v>
      </c>
      <c r="D362" s="162">
        <f ca="1">'BC.115+740'!AA361</f>
        <v>2.468</v>
      </c>
      <c r="E362" s="163">
        <f ca="1">'BC.115+740'!AB361</f>
        <v>2.036</v>
      </c>
      <c r="F362" s="162">
        <f ca="1">VLOOKUP($A362,'BC.115+740'!$B$13:$X$489,8,0)/1000</f>
        <v>2.7850000000000001</v>
      </c>
      <c r="G362" s="162">
        <f ca="1">VLOOKUP($A362,'BC.115+740'!$B$13:$X$489,9,0)/1000</f>
        <v>-0.215</v>
      </c>
      <c r="H362" s="162">
        <f ca="1">VLOOKUP($A362,'BC.115+740'!$B$13:$X$489,14,0)/1000</f>
        <v>2.7530000000000001</v>
      </c>
      <c r="I362" s="162">
        <f ca="1">VLOOKUP($A362,'BC.115+740'!$B$13:$X$489,15,0)/1000</f>
        <v>-0.247</v>
      </c>
      <c r="J362" s="162">
        <f ca="1">VLOOKUP($A362,'BC.115+740'!$B$13:$X$489,20,0)/1000</f>
        <v>2.7360000000000002</v>
      </c>
      <c r="K362" s="162">
        <f ca="1">VLOOKUP($A362,'BC.115+740'!$B$13:$X$489,21,0)/1000</f>
        <v>-0.26400000000000001</v>
      </c>
      <c r="L362" s="160">
        <f t="shared" ca="1" si="15"/>
        <v>-255</v>
      </c>
      <c r="M362" s="161">
        <f t="shared" ca="1" si="16"/>
        <v>-237</v>
      </c>
      <c r="N362" s="160">
        <f t="shared" ca="1" si="17"/>
        <v>-224</v>
      </c>
      <c r="O362" s="160"/>
    </row>
    <row r="363" spans="1:15">
      <c r="A363" s="164">
        <f>'BC.115+740'!B362</f>
        <v>45421</v>
      </c>
      <c r="B363" s="160">
        <v>349</v>
      </c>
      <c r="C363" s="162">
        <f ca="1">'BC.115+740'!M362/1000</f>
        <v>2.2629999999999999</v>
      </c>
      <c r="D363" s="162">
        <f ca="1">'BC.115+740'!AA362</f>
        <v>2.468</v>
      </c>
      <c r="E363" s="163">
        <f ca="1">'BC.115+740'!AB362</f>
        <v>2.036</v>
      </c>
      <c r="F363" s="162">
        <f ca="1">VLOOKUP($A363,'BC.115+740'!$B$13:$X$489,8,0)/1000</f>
        <v>3.7850000000000001</v>
      </c>
      <c r="G363" s="162">
        <f ca="1">VLOOKUP($A363,'BC.115+740'!$B$13:$X$489,9,0)/1000</f>
        <v>-0.215</v>
      </c>
      <c r="H363" s="162">
        <f ca="1">VLOOKUP($A363,'BC.115+740'!$B$13:$X$489,14,0)/1000</f>
        <v>3.7530000000000001</v>
      </c>
      <c r="I363" s="162">
        <f ca="1">VLOOKUP($A363,'BC.115+740'!$B$13:$X$489,15,0)/1000</f>
        <v>-0.247</v>
      </c>
      <c r="J363" s="162">
        <f ca="1">VLOOKUP($A363,'BC.115+740'!$B$13:$X$489,20,0)/1000</f>
        <v>3.7360000000000002</v>
      </c>
      <c r="K363" s="162">
        <f ca="1">VLOOKUP($A363,'BC.115+740'!$B$13:$X$489,21,0)/1000</f>
        <v>-0.26400000000000001</v>
      </c>
      <c r="L363" s="160">
        <f t="shared" ca="1" si="15"/>
        <v>-255</v>
      </c>
      <c r="M363" s="161">
        <f t="shared" ca="1" si="16"/>
        <v>-237</v>
      </c>
      <c r="N363" s="160">
        <f t="shared" ca="1" si="17"/>
        <v>-224</v>
      </c>
      <c r="O363" s="160"/>
    </row>
    <row r="364" spans="1:15">
      <c r="A364" s="164">
        <f>'BC.115+740'!B363</f>
        <v>45422</v>
      </c>
      <c r="B364" s="160">
        <v>350</v>
      </c>
      <c r="C364" s="162">
        <f ca="1">'BC.115+740'!M363/1000</f>
        <v>2.2629999999999999</v>
      </c>
      <c r="D364" s="162">
        <f ca="1">'BC.115+740'!AA363</f>
        <v>2.468</v>
      </c>
      <c r="E364" s="163">
        <f ca="1">'BC.115+740'!AB363</f>
        <v>2.036</v>
      </c>
      <c r="F364" s="162">
        <f ca="1">VLOOKUP($A364,'BC.115+740'!$B$13:$X$489,8,0)/1000</f>
        <v>3.7850000000000001</v>
      </c>
      <c r="G364" s="162">
        <f ca="1">VLOOKUP($A364,'BC.115+740'!$B$13:$X$489,9,0)/1000</f>
        <v>-0.215</v>
      </c>
      <c r="H364" s="162">
        <f ca="1">VLOOKUP($A364,'BC.115+740'!$B$13:$X$489,14,0)/1000</f>
        <v>3.7530000000000001</v>
      </c>
      <c r="I364" s="162">
        <f ca="1">VLOOKUP($A364,'BC.115+740'!$B$13:$X$489,15,0)/1000</f>
        <v>-0.247</v>
      </c>
      <c r="J364" s="162">
        <f ca="1">VLOOKUP($A364,'BC.115+740'!$B$13:$X$489,20,0)/1000</f>
        <v>3.7360000000000002</v>
      </c>
      <c r="K364" s="162">
        <f ca="1">VLOOKUP($A364,'BC.115+740'!$B$13:$X$489,21,0)/1000</f>
        <v>-0.26400000000000001</v>
      </c>
      <c r="L364" s="160">
        <f t="shared" ca="1" si="15"/>
        <v>-255</v>
      </c>
      <c r="M364" s="161">
        <f t="shared" ca="1" si="16"/>
        <v>-237</v>
      </c>
      <c r="N364" s="160">
        <f t="shared" ca="1" si="17"/>
        <v>-224</v>
      </c>
      <c r="O364" s="160"/>
    </row>
    <row r="365" spans="1:15">
      <c r="A365" s="164">
        <f>'BC.115+740'!B364</f>
        <v>45423</v>
      </c>
      <c r="B365" s="160">
        <v>351</v>
      </c>
      <c r="C365" s="162">
        <f ca="1">'BC.115+740'!M364/1000</f>
        <v>2.2629999999999999</v>
      </c>
      <c r="D365" s="162">
        <f ca="1">'BC.115+740'!AA364</f>
        <v>2.468</v>
      </c>
      <c r="E365" s="163">
        <f ca="1">'BC.115+740'!AB364</f>
        <v>2.036</v>
      </c>
      <c r="F365" s="162">
        <f ca="1">VLOOKUP($A365,'BC.115+740'!$B$13:$X$489,8,0)/1000</f>
        <v>3.7850000000000001</v>
      </c>
      <c r="G365" s="162">
        <f ca="1">VLOOKUP($A365,'BC.115+740'!$B$13:$X$489,9,0)/1000</f>
        <v>-0.215</v>
      </c>
      <c r="H365" s="162">
        <f ca="1">VLOOKUP($A365,'BC.115+740'!$B$13:$X$489,14,0)/1000</f>
        <v>3.7530000000000001</v>
      </c>
      <c r="I365" s="162">
        <f ca="1">VLOOKUP($A365,'BC.115+740'!$B$13:$X$489,15,0)/1000</f>
        <v>-0.247</v>
      </c>
      <c r="J365" s="162">
        <f ca="1">VLOOKUP($A365,'BC.115+740'!$B$13:$X$489,20,0)/1000</f>
        <v>3.7360000000000002</v>
      </c>
      <c r="K365" s="162">
        <f ca="1">VLOOKUP($A365,'BC.115+740'!$B$13:$X$489,21,0)/1000</f>
        <v>-0.26400000000000001</v>
      </c>
      <c r="L365" s="160">
        <f t="shared" ca="1" si="15"/>
        <v>-255</v>
      </c>
      <c r="M365" s="161">
        <f t="shared" ca="1" si="16"/>
        <v>-237</v>
      </c>
      <c r="N365" s="160">
        <f t="shared" ca="1" si="17"/>
        <v>-224</v>
      </c>
      <c r="O365" s="160"/>
    </row>
    <row r="366" spans="1:15">
      <c r="A366" s="164">
        <f>'BC.115+740'!B365</f>
        <v>45424</v>
      </c>
      <c r="B366" s="160">
        <v>352</v>
      </c>
      <c r="C366" s="162">
        <f ca="1">'BC.115+740'!M365/1000</f>
        <v>2.2629999999999999</v>
      </c>
      <c r="D366" s="162">
        <f ca="1">'BC.115+740'!AA365</f>
        <v>2.468</v>
      </c>
      <c r="E366" s="163">
        <f ca="1">'BC.115+740'!AB365</f>
        <v>2.036</v>
      </c>
      <c r="F366" s="162">
        <f ca="1">VLOOKUP($A366,'BC.115+740'!$B$13:$X$489,8,0)/1000</f>
        <v>3.7850000000000001</v>
      </c>
      <c r="G366" s="162">
        <f ca="1">VLOOKUP($A366,'BC.115+740'!$B$13:$X$489,9,0)/1000</f>
        <v>-0.215</v>
      </c>
      <c r="H366" s="162">
        <f ca="1">VLOOKUP($A366,'BC.115+740'!$B$13:$X$489,14,0)/1000</f>
        <v>3.7530000000000001</v>
      </c>
      <c r="I366" s="162">
        <f ca="1">VLOOKUP($A366,'BC.115+740'!$B$13:$X$489,15,0)/1000</f>
        <v>-0.247</v>
      </c>
      <c r="J366" s="162">
        <f ca="1">VLOOKUP($A366,'BC.115+740'!$B$13:$X$489,20,0)/1000</f>
        <v>3.7360000000000002</v>
      </c>
      <c r="K366" s="162">
        <f ca="1">VLOOKUP($A366,'BC.115+740'!$B$13:$X$489,21,0)/1000</f>
        <v>-0.26400000000000001</v>
      </c>
      <c r="L366" s="160">
        <f t="shared" ca="1" si="15"/>
        <v>-255</v>
      </c>
      <c r="M366" s="161">
        <f t="shared" ca="1" si="16"/>
        <v>-237</v>
      </c>
      <c r="N366" s="160">
        <f t="shared" ca="1" si="17"/>
        <v>-224</v>
      </c>
      <c r="O366" s="160"/>
    </row>
    <row r="367" spans="1:15">
      <c r="A367" s="164">
        <f>'BC.115+740'!B366</f>
        <v>45425</v>
      </c>
      <c r="B367" s="160">
        <v>353</v>
      </c>
      <c r="C367" s="162">
        <f ca="1">'BC.115+740'!M366/1000</f>
        <v>2.2629999999999999</v>
      </c>
      <c r="D367" s="162">
        <f ca="1">'BC.115+740'!AA366</f>
        <v>2.468</v>
      </c>
      <c r="E367" s="163">
        <f ca="1">'BC.115+740'!AB366</f>
        <v>2.036</v>
      </c>
      <c r="F367" s="162">
        <f ca="1">VLOOKUP($A367,'BC.115+740'!$B$13:$X$489,8,0)/1000</f>
        <v>3.7850000000000001</v>
      </c>
      <c r="G367" s="162">
        <f ca="1">VLOOKUP($A367,'BC.115+740'!$B$13:$X$489,9,0)/1000</f>
        <v>-0.215</v>
      </c>
      <c r="H367" s="162">
        <f ca="1">VLOOKUP($A367,'BC.115+740'!$B$13:$X$489,14,0)/1000</f>
        <v>3.7530000000000001</v>
      </c>
      <c r="I367" s="162">
        <f ca="1">VLOOKUP($A367,'BC.115+740'!$B$13:$X$489,15,0)/1000</f>
        <v>-0.247</v>
      </c>
      <c r="J367" s="162">
        <f ca="1">VLOOKUP($A367,'BC.115+740'!$B$13:$X$489,20,0)/1000</f>
        <v>3.7360000000000002</v>
      </c>
      <c r="K367" s="162">
        <f ca="1">VLOOKUP($A367,'BC.115+740'!$B$13:$X$489,21,0)/1000</f>
        <v>-0.26400000000000001</v>
      </c>
      <c r="L367" s="160">
        <f t="shared" ca="1" si="15"/>
        <v>-255</v>
      </c>
      <c r="M367" s="161">
        <f t="shared" ca="1" si="16"/>
        <v>-237</v>
      </c>
      <c r="N367" s="160">
        <f t="shared" ca="1" si="17"/>
        <v>-224</v>
      </c>
      <c r="O367" s="160"/>
    </row>
    <row r="368" spans="1:15">
      <c r="A368" s="164">
        <f>'BC.115+740'!B367</f>
        <v>45426</v>
      </c>
      <c r="B368" s="160">
        <v>354</v>
      </c>
      <c r="C368" s="162">
        <f ca="1">'BC.115+740'!M367/1000</f>
        <v>2.2629999999999999</v>
      </c>
      <c r="D368" s="162">
        <f ca="1">'BC.115+740'!AA367</f>
        <v>2.468</v>
      </c>
      <c r="E368" s="163">
        <f ca="1">'BC.115+740'!AB367</f>
        <v>2.036</v>
      </c>
      <c r="F368" s="162">
        <f ca="1">VLOOKUP($A368,'BC.115+740'!$B$13:$X$489,8,0)/1000</f>
        <v>3.7850000000000001</v>
      </c>
      <c r="G368" s="162">
        <f ca="1">VLOOKUP($A368,'BC.115+740'!$B$13:$X$489,9,0)/1000</f>
        <v>-0.215</v>
      </c>
      <c r="H368" s="162">
        <f ca="1">VLOOKUP($A368,'BC.115+740'!$B$13:$X$489,14,0)/1000</f>
        <v>3.7530000000000001</v>
      </c>
      <c r="I368" s="162">
        <f ca="1">VLOOKUP($A368,'BC.115+740'!$B$13:$X$489,15,0)/1000</f>
        <v>-0.247</v>
      </c>
      <c r="J368" s="162">
        <f ca="1">VLOOKUP($A368,'BC.115+740'!$B$13:$X$489,20,0)/1000</f>
        <v>3.7360000000000002</v>
      </c>
      <c r="K368" s="162">
        <f ca="1">VLOOKUP($A368,'BC.115+740'!$B$13:$X$489,21,0)/1000</f>
        <v>-0.26400000000000001</v>
      </c>
      <c r="L368" s="160">
        <f t="shared" ca="1" si="15"/>
        <v>-255</v>
      </c>
      <c r="M368" s="161">
        <f t="shared" ca="1" si="16"/>
        <v>-237</v>
      </c>
      <c r="N368" s="160">
        <f t="shared" ca="1" si="17"/>
        <v>-224</v>
      </c>
      <c r="O368" s="160"/>
    </row>
    <row r="369" spans="1:15">
      <c r="A369" s="164">
        <f>'BC.115+740'!B368</f>
        <v>45427</v>
      </c>
      <c r="B369" s="160">
        <v>355</v>
      </c>
      <c r="C369" s="162">
        <f ca="1">'BC.115+740'!M368/1000</f>
        <v>2.2629999999999999</v>
      </c>
      <c r="D369" s="162">
        <f ca="1">'BC.115+740'!AA368</f>
        <v>2.468</v>
      </c>
      <c r="E369" s="163">
        <f ca="1">'BC.115+740'!AB368</f>
        <v>2.036</v>
      </c>
      <c r="F369" s="162">
        <f ca="1">VLOOKUP($A369,'BC.115+740'!$B$13:$X$489,8,0)/1000</f>
        <v>3.7850000000000001</v>
      </c>
      <c r="G369" s="162">
        <f ca="1">VLOOKUP($A369,'BC.115+740'!$B$13:$X$489,9,0)/1000</f>
        <v>-0.215</v>
      </c>
      <c r="H369" s="162">
        <f ca="1">VLOOKUP($A369,'BC.115+740'!$B$13:$X$489,14,0)/1000</f>
        <v>3.7530000000000001</v>
      </c>
      <c r="I369" s="162">
        <f ca="1">VLOOKUP($A369,'BC.115+740'!$B$13:$X$489,15,0)/1000</f>
        <v>-0.247</v>
      </c>
      <c r="J369" s="162">
        <f ca="1">VLOOKUP($A369,'BC.115+740'!$B$13:$X$489,20,0)/1000</f>
        <v>3.7360000000000002</v>
      </c>
      <c r="K369" s="162">
        <f ca="1">VLOOKUP($A369,'BC.115+740'!$B$13:$X$489,21,0)/1000</f>
        <v>-0.26400000000000001</v>
      </c>
      <c r="L369" s="160">
        <f t="shared" ca="1" si="15"/>
        <v>-255</v>
      </c>
      <c r="M369" s="161">
        <f t="shared" ca="1" si="16"/>
        <v>-237</v>
      </c>
      <c r="N369" s="160">
        <f t="shared" ca="1" si="17"/>
        <v>-224</v>
      </c>
      <c r="O369" s="160"/>
    </row>
    <row r="370" spans="1:15">
      <c r="A370" s="164">
        <f>'BC.115+740'!B369</f>
        <v>45428</v>
      </c>
      <c r="B370" s="160">
        <v>356</v>
      </c>
      <c r="C370" s="162">
        <f ca="1">'BC.115+740'!M369/1000</f>
        <v>2.2629999999999999</v>
      </c>
      <c r="D370" s="162">
        <f ca="1">'BC.115+740'!AA369</f>
        <v>2.468</v>
      </c>
      <c r="E370" s="163">
        <f ca="1">'BC.115+740'!AB369</f>
        <v>2.036</v>
      </c>
      <c r="F370" s="162">
        <f ca="1">VLOOKUP($A370,'BC.115+740'!$B$13:$X$489,8,0)/1000</f>
        <v>3.7850000000000001</v>
      </c>
      <c r="G370" s="162">
        <f ca="1">VLOOKUP($A370,'BC.115+740'!$B$13:$X$489,9,0)/1000</f>
        <v>-0.215</v>
      </c>
      <c r="H370" s="162">
        <f ca="1">VLOOKUP($A370,'BC.115+740'!$B$13:$X$489,14,0)/1000</f>
        <v>3.7530000000000001</v>
      </c>
      <c r="I370" s="162">
        <f ca="1">VLOOKUP($A370,'BC.115+740'!$B$13:$X$489,15,0)/1000</f>
        <v>-0.247</v>
      </c>
      <c r="J370" s="162">
        <f ca="1">VLOOKUP($A370,'BC.115+740'!$B$13:$X$489,20,0)/1000</f>
        <v>3.7360000000000002</v>
      </c>
      <c r="K370" s="162">
        <f ca="1">VLOOKUP($A370,'BC.115+740'!$B$13:$X$489,21,0)/1000</f>
        <v>-0.26400000000000001</v>
      </c>
      <c r="L370" s="160">
        <f t="shared" ca="1" si="15"/>
        <v>-255</v>
      </c>
      <c r="M370" s="161">
        <f t="shared" ca="1" si="16"/>
        <v>-237</v>
      </c>
      <c r="N370" s="160">
        <f t="shared" ca="1" si="17"/>
        <v>-224</v>
      </c>
      <c r="O370" s="160"/>
    </row>
    <row r="371" spans="1:15">
      <c r="A371" s="164">
        <f>'BC.115+740'!B370</f>
        <v>45429</v>
      </c>
      <c r="B371" s="160">
        <v>357</v>
      </c>
      <c r="C371" s="162">
        <f ca="1">'BC.115+740'!M370/1000</f>
        <v>2.2629999999999999</v>
      </c>
      <c r="D371" s="162">
        <f ca="1">'BC.115+740'!AA370</f>
        <v>2.468</v>
      </c>
      <c r="E371" s="163">
        <f ca="1">'BC.115+740'!AB370</f>
        <v>2.036</v>
      </c>
      <c r="F371" s="162">
        <f ca="1">VLOOKUP($A371,'BC.115+740'!$B$13:$X$489,8,0)/1000</f>
        <v>3.7850000000000001</v>
      </c>
      <c r="G371" s="162">
        <f ca="1">VLOOKUP($A371,'BC.115+740'!$B$13:$X$489,9,0)/1000</f>
        <v>-0.215</v>
      </c>
      <c r="H371" s="162">
        <f ca="1">VLOOKUP($A371,'BC.115+740'!$B$13:$X$489,14,0)/1000</f>
        <v>3.7530000000000001</v>
      </c>
      <c r="I371" s="162">
        <f ca="1">VLOOKUP($A371,'BC.115+740'!$B$13:$X$489,15,0)/1000</f>
        <v>-0.247</v>
      </c>
      <c r="J371" s="162">
        <f ca="1">VLOOKUP($A371,'BC.115+740'!$B$13:$X$489,20,0)/1000</f>
        <v>3.7360000000000002</v>
      </c>
      <c r="K371" s="162">
        <f ca="1">VLOOKUP($A371,'BC.115+740'!$B$13:$X$489,21,0)/1000</f>
        <v>-0.26400000000000001</v>
      </c>
      <c r="L371" s="160">
        <f t="shared" ca="1" si="15"/>
        <v>-255</v>
      </c>
      <c r="M371" s="161">
        <f t="shared" ca="1" si="16"/>
        <v>-237</v>
      </c>
      <c r="N371" s="160">
        <f t="shared" ca="1" si="17"/>
        <v>-224</v>
      </c>
      <c r="O371" s="160"/>
    </row>
    <row r="372" spans="1:15">
      <c r="A372" s="164">
        <f>'BC.115+740'!B371</f>
        <v>45430</v>
      </c>
      <c r="B372" s="160">
        <v>358</v>
      </c>
      <c r="C372" s="162">
        <f ca="1">'BC.115+740'!M371/1000</f>
        <v>2.2629999999999999</v>
      </c>
      <c r="D372" s="162">
        <f ca="1">'BC.115+740'!AA371</f>
        <v>2.468</v>
      </c>
      <c r="E372" s="163">
        <f ca="1">'BC.115+740'!AB371</f>
        <v>2.036</v>
      </c>
      <c r="F372" s="162">
        <f ca="1">VLOOKUP($A372,'BC.115+740'!$B$13:$X$489,8,0)/1000</f>
        <v>3.7850000000000001</v>
      </c>
      <c r="G372" s="162">
        <f ca="1">VLOOKUP($A372,'BC.115+740'!$B$13:$X$489,9,0)/1000</f>
        <v>-0.215</v>
      </c>
      <c r="H372" s="162">
        <f ca="1">VLOOKUP($A372,'BC.115+740'!$B$13:$X$489,14,0)/1000</f>
        <v>3.7530000000000001</v>
      </c>
      <c r="I372" s="162">
        <f ca="1">VLOOKUP($A372,'BC.115+740'!$B$13:$X$489,15,0)/1000</f>
        <v>-0.247</v>
      </c>
      <c r="J372" s="162">
        <f ca="1">VLOOKUP($A372,'BC.115+740'!$B$13:$X$489,20,0)/1000</f>
        <v>3.7360000000000002</v>
      </c>
      <c r="K372" s="162">
        <f ca="1">VLOOKUP($A372,'BC.115+740'!$B$13:$X$489,21,0)/1000</f>
        <v>-0.26400000000000001</v>
      </c>
      <c r="L372" s="160">
        <f t="shared" ca="1" si="15"/>
        <v>-255</v>
      </c>
      <c r="M372" s="161">
        <f t="shared" ca="1" si="16"/>
        <v>-237</v>
      </c>
      <c r="N372" s="160">
        <f t="shared" ca="1" si="17"/>
        <v>-224</v>
      </c>
      <c r="O372" s="160"/>
    </row>
    <row r="373" spans="1:15">
      <c r="A373" s="164">
        <f>'BC.115+740'!B372</f>
        <v>45431</v>
      </c>
      <c r="B373" s="160">
        <v>359</v>
      </c>
      <c r="C373" s="162">
        <f ca="1">'BC.115+740'!M372/1000</f>
        <v>2.2629999999999999</v>
      </c>
      <c r="D373" s="162">
        <f ca="1">'BC.115+740'!AA372</f>
        <v>2.468</v>
      </c>
      <c r="E373" s="163">
        <f ca="1">'BC.115+740'!AB372</f>
        <v>2.036</v>
      </c>
      <c r="F373" s="162">
        <f ca="1">VLOOKUP($A373,'BC.115+740'!$B$13:$X$489,8,0)/1000</f>
        <v>3.7850000000000001</v>
      </c>
      <c r="G373" s="162">
        <f ca="1">VLOOKUP($A373,'BC.115+740'!$B$13:$X$489,9,0)/1000</f>
        <v>-0.215</v>
      </c>
      <c r="H373" s="162">
        <f ca="1">VLOOKUP($A373,'BC.115+740'!$B$13:$X$489,14,0)/1000</f>
        <v>3.7530000000000001</v>
      </c>
      <c r="I373" s="162">
        <f ca="1">VLOOKUP($A373,'BC.115+740'!$B$13:$X$489,15,0)/1000</f>
        <v>-0.247</v>
      </c>
      <c r="J373" s="162">
        <f ca="1">VLOOKUP($A373,'BC.115+740'!$B$13:$X$489,20,0)/1000</f>
        <v>3.7360000000000002</v>
      </c>
      <c r="K373" s="162">
        <f ca="1">VLOOKUP($A373,'BC.115+740'!$B$13:$X$489,21,0)/1000</f>
        <v>-0.26400000000000001</v>
      </c>
      <c r="L373" s="160">
        <f t="shared" ca="1" si="15"/>
        <v>-255</v>
      </c>
      <c r="M373" s="161">
        <f t="shared" ca="1" si="16"/>
        <v>-237</v>
      </c>
      <c r="N373" s="160">
        <f t="shared" ca="1" si="17"/>
        <v>-224</v>
      </c>
      <c r="O373" s="160"/>
    </row>
    <row r="374" spans="1:15">
      <c r="A374" s="164">
        <f>'BC.115+740'!B373</f>
        <v>45432</v>
      </c>
      <c r="B374" s="160">
        <v>360</v>
      </c>
      <c r="C374" s="162">
        <f ca="1">'BC.115+740'!M373/1000</f>
        <v>2.2629999999999999</v>
      </c>
      <c r="D374" s="162">
        <f ca="1">'BC.115+740'!AA373</f>
        <v>2.468</v>
      </c>
      <c r="E374" s="163">
        <f ca="1">'BC.115+740'!AB373</f>
        <v>2.036</v>
      </c>
      <c r="F374" s="162">
        <f ca="1">VLOOKUP($A374,'BC.115+740'!$B$13:$X$489,8,0)/1000</f>
        <v>3.7850000000000001</v>
      </c>
      <c r="G374" s="162">
        <f ca="1">VLOOKUP($A374,'BC.115+740'!$B$13:$X$489,9,0)/1000</f>
        <v>-0.215</v>
      </c>
      <c r="H374" s="162">
        <f ca="1">VLOOKUP($A374,'BC.115+740'!$B$13:$X$489,14,0)/1000</f>
        <v>3.7530000000000001</v>
      </c>
      <c r="I374" s="162">
        <f ca="1">VLOOKUP($A374,'BC.115+740'!$B$13:$X$489,15,0)/1000</f>
        <v>-0.247</v>
      </c>
      <c r="J374" s="162">
        <f ca="1">VLOOKUP($A374,'BC.115+740'!$B$13:$X$489,20,0)/1000</f>
        <v>3.7360000000000002</v>
      </c>
      <c r="K374" s="162">
        <f ca="1">VLOOKUP($A374,'BC.115+740'!$B$13:$X$489,21,0)/1000</f>
        <v>-0.26400000000000001</v>
      </c>
      <c r="L374" s="160">
        <f t="shared" ca="1" si="15"/>
        <v>-255</v>
      </c>
      <c r="M374" s="161">
        <f t="shared" ca="1" si="16"/>
        <v>-237</v>
      </c>
      <c r="N374" s="160">
        <f t="shared" ca="1" si="17"/>
        <v>-224</v>
      </c>
      <c r="O374" s="160"/>
    </row>
    <row r="375" spans="1:15">
      <c r="A375" s="164">
        <f>'BC.115+740'!B374</f>
        <v>45433</v>
      </c>
      <c r="B375" s="160">
        <v>361</v>
      </c>
      <c r="C375" s="162">
        <f ca="1">'BC.115+740'!M374/1000</f>
        <v>2.2629999999999999</v>
      </c>
      <c r="D375" s="162">
        <f ca="1">'BC.115+740'!AA374</f>
        <v>2.468</v>
      </c>
      <c r="E375" s="163">
        <f ca="1">'BC.115+740'!AB374</f>
        <v>2.036</v>
      </c>
      <c r="F375" s="162">
        <f ca="1">VLOOKUP($A375,'BC.115+740'!$B$13:$X$489,8,0)/1000</f>
        <v>3.7850000000000001</v>
      </c>
      <c r="G375" s="162">
        <f ca="1">VLOOKUP($A375,'BC.115+740'!$B$13:$X$489,9,0)/1000</f>
        <v>-0.215</v>
      </c>
      <c r="H375" s="162">
        <f ca="1">VLOOKUP($A375,'BC.115+740'!$B$13:$X$489,14,0)/1000</f>
        <v>3.7530000000000001</v>
      </c>
      <c r="I375" s="162">
        <f ca="1">VLOOKUP($A375,'BC.115+740'!$B$13:$X$489,15,0)/1000</f>
        <v>-0.247</v>
      </c>
      <c r="J375" s="162">
        <f ca="1">VLOOKUP($A375,'BC.115+740'!$B$13:$X$489,20,0)/1000</f>
        <v>3.7360000000000002</v>
      </c>
      <c r="K375" s="162">
        <f ca="1">VLOOKUP($A375,'BC.115+740'!$B$13:$X$489,21,0)/1000</f>
        <v>-0.26400000000000001</v>
      </c>
      <c r="L375" s="160">
        <f t="shared" ca="1" si="15"/>
        <v>-255</v>
      </c>
      <c r="M375" s="161">
        <f t="shared" ca="1" si="16"/>
        <v>-237</v>
      </c>
      <c r="N375" s="160">
        <f t="shared" ca="1" si="17"/>
        <v>-224</v>
      </c>
      <c r="O375" s="160"/>
    </row>
    <row r="376" spans="1:15">
      <c r="A376" s="164">
        <f>'BC.115+740'!B375</f>
        <v>45434</v>
      </c>
      <c r="B376" s="160">
        <v>362</v>
      </c>
      <c r="C376" s="162">
        <f ca="1">'BC.115+740'!M375/1000</f>
        <v>2.2629999999999999</v>
      </c>
      <c r="D376" s="162">
        <f ca="1">'BC.115+740'!AA375</f>
        <v>2.468</v>
      </c>
      <c r="E376" s="163">
        <f ca="1">'BC.115+740'!AB375</f>
        <v>2.036</v>
      </c>
      <c r="F376" s="162">
        <f ca="1">VLOOKUP($A376,'BC.115+740'!$B$13:$X$489,8,0)/1000</f>
        <v>3.7850000000000001</v>
      </c>
      <c r="G376" s="162">
        <f ca="1">VLOOKUP($A376,'BC.115+740'!$B$13:$X$489,9,0)/1000</f>
        <v>-0.215</v>
      </c>
      <c r="H376" s="162">
        <f ca="1">VLOOKUP($A376,'BC.115+740'!$B$13:$X$489,14,0)/1000</f>
        <v>3.7530000000000001</v>
      </c>
      <c r="I376" s="162">
        <f ca="1">VLOOKUP($A376,'BC.115+740'!$B$13:$X$489,15,0)/1000</f>
        <v>-0.247</v>
      </c>
      <c r="J376" s="162">
        <f ca="1">VLOOKUP($A376,'BC.115+740'!$B$13:$X$489,20,0)/1000</f>
        <v>3.7360000000000002</v>
      </c>
      <c r="K376" s="162">
        <f ca="1">VLOOKUP($A376,'BC.115+740'!$B$13:$X$489,21,0)/1000</f>
        <v>-0.26400000000000001</v>
      </c>
      <c r="L376" s="160">
        <f t="shared" ca="1" si="15"/>
        <v>-255</v>
      </c>
      <c r="M376" s="161">
        <f t="shared" ca="1" si="16"/>
        <v>-237</v>
      </c>
      <c r="N376" s="160">
        <f t="shared" ca="1" si="17"/>
        <v>-224</v>
      </c>
      <c r="O376" s="160"/>
    </row>
    <row r="377" spans="1:15">
      <c r="A377" s="164">
        <f>'BC.115+740'!B376</f>
        <v>45435</v>
      </c>
      <c r="B377" s="160">
        <v>363</v>
      </c>
      <c r="C377" s="162">
        <f ca="1">'BC.115+740'!M376/1000</f>
        <v>2.2629999999999999</v>
      </c>
      <c r="D377" s="162">
        <f ca="1">'BC.115+740'!AA376</f>
        <v>2.468</v>
      </c>
      <c r="E377" s="163">
        <f ca="1">'BC.115+740'!AB376</f>
        <v>2.036</v>
      </c>
      <c r="F377" s="162">
        <f ca="1">VLOOKUP($A377,'BC.115+740'!$B$13:$X$489,8,0)/1000</f>
        <v>3.7850000000000001</v>
      </c>
      <c r="G377" s="162">
        <f ca="1">VLOOKUP($A377,'BC.115+740'!$B$13:$X$489,9,0)/1000</f>
        <v>-0.215</v>
      </c>
      <c r="H377" s="162">
        <f ca="1">VLOOKUP($A377,'BC.115+740'!$B$13:$X$489,14,0)/1000</f>
        <v>3.7530000000000001</v>
      </c>
      <c r="I377" s="162">
        <f ca="1">VLOOKUP($A377,'BC.115+740'!$B$13:$X$489,15,0)/1000</f>
        <v>-0.247</v>
      </c>
      <c r="J377" s="162">
        <f ca="1">VLOOKUP($A377,'BC.115+740'!$B$13:$X$489,20,0)/1000</f>
        <v>3.7360000000000002</v>
      </c>
      <c r="K377" s="162">
        <f ca="1">VLOOKUP($A377,'BC.115+740'!$B$13:$X$489,21,0)/1000</f>
        <v>-0.26400000000000001</v>
      </c>
      <c r="L377" s="160">
        <f t="shared" ca="1" si="15"/>
        <v>-255</v>
      </c>
      <c r="M377" s="161">
        <f t="shared" ca="1" si="16"/>
        <v>-237</v>
      </c>
      <c r="N377" s="160">
        <f t="shared" ca="1" si="17"/>
        <v>-224</v>
      </c>
      <c r="O377" s="160"/>
    </row>
    <row r="378" spans="1:15">
      <c r="A378" s="164">
        <f>'BC.115+740'!B377</f>
        <v>45436</v>
      </c>
      <c r="B378" s="160">
        <v>364</v>
      </c>
      <c r="C378" s="162">
        <f ca="1">'BC.115+740'!M377/1000</f>
        <v>2.2629999999999999</v>
      </c>
      <c r="D378" s="162">
        <f ca="1">'BC.115+740'!AA377</f>
        <v>2.468</v>
      </c>
      <c r="E378" s="163">
        <f ca="1">'BC.115+740'!AB377</f>
        <v>2.036</v>
      </c>
      <c r="F378" s="162">
        <f ca="1">VLOOKUP($A378,'BC.115+740'!$B$13:$X$489,8,0)/1000</f>
        <v>3.7850000000000001</v>
      </c>
      <c r="G378" s="162">
        <f ca="1">VLOOKUP($A378,'BC.115+740'!$B$13:$X$489,9,0)/1000</f>
        <v>-0.215</v>
      </c>
      <c r="H378" s="162">
        <f ca="1">VLOOKUP($A378,'BC.115+740'!$B$13:$X$489,14,0)/1000</f>
        <v>3.7530000000000001</v>
      </c>
      <c r="I378" s="162">
        <f ca="1">VLOOKUP($A378,'BC.115+740'!$B$13:$X$489,15,0)/1000</f>
        <v>-0.247</v>
      </c>
      <c r="J378" s="162">
        <f ca="1">VLOOKUP($A378,'BC.115+740'!$B$13:$X$489,20,0)/1000</f>
        <v>3.7360000000000002</v>
      </c>
      <c r="K378" s="162">
        <f ca="1">VLOOKUP($A378,'BC.115+740'!$B$13:$X$489,21,0)/1000</f>
        <v>-0.26400000000000001</v>
      </c>
      <c r="L378" s="160">
        <f t="shared" ca="1" si="15"/>
        <v>-255</v>
      </c>
      <c r="M378" s="161">
        <f t="shared" ca="1" si="16"/>
        <v>-237</v>
      </c>
      <c r="N378" s="160">
        <f t="shared" ca="1" si="17"/>
        <v>-224</v>
      </c>
      <c r="O378" s="160"/>
    </row>
    <row r="379" spans="1:15">
      <c r="A379" s="164">
        <f>'BC.115+740'!B378</f>
        <v>45437</v>
      </c>
      <c r="B379" s="160">
        <v>365</v>
      </c>
      <c r="C379" s="162">
        <f ca="1">'BC.115+740'!M378/1000</f>
        <v>2.2629999999999999</v>
      </c>
      <c r="D379" s="162">
        <f ca="1">'BC.115+740'!AA378</f>
        <v>2.468</v>
      </c>
      <c r="E379" s="163">
        <f ca="1">'BC.115+740'!AB378</f>
        <v>2.036</v>
      </c>
      <c r="F379" s="162">
        <f ca="1">VLOOKUP($A379,'BC.115+740'!$B$13:$X$489,8,0)/1000</f>
        <v>3.7850000000000001</v>
      </c>
      <c r="G379" s="162">
        <f ca="1">VLOOKUP($A379,'BC.115+740'!$B$13:$X$489,9,0)/1000</f>
        <v>-0.215</v>
      </c>
      <c r="H379" s="162">
        <f ca="1">VLOOKUP($A379,'BC.115+740'!$B$13:$X$489,14,0)/1000</f>
        <v>3.7530000000000001</v>
      </c>
      <c r="I379" s="162">
        <f ca="1">VLOOKUP($A379,'BC.115+740'!$B$13:$X$489,15,0)/1000</f>
        <v>-0.247</v>
      </c>
      <c r="J379" s="162">
        <f ca="1">VLOOKUP($A379,'BC.115+740'!$B$13:$X$489,20,0)/1000</f>
        <v>3.7360000000000002</v>
      </c>
      <c r="K379" s="162">
        <f ca="1">VLOOKUP($A379,'BC.115+740'!$B$13:$X$489,21,0)/1000</f>
        <v>-0.26400000000000001</v>
      </c>
      <c r="L379" s="160">
        <f t="shared" ca="1" si="15"/>
        <v>-255</v>
      </c>
      <c r="M379" s="161">
        <f t="shared" ca="1" si="16"/>
        <v>-237</v>
      </c>
      <c r="N379" s="160">
        <f t="shared" ca="1" si="17"/>
        <v>-224</v>
      </c>
      <c r="O379" s="160"/>
    </row>
    <row r="380" spans="1:15">
      <c r="A380" s="164">
        <f>'BC.115+740'!B379</f>
        <v>45438</v>
      </c>
      <c r="B380" s="160">
        <v>366</v>
      </c>
      <c r="C380" s="162">
        <f ca="1">'BC.115+740'!M379/1000</f>
        <v>2.2629999999999999</v>
      </c>
      <c r="D380" s="162">
        <f ca="1">'BC.115+740'!AA379</f>
        <v>2.468</v>
      </c>
      <c r="E380" s="163">
        <f ca="1">'BC.115+740'!AB379</f>
        <v>2.036</v>
      </c>
      <c r="F380" s="162">
        <f ca="1">VLOOKUP($A380,'BC.115+740'!$B$13:$X$489,8,0)/1000</f>
        <v>3.7850000000000001</v>
      </c>
      <c r="G380" s="162">
        <f ca="1">VLOOKUP($A380,'BC.115+740'!$B$13:$X$489,9,0)/1000</f>
        <v>-0.215</v>
      </c>
      <c r="H380" s="162">
        <f ca="1">VLOOKUP($A380,'BC.115+740'!$B$13:$X$489,14,0)/1000</f>
        <v>3.7530000000000001</v>
      </c>
      <c r="I380" s="162">
        <f ca="1">VLOOKUP($A380,'BC.115+740'!$B$13:$X$489,15,0)/1000</f>
        <v>-0.247</v>
      </c>
      <c r="J380" s="162">
        <f ca="1">VLOOKUP($A380,'BC.115+740'!$B$13:$X$489,20,0)/1000</f>
        <v>3.7360000000000002</v>
      </c>
      <c r="K380" s="162">
        <f ca="1">VLOOKUP($A380,'BC.115+740'!$B$13:$X$489,21,0)/1000</f>
        <v>-0.26400000000000001</v>
      </c>
      <c r="L380" s="160">
        <f t="shared" ca="1" si="15"/>
        <v>-255</v>
      </c>
      <c r="M380" s="161">
        <f t="shared" ca="1" si="16"/>
        <v>-237</v>
      </c>
      <c r="N380" s="160">
        <f t="shared" ca="1" si="17"/>
        <v>-224</v>
      </c>
      <c r="O380" s="160"/>
    </row>
    <row r="381" spans="1:15">
      <c r="A381" s="164">
        <f>'BC.115+740'!B380</f>
        <v>45439</v>
      </c>
      <c r="B381" s="160">
        <v>367</v>
      </c>
      <c r="C381" s="162">
        <f ca="1">'BC.115+740'!M380/1000</f>
        <v>2.2629999999999999</v>
      </c>
      <c r="D381" s="162">
        <f ca="1">'BC.115+740'!AA380</f>
        <v>2.468</v>
      </c>
      <c r="E381" s="163">
        <f ca="1">'BC.115+740'!AB380</f>
        <v>2.036</v>
      </c>
      <c r="F381" s="162">
        <f ca="1">VLOOKUP($A381,'BC.115+740'!$B$13:$X$489,8,0)/1000</f>
        <v>3.7850000000000001</v>
      </c>
      <c r="G381" s="162">
        <f ca="1">VLOOKUP($A381,'BC.115+740'!$B$13:$X$489,9,0)/1000</f>
        <v>-0.215</v>
      </c>
      <c r="H381" s="162">
        <f ca="1">VLOOKUP($A381,'BC.115+740'!$B$13:$X$489,14,0)/1000</f>
        <v>3.7530000000000001</v>
      </c>
      <c r="I381" s="162">
        <f ca="1">VLOOKUP($A381,'BC.115+740'!$B$13:$X$489,15,0)/1000</f>
        <v>-0.247</v>
      </c>
      <c r="J381" s="162">
        <f ca="1">VLOOKUP($A381,'BC.115+740'!$B$13:$X$489,20,0)/1000</f>
        <v>3.7360000000000002</v>
      </c>
      <c r="K381" s="162">
        <f ca="1">VLOOKUP($A381,'BC.115+740'!$B$13:$X$489,21,0)/1000</f>
        <v>-0.26400000000000001</v>
      </c>
      <c r="L381" s="160">
        <f t="shared" ca="1" si="15"/>
        <v>-255</v>
      </c>
      <c r="M381" s="161">
        <f t="shared" ca="1" si="16"/>
        <v>-237</v>
      </c>
      <c r="N381" s="160">
        <f t="shared" ca="1" si="17"/>
        <v>-224</v>
      </c>
      <c r="O381" s="160"/>
    </row>
    <row r="382" spans="1:15">
      <c r="A382" s="164">
        <f>'BC.115+740'!B381</f>
        <v>45440</v>
      </c>
      <c r="B382" s="160">
        <v>368</v>
      </c>
      <c r="C382" s="162">
        <f ca="1">'BC.115+740'!M381/1000</f>
        <v>2.2629999999999999</v>
      </c>
      <c r="D382" s="162">
        <f ca="1">'BC.115+740'!AA381</f>
        <v>2.468</v>
      </c>
      <c r="E382" s="163">
        <f ca="1">'BC.115+740'!AB381</f>
        <v>2.036</v>
      </c>
      <c r="F382" s="162">
        <f ca="1">VLOOKUP($A382,'BC.115+740'!$B$13:$X$489,8,0)/1000</f>
        <v>3.7850000000000001</v>
      </c>
      <c r="G382" s="162">
        <f ca="1">VLOOKUP($A382,'BC.115+740'!$B$13:$X$489,9,0)/1000</f>
        <v>-0.215</v>
      </c>
      <c r="H382" s="162">
        <f ca="1">VLOOKUP($A382,'BC.115+740'!$B$13:$X$489,14,0)/1000</f>
        <v>3.7530000000000001</v>
      </c>
      <c r="I382" s="162">
        <f ca="1">VLOOKUP($A382,'BC.115+740'!$B$13:$X$489,15,0)/1000</f>
        <v>-0.247</v>
      </c>
      <c r="J382" s="162">
        <f ca="1">VLOOKUP($A382,'BC.115+740'!$B$13:$X$489,20,0)/1000</f>
        <v>3.7360000000000002</v>
      </c>
      <c r="K382" s="162">
        <f ca="1">VLOOKUP($A382,'BC.115+740'!$B$13:$X$489,21,0)/1000</f>
        <v>-0.26400000000000001</v>
      </c>
      <c r="L382" s="160">
        <f t="shared" ca="1" si="15"/>
        <v>-255</v>
      </c>
      <c r="M382" s="161">
        <f t="shared" ca="1" si="16"/>
        <v>-237</v>
      </c>
      <c r="N382" s="160">
        <f t="shared" ca="1" si="17"/>
        <v>-224</v>
      </c>
      <c r="O382" s="160"/>
    </row>
    <row r="383" spans="1:15">
      <c r="A383" s="164">
        <f>'BC.115+740'!B382</f>
        <v>45441</v>
      </c>
      <c r="B383" s="160">
        <v>369</v>
      </c>
      <c r="C383" s="162">
        <f ca="1">'BC.115+740'!M382/1000</f>
        <v>2.2629999999999999</v>
      </c>
      <c r="D383" s="162">
        <f ca="1">'BC.115+740'!AA382</f>
        <v>2.468</v>
      </c>
      <c r="E383" s="163">
        <f ca="1">'BC.115+740'!AB382</f>
        <v>2.036</v>
      </c>
      <c r="F383" s="162">
        <f ca="1">VLOOKUP($A383,'BC.115+740'!$B$13:$X$489,8,0)/1000</f>
        <v>3.7850000000000001</v>
      </c>
      <c r="G383" s="162">
        <f ca="1">VLOOKUP($A383,'BC.115+740'!$B$13:$X$489,9,0)/1000</f>
        <v>-0.215</v>
      </c>
      <c r="H383" s="162">
        <f ca="1">VLOOKUP($A383,'BC.115+740'!$B$13:$X$489,14,0)/1000</f>
        <v>3.7530000000000001</v>
      </c>
      <c r="I383" s="162">
        <f ca="1">VLOOKUP($A383,'BC.115+740'!$B$13:$X$489,15,0)/1000</f>
        <v>-0.247</v>
      </c>
      <c r="J383" s="162">
        <f ca="1">VLOOKUP($A383,'BC.115+740'!$B$13:$X$489,20,0)/1000</f>
        <v>3.7360000000000002</v>
      </c>
      <c r="K383" s="162">
        <f ca="1">VLOOKUP($A383,'BC.115+740'!$B$13:$X$489,21,0)/1000</f>
        <v>-0.26400000000000001</v>
      </c>
      <c r="L383" s="160">
        <f t="shared" ca="1" si="15"/>
        <v>-255</v>
      </c>
      <c r="M383" s="161">
        <f t="shared" ca="1" si="16"/>
        <v>-237</v>
      </c>
      <c r="N383" s="160">
        <f t="shared" ca="1" si="17"/>
        <v>-224</v>
      </c>
      <c r="O383" s="160"/>
    </row>
    <row r="384" spans="1:15">
      <c r="A384" s="164">
        <f>'BC.115+740'!B383</f>
        <v>45442</v>
      </c>
      <c r="B384" s="160">
        <v>370</v>
      </c>
      <c r="C384" s="162">
        <f ca="1">'BC.115+740'!M383/1000</f>
        <v>2.2629999999999999</v>
      </c>
      <c r="D384" s="162">
        <f ca="1">'BC.115+740'!AA383</f>
        <v>2.468</v>
      </c>
      <c r="E384" s="163">
        <f ca="1">'BC.115+740'!AB383</f>
        <v>2.036</v>
      </c>
      <c r="F384" s="162">
        <f ca="1">VLOOKUP($A384,'BC.115+740'!$B$13:$X$489,8,0)/1000</f>
        <v>3.7850000000000001</v>
      </c>
      <c r="G384" s="162">
        <f ca="1">VLOOKUP($A384,'BC.115+740'!$B$13:$X$489,9,0)/1000</f>
        <v>-0.215</v>
      </c>
      <c r="H384" s="162">
        <f ca="1">VLOOKUP($A384,'BC.115+740'!$B$13:$X$489,14,0)/1000</f>
        <v>3.7530000000000001</v>
      </c>
      <c r="I384" s="162">
        <f ca="1">VLOOKUP($A384,'BC.115+740'!$B$13:$X$489,15,0)/1000</f>
        <v>-0.247</v>
      </c>
      <c r="J384" s="162">
        <f ca="1">VLOOKUP($A384,'BC.115+740'!$B$13:$X$489,20,0)/1000</f>
        <v>3.7360000000000002</v>
      </c>
      <c r="K384" s="162">
        <f ca="1">VLOOKUP($A384,'BC.115+740'!$B$13:$X$489,21,0)/1000</f>
        <v>-0.26400000000000001</v>
      </c>
      <c r="L384" s="160">
        <f t="shared" ca="1" si="15"/>
        <v>-255</v>
      </c>
      <c r="M384" s="161">
        <f t="shared" ca="1" si="16"/>
        <v>-237</v>
      </c>
      <c r="N384" s="160">
        <f t="shared" ca="1" si="17"/>
        <v>-224</v>
      </c>
      <c r="O384" s="160"/>
    </row>
    <row r="385" spans="1:15">
      <c r="A385" s="164">
        <f>'BC.115+740'!B384</f>
        <v>45443</v>
      </c>
      <c r="B385" s="160">
        <v>371</v>
      </c>
      <c r="C385" s="162">
        <f ca="1">'BC.115+740'!M384/1000</f>
        <v>2.2629999999999999</v>
      </c>
      <c r="D385" s="162">
        <f ca="1">'BC.115+740'!AA384</f>
        <v>2.468</v>
      </c>
      <c r="E385" s="163">
        <f ca="1">'BC.115+740'!AB384</f>
        <v>2.036</v>
      </c>
      <c r="F385" s="162">
        <f ca="1">VLOOKUP($A385,'BC.115+740'!$B$13:$X$489,8,0)/1000</f>
        <v>3.7850000000000001</v>
      </c>
      <c r="G385" s="162">
        <f ca="1">VLOOKUP($A385,'BC.115+740'!$B$13:$X$489,9,0)/1000</f>
        <v>-0.215</v>
      </c>
      <c r="H385" s="162">
        <f ca="1">VLOOKUP($A385,'BC.115+740'!$B$13:$X$489,14,0)/1000</f>
        <v>3.7530000000000001</v>
      </c>
      <c r="I385" s="162">
        <f ca="1">VLOOKUP($A385,'BC.115+740'!$B$13:$X$489,15,0)/1000</f>
        <v>-0.247</v>
      </c>
      <c r="J385" s="162">
        <f ca="1">VLOOKUP($A385,'BC.115+740'!$B$13:$X$489,20,0)/1000</f>
        <v>3.7360000000000002</v>
      </c>
      <c r="K385" s="162">
        <f ca="1">VLOOKUP($A385,'BC.115+740'!$B$13:$X$489,21,0)/1000</f>
        <v>-0.26400000000000001</v>
      </c>
      <c r="L385" s="160">
        <f t="shared" ca="1" si="15"/>
        <v>-255</v>
      </c>
      <c r="M385" s="161">
        <f t="shared" ca="1" si="16"/>
        <v>-237</v>
      </c>
      <c r="N385" s="160">
        <f t="shared" ca="1" si="17"/>
        <v>-224</v>
      </c>
      <c r="O385" s="160"/>
    </row>
    <row r="386" spans="1:15">
      <c r="A386" s="164">
        <f>'BC.115+740'!B385</f>
        <v>45444</v>
      </c>
      <c r="B386" s="160">
        <v>372</v>
      </c>
      <c r="C386" s="162">
        <f ca="1">'BC.115+740'!M385/1000</f>
        <v>2.2629999999999999</v>
      </c>
      <c r="D386" s="162">
        <f ca="1">'BC.115+740'!AA385</f>
        <v>2.468</v>
      </c>
      <c r="E386" s="163">
        <f ca="1">'BC.115+740'!AB385</f>
        <v>2.036</v>
      </c>
      <c r="F386" s="162">
        <f ca="1">VLOOKUP($A386,'BC.115+740'!$B$13:$X$489,8,0)/1000</f>
        <v>3.7850000000000001</v>
      </c>
      <c r="G386" s="162">
        <f ca="1">VLOOKUP($A386,'BC.115+740'!$B$13:$X$489,9,0)/1000</f>
        <v>-0.215</v>
      </c>
      <c r="H386" s="162">
        <f ca="1">VLOOKUP($A386,'BC.115+740'!$B$13:$X$489,14,0)/1000</f>
        <v>3.7530000000000001</v>
      </c>
      <c r="I386" s="162">
        <f ca="1">VLOOKUP($A386,'BC.115+740'!$B$13:$X$489,15,0)/1000</f>
        <v>-0.247</v>
      </c>
      <c r="J386" s="162">
        <f ca="1">VLOOKUP($A386,'BC.115+740'!$B$13:$X$489,20,0)/1000</f>
        <v>3.7360000000000002</v>
      </c>
      <c r="K386" s="162">
        <f ca="1">VLOOKUP($A386,'BC.115+740'!$B$13:$X$489,21,0)/1000</f>
        <v>-0.26400000000000001</v>
      </c>
      <c r="L386" s="160">
        <f t="shared" ca="1" si="15"/>
        <v>-255</v>
      </c>
      <c r="M386" s="161">
        <f t="shared" ca="1" si="16"/>
        <v>-237</v>
      </c>
      <c r="N386" s="160">
        <f t="shared" ca="1" si="17"/>
        <v>-224</v>
      </c>
      <c r="O386" s="160"/>
    </row>
    <row r="387" spans="1:15">
      <c r="A387" s="164">
        <f>'BC.115+740'!B386</f>
        <v>45445</v>
      </c>
      <c r="B387" s="160">
        <v>373</v>
      </c>
      <c r="C387" s="162">
        <f ca="1">'BC.115+740'!M386/1000</f>
        <v>2.2629999999999999</v>
      </c>
      <c r="D387" s="162">
        <f ca="1">'BC.115+740'!AA386</f>
        <v>2.468</v>
      </c>
      <c r="E387" s="163">
        <f ca="1">'BC.115+740'!AB386</f>
        <v>2.036</v>
      </c>
      <c r="F387" s="162">
        <f ca="1">VLOOKUP($A387,'BC.115+740'!$B$13:$X$489,8,0)/1000</f>
        <v>3.7850000000000001</v>
      </c>
      <c r="G387" s="162">
        <f ca="1">VLOOKUP($A387,'BC.115+740'!$B$13:$X$489,9,0)/1000</f>
        <v>-0.215</v>
      </c>
      <c r="H387" s="162">
        <f ca="1">VLOOKUP($A387,'BC.115+740'!$B$13:$X$489,14,0)/1000</f>
        <v>3.7530000000000001</v>
      </c>
      <c r="I387" s="162">
        <f ca="1">VLOOKUP($A387,'BC.115+740'!$B$13:$X$489,15,0)/1000</f>
        <v>-0.247</v>
      </c>
      <c r="J387" s="162">
        <f ca="1">VLOOKUP($A387,'BC.115+740'!$B$13:$X$489,20,0)/1000</f>
        <v>3.7360000000000002</v>
      </c>
      <c r="K387" s="162">
        <f ca="1">VLOOKUP($A387,'BC.115+740'!$B$13:$X$489,21,0)/1000</f>
        <v>-0.26400000000000001</v>
      </c>
      <c r="L387" s="160">
        <f t="shared" ca="1" si="15"/>
        <v>-255</v>
      </c>
      <c r="M387" s="161">
        <f t="shared" ca="1" si="16"/>
        <v>-237</v>
      </c>
      <c r="N387" s="160">
        <f t="shared" ca="1" si="17"/>
        <v>-224</v>
      </c>
      <c r="O387" s="160"/>
    </row>
    <row r="388" spans="1:15">
      <c r="A388" s="164">
        <f>'BC.115+740'!B387</f>
        <v>45446</v>
      </c>
      <c r="B388" s="160">
        <v>374</v>
      </c>
      <c r="C388" s="162">
        <f ca="1">'BC.115+740'!M387/1000</f>
        <v>2.2629999999999999</v>
      </c>
      <c r="D388" s="162">
        <f ca="1">'BC.115+740'!AA387</f>
        <v>2.468</v>
      </c>
      <c r="E388" s="163">
        <f ca="1">'BC.115+740'!AB387</f>
        <v>2.036</v>
      </c>
      <c r="F388" s="162">
        <f ca="1">VLOOKUP($A388,'BC.115+740'!$B$13:$X$489,8,0)/1000</f>
        <v>3.7850000000000001</v>
      </c>
      <c r="G388" s="162">
        <f ca="1">VLOOKUP($A388,'BC.115+740'!$B$13:$X$489,9,0)/1000</f>
        <v>-0.215</v>
      </c>
      <c r="H388" s="162">
        <f ca="1">VLOOKUP($A388,'BC.115+740'!$B$13:$X$489,14,0)/1000</f>
        <v>3.7530000000000001</v>
      </c>
      <c r="I388" s="162">
        <f ca="1">VLOOKUP($A388,'BC.115+740'!$B$13:$X$489,15,0)/1000</f>
        <v>-0.247</v>
      </c>
      <c r="J388" s="162">
        <f ca="1">VLOOKUP($A388,'BC.115+740'!$B$13:$X$489,20,0)/1000</f>
        <v>3.7360000000000002</v>
      </c>
      <c r="K388" s="162">
        <f ca="1">VLOOKUP($A388,'BC.115+740'!$B$13:$X$489,21,0)/1000</f>
        <v>-0.26400000000000001</v>
      </c>
      <c r="L388" s="160">
        <f t="shared" ca="1" si="15"/>
        <v>-255</v>
      </c>
      <c r="M388" s="161">
        <f t="shared" ca="1" si="16"/>
        <v>-237</v>
      </c>
      <c r="N388" s="160">
        <f t="shared" ca="1" si="17"/>
        <v>-224</v>
      </c>
      <c r="O388" s="160"/>
    </row>
    <row r="389" spans="1:15">
      <c r="A389" s="164">
        <f>'BC.115+740'!B388</f>
        <v>45447</v>
      </c>
      <c r="B389" s="160">
        <v>375</v>
      </c>
      <c r="C389" s="162">
        <f ca="1">'BC.115+740'!M388/1000</f>
        <v>2.2629999999999999</v>
      </c>
      <c r="D389" s="162">
        <f ca="1">'BC.115+740'!AA388</f>
        <v>2.468</v>
      </c>
      <c r="E389" s="163">
        <f ca="1">'BC.115+740'!AB388</f>
        <v>2.036</v>
      </c>
      <c r="F389" s="162">
        <f ca="1">VLOOKUP($A389,'BC.115+740'!$B$13:$X$489,8,0)/1000</f>
        <v>3.7850000000000001</v>
      </c>
      <c r="G389" s="162">
        <f ca="1">VLOOKUP($A389,'BC.115+740'!$B$13:$X$489,9,0)/1000</f>
        <v>-0.215</v>
      </c>
      <c r="H389" s="162">
        <f ca="1">VLOOKUP($A389,'BC.115+740'!$B$13:$X$489,14,0)/1000</f>
        <v>3.7530000000000001</v>
      </c>
      <c r="I389" s="162">
        <f ca="1">VLOOKUP($A389,'BC.115+740'!$B$13:$X$489,15,0)/1000</f>
        <v>-0.247</v>
      </c>
      <c r="J389" s="162">
        <f ca="1">VLOOKUP($A389,'BC.115+740'!$B$13:$X$489,20,0)/1000</f>
        <v>3.7360000000000002</v>
      </c>
      <c r="K389" s="162">
        <f ca="1">VLOOKUP($A389,'BC.115+740'!$B$13:$X$489,21,0)/1000</f>
        <v>-0.26400000000000001</v>
      </c>
      <c r="L389" s="160">
        <f t="shared" ca="1" si="15"/>
        <v>-255</v>
      </c>
      <c r="M389" s="161">
        <f t="shared" ca="1" si="16"/>
        <v>-237</v>
      </c>
      <c r="N389" s="160">
        <f t="shared" ca="1" si="17"/>
        <v>-224</v>
      </c>
      <c r="O389" s="160"/>
    </row>
    <row r="390" spans="1:15">
      <c r="A390" s="164">
        <f>'BC.115+740'!B389</f>
        <v>45448</v>
      </c>
      <c r="B390" s="160">
        <v>376</v>
      </c>
      <c r="C390" s="162">
        <f ca="1">'BC.115+740'!M389/1000</f>
        <v>2.2629999999999999</v>
      </c>
      <c r="D390" s="162">
        <f ca="1">'BC.115+740'!AA389</f>
        <v>2.468</v>
      </c>
      <c r="E390" s="163">
        <f ca="1">'BC.115+740'!AB389</f>
        <v>2.036</v>
      </c>
      <c r="F390" s="162">
        <f ca="1">VLOOKUP($A390,'BC.115+740'!$B$13:$X$489,8,0)/1000</f>
        <v>3.7850000000000001</v>
      </c>
      <c r="G390" s="162">
        <f ca="1">VLOOKUP($A390,'BC.115+740'!$B$13:$X$489,9,0)/1000</f>
        <v>-0.215</v>
      </c>
      <c r="H390" s="162">
        <f ca="1">VLOOKUP($A390,'BC.115+740'!$B$13:$X$489,14,0)/1000</f>
        <v>3.7530000000000001</v>
      </c>
      <c r="I390" s="162">
        <f ca="1">VLOOKUP($A390,'BC.115+740'!$B$13:$X$489,15,0)/1000</f>
        <v>-0.247</v>
      </c>
      <c r="J390" s="162">
        <f ca="1">VLOOKUP($A390,'BC.115+740'!$B$13:$X$489,20,0)/1000</f>
        <v>3.7360000000000002</v>
      </c>
      <c r="K390" s="162">
        <f ca="1">VLOOKUP($A390,'BC.115+740'!$B$13:$X$489,21,0)/1000</f>
        <v>-0.26400000000000001</v>
      </c>
      <c r="L390" s="160">
        <f t="shared" ca="1" si="15"/>
        <v>-255</v>
      </c>
      <c r="M390" s="161">
        <f t="shared" ca="1" si="16"/>
        <v>-237</v>
      </c>
      <c r="N390" s="160">
        <f t="shared" ca="1" si="17"/>
        <v>-224</v>
      </c>
      <c r="O390" s="160"/>
    </row>
    <row r="391" spans="1:15">
      <c r="A391" s="164">
        <f>'BC.115+740'!B390</f>
        <v>45449</v>
      </c>
      <c r="B391" s="160">
        <v>377</v>
      </c>
      <c r="C391" s="162">
        <f ca="1">'BC.115+740'!M390/1000</f>
        <v>2.2629999999999999</v>
      </c>
      <c r="D391" s="162">
        <f ca="1">'BC.115+740'!AA390</f>
        <v>2.468</v>
      </c>
      <c r="E391" s="163">
        <f ca="1">'BC.115+740'!AB390</f>
        <v>2.036</v>
      </c>
      <c r="F391" s="162">
        <f ca="1">VLOOKUP($A391,'BC.115+740'!$B$13:$X$489,8,0)/1000</f>
        <v>3.7850000000000001</v>
      </c>
      <c r="G391" s="162">
        <f ca="1">VLOOKUP($A391,'BC.115+740'!$B$13:$X$489,9,0)/1000</f>
        <v>-0.215</v>
      </c>
      <c r="H391" s="162">
        <f ca="1">VLOOKUP($A391,'BC.115+740'!$B$13:$X$489,14,0)/1000</f>
        <v>3.7530000000000001</v>
      </c>
      <c r="I391" s="162">
        <f ca="1">VLOOKUP($A391,'BC.115+740'!$B$13:$X$489,15,0)/1000</f>
        <v>-0.247</v>
      </c>
      <c r="J391" s="162">
        <f ca="1">VLOOKUP($A391,'BC.115+740'!$B$13:$X$489,20,0)/1000</f>
        <v>3.7360000000000002</v>
      </c>
      <c r="K391" s="162">
        <f ca="1">VLOOKUP($A391,'BC.115+740'!$B$13:$X$489,21,0)/1000</f>
        <v>-0.26400000000000001</v>
      </c>
      <c r="L391" s="160">
        <f t="shared" ca="1" si="15"/>
        <v>-255</v>
      </c>
      <c r="M391" s="161">
        <f t="shared" ca="1" si="16"/>
        <v>-237</v>
      </c>
      <c r="N391" s="160">
        <f t="shared" ca="1" si="17"/>
        <v>-224</v>
      </c>
      <c r="O391" s="160"/>
    </row>
    <row r="392" spans="1:15">
      <c r="A392" s="164">
        <f>'BC.115+740'!B391</f>
        <v>45450</v>
      </c>
      <c r="B392" s="160">
        <v>378</v>
      </c>
      <c r="C392" s="162">
        <f ca="1">'BC.115+740'!M391/1000</f>
        <v>2.2629999999999999</v>
      </c>
      <c r="D392" s="162">
        <f ca="1">'BC.115+740'!AA391</f>
        <v>2.468</v>
      </c>
      <c r="E392" s="163">
        <f ca="1">'BC.115+740'!AB391</f>
        <v>2.036</v>
      </c>
      <c r="F392" s="162">
        <f ca="1">VLOOKUP($A392,'BC.115+740'!$B$13:$X$489,8,0)/1000</f>
        <v>3.7850000000000001</v>
      </c>
      <c r="G392" s="162">
        <f ca="1">VLOOKUP($A392,'BC.115+740'!$B$13:$X$489,9,0)/1000</f>
        <v>-0.215</v>
      </c>
      <c r="H392" s="162">
        <f ca="1">VLOOKUP($A392,'BC.115+740'!$B$13:$X$489,14,0)/1000</f>
        <v>3.7530000000000001</v>
      </c>
      <c r="I392" s="162">
        <f ca="1">VLOOKUP($A392,'BC.115+740'!$B$13:$X$489,15,0)/1000</f>
        <v>-0.247</v>
      </c>
      <c r="J392" s="162">
        <f ca="1">VLOOKUP($A392,'BC.115+740'!$B$13:$X$489,20,0)/1000</f>
        <v>3.7360000000000002</v>
      </c>
      <c r="K392" s="162">
        <f ca="1">VLOOKUP($A392,'BC.115+740'!$B$13:$X$489,21,0)/1000</f>
        <v>-0.26400000000000001</v>
      </c>
      <c r="L392" s="160">
        <f t="shared" ca="1" si="15"/>
        <v>-255</v>
      </c>
      <c r="M392" s="161">
        <f t="shared" ca="1" si="16"/>
        <v>-237</v>
      </c>
      <c r="N392" s="160">
        <f t="shared" ca="1" si="17"/>
        <v>-224</v>
      </c>
      <c r="O392" s="160"/>
    </row>
    <row r="393" spans="1:15">
      <c r="A393" s="164">
        <f>'BC.115+740'!B392</f>
        <v>45451</v>
      </c>
      <c r="B393" s="160">
        <v>379</v>
      </c>
      <c r="C393" s="162">
        <f ca="1">'BC.115+740'!M392/1000</f>
        <v>2.2629999999999999</v>
      </c>
      <c r="D393" s="162">
        <f ca="1">'BC.115+740'!AA392</f>
        <v>2.468</v>
      </c>
      <c r="E393" s="163">
        <f ca="1">'BC.115+740'!AB392</f>
        <v>2.036</v>
      </c>
      <c r="F393" s="162">
        <f ca="1">VLOOKUP($A393,'BC.115+740'!$B$13:$X$489,8,0)/1000</f>
        <v>3.7850000000000001</v>
      </c>
      <c r="G393" s="162">
        <f ca="1">VLOOKUP($A393,'BC.115+740'!$B$13:$X$489,9,0)/1000</f>
        <v>-0.215</v>
      </c>
      <c r="H393" s="162">
        <f ca="1">VLOOKUP($A393,'BC.115+740'!$B$13:$X$489,14,0)/1000</f>
        <v>3.7530000000000001</v>
      </c>
      <c r="I393" s="162">
        <f ca="1">VLOOKUP($A393,'BC.115+740'!$B$13:$X$489,15,0)/1000</f>
        <v>-0.247</v>
      </c>
      <c r="J393" s="162">
        <f ca="1">VLOOKUP($A393,'BC.115+740'!$B$13:$X$489,20,0)/1000</f>
        <v>3.7360000000000002</v>
      </c>
      <c r="K393" s="162">
        <f ca="1">VLOOKUP($A393,'BC.115+740'!$B$13:$X$489,21,0)/1000</f>
        <v>-0.26400000000000001</v>
      </c>
      <c r="L393" s="160">
        <f t="shared" ca="1" si="15"/>
        <v>-255</v>
      </c>
      <c r="M393" s="161">
        <f t="shared" ca="1" si="16"/>
        <v>-237</v>
      </c>
      <c r="N393" s="160">
        <f t="shared" ca="1" si="17"/>
        <v>-224</v>
      </c>
      <c r="O393" s="160"/>
    </row>
    <row r="394" spans="1:15">
      <c r="A394" s="164">
        <f>'BC.115+740'!B393</f>
        <v>45452</v>
      </c>
      <c r="B394" s="160">
        <v>380</v>
      </c>
      <c r="C394" s="162">
        <f ca="1">'BC.115+740'!M393/1000</f>
        <v>2.2629999999999999</v>
      </c>
      <c r="D394" s="162">
        <f ca="1">'BC.115+740'!AA393</f>
        <v>2.468</v>
      </c>
      <c r="E394" s="163">
        <f ca="1">'BC.115+740'!AB393</f>
        <v>2.036</v>
      </c>
      <c r="F394" s="162">
        <f ca="1">VLOOKUP($A394,'BC.115+740'!$B$13:$X$489,8,0)/1000</f>
        <v>3.7850000000000001</v>
      </c>
      <c r="G394" s="162">
        <f ca="1">VLOOKUP($A394,'BC.115+740'!$B$13:$X$489,9,0)/1000</f>
        <v>-0.215</v>
      </c>
      <c r="H394" s="162">
        <f ca="1">VLOOKUP($A394,'BC.115+740'!$B$13:$X$489,14,0)/1000</f>
        <v>3.7530000000000001</v>
      </c>
      <c r="I394" s="162">
        <f ca="1">VLOOKUP($A394,'BC.115+740'!$B$13:$X$489,15,0)/1000</f>
        <v>-0.247</v>
      </c>
      <c r="J394" s="162">
        <f ca="1">VLOOKUP($A394,'BC.115+740'!$B$13:$X$489,20,0)/1000</f>
        <v>3.7360000000000002</v>
      </c>
      <c r="K394" s="162">
        <f ca="1">VLOOKUP($A394,'BC.115+740'!$B$13:$X$489,21,0)/1000</f>
        <v>-0.26400000000000001</v>
      </c>
      <c r="L394" s="160">
        <f t="shared" ca="1" si="15"/>
        <v>-255</v>
      </c>
      <c r="M394" s="161">
        <f t="shared" ca="1" si="16"/>
        <v>-237</v>
      </c>
      <c r="N394" s="160">
        <f t="shared" ca="1" si="17"/>
        <v>-224</v>
      </c>
      <c r="O394" s="160"/>
    </row>
    <row r="395" spans="1:15">
      <c r="A395" s="164">
        <f>'BC.115+740'!B394</f>
        <v>45453</v>
      </c>
      <c r="B395" s="160">
        <v>381</v>
      </c>
      <c r="C395" s="162">
        <f ca="1">'BC.115+740'!M394/1000</f>
        <v>2.2629999999999999</v>
      </c>
      <c r="D395" s="162">
        <f ca="1">'BC.115+740'!AA394</f>
        <v>2.468</v>
      </c>
      <c r="E395" s="163">
        <f ca="1">'BC.115+740'!AB394</f>
        <v>2.036</v>
      </c>
      <c r="F395" s="162">
        <f ca="1">VLOOKUP($A395,'BC.115+740'!$B$13:$X$489,8,0)/1000</f>
        <v>3.7850000000000001</v>
      </c>
      <c r="G395" s="162">
        <f ca="1">VLOOKUP($A395,'BC.115+740'!$B$13:$X$489,9,0)/1000</f>
        <v>-0.215</v>
      </c>
      <c r="H395" s="162">
        <f ca="1">VLOOKUP($A395,'BC.115+740'!$B$13:$X$489,14,0)/1000</f>
        <v>3.7530000000000001</v>
      </c>
      <c r="I395" s="162">
        <f ca="1">VLOOKUP($A395,'BC.115+740'!$B$13:$X$489,15,0)/1000</f>
        <v>-0.247</v>
      </c>
      <c r="J395" s="162">
        <f ca="1">VLOOKUP($A395,'BC.115+740'!$B$13:$X$489,20,0)/1000</f>
        <v>3.7360000000000002</v>
      </c>
      <c r="K395" s="162">
        <f ca="1">VLOOKUP($A395,'BC.115+740'!$B$13:$X$489,21,0)/1000</f>
        <v>-0.26400000000000001</v>
      </c>
      <c r="L395" s="160">
        <f t="shared" ca="1" si="15"/>
        <v>-255</v>
      </c>
      <c r="M395" s="161">
        <f t="shared" ca="1" si="16"/>
        <v>-237</v>
      </c>
      <c r="N395" s="160">
        <f t="shared" ca="1" si="17"/>
        <v>-224</v>
      </c>
      <c r="O395" s="160"/>
    </row>
    <row r="396" spans="1:15">
      <c r="A396" s="164">
        <f>'BC.115+740'!B395</f>
        <v>45454</v>
      </c>
      <c r="B396" s="160">
        <v>382</v>
      </c>
      <c r="C396" s="162">
        <f ca="1">'BC.115+740'!M395/1000</f>
        <v>2.2629999999999999</v>
      </c>
      <c r="D396" s="162">
        <f ca="1">'BC.115+740'!AA395</f>
        <v>2.468</v>
      </c>
      <c r="E396" s="163">
        <f ca="1">'BC.115+740'!AB395</f>
        <v>2.036</v>
      </c>
      <c r="F396" s="162">
        <f ca="1">VLOOKUP($A396,'BC.115+740'!$B$13:$X$489,8,0)/1000</f>
        <v>3.7850000000000001</v>
      </c>
      <c r="G396" s="162">
        <f ca="1">VLOOKUP($A396,'BC.115+740'!$B$13:$X$489,9,0)/1000</f>
        <v>-0.215</v>
      </c>
      <c r="H396" s="162">
        <f ca="1">VLOOKUP($A396,'BC.115+740'!$B$13:$X$489,14,0)/1000</f>
        <v>3.7530000000000001</v>
      </c>
      <c r="I396" s="162">
        <f ca="1">VLOOKUP($A396,'BC.115+740'!$B$13:$X$489,15,0)/1000</f>
        <v>-0.247</v>
      </c>
      <c r="J396" s="162">
        <f ca="1">VLOOKUP($A396,'BC.115+740'!$B$13:$X$489,20,0)/1000</f>
        <v>3.7360000000000002</v>
      </c>
      <c r="K396" s="162">
        <f ca="1">VLOOKUP($A396,'BC.115+740'!$B$13:$X$489,21,0)/1000</f>
        <v>-0.26400000000000001</v>
      </c>
      <c r="L396" s="160">
        <f t="shared" ca="1" si="15"/>
        <v>-255</v>
      </c>
      <c r="M396" s="161">
        <f t="shared" ca="1" si="16"/>
        <v>-237</v>
      </c>
      <c r="N396" s="160">
        <f t="shared" ca="1" si="17"/>
        <v>-224</v>
      </c>
      <c r="O396" s="160"/>
    </row>
    <row r="397" spans="1:15">
      <c r="A397" s="164">
        <f>'BC.115+740'!B396</f>
        <v>45455</v>
      </c>
      <c r="B397" s="160">
        <v>383</v>
      </c>
      <c r="C397" s="162">
        <f ca="1">'BC.115+740'!M396/1000</f>
        <v>2.2629999999999999</v>
      </c>
      <c r="D397" s="162">
        <f ca="1">'BC.115+740'!AA396</f>
        <v>2.468</v>
      </c>
      <c r="E397" s="163">
        <f ca="1">'BC.115+740'!AB396</f>
        <v>2.036</v>
      </c>
      <c r="F397" s="162">
        <f ca="1">VLOOKUP($A397,'BC.115+740'!$B$13:$X$489,8,0)/1000</f>
        <v>3.7850000000000001</v>
      </c>
      <c r="G397" s="162">
        <f ca="1">VLOOKUP($A397,'BC.115+740'!$B$13:$X$489,9,0)/1000</f>
        <v>-0.215</v>
      </c>
      <c r="H397" s="162">
        <f ca="1">VLOOKUP($A397,'BC.115+740'!$B$13:$X$489,14,0)/1000</f>
        <v>3.7530000000000001</v>
      </c>
      <c r="I397" s="162">
        <f ca="1">VLOOKUP($A397,'BC.115+740'!$B$13:$X$489,15,0)/1000</f>
        <v>-0.247</v>
      </c>
      <c r="J397" s="162">
        <f ca="1">VLOOKUP($A397,'BC.115+740'!$B$13:$X$489,20,0)/1000</f>
        <v>3.7360000000000002</v>
      </c>
      <c r="K397" s="162">
        <f ca="1">VLOOKUP($A397,'BC.115+740'!$B$13:$X$489,21,0)/1000</f>
        <v>-0.26400000000000001</v>
      </c>
      <c r="L397" s="160">
        <f t="shared" ca="1" si="15"/>
        <v>-255</v>
      </c>
      <c r="M397" s="161">
        <f t="shared" ca="1" si="16"/>
        <v>-237</v>
      </c>
      <c r="N397" s="160">
        <f t="shared" ca="1" si="17"/>
        <v>-224</v>
      </c>
      <c r="O397" s="160"/>
    </row>
    <row r="398" spans="1:15">
      <c r="A398" s="164">
        <f>'BC.115+740'!B397</f>
        <v>45456</v>
      </c>
      <c r="B398" s="160">
        <v>384</v>
      </c>
      <c r="C398" s="162">
        <f ca="1">'BC.115+740'!M397/1000</f>
        <v>2.2629999999999999</v>
      </c>
      <c r="D398" s="162">
        <f ca="1">'BC.115+740'!AA397</f>
        <v>2.468</v>
      </c>
      <c r="E398" s="163">
        <f ca="1">'BC.115+740'!AB397</f>
        <v>2.036</v>
      </c>
      <c r="F398" s="162">
        <f ca="1">VLOOKUP($A398,'BC.115+740'!$B$13:$X$489,8,0)/1000</f>
        <v>3.7850000000000001</v>
      </c>
      <c r="G398" s="162">
        <f ca="1">VLOOKUP($A398,'BC.115+740'!$B$13:$X$489,9,0)/1000</f>
        <v>-0.215</v>
      </c>
      <c r="H398" s="162">
        <f ca="1">VLOOKUP($A398,'BC.115+740'!$B$13:$X$489,14,0)/1000</f>
        <v>3.7530000000000001</v>
      </c>
      <c r="I398" s="162">
        <f ca="1">VLOOKUP($A398,'BC.115+740'!$B$13:$X$489,15,0)/1000</f>
        <v>-0.247</v>
      </c>
      <c r="J398" s="162">
        <f ca="1">VLOOKUP($A398,'BC.115+740'!$B$13:$X$489,20,0)/1000</f>
        <v>3.7360000000000002</v>
      </c>
      <c r="K398" s="162">
        <f ca="1">VLOOKUP($A398,'BC.115+740'!$B$13:$X$489,21,0)/1000</f>
        <v>-0.26400000000000001</v>
      </c>
      <c r="L398" s="160">
        <f t="shared" ref="L398:L461" ca="1" si="18">(G398-$G$14)*1000</f>
        <v>-255</v>
      </c>
      <c r="M398" s="161">
        <f t="shared" ref="M398:M461" ca="1" si="19">(I398-$I$14)*1000</f>
        <v>-237</v>
      </c>
      <c r="N398" s="160">
        <f t="shared" ca="1" si="17"/>
        <v>-224</v>
      </c>
      <c r="O398" s="160"/>
    </row>
    <row r="399" spans="1:15">
      <c r="A399" s="164">
        <f>'BC.115+740'!B398</f>
        <v>45457</v>
      </c>
      <c r="B399" s="160">
        <v>385</v>
      </c>
      <c r="C399" s="162">
        <f ca="1">'BC.115+740'!M398/1000</f>
        <v>2.2629999999999999</v>
      </c>
      <c r="D399" s="162">
        <f ca="1">'BC.115+740'!AA398</f>
        <v>2.468</v>
      </c>
      <c r="E399" s="163">
        <f ca="1">'BC.115+740'!AB398</f>
        <v>2.036</v>
      </c>
      <c r="F399" s="162">
        <f ca="1">VLOOKUP($A399,'BC.115+740'!$B$13:$X$489,8,0)/1000</f>
        <v>3.7850000000000001</v>
      </c>
      <c r="G399" s="162">
        <f ca="1">VLOOKUP($A399,'BC.115+740'!$B$13:$X$489,9,0)/1000</f>
        <v>-0.215</v>
      </c>
      <c r="H399" s="162">
        <f ca="1">VLOOKUP($A399,'BC.115+740'!$B$13:$X$489,14,0)/1000</f>
        <v>3.7530000000000001</v>
      </c>
      <c r="I399" s="162">
        <f ca="1">VLOOKUP($A399,'BC.115+740'!$B$13:$X$489,15,0)/1000</f>
        <v>-0.247</v>
      </c>
      <c r="J399" s="162">
        <f ca="1">VLOOKUP($A399,'BC.115+740'!$B$13:$X$489,20,0)/1000</f>
        <v>3.7360000000000002</v>
      </c>
      <c r="K399" s="162">
        <f ca="1">VLOOKUP($A399,'BC.115+740'!$B$13:$X$489,21,0)/1000</f>
        <v>-0.26400000000000001</v>
      </c>
      <c r="L399" s="160">
        <f t="shared" ca="1" si="18"/>
        <v>-255</v>
      </c>
      <c r="M399" s="161">
        <f t="shared" ca="1" si="19"/>
        <v>-237</v>
      </c>
      <c r="N399" s="160">
        <f t="shared" ref="N399:N462" ca="1" si="20">(K399-$K$14)*1000</f>
        <v>-224</v>
      </c>
      <c r="O399" s="160"/>
    </row>
    <row r="400" spans="1:15">
      <c r="A400" s="164">
        <f>'BC.115+740'!B399</f>
        <v>45458</v>
      </c>
      <c r="B400" s="160">
        <v>386</v>
      </c>
      <c r="C400" s="162">
        <f ca="1">'BC.115+740'!M399/1000</f>
        <v>2.2629999999999999</v>
      </c>
      <c r="D400" s="162">
        <f ca="1">'BC.115+740'!AA399</f>
        <v>2.468</v>
      </c>
      <c r="E400" s="163">
        <f ca="1">'BC.115+740'!AB399</f>
        <v>2.036</v>
      </c>
      <c r="F400" s="162">
        <f ca="1">VLOOKUP($A400,'BC.115+740'!$B$13:$X$489,8,0)/1000</f>
        <v>3.7850000000000001</v>
      </c>
      <c r="G400" s="162">
        <f ca="1">VLOOKUP($A400,'BC.115+740'!$B$13:$X$489,9,0)/1000</f>
        <v>-0.215</v>
      </c>
      <c r="H400" s="162">
        <f ca="1">VLOOKUP($A400,'BC.115+740'!$B$13:$X$489,14,0)/1000</f>
        <v>3.7530000000000001</v>
      </c>
      <c r="I400" s="162">
        <f ca="1">VLOOKUP($A400,'BC.115+740'!$B$13:$X$489,15,0)/1000</f>
        <v>-0.247</v>
      </c>
      <c r="J400" s="162">
        <f ca="1">VLOOKUP($A400,'BC.115+740'!$B$13:$X$489,20,0)/1000</f>
        <v>3.7360000000000002</v>
      </c>
      <c r="K400" s="162">
        <f ca="1">VLOOKUP($A400,'BC.115+740'!$B$13:$X$489,21,0)/1000</f>
        <v>-0.26400000000000001</v>
      </c>
      <c r="L400" s="160">
        <f t="shared" ca="1" si="18"/>
        <v>-255</v>
      </c>
      <c r="M400" s="161">
        <f t="shared" ca="1" si="19"/>
        <v>-237</v>
      </c>
      <c r="N400" s="160">
        <f t="shared" ca="1" si="20"/>
        <v>-224</v>
      </c>
      <c r="O400" s="160"/>
    </row>
    <row r="401" spans="1:15">
      <c r="A401" s="164">
        <f>'BC.115+740'!B400</f>
        <v>45459</v>
      </c>
      <c r="B401" s="160">
        <v>387</v>
      </c>
      <c r="C401" s="162">
        <f ca="1">'BC.115+740'!M400/1000</f>
        <v>2.2629999999999999</v>
      </c>
      <c r="D401" s="162">
        <f ca="1">'BC.115+740'!AA400</f>
        <v>2.468</v>
      </c>
      <c r="E401" s="163">
        <f ca="1">'BC.115+740'!AB400</f>
        <v>2.036</v>
      </c>
      <c r="F401" s="162">
        <f ca="1">VLOOKUP($A401,'BC.115+740'!$B$13:$X$489,8,0)/1000</f>
        <v>3.7850000000000001</v>
      </c>
      <c r="G401" s="162">
        <f ca="1">VLOOKUP($A401,'BC.115+740'!$B$13:$X$489,9,0)/1000</f>
        <v>-0.215</v>
      </c>
      <c r="H401" s="162">
        <f ca="1">VLOOKUP($A401,'BC.115+740'!$B$13:$X$489,14,0)/1000</f>
        <v>3.7530000000000001</v>
      </c>
      <c r="I401" s="162">
        <f ca="1">VLOOKUP($A401,'BC.115+740'!$B$13:$X$489,15,0)/1000</f>
        <v>-0.247</v>
      </c>
      <c r="J401" s="162">
        <f ca="1">VLOOKUP($A401,'BC.115+740'!$B$13:$X$489,20,0)/1000</f>
        <v>3.7360000000000002</v>
      </c>
      <c r="K401" s="162">
        <f ca="1">VLOOKUP($A401,'BC.115+740'!$B$13:$X$489,21,0)/1000</f>
        <v>-0.26400000000000001</v>
      </c>
      <c r="L401" s="160">
        <f t="shared" ca="1" si="18"/>
        <v>-255</v>
      </c>
      <c r="M401" s="161">
        <f t="shared" ca="1" si="19"/>
        <v>-237</v>
      </c>
      <c r="N401" s="160">
        <f t="shared" ca="1" si="20"/>
        <v>-224</v>
      </c>
      <c r="O401" s="160"/>
    </row>
    <row r="402" spans="1:15">
      <c r="A402" s="164">
        <f>'BC.115+740'!B401</f>
        <v>45460</v>
      </c>
      <c r="B402" s="160">
        <v>388</v>
      </c>
      <c r="C402" s="162">
        <f ca="1">'BC.115+740'!M401/1000</f>
        <v>2.2629999999999999</v>
      </c>
      <c r="D402" s="162">
        <f ca="1">'BC.115+740'!AA401</f>
        <v>2.468</v>
      </c>
      <c r="E402" s="163">
        <f ca="1">'BC.115+740'!AB401</f>
        <v>2.036</v>
      </c>
      <c r="F402" s="162">
        <f ca="1">VLOOKUP($A402,'BC.115+740'!$B$13:$X$489,8,0)/1000</f>
        <v>3.7850000000000001</v>
      </c>
      <c r="G402" s="162">
        <f ca="1">VLOOKUP($A402,'BC.115+740'!$B$13:$X$489,9,0)/1000</f>
        <v>-0.215</v>
      </c>
      <c r="H402" s="162">
        <f ca="1">VLOOKUP($A402,'BC.115+740'!$B$13:$X$489,14,0)/1000</f>
        <v>3.7530000000000001</v>
      </c>
      <c r="I402" s="162">
        <f ca="1">VLOOKUP($A402,'BC.115+740'!$B$13:$X$489,15,0)/1000</f>
        <v>-0.247</v>
      </c>
      <c r="J402" s="162">
        <f ca="1">VLOOKUP($A402,'BC.115+740'!$B$13:$X$489,20,0)/1000</f>
        <v>3.7360000000000002</v>
      </c>
      <c r="K402" s="162">
        <f ca="1">VLOOKUP($A402,'BC.115+740'!$B$13:$X$489,21,0)/1000</f>
        <v>-0.26400000000000001</v>
      </c>
      <c r="L402" s="160">
        <f t="shared" ca="1" si="18"/>
        <v>-255</v>
      </c>
      <c r="M402" s="161">
        <f t="shared" ca="1" si="19"/>
        <v>-237</v>
      </c>
      <c r="N402" s="160">
        <f t="shared" ca="1" si="20"/>
        <v>-224</v>
      </c>
      <c r="O402" s="160"/>
    </row>
    <row r="403" spans="1:15">
      <c r="A403" s="164">
        <f>'BC.115+740'!B402</f>
        <v>45461</v>
      </c>
      <c r="B403" s="160">
        <v>389</v>
      </c>
      <c r="C403" s="162">
        <f ca="1">'BC.115+740'!M402/1000</f>
        <v>2.2629999999999999</v>
      </c>
      <c r="D403" s="162">
        <f ca="1">'BC.115+740'!AA402</f>
        <v>2.468</v>
      </c>
      <c r="E403" s="163">
        <f ca="1">'BC.115+740'!AB402</f>
        <v>2.036</v>
      </c>
      <c r="F403" s="162">
        <f ca="1">VLOOKUP($A403,'BC.115+740'!$B$13:$X$489,8,0)/1000</f>
        <v>3.7850000000000001</v>
      </c>
      <c r="G403" s="162">
        <f ca="1">VLOOKUP($A403,'BC.115+740'!$B$13:$X$489,9,0)/1000</f>
        <v>-0.215</v>
      </c>
      <c r="H403" s="162">
        <f ca="1">VLOOKUP($A403,'BC.115+740'!$B$13:$X$489,14,0)/1000</f>
        <v>3.7530000000000001</v>
      </c>
      <c r="I403" s="162">
        <f ca="1">VLOOKUP($A403,'BC.115+740'!$B$13:$X$489,15,0)/1000</f>
        <v>-0.247</v>
      </c>
      <c r="J403" s="162">
        <f ca="1">VLOOKUP($A403,'BC.115+740'!$B$13:$X$489,20,0)/1000</f>
        <v>3.7360000000000002</v>
      </c>
      <c r="K403" s="162">
        <f ca="1">VLOOKUP($A403,'BC.115+740'!$B$13:$X$489,21,0)/1000</f>
        <v>-0.26400000000000001</v>
      </c>
      <c r="L403" s="160">
        <f t="shared" ca="1" si="18"/>
        <v>-255</v>
      </c>
      <c r="M403" s="161">
        <f t="shared" ca="1" si="19"/>
        <v>-237</v>
      </c>
      <c r="N403" s="160">
        <f t="shared" ca="1" si="20"/>
        <v>-224</v>
      </c>
      <c r="O403" s="160"/>
    </row>
    <row r="404" spans="1:15">
      <c r="A404" s="164">
        <f>'BC.115+740'!B403</f>
        <v>45462</v>
      </c>
      <c r="B404" s="160">
        <v>390</v>
      </c>
      <c r="C404" s="162">
        <f ca="1">'BC.115+740'!M403/1000</f>
        <v>2.2629999999999999</v>
      </c>
      <c r="D404" s="162">
        <f ca="1">'BC.115+740'!AA403</f>
        <v>2.468</v>
      </c>
      <c r="E404" s="163">
        <f ca="1">'BC.115+740'!AB403</f>
        <v>2.036</v>
      </c>
      <c r="F404" s="162">
        <f ca="1">VLOOKUP($A404,'BC.115+740'!$B$13:$X$489,8,0)/1000</f>
        <v>3.7850000000000001</v>
      </c>
      <c r="G404" s="162">
        <f ca="1">VLOOKUP($A404,'BC.115+740'!$B$13:$X$489,9,0)/1000</f>
        <v>-0.215</v>
      </c>
      <c r="H404" s="162">
        <f ca="1">VLOOKUP($A404,'BC.115+740'!$B$13:$X$489,14,0)/1000</f>
        <v>3.7530000000000001</v>
      </c>
      <c r="I404" s="162">
        <f ca="1">VLOOKUP($A404,'BC.115+740'!$B$13:$X$489,15,0)/1000</f>
        <v>-0.247</v>
      </c>
      <c r="J404" s="162">
        <f ca="1">VLOOKUP($A404,'BC.115+740'!$B$13:$X$489,20,0)/1000</f>
        <v>3.7360000000000002</v>
      </c>
      <c r="K404" s="162">
        <f ca="1">VLOOKUP($A404,'BC.115+740'!$B$13:$X$489,21,0)/1000</f>
        <v>-0.26400000000000001</v>
      </c>
      <c r="L404" s="160">
        <f t="shared" ca="1" si="18"/>
        <v>-255</v>
      </c>
      <c r="M404" s="161">
        <f t="shared" ca="1" si="19"/>
        <v>-237</v>
      </c>
      <c r="N404" s="160">
        <f t="shared" ca="1" si="20"/>
        <v>-224</v>
      </c>
      <c r="O404" s="160"/>
    </row>
    <row r="405" spans="1:15">
      <c r="A405" s="164">
        <f>'BC.115+740'!B404</f>
        <v>45463</v>
      </c>
      <c r="B405" s="160">
        <v>391</v>
      </c>
      <c r="C405" s="162">
        <f ca="1">'BC.115+740'!M404/1000</f>
        <v>2.2629999999999999</v>
      </c>
      <c r="D405" s="162">
        <f ca="1">'BC.115+740'!AA404</f>
        <v>2.468</v>
      </c>
      <c r="E405" s="163">
        <f ca="1">'BC.115+740'!AB404</f>
        <v>2.036</v>
      </c>
      <c r="F405" s="162">
        <f ca="1">VLOOKUP($A405,'BC.115+740'!$B$13:$X$489,8,0)/1000</f>
        <v>3.7850000000000001</v>
      </c>
      <c r="G405" s="162">
        <f ca="1">VLOOKUP($A405,'BC.115+740'!$B$13:$X$489,9,0)/1000</f>
        <v>-0.215</v>
      </c>
      <c r="H405" s="162">
        <f ca="1">VLOOKUP($A405,'BC.115+740'!$B$13:$X$489,14,0)/1000</f>
        <v>3.7530000000000001</v>
      </c>
      <c r="I405" s="162">
        <f ca="1">VLOOKUP($A405,'BC.115+740'!$B$13:$X$489,15,0)/1000</f>
        <v>-0.247</v>
      </c>
      <c r="J405" s="162">
        <f ca="1">VLOOKUP($A405,'BC.115+740'!$B$13:$X$489,20,0)/1000</f>
        <v>3.7360000000000002</v>
      </c>
      <c r="K405" s="162">
        <f ca="1">VLOOKUP($A405,'BC.115+740'!$B$13:$X$489,21,0)/1000</f>
        <v>-0.26400000000000001</v>
      </c>
      <c r="L405" s="160">
        <f t="shared" ca="1" si="18"/>
        <v>-255</v>
      </c>
      <c r="M405" s="161">
        <f t="shared" ca="1" si="19"/>
        <v>-237</v>
      </c>
      <c r="N405" s="160">
        <f t="shared" ca="1" si="20"/>
        <v>-224</v>
      </c>
      <c r="O405" s="160"/>
    </row>
    <row r="406" spans="1:15">
      <c r="A406" s="164">
        <f>'BC.115+740'!B405</f>
        <v>45464</v>
      </c>
      <c r="B406" s="160">
        <v>392</v>
      </c>
      <c r="C406" s="162">
        <f ca="1">'BC.115+740'!M405/1000</f>
        <v>2.2629999999999999</v>
      </c>
      <c r="D406" s="162">
        <f ca="1">'BC.115+740'!AA405</f>
        <v>2.468</v>
      </c>
      <c r="E406" s="163">
        <f ca="1">'BC.115+740'!AB405</f>
        <v>2.036</v>
      </c>
      <c r="F406" s="162">
        <f ca="1">VLOOKUP($A406,'BC.115+740'!$B$13:$X$489,8,0)/1000</f>
        <v>3.7850000000000001</v>
      </c>
      <c r="G406" s="162">
        <f ca="1">VLOOKUP($A406,'BC.115+740'!$B$13:$X$489,9,0)/1000</f>
        <v>-0.215</v>
      </c>
      <c r="H406" s="162">
        <f ca="1">VLOOKUP($A406,'BC.115+740'!$B$13:$X$489,14,0)/1000</f>
        <v>3.7530000000000001</v>
      </c>
      <c r="I406" s="162">
        <f ca="1">VLOOKUP($A406,'BC.115+740'!$B$13:$X$489,15,0)/1000</f>
        <v>-0.247</v>
      </c>
      <c r="J406" s="162">
        <f ca="1">VLOOKUP($A406,'BC.115+740'!$B$13:$X$489,20,0)/1000</f>
        <v>3.7360000000000002</v>
      </c>
      <c r="K406" s="162">
        <f ca="1">VLOOKUP($A406,'BC.115+740'!$B$13:$X$489,21,0)/1000</f>
        <v>-0.26400000000000001</v>
      </c>
      <c r="L406" s="160">
        <f t="shared" ca="1" si="18"/>
        <v>-255</v>
      </c>
      <c r="M406" s="161">
        <f t="shared" ca="1" si="19"/>
        <v>-237</v>
      </c>
      <c r="N406" s="160">
        <f t="shared" ca="1" si="20"/>
        <v>-224</v>
      </c>
      <c r="O406" s="160"/>
    </row>
    <row r="407" spans="1:15">
      <c r="A407" s="164">
        <f>'BC.115+740'!B406</f>
        <v>45465</v>
      </c>
      <c r="B407" s="160">
        <v>393</v>
      </c>
      <c r="C407" s="162">
        <f ca="1">'BC.115+740'!M406/1000</f>
        <v>2.2629999999999999</v>
      </c>
      <c r="D407" s="162">
        <f ca="1">'BC.115+740'!AA406</f>
        <v>2.468</v>
      </c>
      <c r="E407" s="163">
        <f ca="1">'BC.115+740'!AB406</f>
        <v>2.036</v>
      </c>
      <c r="F407" s="162">
        <f ca="1">VLOOKUP($A407,'BC.115+740'!$B$13:$X$489,8,0)/1000</f>
        <v>3.7850000000000001</v>
      </c>
      <c r="G407" s="162">
        <f ca="1">VLOOKUP($A407,'BC.115+740'!$B$13:$X$489,9,0)/1000</f>
        <v>-0.215</v>
      </c>
      <c r="H407" s="162">
        <f ca="1">VLOOKUP($A407,'BC.115+740'!$B$13:$X$489,14,0)/1000</f>
        <v>3.7530000000000001</v>
      </c>
      <c r="I407" s="162">
        <f ca="1">VLOOKUP($A407,'BC.115+740'!$B$13:$X$489,15,0)/1000</f>
        <v>-0.247</v>
      </c>
      <c r="J407" s="162">
        <f ca="1">VLOOKUP($A407,'BC.115+740'!$B$13:$X$489,20,0)/1000</f>
        <v>3.7360000000000002</v>
      </c>
      <c r="K407" s="162">
        <f ca="1">VLOOKUP($A407,'BC.115+740'!$B$13:$X$489,21,0)/1000</f>
        <v>-0.26400000000000001</v>
      </c>
      <c r="L407" s="160">
        <f t="shared" ca="1" si="18"/>
        <v>-255</v>
      </c>
      <c r="M407" s="161">
        <f t="shared" ca="1" si="19"/>
        <v>-237</v>
      </c>
      <c r="N407" s="160">
        <f t="shared" ca="1" si="20"/>
        <v>-224</v>
      </c>
      <c r="O407" s="160"/>
    </row>
    <row r="408" spans="1:15">
      <c r="A408" s="164">
        <f>'BC.115+740'!B407</f>
        <v>45466</v>
      </c>
      <c r="B408" s="160">
        <v>394</v>
      </c>
      <c r="C408" s="162">
        <f ca="1">'BC.115+740'!M407/1000</f>
        <v>2.2629999999999999</v>
      </c>
      <c r="D408" s="162">
        <f ca="1">'BC.115+740'!AA407</f>
        <v>2.468</v>
      </c>
      <c r="E408" s="163">
        <f ca="1">'BC.115+740'!AB407</f>
        <v>2.036</v>
      </c>
      <c r="F408" s="162">
        <f ca="1">VLOOKUP($A408,'BC.115+740'!$B$13:$X$489,8,0)/1000</f>
        <v>3.7850000000000001</v>
      </c>
      <c r="G408" s="162">
        <f ca="1">VLOOKUP($A408,'BC.115+740'!$B$13:$X$489,9,0)/1000</f>
        <v>-0.215</v>
      </c>
      <c r="H408" s="162">
        <f ca="1">VLOOKUP($A408,'BC.115+740'!$B$13:$X$489,14,0)/1000</f>
        <v>3.7530000000000001</v>
      </c>
      <c r="I408" s="162">
        <f ca="1">VLOOKUP($A408,'BC.115+740'!$B$13:$X$489,15,0)/1000</f>
        <v>-0.247</v>
      </c>
      <c r="J408" s="162">
        <f ca="1">VLOOKUP($A408,'BC.115+740'!$B$13:$X$489,20,0)/1000</f>
        <v>3.7360000000000002</v>
      </c>
      <c r="K408" s="162">
        <f ca="1">VLOOKUP($A408,'BC.115+740'!$B$13:$X$489,21,0)/1000</f>
        <v>-0.26400000000000001</v>
      </c>
      <c r="L408" s="160">
        <f t="shared" ca="1" si="18"/>
        <v>-255</v>
      </c>
      <c r="M408" s="161">
        <f t="shared" ca="1" si="19"/>
        <v>-237</v>
      </c>
      <c r="N408" s="160">
        <f t="shared" ca="1" si="20"/>
        <v>-224</v>
      </c>
      <c r="O408" s="160"/>
    </row>
    <row r="409" spans="1:15">
      <c r="A409" s="164">
        <f>'BC.115+740'!B408</f>
        <v>45467</v>
      </c>
      <c r="B409" s="160">
        <v>395</v>
      </c>
      <c r="C409" s="162">
        <f ca="1">'BC.115+740'!M408/1000</f>
        <v>2.2629999999999999</v>
      </c>
      <c r="D409" s="162">
        <f ca="1">'BC.115+740'!AA408</f>
        <v>2.468</v>
      </c>
      <c r="E409" s="163">
        <f ca="1">'BC.115+740'!AB408</f>
        <v>2.036</v>
      </c>
      <c r="F409" s="162">
        <f ca="1">VLOOKUP($A409,'BC.115+740'!$B$13:$X$489,8,0)/1000</f>
        <v>3.7850000000000001</v>
      </c>
      <c r="G409" s="162">
        <f ca="1">VLOOKUP($A409,'BC.115+740'!$B$13:$X$489,9,0)/1000</f>
        <v>-0.215</v>
      </c>
      <c r="H409" s="162">
        <f ca="1">VLOOKUP($A409,'BC.115+740'!$B$13:$X$489,14,0)/1000</f>
        <v>3.7530000000000001</v>
      </c>
      <c r="I409" s="162">
        <f ca="1">VLOOKUP($A409,'BC.115+740'!$B$13:$X$489,15,0)/1000</f>
        <v>-0.247</v>
      </c>
      <c r="J409" s="162">
        <f ca="1">VLOOKUP($A409,'BC.115+740'!$B$13:$X$489,20,0)/1000</f>
        <v>3.7360000000000002</v>
      </c>
      <c r="K409" s="162">
        <f ca="1">VLOOKUP($A409,'BC.115+740'!$B$13:$X$489,21,0)/1000</f>
        <v>-0.26400000000000001</v>
      </c>
      <c r="L409" s="160">
        <f t="shared" ca="1" si="18"/>
        <v>-255</v>
      </c>
      <c r="M409" s="161">
        <f t="shared" ca="1" si="19"/>
        <v>-237</v>
      </c>
      <c r="N409" s="160">
        <f t="shared" ca="1" si="20"/>
        <v>-224</v>
      </c>
      <c r="O409" s="160"/>
    </row>
    <row r="410" spans="1:15">
      <c r="A410" s="164">
        <f>'BC.115+740'!B409</f>
        <v>45468</v>
      </c>
      <c r="B410" s="160">
        <v>396</v>
      </c>
      <c r="C410" s="162">
        <f ca="1">'BC.115+740'!M409/1000</f>
        <v>2.2629999999999999</v>
      </c>
      <c r="D410" s="162">
        <f ca="1">'BC.115+740'!AA409</f>
        <v>2.468</v>
      </c>
      <c r="E410" s="163">
        <f ca="1">'BC.115+740'!AB409</f>
        <v>2.036</v>
      </c>
      <c r="F410" s="162">
        <f ca="1">VLOOKUP($A410,'BC.115+740'!$B$13:$X$489,8,0)/1000</f>
        <v>3.7850000000000001</v>
      </c>
      <c r="G410" s="162">
        <f ca="1">VLOOKUP($A410,'BC.115+740'!$B$13:$X$489,9,0)/1000</f>
        <v>-0.215</v>
      </c>
      <c r="H410" s="162">
        <f ca="1">VLOOKUP($A410,'BC.115+740'!$B$13:$X$489,14,0)/1000</f>
        <v>3.7530000000000001</v>
      </c>
      <c r="I410" s="162">
        <f ca="1">VLOOKUP($A410,'BC.115+740'!$B$13:$X$489,15,0)/1000</f>
        <v>-0.247</v>
      </c>
      <c r="J410" s="162">
        <f ca="1">VLOOKUP($A410,'BC.115+740'!$B$13:$X$489,20,0)/1000</f>
        <v>3.7360000000000002</v>
      </c>
      <c r="K410" s="162">
        <f ca="1">VLOOKUP($A410,'BC.115+740'!$B$13:$X$489,21,0)/1000</f>
        <v>-0.26400000000000001</v>
      </c>
      <c r="L410" s="160">
        <f t="shared" ca="1" si="18"/>
        <v>-255</v>
      </c>
      <c r="M410" s="161">
        <f t="shared" ca="1" si="19"/>
        <v>-237</v>
      </c>
      <c r="N410" s="160">
        <f t="shared" ca="1" si="20"/>
        <v>-224</v>
      </c>
      <c r="O410" s="160"/>
    </row>
    <row r="411" spans="1:15">
      <c r="A411" s="164">
        <f>'BC.115+740'!B410</f>
        <v>45469</v>
      </c>
      <c r="B411" s="160">
        <v>397</v>
      </c>
      <c r="C411" s="162">
        <f ca="1">'BC.115+740'!M410/1000</f>
        <v>2.2629999999999999</v>
      </c>
      <c r="D411" s="162">
        <f ca="1">'BC.115+740'!AA410</f>
        <v>2.468</v>
      </c>
      <c r="E411" s="163">
        <f ca="1">'BC.115+740'!AB410</f>
        <v>2.036</v>
      </c>
      <c r="F411" s="162">
        <f ca="1">VLOOKUP($A411,'BC.115+740'!$B$13:$X$489,8,0)/1000</f>
        <v>3.7850000000000001</v>
      </c>
      <c r="G411" s="162">
        <f ca="1">VLOOKUP($A411,'BC.115+740'!$B$13:$X$489,9,0)/1000</f>
        <v>-0.215</v>
      </c>
      <c r="H411" s="162">
        <f ca="1">VLOOKUP($A411,'BC.115+740'!$B$13:$X$489,14,0)/1000</f>
        <v>3.7530000000000001</v>
      </c>
      <c r="I411" s="162">
        <f ca="1">VLOOKUP($A411,'BC.115+740'!$B$13:$X$489,15,0)/1000</f>
        <v>-0.247</v>
      </c>
      <c r="J411" s="162">
        <f ca="1">VLOOKUP($A411,'BC.115+740'!$B$13:$X$489,20,0)/1000</f>
        <v>3.7360000000000002</v>
      </c>
      <c r="K411" s="162">
        <f ca="1">VLOOKUP($A411,'BC.115+740'!$B$13:$X$489,21,0)/1000</f>
        <v>-0.26400000000000001</v>
      </c>
      <c r="L411" s="160">
        <f t="shared" ca="1" si="18"/>
        <v>-255</v>
      </c>
      <c r="M411" s="161">
        <f t="shared" ca="1" si="19"/>
        <v>-237</v>
      </c>
      <c r="N411" s="160">
        <f t="shared" ca="1" si="20"/>
        <v>-224</v>
      </c>
      <c r="O411" s="160"/>
    </row>
    <row r="412" spans="1:15">
      <c r="A412" s="164">
        <f>'BC.115+740'!B411</f>
        <v>45470</v>
      </c>
      <c r="B412" s="160">
        <v>398</v>
      </c>
      <c r="C412" s="162">
        <f ca="1">'BC.115+740'!M411/1000</f>
        <v>2.2629999999999999</v>
      </c>
      <c r="D412" s="162">
        <f ca="1">'BC.115+740'!AA411</f>
        <v>2.468</v>
      </c>
      <c r="E412" s="163">
        <f ca="1">'BC.115+740'!AB411</f>
        <v>2.036</v>
      </c>
      <c r="F412" s="162">
        <f ca="1">VLOOKUP($A412,'BC.115+740'!$B$13:$X$489,8,0)/1000</f>
        <v>3.7850000000000001</v>
      </c>
      <c r="G412" s="162">
        <f ca="1">VLOOKUP($A412,'BC.115+740'!$B$13:$X$489,9,0)/1000</f>
        <v>-0.215</v>
      </c>
      <c r="H412" s="162">
        <f ca="1">VLOOKUP($A412,'BC.115+740'!$B$13:$X$489,14,0)/1000</f>
        <v>3.7530000000000001</v>
      </c>
      <c r="I412" s="162">
        <f ca="1">VLOOKUP($A412,'BC.115+740'!$B$13:$X$489,15,0)/1000</f>
        <v>-0.247</v>
      </c>
      <c r="J412" s="162">
        <f ca="1">VLOOKUP($A412,'BC.115+740'!$B$13:$X$489,20,0)/1000</f>
        <v>3.7360000000000002</v>
      </c>
      <c r="K412" s="162">
        <f ca="1">VLOOKUP($A412,'BC.115+740'!$B$13:$X$489,21,0)/1000</f>
        <v>-0.26400000000000001</v>
      </c>
      <c r="L412" s="160">
        <f t="shared" ca="1" si="18"/>
        <v>-255</v>
      </c>
      <c r="M412" s="161">
        <f t="shared" ca="1" si="19"/>
        <v>-237</v>
      </c>
      <c r="N412" s="160">
        <f t="shared" ca="1" si="20"/>
        <v>-224</v>
      </c>
      <c r="O412" s="160"/>
    </row>
    <row r="413" spans="1:15">
      <c r="A413" s="164">
        <f>'BC.115+740'!B412</f>
        <v>45471</v>
      </c>
      <c r="B413" s="160">
        <v>399</v>
      </c>
      <c r="C413" s="162">
        <f ca="1">'BC.115+740'!M412/1000</f>
        <v>2.2629999999999999</v>
      </c>
      <c r="D413" s="162">
        <f ca="1">'BC.115+740'!AA412</f>
        <v>2.468</v>
      </c>
      <c r="E413" s="163">
        <f ca="1">'BC.115+740'!AB412</f>
        <v>2.036</v>
      </c>
      <c r="F413" s="162">
        <f ca="1">VLOOKUP($A413,'BC.115+740'!$B$13:$X$489,8,0)/1000</f>
        <v>3.7850000000000001</v>
      </c>
      <c r="G413" s="162">
        <f ca="1">VLOOKUP($A413,'BC.115+740'!$B$13:$X$489,9,0)/1000</f>
        <v>-0.215</v>
      </c>
      <c r="H413" s="162">
        <f ca="1">VLOOKUP($A413,'BC.115+740'!$B$13:$X$489,14,0)/1000</f>
        <v>3.7530000000000001</v>
      </c>
      <c r="I413" s="162">
        <f ca="1">VLOOKUP($A413,'BC.115+740'!$B$13:$X$489,15,0)/1000</f>
        <v>-0.247</v>
      </c>
      <c r="J413" s="162">
        <f ca="1">VLOOKUP($A413,'BC.115+740'!$B$13:$X$489,20,0)/1000</f>
        <v>3.7360000000000002</v>
      </c>
      <c r="K413" s="162">
        <f ca="1">VLOOKUP($A413,'BC.115+740'!$B$13:$X$489,21,0)/1000</f>
        <v>-0.26400000000000001</v>
      </c>
      <c r="L413" s="160">
        <f t="shared" ca="1" si="18"/>
        <v>-255</v>
      </c>
      <c r="M413" s="161">
        <f t="shared" ca="1" si="19"/>
        <v>-237</v>
      </c>
      <c r="N413" s="160">
        <f t="shared" ca="1" si="20"/>
        <v>-224</v>
      </c>
      <c r="O413" s="160"/>
    </row>
    <row r="414" spans="1:15">
      <c r="A414" s="164">
        <f>'BC.115+740'!B413</f>
        <v>45472</v>
      </c>
      <c r="B414" s="160">
        <v>400</v>
      </c>
      <c r="C414" s="162">
        <f ca="1">'BC.115+740'!M413/1000</f>
        <v>2.2629999999999999</v>
      </c>
      <c r="D414" s="162">
        <f ca="1">'BC.115+740'!AA413</f>
        <v>2.468</v>
      </c>
      <c r="E414" s="163">
        <f ca="1">'BC.115+740'!AB413</f>
        <v>2.036</v>
      </c>
      <c r="F414" s="162">
        <f ca="1">VLOOKUP($A414,'BC.115+740'!$B$13:$X$489,8,0)/1000</f>
        <v>3.7850000000000001</v>
      </c>
      <c r="G414" s="162">
        <f ca="1">VLOOKUP($A414,'BC.115+740'!$B$13:$X$489,9,0)/1000</f>
        <v>-0.215</v>
      </c>
      <c r="H414" s="162">
        <f ca="1">VLOOKUP($A414,'BC.115+740'!$B$13:$X$489,14,0)/1000</f>
        <v>3.7530000000000001</v>
      </c>
      <c r="I414" s="162">
        <f ca="1">VLOOKUP($A414,'BC.115+740'!$B$13:$X$489,15,0)/1000</f>
        <v>-0.247</v>
      </c>
      <c r="J414" s="162">
        <f ca="1">VLOOKUP($A414,'BC.115+740'!$B$13:$X$489,20,0)/1000</f>
        <v>3.7360000000000002</v>
      </c>
      <c r="K414" s="162">
        <f ca="1">VLOOKUP($A414,'BC.115+740'!$B$13:$X$489,21,0)/1000</f>
        <v>-0.26400000000000001</v>
      </c>
      <c r="L414" s="160">
        <f t="shared" ca="1" si="18"/>
        <v>-255</v>
      </c>
      <c r="M414" s="161">
        <f t="shared" ca="1" si="19"/>
        <v>-237</v>
      </c>
      <c r="N414" s="160">
        <f t="shared" ca="1" si="20"/>
        <v>-224</v>
      </c>
      <c r="O414" s="160"/>
    </row>
    <row r="415" spans="1:15">
      <c r="A415" s="164">
        <f>'BC.115+740'!B414</f>
        <v>45473</v>
      </c>
      <c r="B415" s="160">
        <v>401</v>
      </c>
      <c r="C415" s="162">
        <f ca="1">'BC.115+740'!M414/1000</f>
        <v>2.2629999999999999</v>
      </c>
      <c r="D415" s="162">
        <f ca="1">'BC.115+740'!AA414</f>
        <v>2.468</v>
      </c>
      <c r="E415" s="163">
        <f ca="1">'BC.115+740'!AB414</f>
        <v>2.036</v>
      </c>
      <c r="F415" s="162">
        <f ca="1">VLOOKUP($A415,'BC.115+740'!$B$13:$X$489,8,0)/1000</f>
        <v>3.7850000000000001</v>
      </c>
      <c r="G415" s="162">
        <f ca="1">VLOOKUP($A415,'BC.115+740'!$B$13:$X$489,9,0)/1000</f>
        <v>-0.215</v>
      </c>
      <c r="H415" s="162">
        <f ca="1">VLOOKUP($A415,'BC.115+740'!$B$13:$X$489,14,0)/1000</f>
        <v>3.7530000000000001</v>
      </c>
      <c r="I415" s="162">
        <f ca="1">VLOOKUP($A415,'BC.115+740'!$B$13:$X$489,15,0)/1000</f>
        <v>-0.247</v>
      </c>
      <c r="J415" s="162">
        <f ca="1">VLOOKUP($A415,'BC.115+740'!$B$13:$X$489,20,0)/1000</f>
        <v>3.7360000000000002</v>
      </c>
      <c r="K415" s="162">
        <f ca="1">VLOOKUP($A415,'BC.115+740'!$B$13:$X$489,21,0)/1000</f>
        <v>-0.26400000000000001</v>
      </c>
      <c r="L415" s="160">
        <f t="shared" ca="1" si="18"/>
        <v>-255</v>
      </c>
      <c r="M415" s="161">
        <f t="shared" ca="1" si="19"/>
        <v>-237</v>
      </c>
      <c r="N415" s="160">
        <f t="shared" ca="1" si="20"/>
        <v>-224</v>
      </c>
      <c r="O415" s="160"/>
    </row>
    <row r="416" spans="1:15">
      <c r="A416" s="164">
        <f>'BC.115+740'!B415</f>
        <v>45474</v>
      </c>
      <c r="B416" s="160">
        <v>402</v>
      </c>
      <c r="C416" s="162">
        <f ca="1">'BC.115+740'!M415/1000</f>
        <v>2.2629999999999999</v>
      </c>
      <c r="D416" s="162">
        <f ca="1">'BC.115+740'!AA415</f>
        <v>2.468</v>
      </c>
      <c r="E416" s="163">
        <f ca="1">'BC.115+740'!AB415</f>
        <v>2.036</v>
      </c>
      <c r="F416" s="162">
        <f ca="1">VLOOKUP($A416,'BC.115+740'!$B$13:$X$489,8,0)/1000</f>
        <v>3.7850000000000001</v>
      </c>
      <c r="G416" s="162">
        <f ca="1">VLOOKUP($A416,'BC.115+740'!$B$13:$X$489,9,0)/1000</f>
        <v>-0.215</v>
      </c>
      <c r="H416" s="162">
        <f ca="1">VLOOKUP($A416,'BC.115+740'!$B$13:$X$489,14,0)/1000</f>
        <v>3.7530000000000001</v>
      </c>
      <c r="I416" s="162">
        <f ca="1">VLOOKUP($A416,'BC.115+740'!$B$13:$X$489,15,0)/1000</f>
        <v>-0.247</v>
      </c>
      <c r="J416" s="162">
        <f ca="1">VLOOKUP($A416,'BC.115+740'!$B$13:$X$489,20,0)/1000</f>
        <v>3.7360000000000002</v>
      </c>
      <c r="K416" s="162">
        <f ca="1">VLOOKUP($A416,'BC.115+740'!$B$13:$X$489,21,0)/1000</f>
        <v>-0.26400000000000001</v>
      </c>
      <c r="L416" s="160">
        <f t="shared" ca="1" si="18"/>
        <v>-255</v>
      </c>
      <c r="M416" s="161">
        <f t="shared" ca="1" si="19"/>
        <v>-237</v>
      </c>
      <c r="N416" s="160">
        <f t="shared" ca="1" si="20"/>
        <v>-224</v>
      </c>
      <c r="O416" s="160"/>
    </row>
    <row r="417" spans="1:15">
      <c r="A417" s="164">
        <f>'BC.115+740'!B416</f>
        <v>45475</v>
      </c>
      <c r="B417" s="160">
        <v>403</v>
      </c>
      <c r="C417" s="162">
        <f ca="1">'BC.115+740'!M416/1000</f>
        <v>2.2629999999999999</v>
      </c>
      <c r="D417" s="162">
        <f ca="1">'BC.115+740'!AA416</f>
        <v>2.468</v>
      </c>
      <c r="E417" s="163">
        <f ca="1">'BC.115+740'!AB416</f>
        <v>2.036</v>
      </c>
      <c r="F417" s="162">
        <f ca="1">VLOOKUP($A417,'BC.115+740'!$B$13:$X$489,8,0)/1000</f>
        <v>3.7850000000000001</v>
      </c>
      <c r="G417" s="162">
        <f ca="1">VLOOKUP($A417,'BC.115+740'!$B$13:$X$489,9,0)/1000</f>
        <v>-0.215</v>
      </c>
      <c r="H417" s="162">
        <f ca="1">VLOOKUP($A417,'BC.115+740'!$B$13:$X$489,14,0)/1000</f>
        <v>3.7530000000000001</v>
      </c>
      <c r="I417" s="162">
        <f ca="1">VLOOKUP($A417,'BC.115+740'!$B$13:$X$489,15,0)/1000</f>
        <v>-0.247</v>
      </c>
      <c r="J417" s="162">
        <f ca="1">VLOOKUP($A417,'BC.115+740'!$B$13:$X$489,20,0)/1000</f>
        <v>3.7360000000000002</v>
      </c>
      <c r="K417" s="162">
        <f ca="1">VLOOKUP($A417,'BC.115+740'!$B$13:$X$489,21,0)/1000</f>
        <v>-0.26400000000000001</v>
      </c>
      <c r="L417" s="160">
        <f t="shared" ca="1" si="18"/>
        <v>-255</v>
      </c>
      <c r="M417" s="161">
        <f t="shared" ca="1" si="19"/>
        <v>-237</v>
      </c>
      <c r="N417" s="160">
        <f t="shared" ca="1" si="20"/>
        <v>-224</v>
      </c>
      <c r="O417" s="160"/>
    </row>
    <row r="418" spans="1:15">
      <c r="A418" s="164">
        <f>'BC.115+740'!B417</f>
        <v>45476</v>
      </c>
      <c r="B418" s="160">
        <v>404</v>
      </c>
      <c r="C418" s="162">
        <f ca="1">'BC.115+740'!M417/1000</f>
        <v>2.2629999999999999</v>
      </c>
      <c r="D418" s="162">
        <f ca="1">'BC.115+740'!AA417</f>
        <v>2.468</v>
      </c>
      <c r="E418" s="163">
        <f ca="1">'BC.115+740'!AB417</f>
        <v>2.036</v>
      </c>
      <c r="F418" s="162">
        <f ca="1">VLOOKUP($A418,'BC.115+740'!$B$13:$X$489,8,0)/1000</f>
        <v>3.7850000000000001</v>
      </c>
      <c r="G418" s="162">
        <f ca="1">VLOOKUP($A418,'BC.115+740'!$B$13:$X$489,9,0)/1000</f>
        <v>-0.215</v>
      </c>
      <c r="H418" s="162">
        <f ca="1">VLOOKUP($A418,'BC.115+740'!$B$13:$X$489,14,0)/1000</f>
        <v>3.7530000000000001</v>
      </c>
      <c r="I418" s="162">
        <f ca="1">VLOOKUP($A418,'BC.115+740'!$B$13:$X$489,15,0)/1000</f>
        <v>-0.247</v>
      </c>
      <c r="J418" s="162">
        <f ca="1">VLOOKUP($A418,'BC.115+740'!$B$13:$X$489,20,0)/1000</f>
        <v>3.7360000000000002</v>
      </c>
      <c r="K418" s="162">
        <f ca="1">VLOOKUP($A418,'BC.115+740'!$B$13:$X$489,21,0)/1000</f>
        <v>-0.26400000000000001</v>
      </c>
      <c r="L418" s="160">
        <f t="shared" ca="1" si="18"/>
        <v>-255</v>
      </c>
      <c r="M418" s="161">
        <f t="shared" ca="1" si="19"/>
        <v>-237</v>
      </c>
      <c r="N418" s="160">
        <f t="shared" ca="1" si="20"/>
        <v>-224</v>
      </c>
      <c r="O418" s="160"/>
    </row>
    <row r="419" spans="1:15">
      <c r="A419" s="164">
        <f>'BC.115+740'!B418</f>
        <v>45477</v>
      </c>
      <c r="B419" s="160">
        <v>405</v>
      </c>
      <c r="C419" s="162">
        <f ca="1">'BC.115+740'!M418/1000</f>
        <v>2.2629999999999999</v>
      </c>
      <c r="D419" s="162">
        <f ca="1">'BC.115+740'!AA418</f>
        <v>2.468</v>
      </c>
      <c r="E419" s="163">
        <f ca="1">'BC.115+740'!AB418</f>
        <v>2.036</v>
      </c>
      <c r="F419" s="162">
        <f ca="1">VLOOKUP($A419,'BC.115+740'!$B$13:$X$489,8,0)/1000</f>
        <v>3.7850000000000001</v>
      </c>
      <c r="G419" s="162">
        <f ca="1">VLOOKUP($A419,'BC.115+740'!$B$13:$X$489,9,0)/1000</f>
        <v>-0.215</v>
      </c>
      <c r="H419" s="162">
        <f ca="1">VLOOKUP($A419,'BC.115+740'!$B$13:$X$489,14,0)/1000</f>
        <v>3.7530000000000001</v>
      </c>
      <c r="I419" s="162">
        <f ca="1">VLOOKUP($A419,'BC.115+740'!$B$13:$X$489,15,0)/1000</f>
        <v>-0.247</v>
      </c>
      <c r="J419" s="162">
        <f ca="1">VLOOKUP($A419,'BC.115+740'!$B$13:$X$489,20,0)/1000</f>
        <v>3.7360000000000002</v>
      </c>
      <c r="K419" s="162">
        <f ca="1">VLOOKUP($A419,'BC.115+740'!$B$13:$X$489,21,0)/1000</f>
        <v>-0.26400000000000001</v>
      </c>
      <c r="L419" s="160">
        <f t="shared" ca="1" si="18"/>
        <v>-255</v>
      </c>
      <c r="M419" s="161">
        <f t="shared" ca="1" si="19"/>
        <v>-237</v>
      </c>
      <c r="N419" s="160">
        <f t="shared" ca="1" si="20"/>
        <v>-224</v>
      </c>
      <c r="O419" s="160"/>
    </row>
    <row r="420" spans="1:15">
      <c r="A420" s="164">
        <f>'BC.115+740'!B419</f>
        <v>45478</v>
      </c>
      <c r="B420" s="160">
        <v>406</v>
      </c>
      <c r="C420" s="162">
        <f ca="1">'BC.115+740'!M419/1000</f>
        <v>2.2629999999999999</v>
      </c>
      <c r="D420" s="162">
        <f ca="1">'BC.115+740'!AA419</f>
        <v>2.468</v>
      </c>
      <c r="E420" s="163">
        <f ca="1">'BC.115+740'!AB419</f>
        <v>2.036</v>
      </c>
      <c r="F420" s="162">
        <f ca="1">VLOOKUP($A420,'BC.115+740'!$B$13:$X$489,8,0)/1000</f>
        <v>3.7850000000000001</v>
      </c>
      <c r="G420" s="162">
        <f ca="1">VLOOKUP($A420,'BC.115+740'!$B$13:$X$489,9,0)/1000</f>
        <v>-0.215</v>
      </c>
      <c r="H420" s="162">
        <f ca="1">VLOOKUP($A420,'BC.115+740'!$B$13:$X$489,14,0)/1000</f>
        <v>3.7530000000000001</v>
      </c>
      <c r="I420" s="162">
        <f ca="1">VLOOKUP($A420,'BC.115+740'!$B$13:$X$489,15,0)/1000</f>
        <v>-0.247</v>
      </c>
      <c r="J420" s="162">
        <f ca="1">VLOOKUP($A420,'BC.115+740'!$B$13:$X$489,20,0)/1000</f>
        <v>3.7360000000000002</v>
      </c>
      <c r="K420" s="162">
        <f ca="1">VLOOKUP($A420,'BC.115+740'!$B$13:$X$489,21,0)/1000</f>
        <v>-0.26400000000000001</v>
      </c>
      <c r="L420" s="160">
        <f t="shared" ca="1" si="18"/>
        <v>-255</v>
      </c>
      <c r="M420" s="161">
        <f t="shared" ca="1" si="19"/>
        <v>-237</v>
      </c>
      <c r="N420" s="160">
        <f t="shared" ca="1" si="20"/>
        <v>-224</v>
      </c>
      <c r="O420" s="160"/>
    </row>
    <row r="421" spans="1:15">
      <c r="A421" s="164">
        <f>'BC.115+740'!B420</f>
        <v>45479</v>
      </c>
      <c r="B421" s="160">
        <v>407</v>
      </c>
      <c r="C421" s="162">
        <f ca="1">'BC.115+740'!M420/1000</f>
        <v>2.2629999999999999</v>
      </c>
      <c r="D421" s="162">
        <f ca="1">'BC.115+740'!AA420</f>
        <v>2.468</v>
      </c>
      <c r="E421" s="163">
        <f ca="1">'BC.115+740'!AB420</f>
        <v>2.036</v>
      </c>
      <c r="F421" s="162">
        <f ca="1">VLOOKUP($A421,'BC.115+740'!$B$13:$X$489,8,0)/1000</f>
        <v>3.7850000000000001</v>
      </c>
      <c r="G421" s="162">
        <f ca="1">VLOOKUP($A421,'BC.115+740'!$B$13:$X$489,9,0)/1000</f>
        <v>-0.215</v>
      </c>
      <c r="H421" s="162">
        <f ca="1">VLOOKUP($A421,'BC.115+740'!$B$13:$X$489,14,0)/1000</f>
        <v>3.7530000000000001</v>
      </c>
      <c r="I421" s="162">
        <f ca="1">VLOOKUP($A421,'BC.115+740'!$B$13:$X$489,15,0)/1000</f>
        <v>-0.247</v>
      </c>
      <c r="J421" s="162">
        <f ca="1">VLOOKUP($A421,'BC.115+740'!$B$13:$X$489,20,0)/1000</f>
        <v>3.7360000000000002</v>
      </c>
      <c r="K421" s="162">
        <f ca="1">VLOOKUP($A421,'BC.115+740'!$B$13:$X$489,21,0)/1000</f>
        <v>-0.26400000000000001</v>
      </c>
      <c r="L421" s="160">
        <f t="shared" ca="1" si="18"/>
        <v>-255</v>
      </c>
      <c r="M421" s="161">
        <f t="shared" ca="1" si="19"/>
        <v>-237</v>
      </c>
      <c r="N421" s="160">
        <f t="shared" ca="1" si="20"/>
        <v>-224</v>
      </c>
      <c r="O421" s="160"/>
    </row>
    <row r="422" spans="1:15">
      <c r="A422" s="164">
        <f>'BC.115+740'!B421</f>
        <v>45480</v>
      </c>
      <c r="B422" s="160">
        <v>408</v>
      </c>
      <c r="C422" s="162">
        <f ca="1">'BC.115+740'!M421/1000</f>
        <v>2.2629999999999999</v>
      </c>
      <c r="D422" s="162">
        <f ca="1">'BC.115+740'!AA421</f>
        <v>2.468</v>
      </c>
      <c r="E422" s="163">
        <f ca="1">'BC.115+740'!AB421</f>
        <v>2.036</v>
      </c>
      <c r="F422" s="162">
        <f ca="1">VLOOKUP($A422,'BC.115+740'!$B$13:$X$489,8,0)/1000</f>
        <v>3.7850000000000001</v>
      </c>
      <c r="G422" s="162">
        <f ca="1">VLOOKUP($A422,'BC.115+740'!$B$13:$X$489,9,0)/1000</f>
        <v>-0.215</v>
      </c>
      <c r="H422" s="162">
        <f ca="1">VLOOKUP($A422,'BC.115+740'!$B$13:$X$489,14,0)/1000</f>
        <v>3.7530000000000001</v>
      </c>
      <c r="I422" s="162">
        <f ca="1">VLOOKUP($A422,'BC.115+740'!$B$13:$X$489,15,0)/1000</f>
        <v>-0.247</v>
      </c>
      <c r="J422" s="162">
        <f ca="1">VLOOKUP($A422,'BC.115+740'!$B$13:$X$489,20,0)/1000</f>
        <v>3.7360000000000002</v>
      </c>
      <c r="K422" s="162">
        <f ca="1">VLOOKUP($A422,'BC.115+740'!$B$13:$X$489,21,0)/1000</f>
        <v>-0.26400000000000001</v>
      </c>
      <c r="L422" s="160">
        <f t="shared" ca="1" si="18"/>
        <v>-255</v>
      </c>
      <c r="M422" s="161">
        <f t="shared" ca="1" si="19"/>
        <v>-237</v>
      </c>
      <c r="N422" s="160">
        <f t="shared" ca="1" si="20"/>
        <v>-224</v>
      </c>
      <c r="O422" s="160"/>
    </row>
    <row r="423" spans="1:15">
      <c r="A423" s="164">
        <f>'BC.115+740'!B422</f>
        <v>45481</v>
      </c>
      <c r="B423" s="160">
        <v>409</v>
      </c>
      <c r="C423" s="162">
        <f ca="1">'BC.115+740'!M422/1000</f>
        <v>2.2629999999999999</v>
      </c>
      <c r="D423" s="162">
        <f ca="1">'BC.115+740'!AA422</f>
        <v>2.468</v>
      </c>
      <c r="E423" s="163">
        <f ca="1">'BC.115+740'!AB422</f>
        <v>2.036</v>
      </c>
      <c r="F423" s="162">
        <f ca="1">VLOOKUP($A423,'BC.115+740'!$B$13:$X$489,8,0)/1000</f>
        <v>3.7850000000000001</v>
      </c>
      <c r="G423" s="162">
        <f ca="1">VLOOKUP($A423,'BC.115+740'!$B$13:$X$489,9,0)/1000</f>
        <v>-0.215</v>
      </c>
      <c r="H423" s="162">
        <f ca="1">VLOOKUP($A423,'BC.115+740'!$B$13:$X$489,14,0)/1000</f>
        <v>3.7530000000000001</v>
      </c>
      <c r="I423" s="162">
        <f ca="1">VLOOKUP($A423,'BC.115+740'!$B$13:$X$489,15,0)/1000</f>
        <v>-0.247</v>
      </c>
      <c r="J423" s="162">
        <f ca="1">VLOOKUP($A423,'BC.115+740'!$B$13:$X$489,20,0)/1000</f>
        <v>3.7360000000000002</v>
      </c>
      <c r="K423" s="162">
        <f ca="1">VLOOKUP($A423,'BC.115+740'!$B$13:$X$489,21,0)/1000</f>
        <v>-0.26400000000000001</v>
      </c>
      <c r="L423" s="160">
        <f t="shared" ca="1" si="18"/>
        <v>-255</v>
      </c>
      <c r="M423" s="161">
        <f t="shared" ca="1" si="19"/>
        <v>-237</v>
      </c>
      <c r="N423" s="160">
        <f t="shared" ca="1" si="20"/>
        <v>-224</v>
      </c>
      <c r="O423" s="160"/>
    </row>
    <row r="424" spans="1:15">
      <c r="A424" s="164">
        <f>'BC.115+740'!B423</f>
        <v>45482</v>
      </c>
      <c r="B424" s="160">
        <v>410</v>
      </c>
      <c r="C424" s="162">
        <f ca="1">'BC.115+740'!M423/1000</f>
        <v>2.2629999999999999</v>
      </c>
      <c r="D424" s="162">
        <f ca="1">'BC.115+740'!AA423</f>
        <v>2.468</v>
      </c>
      <c r="E424" s="163">
        <f ca="1">'BC.115+740'!AB423</f>
        <v>2.036</v>
      </c>
      <c r="F424" s="162">
        <f ca="1">VLOOKUP($A424,'BC.115+740'!$B$13:$X$489,8,0)/1000</f>
        <v>3.7850000000000001</v>
      </c>
      <c r="G424" s="162">
        <f ca="1">VLOOKUP($A424,'BC.115+740'!$B$13:$X$489,9,0)/1000</f>
        <v>-0.215</v>
      </c>
      <c r="H424" s="162">
        <f ca="1">VLOOKUP($A424,'BC.115+740'!$B$13:$X$489,14,0)/1000</f>
        <v>3.7530000000000001</v>
      </c>
      <c r="I424" s="162">
        <f ca="1">VLOOKUP($A424,'BC.115+740'!$B$13:$X$489,15,0)/1000</f>
        <v>-0.247</v>
      </c>
      <c r="J424" s="162">
        <f ca="1">VLOOKUP($A424,'BC.115+740'!$B$13:$X$489,20,0)/1000</f>
        <v>3.7360000000000002</v>
      </c>
      <c r="K424" s="162">
        <f ca="1">VLOOKUP($A424,'BC.115+740'!$B$13:$X$489,21,0)/1000</f>
        <v>-0.26400000000000001</v>
      </c>
      <c r="L424" s="160">
        <f t="shared" ca="1" si="18"/>
        <v>-255</v>
      </c>
      <c r="M424" s="161">
        <f t="shared" ca="1" si="19"/>
        <v>-237</v>
      </c>
      <c r="N424" s="160">
        <f t="shared" ca="1" si="20"/>
        <v>-224</v>
      </c>
      <c r="O424" s="160"/>
    </row>
    <row r="425" spans="1:15">
      <c r="A425" s="164">
        <f>'BC.115+740'!B424</f>
        <v>45483</v>
      </c>
      <c r="B425" s="160">
        <v>411</v>
      </c>
      <c r="C425" s="162">
        <f ca="1">'BC.115+740'!M424/1000</f>
        <v>2.2629999999999999</v>
      </c>
      <c r="D425" s="162">
        <f ca="1">'BC.115+740'!AA424</f>
        <v>2.468</v>
      </c>
      <c r="E425" s="163">
        <f ca="1">'BC.115+740'!AB424</f>
        <v>2.036</v>
      </c>
      <c r="F425" s="162">
        <f ca="1">VLOOKUP($A425,'BC.115+740'!$B$13:$X$489,8,0)/1000</f>
        <v>3.7850000000000001</v>
      </c>
      <c r="G425" s="162">
        <f ca="1">VLOOKUP($A425,'BC.115+740'!$B$13:$X$489,9,0)/1000</f>
        <v>-0.215</v>
      </c>
      <c r="H425" s="162">
        <f ca="1">VLOOKUP($A425,'BC.115+740'!$B$13:$X$489,14,0)/1000</f>
        <v>3.7530000000000001</v>
      </c>
      <c r="I425" s="162">
        <f ca="1">VLOOKUP($A425,'BC.115+740'!$B$13:$X$489,15,0)/1000</f>
        <v>-0.247</v>
      </c>
      <c r="J425" s="162">
        <f ca="1">VLOOKUP($A425,'BC.115+740'!$B$13:$X$489,20,0)/1000</f>
        <v>3.7360000000000002</v>
      </c>
      <c r="K425" s="162">
        <f ca="1">VLOOKUP($A425,'BC.115+740'!$B$13:$X$489,21,0)/1000</f>
        <v>-0.26400000000000001</v>
      </c>
      <c r="L425" s="160">
        <f t="shared" ca="1" si="18"/>
        <v>-255</v>
      </c>
      <c r="M425" s="161">
        <f t="shared" ca="1" si="19"/>
        <v>-237</v>
      </c>
      <c r="N425" s="160">
        <f t="shared" ca="1" si="20"/>
        <v>-224</v>
      </c>
      <c r="O425" s="160"/>
    </row>
    <row r="426" spans="1:15">
      <c r="A426" s="164">
        <f>'BC.115+740'!B425</f>
        <v>45484</v>
      </c>
      <c r="B426" s="160">
        <v>412</v>
      </c>
      <c r="C426" s="162">
        <f ca="1">'BC.115+740'!M425/1000</f>
        <v>2.2629999999999999</v>
      </c>
      <c r="D426" s="162">
        <f ca="1">'BC.115+740'!AA425</f>
        <v>2.468</v>
      </c>
      <c r="E426" s="163">
        <f ca="1">'BC.115+740'!AB425</f>
        <v>2.036</v>
      </c>
      <c r="F426" s="162">
        <f ca="1">VLOOKUP($A426,'BC.115+740'!$B$13:$X$489,8,0)/1000</f>
        <v>3.7850000000000001</v>
      </c>
      <c r="G426" s="162">
        <f ca="1">VLOOKUP($A426,'BC.115+740'!$B$13:$X$489,9,0)/1000</f>
        <v>-0.215</v>
      </c>
      <c r="H426" s="162">
        <f ca="1">VLOOKUP($A426,'BC.115+740'!$B$13:$X$489,14,0)/1000</f>
        <v>3.7530000000000001</v>
      </c>
      <c r="I426" s="162">
        <f ca="1">VLOOKUP($A426,'BC.115+740'!$B$13:$X$489,15,0)/1000</f>
        <v>-0.247</v>
      </c>
      <c r="J426" s="162">
        <f ca="1">VLOOKUP($A426,'BC.115+740'!$B$13:$X$489,20,0)/1000</f>
        <v>3.7360000000000002</v>
      </c>
      <c r="K426" s="162">
        <f ca="1">VLOOKUP($A426,'BC.115+740'!$B$13:$X$489,21,0)/1000</f>
        <v>-0.26400000000000001</v>
      </c>
      <c r="L426" s="160">
        <f t="shared" ca="1" si="18"/>
        <v>-255</v>
      </c>
      <c r="M426" s="161">
        <f t="shared" ca="1" si="19"/>
        <v>-237</v>
      </c>
      <c r="N426" s="160">
        <f t="shared" ca="1" si="20"/>
        <v>-224</v>
      </c>
      <c r="O426" s="160"/>
    </row>
    <row r="427" spans="1:15">
      <c r="A427" s="164">
        <f>'BC.115+740'!B426</f>
        <v>45485</v>
      </c>
      <c r="B427" s="160">
        <v>413</v>
      </c>
      <c r="C427" s="162">
        <f ca="1">'BC.115+740'!M426/1000</f>
        <v>2.2629999999999999</v>
      </c>
      <c r="D427" s="162">
        <f ca="1">'BC.115+740'!AA426</f>
        <v>2.468</v>
      </c>
      <c r="E427" s="163">
        <f ca="1">'BC.115+740'!AB426</f>
        <v>2.036</v>
      </c>
      <c r="F427" s="162">
        <f ca="1">VLOOKUP($A427,'BC.115+740'!$B$13:$X$489,8,0)/1000</f>
        <v>3.7850000000000001</v>
      </c>
      <c r="G427" s="162">
        <f ca="1">VLOOKUP($A427,'BC.115+740'!$B$13:$X$489,9,0)/1000</f>
        <v>-0.215</v>
      </c>
      <c r="H427" s="162">
        <f ca="1">VLOOKUP($A427,'BC.115+740'!$B$13:$X$489,14,0)/1000</f>
        <v>3.7530000000000001</v>
      </c>
      <c r="I427" s="162">
        <f ca="1">VLOOKUP($A427,'BC.115+740'!$B$13:$X$489,15,0)/1000</f>
        <v>-0.247</v>
      </c>
      <c r="J427" s="162">
        <f ca="1">VLOOKUP($A427,'BC.115+740'!$B$13:$X$489,20,0)/1000</f>
        <v>3.7360000000000002</v>
      </c>
      <c r="K427" s="162">
        <f ca="1">VLOOKUP($A427,'BC.115+740'!$B$13:$X$489,21,0)/1000</f>
        <v>-0.26400000000000001</v>
      </c>
      <c r="L427" s="160">
        <f t="shared" ca="1" si="18"/>
        <v>-255</v>
      </c>
      <c r="M427" s="161">
        <f t="shared" ca="1" si="19"/>
        <v>-237</v>
      </c>
      <c r="N427" s="160">
        <f t="shared" ca="1" si="20"/>
        <v>-224</v>
      </c>
      <c r="O427" s="160"/>
    </row>
    <row r="428" spans="1:15">
      <c r="A428" s="164">
        <f>'BC.115+740'!B427</f>
        <v>45486</v>
      </c>
      <c r="B428" s="160">
        <v>414</v>
      </c>
      <c r="C428" s="162">
        <f ca="1">'BC.115+740'!M427/1000</f>
        <v>2.2629999999999999</v>
      </c>
      <c r="D428" s="162">
        <f ca="1">'BC.115+740'!AA427</f>
        <v>2.468</v>
      </c>
      <c r="E428" s="163">
        <f ca="1">'BC.115+740'!AB427</f>
        <v>2.036</v>
      </c>
      <c r="F428" s="162">
        <f ca="1">VLOOKUP($A428,'BC.115+740'!$B$13:$X$489,8,0)/1000</f>
        <v>3.7850000000000001</v>
      </c>
      <c r="G428" s="162">
        <f ca="1">VLOOKUP($A428,'BC.115+740'!$B$13:$X$489,9,0)/1000</f>
        <v>-0.215</v>
      </c>
      <c r="H428" s="162">
        <f ca="1">VLOOKUP($A428,'BC.115+740'!$B$13:$X$489,14,0)/1000</f>
        <v>3.7530000000000001</v>
      </c>
      <c r="I428" s="162">
        <f ca="1">VLOOKUP($A428,'BC.115+740'!$B$13:$X$489,15,0)/1000</f>
        <v>-0.247</v>
      </c>
      <c r="J428" s="162">
        <f ca="1">VLOOKUP($A428,'BC.115+740'!$B$13:$X$489,20,0)/1000</f>
        <v>3.7360000000000002</v>
      </c>
      <c r="K428" s="162">
        <f ca="1">VLOOKUP($A428,'BC.115+740'!$B$13:$X$489,21,0)/1000</f>
        <v>-0.26400000000000001</v>
      </c>
      <c r="L428" s="160">
        <f t="shared" ca="1" si="18"/>
        <v>-255</v>
      </c>
      <c r="M428" s="161">
        <f t="shared" ca="1" si="19"/>
        <v>-237</v>
      </c>
      <c r="N428" s="160">
        <f t="shared" ca="1" si="20"/>
        <v>-224</v>
      </c>
      <c r="O428" s="160"/>
    </row>
    <row r="429" spans="1:15">
      <c r="A429" s="164">
        <f>'BC.115+740'!B428</f>
        <v>45487</v>
      </c>
      <c r="B429" s="160">
        <v>415</v>
      </c>
      <c r="C429" s="162">
        <f ca="1">'BC.115+740'!M428/1000</f>
        <v>2.2629999999999999</v>
      </c>
      <c r="D429" s="162">
        <f ca="1">'BC.115+740'!AA428</f>
        <v>2.468</v>
      </c>
      <c r="E429" s="163">
        <f ca="1">'BC.115+740'!AB428</f>
        <v>2.036</v>
      </c>
      <c r="F429" s="162">
        <f ca="1">VLOOKUP($A429,'BC.115+740'!$B$13:$X$489,8,0)/1000</f>
        <v>3.7850000000000001</v>
      </c>
      <c r="G429" s="162">
        <f ca="1">VLOOKUP($A429,'BC.115+740'!$B$13:$X$489,9,0)/1000</f>
        <v>-0.215</v>
      </c>
      <c r="H429" s="162">
        <f ca="1">VLOOKUP($A429,'BC.115+740'!$B$13:$X$489,14,0)/1000</f>
        <v>3.7530000000000001</v>
      </c>
      <c r="I429" s="162">
        <f ca="1">VLOOKUP($A429,'BC.115+740'!$B$13:$X$489,15,0)/1000</f>
        <v>-0.247</v>
      </c>
      <c r="J429" s="162">
        <f ca="1">VLOOKUP($A429,'BC.115+740'!$B$13:$X$489,20,0)/1000</f>
        <v>3.7360000000000002</v>
      </c>
      <c r="K429" s="162">
        <f ca="1">VLOOKUP($A429,'BC.115+740'!$B$13:$X$489,21,0)/1000</f>
        <v>-0.26400000000000001</v>
      </c>
      <c r="L429" s="160">
        <f t="shared" ca="1" si="18"/>
        <v>-255</v>
      </c>
      <c r="M429" s="161">
        <f t="shared" ca="1" si="19"/>
        <v>-237</v>
      </c>
      <c r="N429" s="160">
        <f t="shared" ca="1" si="20"/>
        <v>-224</v>
      </c>
      <c r="O429" s="160"/>
    </row>
    <row r="430" spans="1:15">
      <c r="A430" s="164">
        <f>'BC.115+740'!B429</f>
        <v>45488</v>
      </c>
      <c r="B430" s="160">
        <v>416</v>
      </c>
      <c r="C430" s="162">
        <f ca="1">'BC.115+740'!M429/1000</f>
        <v>2.2629999999999999</v>
      </c>
      <c r="D430" s="162">
        <f ca="1">'BC.115+740'!AA429</f>
        <v>2.468</v>
      </c>
      <c r="E430" s="163">
        <f ca="1">'BC.115+740'!AB429</f>
        <v>2.036</v>
      </c>
      <c r="F430" s="162">
        <f ca="1">VLOOKUP($A430,'BC.115+740'!$B$13:$X$489,8,0)/1000</f>
        <v>3.7850000000000001</v>
      </c>
      <c r="G430" s="162">
        <f ca="1">VLOOKUP($A430,'BC.115+740'!$B$13:$X$489,9,0)/1000</f>
        <v>-0.215</v>
      </c>
      <c r="H430" s="162">
        <f ca="1">VLOOKUP($A430,'BC.115+740'!$B$13:$X$489,14,0)/1000</f>
        <v>3.7530000000000001</v>
      </c>
      <c r="I430" s="162">
        <f ca="1">VLOOKUP($A430,'BC.115+740'!$B$13:$X$489,15,0)/1000</f>
        <v>-0.247</v>
      </c>
      <c r="J430" s="162">
        <f ca="1">VLOOKUP($A430,'BC.115+740'!$B$13:$X$489,20,0)/1000</f>
        <v>3.7360000000000002</v>
      </c>
      <c r="K430" s="162">
        <f ca="1">VLOOKUP($A430,'BC.115+740'!$B$13:$X$489,21,0)/1000</f>
        <v>-0.26400000000000001</v>
      </c>
      <c r="L430" s="160">
        <f t="shared" ca="1" si="18"/>
        <v>-255</v>
      </c>
      <c r="M430" s="161">
        <f t="shared" ca="1" si="19"/>
        <v>-237</v>
      </c>
      <c r="N430" s="160">
        <f t="shared" ca="1" si="20"/>
        <v>-224</v>
      </c>
      <c r="O430" s="160"/>
    </row>
    <row r="431" spans="1:15">
      <c r="A431" s="164">
        <f>'BC.115+740'!B430</f>
        <v>45489</v>
      </c>
      <c r="B431" s="160">
        <v>417</v>
      </c>
      <c r="C431" s="162">
        <f ca="1">'BC.115+740'!M430/1000</f>
        <v>2.2629999999999999</v>
      </c>
      <c r="D431" s="162">
        <f ca="1">'BC.115+740'!AA430</f>
        <v>2.468</v>
      </c>
      <c r="E431" s="163">
        <f ca="1">'BC.115+740'!AB430</f>
        <v>2.036</v>
      </c>
      <c r="F431" s="162">
        <f ca="1">VLOOKUP($A431,'BC.115+740'!$B$13:$X$489,8,0)/1000</f>
        <v>3.7850000000000001</v>
      </c>
      <c r="G431" s="162">
        <f ca="1">VLOOKUP($A431,'BC.115+740'!$B$13:$X$489,9,0)/1000</f>
        <v>-0.215</v>
      </c>
      <c r="H431" s="162">
        <f ca="1">VLOOKUP($A431,'BC.115+740'!$B$13:$X$489,14,0)/1000</f>
        <v>3.7530000000000001</v>
      </c>
      <c r="I431" s="162">
        <f ca="1">VLOOKUP($A431,'BC.115+740'!$B$13:$X$489,15,0)/1000</f>
        <v>-0.247</v>
      </c>
      <c r="J431" s="162">
        <f ca="1">VLOOKUP($A431,'BC.115+740'!$B$13:$X$489,20,0)/1000</f>
        <v>3.7360000000000002</v>
      </c>
      <c r="K431" s="162">
        <f ca="1">VLOOKUP($A431,'BC.115+740'!$B$13:$X$489,21,0)/1000</f>
        <v>-0.26400000000000001</v>
      </c>
      <c r="L431" s="160">
        <f t="shared" ca="1" si="18"/>
        <v>-255</v>
      </c>
      <c r="M431" s="161">
        <f t="shared" ca="1" si="19"/>
        <v>-237</v>
      </c>
      <c r="N431" s="160">
        <f t="shared" ca="1" si="20"/>
        <v>-224</v>
      </c>
      <c r="O431" s="160"/>
    </row>
    <row r="432" spans="1:15">
      <c r="A432" s="164">
        <f>'BC.115+740'!B431</f>
        <v>45490</v>
      </c>
      <c r="B432" s="160">
        <v>418</v>
      </c>
      <c r="C432" s="162">
        <f ca="1">'BC.115+740'!M431/1000</f>
        <v>2.2629999999999999</v>
      </c>
      <c r="D432" s="162">
        <f ca="1">'BC.115+740'!AA431</f>
        <v>2.468</v>
      </c>
      <c r="E432" s="163">
        <f ca="1">'BC.115+740'!AB431</f>
        <v>2.036</v>
      </c>
      <c r="F432" s="162">
        <f ca="1">VLOOKUP($A432,'BC.115+740'!$B$13:$X$489,8,0)/1000</f>
        <v>3.7850000000000001</v>
      </c>
      <c r="G432" s="162">
        <f ca="1">VLOOKUP($A432,'BC.115+740'!$B$13:$X$489,9,0)/1000</f>
        <v>-0.215</v>
      </c>
      <c r="H432" s="162">
        <f ca="1">VLOOKUP($A432,'BC.115+740'!$B$13:$X$489,14,0)/1000</f>
        <v>3.7530000000000001</v>
      </c>
      <c r="I432" s="162">
        <f ca="1">VLOOKUP($A432,'BC.115+740'!$B$13:$X$489,15,0)/1000</f>
        <v>-0.247</v>
      </c>
      <c r="J432" s="162">
        <f ca="1">VLOOKUP($A432,'BC.115+740'!$B$13:$X$489,20,0)/1000</f>
        <v>3.7360000000000002</v>
      </c>
      <c r="K432" s="162">
        <f ca="1">VLOOKUP($A432,'BC.115+740'!$B$13:$X$489,21,0)/1000</f>
        <v>-0.26400000000000001</v>
      </c>
      <c r="L432" s="160">
        <f t="shared" ca="1" si="18"/>
        <v>-255</v>
      </c>
      <c r="M432" s="161">
        <f t="shared" ca="1" si="19"/>
        <v>-237</v>
      </c>
      <c r="N432" s="160">
        <f t="shared" ca="1" si="20"/>
        <v>-224</v>
      </c>
      <c r="O432" s="160"/>
    </row>
    <row r="433" spans="1:15">
      <c r="A433" s="164">
        <f>'BC.115+740'!B432</f>
        <v>45491</v>
      </c>
      <c r="B433" s="160">
        <v>419</v>
      </c>
      <c r="C433" s="162">
        <f ca="1">'BC.115+740'!M432/1000</f>
        <v>2.2629999999999999</v>
      </c>
      <c r="D433" s="162">
        <f ca="1">'BC.115+740'!AA432</f>
        <v>2.468</v>
      </c>
      <c r="E433" s="163">
        <f ca="1">'BC.115+740'!AB432</f>
        <v>2.036</v>
      </c>
      <c r="F433" s="162">
        <f ca="1">VLOOKUP($A433,'BC.115+740'!$B$13:$X$489,8,0)/1000</f>
        <v>3.7850000000000001</v>
      </c>
      <c r="G433" s="162">
        <f ca="1">VLOOKUP($A433,'BC.115+740'!$B$13:$X$489,9,0)/1000</f>
        <v>-0.215</v>
      </c>
      <c r="H433" s="162">
        <f ca="1">VLOOKUP($A433,'BC.115+740'!$B$13:$X$489,14,0)/1000</f>
        <v>3.7530000000000001</v>
      </c>
      <c r="I433" s="162">
        <f ca="1">VLOOKUP($A433,'BC.115+740'!$B$13:$X$489,15,0)/1000</f>
        <v>-0.247</v>
      </c>
      <c r="J433" s="162">
        <f ca="1">VLOOKUP($A433,'BC.115+740'!$B$13:$X$489,20,0)/1000</f>
        <v>3.7360000000000002</v>
      </c>
      <c r="K433" s="162">
        <f ca="1">VLOOKUP($A433,'BC.115+740'!$B$13:$X$489,21,0)/1000</f>
        <v>-0.26400000000000001</v>
      </c>
      <c r="L433" s="160">
        <f t="shared" ca="1" si="18"/>
        <v>-255</v>
      </c>
      <c r="M433" s="161">
        <f t="shared" ca="1" si="19"/>
        <v>-237</v>
      </c>
      <c r="N433" s="160">
        <f t="shared" ca="1" si="20"/>
        <v>-224</v>
      </c>
      <c r="O433" s="160"/>
    </row>
    <row r="434" spans="1:15">
      <c r="A434" s="164">
        <f>'BC.115+740'!B433</f>
        <v>45492</v>
      </c>
      <c r="B434" s="160">
        <v>420</v>
      </c>
      <c r="C434" s="162">
        <f ca="1">'BC.115+740'!M433/1000</f>
        <v>2.2629999999999999</v>
      </c>
      <c r="D434" s="162">
        <f ca="1">'BC.115+740'!AA433</f>
        <v>2.468</v>
      </c>
      <c r="E434" s="163">
        <f ca="1">'BC.115+740'!AB433</f>
        <v>2.036</v>
      </c>
      <c r="F434" s="162">
        <f ca="1">VLOOKUP($A434,'BC.115+740'!$B$13:$X$489,8,0)/1000</f>
        <v>3.7850000000000001</v>
      </c>
      <c r="G434" s="162">
        <f ca="1">VLOOKUP($A434,'BC.115+740'!$B$13:$X$489,9,0)/1000</f>
        <v>-0.215</v>
      </c>
      <c r="H434" s="162">
        <f ca="1">VLOOKUP($A434,'BC.115+740'!$B$13:$X$489,14,0)/1000</f>
        <v>3.7530000000000001</v>
      </c>
      <c r="I434" s="162">
        <f ca="1">VLOOKUP($A434,'BC.115+740'!$B$13:$X$489,15,0)/1000</f>
        <v>-0.247</v>
      </c>
      <c r="J434" s="162">
        <f ca="1">VLOOKUP($A434,'BC.115+740'!$B$13:$X$489,20,0)/1000</f>
        <v>3.7360000000000002</v>
      </c>
      <c r="K434" s="162">
        <f ca="1">VLOOKUP($A434,'BC.115+740'!$B$13:$X$489,21,0)/1000</f>
        <v>-0.26400000000000001</v>
      </c>
      <c r="L434" s="160">
        <f t="shared" ca="1" si="18"/>
        <v>-255</v>
      </c>
      <c r="M434" s="161">
        <f t="shared" ca="1" si="19"/>
        <v>-237</v>
      </c>
      <c r="N434" s="160">
        <f t="shared" ca="1" si="20"/>
        <v>-224</v>
      </c>
      <c r="O434" s="160"/>
    </row>
    <row r="435" spans="1:15">
      <c r="A435" s="164">
        <f>'BC.115+740'!B434</f>
        <v>45493</v>
      </c>
      <c r="B435" s="160">
        <v>421</v>
      </c>
      <c r="C435" s="162">
        <f ca="1">'BC.115+740'!M434/1000</f>
        <v>2.2629999999999999</v>
      </c>
      <c r="D435" s="162">
        <f ca="1">'BC.115+740'!AA434</f>
        <v>2.468</v>
      </c>
      <c r="E435" s="163">
        <f ca="1">'BC.115+740'!AB434</f>
        <v>2.036</v>
      </c>
      <c r="F435" s="162">
        <f ca="1">VLOOKUP($A435,'BC.115+740'!$B$13:$X$489,8,0)/1000</f>
        <v>3.7850000000000001</v>
      </c>
      <c r="G435" s="162">
        <f ca="1">VLOOKUP($A435,'BC.115+740'!$B$13:$X$489,9,0)/1000</f>
        <v>-0.215</v>
      </c>
      <c r="H435" s="162">
        <f ca="1">VLOOKUP($A435,'BC.115+740'!$B$13:$X$489,14,0)/1000</f>
        <v>3.7530000000000001</v>
      </c>
      <c r="I435" s="162">
        <f ca="1">VLOOKUP($A435,'BC.115+740'!$B$13:$X$489,15,0)/1000</f>
        <v>-0.247</v>
      </c>
      <c r="J435" s="162">
        <f ca="1">VLOOKUP($A435,'BC.115+740'!$B$13:$X$489,20,0)/1000</f>
        <v>3.7360000000000002</v>
      </c>
      <c r="K435" s="162">
        <f ca="1">VLOOKUP($A435,'BC.115+740'!$B$13:$X$489,21,0)/1000</f>
        <v>-0.26400000000000001</v>
      </c>
      <c r="L435" s="160">
        <f t="shared" ca="1" si="18"/>
        <v>-255</v>
      </c>
      <c r="M435" s="161">
        <f t="shared" ca="1" si="19"/>
        <v>-237</v>
      </c>
      <c r="N435" s="160">
        <f t="shared" ca="1" si="20"/>
        <v>-224</v>
      </c>
      <c r="O435" s="160"/>
    </row>
    <row r="436" spans="1:15">
      <c r="A436" s="164">
        <f>'BC.115+740'!B435</f>
        <v>45494</v>
      </c>
      <c r="B436" s="160">
        <v>422</v>
      </c>
      <c r="C436" s="162">
        <f ca="1">'BC.115+740'!M435/1000</f>
        <v>2.2629999999999999</v>
      </c>
      <c r="D436" s="162">
        <f ca="1">'BC.115+740'!AA435</f>
        <v>2.468</v>
      </c>
      <c r="E436" s="163">
        <f ca="1">'BC.115+740'!AB435</f>
        <v>2.036</v>
      </c>
      <c r="F436" s="162">
        <f ca="1">VLOOKUP($A436,'BC.115+740'!$B$13:$X$489,8,0)/1000</f>
        <v>3.7850000000000001</v>
      </c>
      <c r="G436" s="162">
        <f ca="1">VLOOKUP($A436,'BC.115+740'!$B$13:$X$489,9,0)/1000</f>
        <v>-0.215</v>
      </c>
      <c r="H436" s="162">
        <f ca="1">VLOOKUP($A436,'BC.115+740'!$B$13:$X$489,14,0)/1000</f>
        <v>3.7530000000000001</v>
      </c>
      <c r="I436" s="162">
        <f ca="1">VLOOKUP($A436,'BC.115+740'!$B$13:$X$489,15,0)/1000</f>
        <v>-0.247</v>
      </c>
      <c r="J436" s="162">
        <f ca="1">VLOOKUP($A436,'BC.115+740'!$B$13:$X$489,20,0)/1000</f>
        <v>3.7360000000000002</v>
      </c>
      <c r="K436" s="162">
        <f ca="1">VLOOKUP($A436,'BC.115+740'!$B$13:$X$489,21,0)/1000</f>
        <v>-0.26400000000000001</v>
      </c>
      <c r="L436" s="160">
        <f t="shared" ca="1" si="18"/>
        <v>-255</v>
      </c>
      <c r="M436" s="161">
        <f t="shared" ca="1" si="19"/>
        <v>-237</v>
      </c>
      <c r="N436" s="160">
        <f t="shared" ca="1" si="20"/>
        <v>-224</v>
      </c>
      <c r="O436" s="160"/>
    </row>
    <row r="437" spans="1:15">
      <c r="A437" s="164">
        <f>'BC.115+740'!B436</f>
        <v>45495</v>
      </c>
      <c r="B437" s="160">
        <v>423</v>
      </c>
      <c r="C437" s="162">
        <f ca="1">'BC.115+740'!M436/1000</f>
        <v>2.4529999999999998</v>
      </c>
      <c r="D437" s="162">
        <f ca="1">'BC.115+740'!AA436</f>
        <v>2.6579999999999999</v>
      </c>
      <c r="E437" s="163">
        <f ca="1">'BC.115+740'!AB436</f>
        <v>2.2160000000000002</v>
      </c>
      <c r="F437" s="162">
        <f ca="1">VLOOKUP($A437,'BC.115+740'!$B$13:$X$489,8,0)/1000</f>
        <v>3.7749999999999999</v>
      </c>
      <c r="G437" s="162">
        <f ca="1">VLOOKUP($A437,'BC.115+740'!$B$13:$X$489,9,0)/1000</f>
        <v>-0.22500000000000001</v>
      </c>
      <c r="H437" s="162">
        <f ca="1">VLOOKUP($A437,'BC.115+740'!$B$13:$X$489,14,0)/1000</f>
        <v>3.7429999999999999</v>
      </c>
      <c r="I437" s="162">
        <f ca="1">VLOOKUP($A437,'BC.115+740'!$B$13:$X$489,15,0)/1000</f>
        <v>-0.25700000000000001</v>
      </c>
      <c r="J437" s="162">
        <f ca="1">VLOOKUP($A437,'BC.115+740'!$B$13:$X$489,20,0)/1000</f>
        <v>3.726</v>
      </c>
      <c r="K437" s="162">
        <f ca="1">VLOOKUP($A437,'BC.115+740'!$B$13:$X$489,21,0)/1000</f>
        <v>-0.27400000000000002</v>
      </c>
      <c r="L437" s="160">
        <f t="shared" ca="1" si="18"/>
        <v>-265</v>
      </c>
      <c r="M437" s="161">
        <f t="shared" ca="1" si="19"/>
        <v>-247</v>
      </c>
      <c r="N437" s="160">
        <f t="shared" ca="1" si="20"/>
        <v>-234</v>
      </c>
      <c r="O437" s="160"/>
    </row>
    <row r="438" spans="1:15">
      <c r="A438" s="164">
        <f>'BC.115+740'!B437</f>
        <v>45496</v>
      </c>
      <c r="B438" s="160">
        <v>424</v>
      </c>
      <c r="C438" s="162">
        <f ca="1">'BC.115+740'!M437/1000</f>
        <v>2.4430000000000001</v>
      </c>
      <c r="D438" s="162">
        <f ca="1">'BC.115+740'!AA437</f>
        <v>2.6579999999999999</v>
      </c>
      <c r="E438" s="163">
        <f ca="1">'BC.115+740'!AB437</f>
        <v>2.1960000000000002</v>
      </c>
      <c r="F438" s="162">
        <f ca="1">VLOOKUP($A438,'BC.115+740'!$B$13:$X$489,8,0)/1000</f>
        <v>3.7669999999999999</v>
      </c>
      <c r="G438" s="162">
        <f ca="1">VLOOKUP($A438,'BC.115+740'!$B$13:$X$489,9,0)/1000</f>
        <v>-0.23300000000000001</v>
      </c>
      <c r="H438" s="162">
        <f ca="1">VLOOKUP($A438,'BC.115+740'!$B$13:$X$489,14,0)/1000</f>
        <v>3.7330000000000001</v>
      </c>
      <c r="I438" s="162">
        <f ca="1">VLOOKUP($A438,'BC.115+740'!$B$13:$X$489,15,0)/1000</f>
        <v>-0.26700000000000002</v>
      </c>
      <c r="J438" s="162">
        <f ca="1">VLOOKUP($A438,'BC.115+740'!$B$13:$X$489,20,0)/1000</f>
        <v>3.7160000000000002</v>
      </c>
      <c r="K438" s="162">
        <f ca="1">VLOOKUP($A438,'BC.115+740'!$B$13:$X$489,21,0)/1000</f>
        <v>-0.28399999999999997</v>
      </c>
      <c r="L438" s="160">
        <f t="shared" ca="1" si="18"/>
        <v>-273</v>
      </c>
      <c r="M438" s="161">
        <f t="shared" ca="1" si="19"/>
        <v>-257</v>
      </c>
      <c r="N438" s="160">
        <f t="shared" ca="1" si="20"/>
        <v>-243.99999999999997</v>
      </c>
      <c r="O438" s="160"/>
    </row>
    <row r="439" spans="1:15">
      <c r="A439" s="164">
        <f>'BC.115+740'!B438</f>
        <v>45497</v>
      </c>
      <c r="B439" s="160">
        <v>425</v>
      </c>
      <c r="C439" s="162">
        <f ca="1">'BC.115+740'!M438/1000</f>
        <v>2.4369999999999998</v>
      </c>
      <c r="D439" s="162">
        <f ca="1">'BC.115+740'!AA438</f>
        <v>2.6579999999999999</v>
      </c>
      <c r="E439" s="163">
        <f ca="1">'BC.115+740'!AB438</f>
        <v>2.1840000000000002</v>
      </c>
      <c r="F439" s="162">
        <f ca="1">VLOOKUP($A439,'BC.115+740'!$B$13:$X$489,8,0)/1000</f>
        <v>3.7610000000000001</v>
      </c>
      <c r="G439" s="162">
        <f ca="1">VLOOKUP($A439,'BC.115+740'!$B$13:$X$489,9,0)/1000</f>
        <v>-0.23899999999999999</v>
      </c>
      <c r="H439" s="162">
        <f ca="1">VLOOKUP($A439,'BC.115+740'!$B$13:$X$489,14,0)/1000</f>
        <v>3.7269999999999999</v>
      </c>
      <c r="I439" s="162">
        <f ca="1">VLOOKUP($A439,'BC.115+740'!$B$13:$X$489,15,0)/1000</f>
        <v>-0.27300000000000002</v>
      </c>
      <c r="J439" s="162">
        <f ca="1">VLOOKUP($A439,'BC.115+740'!$B$13:$X$489,20,0)/1000</f>
        <v>3.706</v>
      </c>
      <c r="K439" s="162">
        <f ca="1">VLOOKUP($A439,'BC.115+740'!$B$13:$X$489,21,0)/1000</f>
        <v>-0.29399999999999998</v>
      </c>
      <c r="L439" s="160">
        <f t="shared" ca="1" si="18"/>
        <v>-278.99999999999994</v>
      </c>
      <c r="M439" s="161">
        <f t="shared" ca="1" si="19"/>
        <v>-263</v>
      </c>
      <c r="N439" s="160">
        <f t="shared" ca="1" si="20"/>
        <v>-254</v>
      </c>
      <c r="O439" s="160"/>
    </row>
    <row r="440" spans="1:15">
      <c r="A440" s="164">
        <f>'BC.115+740'!B439</f>
        <v>45498</v>
      </c>
      <c r="B440" s="160">
        <v>426</v>
      </c>
      <c r="C440" s="162">
        <f ca="1">'BC.115+740'!M439/1000</f>
        <v>2.4289999999999998</v>
      </c>
      <c r="D440" s="162">
        <f ca="1">'BC.115+740'!AA439</f>
        <v>2.6579999999999999</v>
      </c>
      <c r="E440" s="163">
        <f ca="1">'BC.115+740'!AB439</f>
        <v>2.1680000000000001</v>
      </c>
      <c r="F440" s="162">
        <f ca="1">VLOOKUP($A440,'BC.115+740'!$B$13:$X$489,8,0)/1000</f>
        <v>3.7549999999999999</v>
      </c>
      <c r="G440" s="162">
        <f ca="1">VLOOKUP($A440,'BC.115+740'!$B$13:$X$489,9,0)/1000</f>
        <v>-0.245</v>
      </c>
      <c r="H440" s="162">
        <f ca="1">VLOOKUP($A440,'BC.115+740'!$B$13:$X$489,14,0)/1000</f>
        <v>3.7189999999999999</v>
      </c>
      <c r="I440" s="162">
        <f ca="1">VLOOKUP($A440,'BC.115+740'!$B$13:$X$489,15,0)/1000</f>
        <v>-0.28100000000000003</v>
      </c>
      <c r="J440" s="162">
        <f ca="1">VLOOKUP($A440,'BC.115+740'!$B$13:$X$489,20,0)/1000</f>
        <v>3.6989999999999998</v>
      </c>
      <c r="K440" s="162">
        <f ca="1">VLOOKUP($A440,'BC.115+740'!$B$13:$X$489,21,0)/1000</f>
        <v>-0.30099999999999999</v>
      </c>
      <c r="L440" s="160">
        <f t="shared" ca="1" si="18"/>
        <v>-285</v>
      </c>
      <c r="M440" s="161">
        <f t="shared" ca="1" si="19"/>
        <v>-271</v>
      </c>
      <c r="N440" s="160">
        <f t="shared" ca="1" si="20"/>
        <v>-261</v>
      </c>
      <c r="O440" s="160"/>
    </row>
    <row r="441" spans="1:15">
      <c r="A441" s="164">
        <f>'BC.115+740'!B440</f>
        <v>45499</v>
      </c>
      <c r="B441" s="160">
        <v>427</v>
      </c>
      <c r="C441" s="162">
        <f ca="1">'BC.115+740'!M440/1000</f>
        <v>2.7189999999999999</v>
      </c>
      <c r="D441" s="162">
        <f ca="1">'BC.115+740'!AA440</f>
        <v>2.948</v>
      </c>
      <c r="E441" s="163">
        <f ca="1">'BC.115+740'!AB440</f>
        <v>2.448</v>
      </c>
      <c r="F441" s="162">
        <f ca="1">VLOOKUP($A441,'BC.115+740'!$B$13:$X$489,8,0)/1000</f>
        <v>3.7450000000000001</v>
      </c>
      <c r="G441" s="162">
        <f ca="1">VLOOKUP($A441,'BC.115+740'!$B$13:$X$489,9,0)/1000</f>
        <v>-0.255</v>
      </c>
      <c r="H441" s="162">
        <f ca="1">VLOOKUP($A441,'BC.115+740'!$B$13:$X$489,14,0)/1000</f>
        <v>3.7090000000000001</v>
      </c>
      <c r="I441" s="162">
        <f ca="1">VLOOKUP($A441,'BC.115+740'!$B$13:$X$489,15,0)/1000</f>
        <v>-0.29099999999999998</v>
      </c>
      <c r="J441" s="162">
        <f ca="1">VLOOKUP($A441,'BC.115+740'!$B$13:$X$489,20,0)/1000</f>
        <v>3.6890000000000001</v>
      </c>
      <c r="K441" s="162">
        <f ca="1">VLOOKUP($A441,'BC.115+740'!$B$13:$X$489,21,0)/1000</f>
        <v>-0.311</v>
      </c>
      <c r="L441" s="160">
        <f t="shared" ca="1" si="18"/>
        <v>-295</v>
      </c>
      <c r="M441" s="161">
        <f t="shared" ca="1" si="19"/>
        <v>-281</v>
      </c>
      <c r="N441" s="160">
        <f t="shared" ca="1" si="20"/>
        <v>-271</v>
      </c>
      <c r="O441" s="160"/>
    </row>
    <row r="442" spans="1:15">
      <c r="A442" s="164">
        <f>'BC.115+740'!B441</f>
        <v>45500</v>
      </c>
      <c r="B442" s="160">
        <v>428</v>
      </c>
      <c r="C442" s="162">
        <f ca="1">'BC.115+740'!M441/1000</f>
        <v>2.71</v>
      </c>
      <c r="D442" s="162">
        <f ca="1">'BC.115+740'!AA441</f>
        <v>2.948</v>
      </c>
      <c r="E442" s="163">
        <f ca="1">'BC.115+740'!AB441</f>
        <v>2.4300000000000002</v>
      </c>
      <c r="F442" s="162">
        <f ca="1">VLOOKUP($A442,'BC.115+740'!$B$13:$X$489,8,0)/1000</f>
        <v>3.7349999999999999</v>
      </c>
      <c r="G442" s="162">
        <f ca="1">VLOOKUP($A442,'BC.115+740'!$B$13:$X$489,9,0)/1000</f>
        <v>-0.26500000000000001</v>
      </c>
      <c r="H442" s="162">
        <f ca="1">VLOOKUP($A442,'BC.115+740'!$B$13:$X$489,14,0)/1000</f>
        <v>3.7</v>
      </c>
      <c r="I442" s="162">
        <f ca="1">VLOOKUP($A442,'BC.115+740'!$B$13:$X$489,15,0)/1000</f>
        <v>-0.3</v>
      </c>
      <c r="J442" s="162">
        <f ca="1">VLOOKUP($A442,'BC.115+740'!$B$13:$X$489,20,0)/1000</f>
        <v>3.6789999999999998</v>
      </c>
      <c r="K442" s="162">
        <f ca="1">VLOOKUP($A442,'BC.115+740'!$B$13:$X$489,21,0)/1000</f>
        <v>-0.32100000000000001</v>
      </c>
      <c r="L442" s="160">
        <f t="shared" ca="1" si="18"/>
        <v>-305</v>
      </c>
      <c r="M442" s="161">
        <f t="shared" ca="1" si="19"/>
        <v>-290</v>
      </c>
      <c r="N442" s="160">
        <f t="shared" ca="1" si="20"/>
        <v>-281</v>
      </c>
      <c r="O442" s="160"/>
    </row>
    <row r="443" spans="1:15">
      <c r="A443" s="164">
        <f>'BC.115+740'!B442</f>
        <v>45501</v>
      </c>
      <c r="B443" s="160">
        <v>429</v>
      </c>
      <c r="C443" s="162">
        <f ca="1">'BC.115+740'!M442/1000</f>
        <v>2.7010000000000001</v>
      </c>
      <c r="D443" s="162">
        <f ca="1">'BC.115+740'!AA442</f>
        <v>2.948</v>
      </c>
      <c r="E443" s="163">
        <f ca="1">'BC.115+740'!AB442</f>
        <v>2.4119999999999999</v>
      </c>
      <c r="F443" s="162">
        <f ca="1">VLOOKUP($A443,'BC.115+740'!$B$13:$X$489,8,0)/1000</f>
        <v>3.7309999999999999</v>
      </c>
      <c r="G443" s="162">
        <f ca="1">VLOOKUP($A443,'BC.115+740'!$B$13:$X$489,9,0)/1000</f>
        <v>-0.26900000000000002</v>
      </c>
      <c r="H443" s="162">
        <f ca="1">VLOOKUP($A443,'BC.115+740'!$B$13:$X$489,14,0)/1000</f>
        <v>3.6909999999999998</v>
      </c>
      <c r="I443" s="162">
        <f ca="1">VLOOKUP($A443,'BC.115+740'!$B$13:$X$489,15,0)/1000</f>
        <v>-0.309</v>
      </c>
      <c r="J443" s="162">
        <f ca="1">VLOOKUP($A443,'BC.115+740'!$B$13:$X$489,20,0)/1000</f>
        <v>3.6720000000000002</v>
      </c>
      <c r="K443" s="162">
        <f ca="1">VLOOKUP($A443,'BC.115+740'!$B$13:$X$489,21,0)/1000</f>
        <v>-0.32800000000000001</v>
      </c>
      <c r="L443" s="160">
        <f t="shared" ca="1" si="18"/>
        <v>-309</v>
      </c>
      <c r="M443" s="161">
        <f t="shared" ca="1" si="19"/>
        <v>-299</v>
      </c>
      <c r="N443" s="160">
        <f t="shared" ca="1" si="20"/>
        <v>-288.00000000000006</v>
      </c>
      <c r="O443" s="160"/>
    </row>
    <row r="444" spans="1:15">
      <c r="A444" s="164">
        <f>'BC.115+740'!B443</f>
        <v>45502</v>
      </c>
      <c r="B444" s="160">
        <v>430</v>
      </c>
      <c r="C444" s="162">
        <f ca="1">'BC.115+740'!M443/1000</f>
        <v>2.6920000000000002</v>
      </c>
      <c r="D444" s="162">
        <f ca="1">'BC.115+740'!AA443</f>
        <v>2.948</v>
      </c>
      <c r="E444" s="163">
        <f ca="1">'BC.115+740'!AB443</f>
        <v>2.3940000000000001</v>
      </c>
      <c r="F444" s="162">
        <f ca="1">VLOOKUP($A444,'BC.115+740'!$B$13:$X$489,8,0)/1000</f>
        <v>3.726</v>
      </c>
      <c r="G444" s="162">
        <f ca="1">VLOOKUP($A444,'BC.115+740'!$B$13:$X$489,9,0)/1000</f>
        <v>-0.27400000000000002</v>
      </c>
      <c r="H444" s="162">
        <f ca="1">VLOOKUP($A444,'BC.115+740'!$B$13:$X$489,14,0)/1000</f>
        <v>3.6819999999999999</v>
      </c>
      <c r="I444" s="162">
        <f ca="1">VLOOKUP($A444,'BC.115+740'!$B$13:$X$489,15,0)/1000</f>
        <v>-0.318</v>
      </c>
      <c r="J444" s="162">
        <f ca="1">VLOOKUP($A444,'BC.115+740'!$B$13:$X$489,20,0)/1000</f>
        <v>3.665</v>
      </c>
      <c r="K444" s="162">
        <f ca="1">VLOOKUP($A444,'BC.115+740'!$B$13:$X$489,21,0)/1000</f>
        <v>-0.33500000000000002</v>
      </c>
      <c r="L444" s="160">
        <f t="shared" ca="1" si="18"/>
        <v>-314</v>
      </c>
      <c r="M444" s="161">
        <f t="shared" ca="1" si="19"/>
        <v>-308</v>
      </c>
      <c r="N444" s="160">
        <f t="shared" ca="1" si="20"/>
        <v>-295.00000000000006</v>
      </c>
      <c r="O444" s="160"/>
    </row>
    <row r="445" spans="1:15">
      <c r="A445" s="164">
        <f>'BC.115+740'!B444</f>
        <v>45503</v>
      </c>
      <c r="B445" s="160">
        <v>431</v>
      </c>
      <c r="C445" s="162">
        <f ca="1">'BC.115+740'!M444/1000</f>
        <v>2.6840000000000002</v>
      </c>
      <c r="D445" s="162">
        <f ca="1">'BC.115+740'!AA444</f>
        <v>2.948</v>
      </c>
      <c r="E445" s="163">
        <f ca="1">'BC.115+740'!AB444</f>
        <v>2.3780000000000001</v>
      </c>
      <c r="F445" s="162">
        <f ca="1">VLOOKUP($A445,'BC.115+740'!$B$13:$X$489,8,0)/1000</f>
        <v>3.72</v>
      </c>
      <c r="G445" s="162">
        <f ca="1">VLOOKUP($A445,'BC.115+740'!$B$13:$X$489,9,0)/1000</f>
        <v>-0.28000000000000003</v>
      </c>
      <c r="H445" s="162">
        <f ca="1">VLOOKUP($A445,'BC.115+740'!$B$13:$X$489,14,0)/1000</f>
        <v>3.6739999999999999</v>
      </c>
      <c r="I445" s="162">
        <f ca="1">VLOOKUP($A445,'BC.115+740'!$B$13:$X$489,15,0)/1000</f>
        <v>-0.32600000000000001</v>
      </c>
      <c r="J445" s="162">
        <f ca="1">VLOOKUP($A445,'BC.115+740'!$B$13:$X$489,20,0)/1000</f>
        <v>3.6579999999999999</v>
      </c>
      <c r="K445" s="162">
        <f ca="1">VLOOKUP($A445,'BC.115+740'!$B$13:$X$489,21,0)/1000</f>
        <v>-0.34200000000000003</v>
      </c>
      <c r="L445" s="160">
        <f t="shared" ca="1" si="18"/>
        <v>-320</v>
      </c>
      <c r="M445" s="161">
        <f t="shared" ca="1" si="19"/>
        <v>-316</v>
      </c>
      <c r="N445" s="160">
        <f t="shared" ca="1" si="20"/>
        <v>-302.00000000000006</v>
      </c>
      <c r="O445" s="160"/>
    </row>
    <row r="446" spans="1:15">
      <c r="A446" s="164">
        <f>'BC.115+740'!B445</f>
        <v>45504</v>
      </c>
      <c r="B446" s="160">
        <v>432</v>
      </c>
      <c r="C446" s="162">
        <f ca="1">'BC.115+740'!M445/1000</f>
        <v>2.9740000000000002</v>
      </c>
      <c r="D446" s="162">
        <f ca="1">'BC.115+740'!AA445</f>
        <v>3.238</v>
      </c>
      <c r="E446" s="163">
        <f ca="1">'BC.115+740'!AB445</f>
        <v>2.6579999999999999</v>
      </c>
      <c r="F446" s="162">
        <f ca="1">VLOOKUP($A446,'BC.115+740'!$B$13:$X$489,8,0)/1000</f>
        <v>3.71</v>
      </c>
      <c r="G446" s="162">
        <f ca="1">VLOOKUP($A446,'BC.115+740'!$B$13:$X$489,9,0)/1000</f>
        <v>-0.28999999999999998</v>
      </c>
      <c r="H446" s="162">
        <f ca="1">VLOOKUP($A446,'BC.115+740'!$B$13:$X$489,14,0)/1000</f>
        <v>3.6640000000000001</v>
      </c>
      <c r="I446" s="162">
        <f ca="1">VLOOKUP($A446,'BC.115+740'!$B$13:$X$489,15,0)/1000</f>
        <v>-0.33600000000000002</v>
      </c>
      <c r="J446" s="162">
        <f ca="1">VLOOKUP($A446,'BC.115+740'!$B$13:$X$489,20,0)/1000</f>
        <v>3.6480000000000001</v>
      </c>
      <c r="K446" s="162">
        <f ca="1">VLOOKUP($A446,'BC.115+740'!$B$13:$X$489,21,0)/1000</f>
        <v>-0.35199999999999998</v>
      </c>
      <c r="L446" s="160">
        <f t="shared" ca="1" si="18"/>
        <v>-329.99999999999994</v>
      </c>
      <c r="M446" s="161">
        <f t="shared" ca="1" si="19"/>
        <v>-326</v>
      </c>
      <c r="N446" s="160">
        <f t="shared" ca="1" si="20"/>
        <v>-312</v>
      </c>
      <c r="O446" s="160"/>
    </row>
    <row r="447" spans="1:15">
      <c r="A447" s="164">
        <f>'BC.115+740'!B446</f>
        <v>45505</v>
      </c>
      <c r="B447" s="160">
        <v>433</v>
      </c>
      <c r="C447" s="162">
        <f ca="1">'BC.115+740'!M446/1000</f>
        <v>2.9649999999999999</v>
      </c>
      <c r="D447" s="162">
        <f ca="1">'BC.115+740'!AA446</f>
        <v>3.238</v>
      </c>
      <c r="E447" s="163">
        <f ca="1">'BC.115+740'!AB446</f>
        <v>2.64</v>
      </c>
      <c r="F447" s="162">
        <f ca="1">VLOOKUP($A447,'BC.115+740'!$B$13:$X$489,8,0)/1000</f>
        <v>3.7</v>
      </c>
      <c r="G447" s="162">
        <f ca="1">VLOOKUP($A447,'BC.115+740'!$B$13:$X$489,9,0)/1000</f>
        <v>-0.3</v>
      </c>
      <c r="H447" s="162">
        <f ca="1">VLOOKUP($A447,'BC.115+740'!$B$13:$X$489,14,0)/1000</f>
        <v>3.6549999999999998</v>
      </c>
      <c r="I447" s="162">
        <f ca="1">VLOOKUP($A447,'BC.115+740'!$B$13:$X$489,15,0)/1000</f>
        <v>-0.34499999999999997</v>
      </c>
      <c r="J447" s="162">
        <f ca="1">VLOOKUP($A447,'BC.115+740'!$B$13:$X$489,20,0)/1000</f>
        <v>3.6379999999999999</v>
      </c>
      <c r="K447" s="162">
        <f ca="1">VLOOKUP($A447,'BC.115+740'!$B$13:$X$489,21,0)/1000</f>
        <v>-0.36199999999999999</v>
      </c>
      <c r="L447" s="160">
        <f t="shared" ca="1" si="18"/>
        <v>-339.99999999999994</v>
      </c>
      <c r="M447" s="161">
        <f t="shared" ca="1" si="19"/>
        <v>-334.99999999999994</v>
      </c>
      <c r="N447" s="160">
        <f t="shared" ca="1" si="20"/>
        <v>-322</v>
      </c>
      <c r="O447" s="160"/>
    </row>
    <row r="448" spans="1:15">
      <c r="A448" s="164">
        <f>'BC.115+740'!B447</f>
        <v>45506</v>
      </c>
      <c r="B448" s="160">
        <v>434</v>
      </c>
      <c r="C448" s="162">
        <f ca="1">'BC.115+740'!M447/1000</f>
        <v>2.9569999999999999</v>
      </c>
      <c r="D448" s="162">
        <f ca="1">'BC.115+740'!AA447</f>
        <v>3.238</v>
      </c>
      <c r="E448" s="163">
        <f ca="1">'BC.115+740'!AB447</f>
        <v>2.6240000000000001</v>
      </c>
      <c r="F448" s="162">
        <f ca="1">VLOOKUP($A448,'BC.115+740'!$B$13:$X$489,8,0)/1000</f>
        <v>3.6960000000000002</v>
      </c>
      <c r="G448" s="162">
        <f ca="1">VLOOKUP($A448,'BC.115+740'!$B$13:$X$489,9,0)/1000</f>
        <v>-0.30399999999999999</v>
      </c>
      <c r="H448" s="162">
        <f ca="1">VLOOKUP($A448,'BC.115+740'!$B$13:$X$489,14,0)/1000</f>
        <v>3.6469999999999998</v>
      </c>
      <c r="I448" s="162">
        <f ca="1">VLOOKUP($A448,'BC.115+740'!$B$13:$X$489,15,0)/1000</f>
        <v>-0.35299999999999998</v>
      </c>
      <c r="J448" s="162">
        <f ca="1">VLOOKUP($A448,'BC.115+740'!$B$13:$X$489,20,0)/1000</f>
        <v>3.6309999999999998</v>
      </c>
      <c r="K448" s="162">
        <f ca="1">VLOOKUP($A448,'BC.115+740'!$B$13:$X$489,21,0)/1000</f>
        <v>-0.36899999999999999</v>
      </c>
      <c r="L448" s="160">
        <f t="shared" ca="1" si="18"/>
        <v>-344</v>
      </c>
      <c r="M448" s="161">
        <f t="shared" ca="1" si="19"/>
        <v>-343</v>
      </c>
      <c r="N448" s="160">
        <f t="shared" ca="1" si="20"/>
        <v>-329</v>
      </c>
      <c r="O448" s="160"/>
    </row>
    <row r="449" spans="1:15">
      <c r="A449" s="164">
        <f>'BC.115+740'!B448</f>
        <v>45507</v>
      </c>
      <c r="B449" s="160">
        <v>435</v>
      </c>
      <c r="C449" s="162">
        <f ca="1">'BC.115+740'!M448/1000</f>
        <v>2.948</v>
      </c>
      <c r="D449" s="162">
        <f ca="1">'BC.115+740'!AA448</f>
        <v>3.238</v>
      </c>
      <c r="E449" s="163">
        <f ca="1">'BC.115+740'!AB448</f>
        <v>2.6059999999999999</v>
      </c>
      <c r="F449" s="162">
        <f ca="1">VLOOKUP($A449,'BC.115+740'!$B$13:$X$489,8,0)/1000</f>
        <v>3.6920000000000002</v>
      </c>
      <c r="G449" s="162">
        <f ca="1">VLOOKUP($A449,'BC.115+740'!$B$13:$X$489,9,0)/1000</f>
        <v>-0.308</v>
      </c>
      <c r="H449" s="162">
        <f ca="1">VLOOKUP($A449,'BC.115+740'!$B$13:$X$489,14,0)/1000</f>
        <v>3.6379999999999999</v>
      </c>
      <c r="I449" s="162">
        <f ca="1">VLOOKUP($A449,'BC.115+740'!$B$13:$X$489,15,0)/1000</f>
        <v>-0.36199999999999999</v>
      </c>
      <c r="J449" s="162">
        <f ca="1">VLOOKUP($A449,'BC.115+740'!$B$13:$X$489,20,0)/1000</f>
        <v>3.6240000000000001</v>
      </c>
      <c r="K449" s="162">
        <f ca="1">VLOOKUP($A449,'BC.115+740'!$B$13:$X$489,21,0)/1000</f>
        <v>-0.376</v>
      </c>
      <c r="L449" s="160">
        <f t="shared" ca="1" si="18"/>
        <v>-348</v>
      </c>
      <c r="M449" s="161">
        <f t="shared" ca="1" si="19"/>
        <v>-352</v>
      </c>
      <c r="N449" s="160">
        <f t="shared" ca="1" si="20"/>
        <v>-336</v>
      </c>
      <c r="O449" s="160"/>
    </row>
    <row r="450" spans="1:15">
      <c r="A450" s="164">
        <f>'BC.115+740'!B449</f>
        <v>45508</v>
      </c>
      <c r="B450" s="160">
        <v>436</v>
      </c>
      <c r="C450" s="162">
        <f ca="1">'BC.115+740'!M449/1000</f>
        <v>2.94</v>
      </c>
      <c r="D450" s="162">
        <f ca="1">'BC.115+740'!AA449</f>
        <v>3.238</v>
      </c>
      <c r="E450" s="163">
        <f ca="1">'BC.115+740'!AB449</f>
        <v>2.59</v>
      </c>
      <c r="F450" s="162">
        <f ca="1">VLOOKUP($A450,'BC.115+740'!$B$13:$X$489,8,0)/1000</f>
        <v>3.6859999999999999</v>
      </c>
      <c r="G450" s="162">
        <f ca="1">VLOOKUP($A450,'BC.115+740'!$B$13:$X$489,9,0)/1000</f>
        <v>-0.314</v>
      </c>
      <c r="H450" s="162">
        <f ca="1">VLOOKUP($A450,'BC.115+740'!$B$13:$X$489,14,0)/1000</f>
        <v>3.63</v>
      </c>
      <c r="I450" s="162">
        <f ca="1">VLOOKUP($A450,'BC.115+740'!$B$13:$X$489,15,0)/1000</f>
        <v>-0.37</v>
      </c>
      <c r="J450" s="162">
        <f ca="1">VLOOKUP($A450,'BC.115+740'!$B$13:$X$489,20,0)/1000</f>
        <v>3.617</v>
      </c>
      <c r="K450" s="162">
        <f ca="1">VLOOKUP($A450,'BC.115+740'!$B$13:$X$489,21,0)/1000</f>
        <v>-0.38300000000000001</v>
      </c>
      <c r="L450" s="160">
        <f t="shared" ca="1" si="18"/>
        <v>-354</v>
      </c>
      <c r="M450" s="161">
        <f t="shared" ca="1" si="19"/>
        <v>-360</v>
      </c>
      <c r="N450" s="160">
        <f t="shared" ca="1" si="20"/>
        <v>-343</v>
      </c>
      <c r="O450" s="160"/>
    </row>
    <row r="451" spans="1:15">
      <c r="A451" s="164">
        <f>'BC.115+740'!B450</f>
        <v>45509</v>
      </c>
      <c r="B451" s="160">
        <v>437</v>
      </c>
      <c r="C451" s="162">
        <f ca="1">'BC.115+740'!M450/1000</f>
        <v>3.23</v>
      </c>
      <c r="D451" s="162">
        <f ca="1">'BC.115+740'!AA450</f>
        <v>3.528</v>
      </c>
      <c r="E451" s="163">
        <f ca="1">'BC.115+740'!AB450</f>
        <v>2.87</v>
      </c>
      <c r="F451" s="162">
        <f ca="1">VLOOKUP($A451,'BC.115+740'!$B$13:$X$489,8,0)/1000</f>
        <v>3.6760000000000002</v>
      </c>
      <c r="G451" s="162">
        <f ca="1">VLOOKUP($A451,'BC.115+740'!$B$13:$X$489,9,0)/1000</f>
        <v>-0.32400000000000001</v>
      </c>
      <c r="H451" s="162">
        <f ca="1">VLOOKUP($A451,'BC.115+740'!$B$13:$X$489,14,0)/1000</f>
        <v>3.62</v>
      </c>
      <c r="I451" s="162">
        <f ca="1">VLOOKUP($A451,'BC.115+740'!$B$13:$X$489,15,0)/1000</f>
        <v>-0.38</v>
      </c>
      <c r="J451" s="162">
        <f ca="1">VLOOKUP($A451,'BC.115+740'!$B$13:$X$489,20,0)/1000</f>
        <v>3.6070000000000002</v>
      </c>
      <c r="K451" s="162">
        <f ca="1">VLOOKUP($A451,'BC.115+740'!$B$13:$X$489,21,0)/1000</f>
        <v>-0.39300000000000002</v>
      </c>
      <c r="L451" s="160">
        <f t="shared" ca="1" si="18"/>
        <v>-364</v>
      </c>
      <c r="M451" s="161">
        <f t="shared" ca="1" si="19"/>
        <v>-370</v>
      </c>
      <c r="N451" s="160">
        <f t="shared" ca="1" si="20"/>
        <v>-353.00000000000006</v>
      </c>
      <c r="O451" s="160"/>
    </row>
    <row r="452" spans="1:15">
      <c r="A452" s="164">
        <f>'BC.115+740'!B451</f>
        <v>45510</v>
      </c>
      <c r="B452" s="160">
        <f t="shared" ref="B452:B515" si="21">+B451+1</f>
        <v>438</v>
      </c>
      <c r="C452" s="162">
        <f ca="1">'BC.115+740'!M451/1000</f>
        <v>3.222</v>
      </c>
      <c r="D452" s="162">
        <f ca="1">'BC.115+740'!AA451</f>
        <v>3.528</v>
      </c>
      <c r="E452" s="163">
        <f ca="1">'BC.115+740'!AB451</f>
        <v>2.8540000000000001</v>
      </c>
      <c r="F452" s="162">
        <f ca="1">VLOOKUP($A452,'BC.115+740'!$B$13:$X$489,8,0)/1000</f>
        <v>3.669</v>
      </c>
      <c r="G452" s="162">
        <f ca="1">VLOOKUP($A452,'BC.115+740'!$B$13:$X$489,9,0)/1000</f>
        <v>-0.33100000000000002</v>
      </c>
      <c r="H452" s="162">
        <f ca="1">VLOOKUP($A452,'BC.115+740'!$B$13:$X$489,14,0)/1000</f>
        <v>3.6120000000000001</v>
      </c>
      <c r="I452" s="162">
        <f ca="1">VLOOKUP($A452,'BC.115+740'!$B$13:$X$489,15,0)/1000</f>
        <v>-0.38800000000000001</v>
      </c>
      <c r="J452" s="162">
        <f ca="1">VLOOKUP($A452,'BC.115+740'!$B$13:$X$489,20,0)/1000</f>
        <v>3.5990000000000002</v>
      </c>
      <c r="K452" s="162">
        <f ca="1">VLOOKUP($A452,'BC.115+740'!$B$13:$X$489,21,0)/1000</f>
        <v>-0.40100000000000002</v>
      </c>
      <c r="L452" s="160">
        <f t="shared" ca="1" si="18"/>
        <v>-371</v>
      </c>
      <c r="M452" s="161">
        <f t="shared" ca="1" si="19"/>
        <v>-378</v>
      </c>
      <c r="N452" s="160">
        <f t="shared" ca="1" si="20"/>
        <v>-361.00000000000006</v>
      </c>
      <c r="O452" s="160"/>
    </row>
    <row r="453" spans="1:15">
      <c r="A453" s="164">
        <f>'BC.115+740'!B452</f>
        <v>45511</v>
      </c>
      <c r="B453" s="160">
        <f t="shared" si="21"/>
        <v>439</v>
      </c>
      <c r="C453" s="162">
        <f ca="1">'BC.115+740'!M452/1000</f>
        <v>3.2130000000000001</v>
      </c>
      <c r="D453" s="162">
        <f ca="1">'BC.115+740'!AA452</f>
        <v>3.528</v>
      </c>
      <c r="E453" s="163">
        <f ca="1">'BC.115+740'!AB452</f>
        <v>2.8359999999999999</v>
      </c>
      <c r="F453" s="162">
        <f ca="1">VLOOKUP($A453,'BC.115+740'!$B$13:$X$489,8,0)/1000</f>
        <v>3.661</v>
      </c>
      <c r="G453" s="162">
        <f ca="1">VLOOKUP($A453,'BC.115+740'!$B$13:$X$489,9,0)/1000</f>
        <v>-0.33900000000000002</v>
      </c>
      <c r="H453" s="162">
        <f ca="1">VLOOKUP($A453,'BC.115+740'!$B$13:$X$489,14,0)/1000</f>
        <v>3.6030000000000002</v>
      </c>
      <c r="I453" s="162">
        <f ca="1">VLOOKUP($A453,'BC.115+740'!$B$13:$X$489,15,0)/1000</f>
        <v>-0.39700000000000002</v>
      </c>
      <c r="J453" s="162">
        <f ca="1">VLOOKUP($A453,'BC.115+740'!$B$13:$X$489,20,0)/1000</f>
        <v>3.5910000000000002</v>
      </c>
      <c r="K453" s="162">
        <f ca="1">VLOOKUP($A453,'BC.115+740'!$B$13:$X$489,21,0)/1000</f>
        <v>-0.40899999999999997</v>
      </c>
      <c r="L453" s="160">
        <f t="shared" ca="1" si="18"/>
        <v>-379</v>
      </c>
      <c r="M453" s="161">
        <f t="shared" ca="1" si="19"/>
        <v>-387</v>
      </c>
      <c r="N453" s="160">
        <f t="shared" ca="1" si="20"/>
        <v>-369</v>
      </c>
      <c r="O453" s="160"/>
    </row>
    <row r="454" spans="1:15">
      <c r="A454" s="164">
        <f>'BC.115+740'!B453</f>
        <v>45512</v>
      </c>
      <c r="B454" s="160">
        <f t="shared" si="21"/>
        <v>440</v>
      </c>
      <c r="C454" s="162">
        <f ca="1">'BC.115+740'!M453/1000</f>
        <v>3.2050000000000001</v>
      </c>
      <c r="D454" s="162">
        <f ca="1">'BC.115+740'!AA453</f>
        <v>3.528</v>
      </c>
      <c r="E454" s="163">
        <f ca="1">'BC.115+740'!AB453</f>
        <v>2.82</v>
      </c>
      <c r="F454" s="162">
        <f ca="1">VLOOKUP($A454,'BC.115+740'!$B$13:$X$489,8,0)/1000</f>
        <v>3.6520000000000001</v>
      </c>
      <c r="G454" s="162">
        <f ca="1">VLOOKUP($A454,'BC.115+740'!$B$13:$X$489,9,0)/1000</f>
        <v>-0.34799999999999998</v>
      </c>
      <c r="H454" s="162">
        <f ca="1">VLOOKUP($A454,'BC.115+740'!$B$13:$X$489,14,0)/1000</f>
        <v>3.5950000000000002</v>
      </c>
      <c r="I454" s="162">
        <f ca="1">VLOOKUP($A454,'BC.115+740'!$B$13:$X$489,15,0)/1000</f>
        <v>-0.40500000000000003</v>
      </c>
      <c r="J454" s="162">
        <f ca="1">VLOOKUP($A454,'BC.115+740'!$B$13:$X$489,20,0)/1000</f>
        <v>3.5819999999999999</v>
      </c>
      <c r="K454" s="162">
        <f ca="1">VLOOKUP($A454,'BC.115+740'!$B$13:$X$489,21,0)/1000</f>
        <v>-0.41799999999999998</v>
      </c>
      <c r="L454" s="160">
        <f t="shared" ca="1" si="18"/>
        <v>-387.99999999999994</v>
      </c>
      <c r="M454" s="161">
        <f t="shared" ca="1" si="19"/>
        <v>-395</v>
      </c>
      <c r="N454" s="160">
        <f t="shared" ca="1" si="20"/>
        <v>-378</v>
      </c>
      <c r="O454" s="160"/>
    </row>
    <row r="455" spans="1:15">
      <c r="A455" s="164">
        <f>'BC.115+740'!B454</f>
        <v>45513</v>
      </c>
      <c r="B455" s="160">
        <f t="shared" si="21"/>
        <v>441</v>
      </c>
      <c r="C455" s="162">
        <f ca="1">'BC.115+740'!M454/1000</f>
        <v>3.496</v>
      </c>
      <c r="D455" s="162">
        <f ca="1">'BC.115+740'!AA454</f>
        <v>3.8180000000000001</v>
      </c>
      <c r="E455" s="163">
        <f ca="1">'BC.115+740'!AB454</f>
        <v>3.1019999999999999</v>
      </c>
      <c r="F455" s="162">
        <f ca="1">VLOOKUP($A455,'BC.115+740'!$B$13:$X$489,8,0)/1000</f>
        <v>3.6419999999999999</v>
      </c>
      <c r="G455" s="162">
        <f ca="1">VLOOKUP($A455,'BC.115+740'!$B$13:$X$489,9,0)/1000</f>
        <v>-0.35799999999999998</v>
      </c>
      <c r="H455" s="162">
        <f ca="1">VLOOKUP($A455,'BC.115+740'!$B$13:$X$489,14,0)/1000</f>
        <v>3.5859999999999999</v>
      </c>
      <c r="I455" s="162">
        <f ca="1">VLOOKUP($A455,'BC.115+740'!$B$13:$X$489,15,0)/1000</f>
        <v>-0.41399999999999998</v>
      </c>
      <c r="J455" s="162">
        <f ca="1">VLOOKUP($A455,'BC.115+740'!$B$13:$X$489,20,0)/1000</f>
        <v>3.5720000000000001</v>
      </c>
      <c r="K455" s="162">
        <f ca="1">VLOOKUP($A455,'BC.115+740'!$B$13:$X$489,21,0)/1000</f>
        <v>-0.42799999999999999</v>
      </c>
      <c r="L455" s="160">
        <f t="shared" ca="1" si="18"/>
        <v>-397.99999999999994</v>
      </c>
      <c r="M455" s="161">
        <f t="shared" ca="1" si="19"/>
        <v>-403.99999999999994</v>
      </c>
      <c r="N455" s="160">
        <f t="shared" ca="1" si="20"/>
        <v>-388</v>
      </c>
      <c r="O455" s="160"/>
    </row>
    <row r="456" spans="1:15">
      <c r="A456" s="164">
        <f>'BC.115+740'!B455</f>
        <v>45514</v>
      </c>
      <c r="B456" s="160">
        <f t="shared" si="21"/>
        <v>442</v>
      </c>
      <c r="C456" s="162">
        <f ca="1">'BC.115+740'!M455/1000</f>
        <v>3.488</v>
      </c>
      <c r="D456" s="162">
        <f ca="1">'BC.115+740'!AA455</f>
        <v>3.8180000000000001</v>
      </c>
      <c r="E456" s="163">
        <f ca="1">'BC.115+740'!AB455</f>
        <v>3.0859999999999999</v>
      </c>
      <c r="F456" s="162">
        <f ca="1">VLOOKUP($A456,'BC.115+740'!$B$13:$X$489,8,0)/1000</f>
        <v>3.633</v>
      </c>
      <c r="G456" s="162">
        <f ca="1">VLOOKUP($A456,'BC.115+740'!$B$13:$X$489,9,0)/1000</f>
        <v>-0.36699999999999999</v>
      </c>
      <c r="H456" s="162">
        <f ca="1">VLOOKUP($A456,'BC.115+740'!$B$13:$X$489,14,0)/1000</f>
        <v>3.5779999999999998</v>
      </c>
      <c r="I456" s="162">
        <f ca="1">VLOOKUP($A456,'BC.115+740'!$B$13:$X$489,15,0)/1000</f>
        <v>-0.42199999999999999</v>
      </c>
      <c r="J456" s="162">
        <f ca="1">VLOOKUP($A456,'BC.115+740'!$B$13:$X$489,20,0)/1000</f>
        <v>3.5630000000000002</v>
      </c>
      <c r="K456" s="162">
        <f ca="1">VLOOKUP($A456,'BC.115+740'!$B$13:$X$489,21,0)/1000</f>
        <v>-0.437</v>
      </c>
      <c r="L456" s="160">
        <f t="shared" ca="1" si="18"/>
        <v>-407</v>
      </c>
      <c r="M456" s="161">
        <f t="shared" ca="1" si="19"/>
        <v>-412</v>
      </c>
      <c r="N456" s="160">
        <f t="shared" ca="1" si="20"/>
        <v>-397</v>
      </c>
      <c r="O456" s="160"/>
    </row>
    <row r="457" spans="1:15">
      <c r="A457" s="164">
        <f>'BC.115+740'!B456</f>
        <v>45515</v>
      </c>
      <c r="B457" s="160">
        <f t="shared" si="21"/>
        <v>443</v>
      </c>
      <c r="C457" s="162">
        <f ca="1">'BC.115+740'!M456/1000</f>
        <v>3.4790000000000001</v>
      </c>
      <c r="D457" s="162">
        <f ca="1">'BC.115+740'!AA456</f>
        <v>3.8180000000000001</v>
      </c>
      <c r="E457" s="163">
        <f ca="1">'BC.115+740'!AB456</f>
        <v>3.0680000000000001</v>
      </c>
      <c r="F457" s="162">
        <f ca="1">VLOOKUP($A457,'BC.115+740'!$B$13:$X$489,8,0)/1000</f>
        <v>3.625</v>
      </c>
      <c r="G457" s="162">
        <f ca="1">VLOOKUP($A457,'BC.115+740'!$B$13:$X$489,9,0)/1000</f>
        <v>-0.375</v>
      </c>
      <c r="H457" s="162">
        <f ca="1">VLOOKUP($A457,'BC.115+740'!$B$13:$X$489,14,0)/1000</f>
        <v>3.569</v>
      </c>
      <c r="I457" s="162">
        <f ca="1">VLOOKUP($A457,'BC.115+740'!$B$13:$X$489,15,0)/1000</f>
        <v>-0.43099999999999999</v>
      </c>
      <c r="J457" s="162">
        <f ca="1">VLOOKUP($A457,'BC.115+740'!$B$13:$X$489,20,0)/1000</f>
        <v>3.5550000000000002</v>
      </c>
      <c r="K457" s="162">
        <f ca="1">VLOOKUP($A457,'BC.115+740'!$B$13:$X$489,21,0)/1000</f>
        <v>-0.44500000000000001</v>
      </c>
      <c r="L457" s="160">
        <f t="shared" ca="1" si="18"/>
        <v>-415</v>
      </c>
      <c r="M457" s="161">
        <f t="shared" ca="1" si="19"/>
        <v>-421</v>
      </c>
      <c r="N457" s="160">
        <f t="shared" ca="1" si="20"/>
        <v>-405</v>
      </c>
      <c r="O457" s="160"/>
    </row>
    <row r="458" spans="1:15">
      <c r="A458" s="164">
        <f>'BC.115+740'!B457</f>
        <v>45516</v>
      </c>
      <c r="B458" s="160">
        <f t="shared" si="21"/>
        <v>444</v>
      </c>
      <c r="C458" s="162">
        <f ca="1">'BC.115+740'!M457/1000</f>
        <v>3.4710000000000001</v>
      </c>
      <c r="D458" s="162">
        <f ca="1">'BC.115+740'!AA457</f>
        <v>3.8180000000000001</v>
      </c>
      <c r="E458" s="163">
        <f ca="1">'BC.115+740'!AB457</f>
        <v>3.052</v>
      </c>
      <c r="F458" s="162">
        <f ca="1">VLOOKUP($A458,'BC.115+740'!$B$13:$X$489,8,0)/1000</f>
        <v>3.6160000000000001</v>
      </c>
      <c r="G458" s="162">
        <f ca="1">VLOOKUP($A458,'BC.115+740'!$B$13:$X$489,9,0)/1000</f>
        <v>-0.38400000000000001</v>
      </c>
      <c r="H458" s="162">
        <f ca="1">VLOOKUP($A458,'BC.115+740'!$B$13:$X$489,14,0)/1000</f>
        <v>3.5609999999999999</v>
      </c>
      <c r="I458" s="162">
        <f ca="1">VLOOKUP($A458,'BC.115+740'!$B$13:$X$489,15,0)/1000</f>
        <v>-0.439</v>
      </c>
      <c r="J458" s="162">
        <f ca="1">VLOOKUP($A458,'BC.115+740'!$B$13:$X$489,20,0)/1000</f>
        <v>3.5459999999999998</v>
      </c>
      <c r="K458" s="162">
        <f ca="1">VLOOKUP($A458,'BC.115+740'!$B$13:$X$489,21,0)/1000</f>
        <v>-0.45400000000000001</v>
      </c>
      <c r="L458" s="160">
        <f t="shared" ca="1" si="18"/>
        <v>-424</v>
      </c>
      <c r="M458" s="161">
        <f t="shared" ca="1" si="19"/>
        <v>-429</v>
      </c>
      <c r="N458" s="160">
        <f t="shared" ca="1" si="20"/>
        <v>-414.00000000000006</v>
      </c>
      <c r="O458" s="160"/>
    </row>
    <row r="459" spans="1:15">
      <c r="A459" s="164">
        <f>'BC.115+740'!B458</f>
        <v>45517</v>
      </c>
      <c r="B459" s="160">
        <f t="shared" si="21"/>
        <v>445</v>
      </c>
      <c r="C459" s="162">
        <f ca="1">'BC.115+740'!M458/1000</f>
        <v>3.464</v>
      </c>
      <c r="D459" s="162">
        <f ca="1">'BC.115+740'!AA458</f>
        <v>3.8180000000000001</v>
      </c>
      <c r="E459" s="163">
        <f ca="1">'BC.115+740'!AB458</f>
        <v>3.0379999999999998</v>
      </c>
      <c r="F459" s="162">
        <f ca="1">VLOOKUP($A459,'BC.115+740'!$B$13:$X$489,8,0)/1000</f>
        <v>3.6080000000000001</v>
      </c>
      <c r="G459" s="162">
        <f ca="1">VLOOKUP($A459,'BC.115+740'!$B$13:$X$489,9,0)/1000</f>
        <v>-0.39200000000000002</v>
      </c>
      <c r="H459" s="162">
        <f ca="1">VLOOKUP($A459,'BC.115+740'!$B$13:$X$489,14,0)/1000</f>
        <v>3.5539999999999998</v>
      </c>
      <c r="I459" s="162">
        <f ca="1">VLOOKUP($A459,'BC.115+740'!$B$13:$X$489,15,0)/1000</f>
        <v>-0.44600000000000001</v>
      </c>
      <c r="J459" s="162">
        <f ca="1">VLOOKUP($A459,'BC.115+740'!$B$13:$X$489,20,0)/1000</f>
        <v>3.5379999999999998</v>
      </c>
      <c r="K459" s="162">
        <f ca="1">VLOOKUP($A459,'BC.115+740'!$B$13:$X$489,21,0)/1000</f>
        <v>-0.46200000000000002</v>
      </c>
      <c r="L459" s="160">
        <f t="shared" ca="1" si="18"/>
        <v>-432</v>
      </c>
      <c r="M459" s="161">
        <f t="shared" ca="1" si="19"/>
        <v>-436</v>
      </c>
      <c r="N459" s="160">
        <f t="shared" ca="1" si="20"/>
        <v>-422.00000000000006</v>
      </c>
      <c r="O459" s="160"/>
    </row>
    <row r="460" spans="1:15">
      <c r="A460" s="164">
        <f>'BC.115+740'!B459</f>
        <v>45518</v>
      </c>
      <c r="B460" s="160">
        <f t="shared" si="21"/>
        <v>446</v>
      </c>
      <c r="C460" s="162">
        <f ca="1">'BC.115+740'!M459/1000</f>
        <v>3.7549999999999999</v>
      </c>
      <c r="D460" s="162">
        <f ca="1">'BC.115+740'!AA459</f>
        <v>4.109</v>
      </c>
      <c r="E460" s="163">
        <f ca="1">'BC.115+740'!AB459</f>
        <v>3.32</v>
      </c>
      <c r="F460" s="162">
        <f ca="1">VLOOKUP($A460,'BC.115+740'!$B$13:$X$489,8,0)/1000</f>
        <v>3.5990000000000002</v>
      </c>
      <c r="G460" s="162">
        <f ca="1">VLOOKUP($A460,'BC.115+740'!$B$13:$X$489,9,0)/1000</f>
        <v>-0.40100000000000002</v>
      </c>
      <c r="H460" s="162">
        <f ca="1">VLOOKUP($A460,'BC.115+740'!$B$13:$X$489,14,0)/1000</f>
        <v>3.5449999999999999</v>
      </c>
      <c r="I460" s="162">
        <f ca="1">VLOOKUP($A460,'BC.115+740'!$B$13:$X$489,15,0)/1000</f>
        <v>-0.45500000000000002</v>
      </c>
      <c r="J460" s="162">
        <f ca="1">VLOOKUP($A460,'BC.115+740'!$B$13:$X$489,20,0)/1000</f>
        <v>3.5289999999999999</v>
      </c>
      <c r="K460" s="162">
        <f ca="1">VLOOKUP($A460,'BC.115+740'!$B$13:$X$489,21,0)/1000</f>
        <v>-0.47099999999999997</v>
      </c>
      <c r="L460" s="160">
        <f t="shared" ca="1" si="18"/>
        <v>-441</v>
      </c>
      <c r="M460" s="161">
        <f t="shared" ca="1" si="19"/>
        <v>-445</v>
      </c>
      <c r="N460" s="160">
        <f t="shared" ca="1" si="20"/>
        <v>-431</v>
      </c>
      <c r="O460" s="160"/>
    </row>
    <row r="461" spans="1:15">
      <c r="A461" s="164">
        <f>'BC.115+740'!B460</f>
        <v>45519</v>
      </c>
      <c r="B461" s="160">
        <f t="shared" si="21"/>
        <v>447</v>
      </c>
      <c r="C461" s="162">
        <f ca="1">'BC.115+740'!M460/1000</f>
        <v>3.7469999999999999</v>
      </c>
      <c r="D461" s="162">
        <f ca="1">'BC.115+740'!AA460</f>
        <v>4.109</v>
      </c>
      <c r="E461" s="163">
        <f ca="1">'BC.115+740'!AB460</f>
        <v>3.3039999999999998</v>
      </c>
      <c r="F461" s="162">
        <f ca="1">VLOOKUP($A461,'BC.115+740'!$B$13:$X$489,8,0)/1000</f>
        <v>3.59</v>
      </c>
      <c r="G461" s="162">
        <f ca="1">VLOOKUP($A461,'BC.115+740'!$B$13:$X$489,9,0)/1000</f>
        <v>-0.41</v>
      </c>
      <c r="H461" s="162">
        <f ca="1">VLOOKUP($A461,'BC.115+740'!$B$13:$X$489,14,0)/1000</f>
        <v>3.5369999999999999</v>
      </c>
      <c r="I461" s="162">
        <f ca="1">VLOOKUP($A461,'BC.115+740'!$B$13:$X$489,15,0)/1000</f>
        <v>-0.46300000000000002</v>
      </c>
      <c r="J461" s="162">
        <f ca="1">VLOOKUP($A461,'BC.115+740'!$B$13:$X$489,20,0)/1000</f>
        <v>3.5209999999999999</v>
      </c>
      <c r="K461" s="162">
        <f ca="1">VLOOKUP($A461,'BC.115+740'!$B$13:$X$489,21,0)/1000</f>
        <v>-0.47899999999999998</v>
      </c>
      <c r="L461" s="160">
        <f t="shared" ca="1" si="18"/>
        <v>-449.99999999999994</v>
      </c>
      <c r="M461" s="161">
        <f t="shared" ca="1" si="19"/>
        <v>-453</v>
      </c>
      <c r="N461" s="160">
        <f t="shared" ca="1" si="20"/>
        <v>-439</v>
      </c>
      <c r="O461" s="160"/>
    </row>
    <row r="462" spans="1:15">
      <c r="A462" s="164">
        <f>'BC.115+740'!B461</f>
        <v>45520</v>
      </c>
      <c r="B462" s="160">
        <f t="shared" si="21"/>
        <v>448</v>
      </c>
      <c r="C462" s="162">
        <f ca="1">'BC.115+740'!M461/1000</f>
        <v>3.74</v>
      </c>
      <c r="D462" s="162">
        <f ca="1">'BC.115+740'!AA461</f>
        <v>4.109</v>
      </c>
      <c r="E462" s="163">
        <f ca="1">'BC.115+740'!AB461</f>
        <v>3.29</v>
      </c>
      <c r="F462" s="162">
        <f ca="1">VLOOKUP($A462,'BC.115+740'!$B$13:$X$489,8,0)/1000</f>
        <v>3.5819999999999999</v>
      </c>
      <c r="G462" s="162">
        <f ca="1">VLOOKUP($A462,'BC.115+740'!$B$13:$X$489,9,0)/1000</f>
        <v>-0.41799999999999998</v>
      </c>
      <c r="H462" s="162">
        <f ca="1">VLOOKUP($A462,'BC.115+740'!$B$13:$X$489,14,0)/1000</f>
        <v>3.53</v>
      </c>
      <c r="I462" s="162">
        <f ca="1">VLOOKUP($A462,'BC.115+740'!$B$13:$X$489,15,0)/1000</f>
        <v>-0.47</v>
      </c>
      <c r="J462" s="162">
        <f ca="1">VLOOKUP($A462,'BC.115+740'!$B$13:$X$489,20,0)/1000</f>
        <v>3.5139999999999998</v>
      </c>
      <c r="K462" s="162">
        <f ca="1">VLOOKUP($A462,'BC.115+740'!$B$13:$X$489,21,0)/1000</f>
        <v>-0.48599999999999999</v>
      </c>
      <c r="L462" s="160">
        <f t="shared" ref="L462:L525" ca="1" si="22">(G462-$G$14)*1000</f>
        <v>-457.99999999999994</v>
      </c>
      <c r="M462" s="161">
        <f t="shared" ref="M462:M525" ca="1" si="23">(I462-$I$14)*1000</f>
        <v>-459.99999999999994</v>
      </c>
      <c r="N462" s="160">
        <f t="shared" ca="1" si="20"/>
        <v>-446</v>
      </c>
      <c r="O462" s="160"/>
    </row>
    <row r="463" spans="1:15">
      <c r="A463" s="164">
        <f>'BC.115+740'!B462</f>
        <v>45521</v>
      </c>
      <c r="B463" s="160">
        <f t="shared" si="21"/>
        <v>449</v>
      </c>
      <c r="C463" s="162">
        <f ca="1">'BC.115+740'!M462/1000</f>
        <v>3.7309999999999999</v>
      </c>
      <c r="D463" s="162">
        <f ca="1">'BC.115+740'!AA462</f>
        <v>4.109</v>
      </c>
      <c r="E463" s="163">
        <f ca="1">'BC.115+740'!AB462</f>
        <v>3.2719999999999998</v>
      </c>
      <c r="F463" s="162">
        <f ca="1">VLOOKUP($A463,'BC.115+740'!$B$13:$X$489,8,0)/1000</f>
        <v>3.5750000000000002</v>
      </c>
      <c r="G463" s="162">
        <f ca="1">VLOOKUP($A463,'BC.115+740'!$B$13:$X$489,9,0)/1000</f>
        <v>-0.42499999999999999</v>
      </c>
      <c r="H463" s="162">
        <f ca="1">VLOOKUP($A463,'BC.115+740'!$B$13:$X$489,14,0)/1000</f>
        <v>3.5209999999999999</v>
      </c>
      <c r="I463" s="162">
        <f ca="1">VLOOKUP($A463,'BC.115+740'!$B$13:$X$489,15,0)/1000</f>
        <v>-0.47899999999999998</v>
      </c>
      <c r="J463" s="162">
        <f ca="1">VLOOKUP($A463,'BC.115+740'!$B$13:$X$489,20,0)/1000</f>
        <v>3.5049999999999999</v>
      </c>
      <c r="K463" s="162">
        <f ca="1">VLOOKUP($A463,'BC.115+740'!$B$13:$X$489,21,0)/1000</f>
        <v>-0.495</v>
      </c>
      <c r="L463" s="160">
        <f t="shared" ca="1" si="22"/>
        <v>-464.99999999999994</v>
      </c>
      <c r="M463" s="161">
        <f t="shared" ca="1" si="23"/>
        <v>-469</v>
      </c>
      <c r="N463" s="160">
        <f t="shared" ref="N463:N526" ca="1" si="24">(K463-$K$14)*1000</f>
        <v>-455</v>
      </c>
      <c r="O463" s="160"/>
    </row>
    <row r="464" spans="1:15">
      <c r="A464" s="164">
        <f>'BC.115+740'!B463</f>
        <v>45522</v>
      </c>
      <c r="B464" s="160">
        <f t="shared" si="21"/>
        <v>450</v>
      </c>
      <c r="C464" s="162">
        <f ca="1">'BC.115+740'!M463/1000</f>
        <v>3.7229999999999999</v>
      </c>
      <c r="D464" s="162">
        <f ca="1">'BC.115+740'!AA463</f>
        <v>4.109</v>
      </c>
      <c r="E464" s="163">
        <f ca="1">'BC.115+740'!AB463</f>
        <v>3.2559999999999998</v>
      </c>
      <c r="F464" s="162">
        <f ca="1">VLOOKUP($A464,'BC.115+740'!$B$13:$X$489,8,0)/1000</f>
        <v>3.5659999999999998</v>
      </c>
      <c r="G464" s="162">
        <f ca="1">VLOOKUP($A464,'BC.115+740'!$B$13:$X$489,9,0)/1000</f>
        <v>-0.434</v>
      </c>
      <c r="H464" s="162">
        <f ca="1">VLOOKUP($A464,'BC.115+740'!$B$13:$X$489,14,0)/1000</f>
        <v>3.5129999999999999</v>
      </c>
      <c r="I464" s="162">
        <f ca="1">VLOOKUP($A464,'BC.115+740'!$B$13:$X$489,15,0)/1000</f>
        <v>-0.48699999999999999</v>
      </c>
      <c r="J464" s="162">
        <f ca="1">VLOOKUP($A464,'BC.115+740'!$B$13:$X$489,20,0)/1000</f>
        <v>3.4990000000000001</v>
      </c>
      <c r="K464" s="162">
        <f ca="1">VLOOKUP($A464,'BC.115+740'!$B$13:$X$489,21,0)/1000</f>
        <v>-0.501</v>
      </c>
      <c r="L464" s="160">
        <f t="shared" ca="1" si="22"/>
        <v>-474</v>
      </c>
      <c r="M464" s="161">
        <f t="shared" ca="1" si="23"/>
        <v>-477</v>
      </c>
      <c r="N464" s="160">
        <f t="shared" ca="1" si="24"/>
        <v>-461</v>
      </c>
      <c r="O464" s="160"/>
    </row>
    <row r="465" spans="1:15">
      <c r="A465" s="164">
        <f>'BC.115+740'!B464</f>
        <v>45523</v>
      </c>
      <c r="B465" s="160">
        <f t="shared" si="21"/>
        <v>451</v>
      </c>
      <c r="C465" s="162">
        <f ca="1">'BC.115+740'!M464/1000</f>
        <v>3.714</v>
      </c>
      <c r="D465" s="162">
        <f ca="1">'BC.115+740'!AA464</f>
        <v>4.109</v>
      </c>
      <c r="E465" s="163">
        <f ca="1">'BC.115+740'!AB464</f>
        <v>3.238</v>
      </c>
      <c r="F465" s="162">
        <f ca="1">VLOOKUP($A465,'BC.115+740'!$B$13:$X$489,8,0)/1000</f>
        <v>3.5579999999999998</v>
      </c>
      <c r="G465" s="162">
        <f ca="1">VLOOKUP($A465,'BC.115+740'!$B$13:$X$489,9,0)/1000</f>
        <v>-0.442</v>
      </c>
      <c r="H465" s="162">
        <f ca="1">VLOOKUP($A465,'BC.115+740'!$B$13:$X$489,14,0)/1000</f>
        <v>3.504</v>
      </c>
      <c r="I465" s="162">
        <f ca="1">VLOOKUP($A465,'BC.115+740'!$B$13:$X$489,15,0)/1000</f>
        <v>-0.496</v>
      </c>
      <c r="J465" s="162">
        <f ca="1">VLOOKUP($A465,'BC.115+740'!$B$13:$X$489,20,0)/1000</f>
        <v>3.49</v>
      </c>
      <c r="K465" s="162">
        <f ca="1">VLOOKUP($A465,'BC.115+740'!$B$13:$X$489,21,0)/1000</f>
        <v>-0.51</v>
      </c>
      <c r="L465" s="160">
        <f t="shared" ca="1" si="22"/>
        <v>-482</v>
      </c>
      <c r="M465" s="161">
        <f t="shared" ca="1" si="23"/>
        <v>-486</v>
      </c>
      <c r="N465" s="160">
        <f t="shared" ca="1" si="24"/>
        <v>-470.00000000000006</v>
      </c>
      <c r="O465" s="160"/>
    </row>
    <row r="466" spans="1:15">
      <c r="A466" s="164">
        <f>'BC.115+740'!B465</f>
        <v>45524</v>
      </c>
      <c r="B466" s="160">
        <f t="shared" si="21"/>
        <v>452</v>
      </c>
      <c r="C466" s="162">
        <f ca="1">'BC.115+740'!M465/1000</f>
        <v>3.706</v>
      </c>
      <c r="D466" s="162">
        <f ca="1">'BC.115+740'!AA465</f>
        <v>4.109</v>
      </c>
      <c r="E466" s="163">
        <f ca="1">'BC.115+740'!AB465</f>
        <v>3.222</v>
      </c>
      <c r="F466" s="162">
        <f ca="1">VLOOKUP($A466,'BC.115+740'!$B$13:$X$489,8,0)/1000</f>
        <v>3.5489999999999999</v>
      </c>
      <c r="G466" s="162">
        <f ca="1">VLOOKUP($A466,'BC.115+740'!$B$13:$X$489,9,0)/1000</f>
        <v>-0.45100000000000001</v>
      </c>
      <c r="H466" s="162">
        <f ca="1">VLOOKUP($A466,'BC.115+740'!$B$13:$X$489,14,0)/1000</f>
        <v>3.496</v>
      </c>
      <c r="I466" s="162">
        <f ca="1">VLOOKUP($A466,'BC.115+740'!$B$13:$X$489,15,0)/1000</f>
        <v>-0.504</v>
      </c>
      <c r="J466" s="162">
        <f ca="1">VLOOKUP($A466,'BC.115+740'!$B$13:$X$489,20,0)/1000</f>
        <v>3.484</v>
      </c>
      <c r="K466" s="162">
        <f ca="1">VLOOKUP($A466,'BC.115+740'!$B$13:$X$489,21,0)/1000</f>
        <v>-0.51600000000000001</v>
      </c>
      <c r="L466" s="160">
        <f t="shared" ca="1" si="22"/>
        <v>-491</v>
      </c>
      <c r="M466" s="161">
        <f t="shared" ca="1" si="23"/>
        <v>-494</v>
      </c>
      <c r="N466" s="160">
        <f t="shared" ca="1" si="24"/>
        <v>-476.00000000000006</v>
      </c>
      <c r="O466" s="160"/>
    </row>
    <row r="467" spans="1:15">
      <c r="A467" s="164">
        <f>'BC.115+740'!B466</f>
        <v>45525</v>
      </c>
      <c r="B467" s="160">
        <f t="shared" si="21"/>
        <v>453</v>
      </c>
      <c r="C467" s="162">
        <f ca="1">'BC.115+740'!M466/1000</f>
        <v>3.698</v>
      </c>
      <c r="D467" s="162">
        <f ca="1">'BC.115+740'!AA466</f>
        <v>4.109</v>
      </c>
      <c r="E467" s="163">
        <f ca="1">'BC.115+740'!AB466</f>
        <v>3.206</v>
      </c>
      <c r="F467" s="162">
        <f ca="1">VLOOKUP($A467,'BC.115+740'!$B$13:$X$489,8,0)/1000</f>
        <v>3.5409999999999999</v>
      </c>
      <c r="G467" s="162">
        <f ca="1">VLOOKUP($A467,'BC.115+740'!$B$13:$X$489,9,0)/1000</f>
        <v>-0.45900000000000002</v>
      </c>
      <c r="H467" s="162">
        <f ca="1">VLOOKUP($A467,'BC.115+740'!$B$13:$X$489,14,0)/1000</f>
        <v>3.488</v>
      </c>
      <c r="I467" s="162">
        <f ca="1">VLOOKUP($A467,'BC.115+740'!$B$13:$X$489,15,0)/1000</f>
        <v>-0.51200000000000001</v>
      </c>
      <c r="J467" s="162">
        <f ca="1">VLOOKUP($A467,'BC.115+740'!$B$13:$X$489,20,0)/1000</f>
        <v>3.4769999999999999</v>
      </c>
      <c r="K467" s="162">
        <f ca="1">VLOOKUP($A467,'BC.115+740'!$B$13:$X$489,21,0)/1000</f>
        <v>-0.52300000000000002</v>
      </c>
      <c r="L467" s="160">
        <f t="shared" ca="1" si="22"/>
        <v>-499</v>
      </c>
      <c r="M467" s="161">
        <f t="shared" ca="1" si="23"/>
        <v>-502</v>
      </c>
      <c r="N467" s="160">
        <f t="shared" ca="1" si="24"/>
        <v>-483.00000000000006</v>
      </c>
      <c r="O467" s="160"/>
    </row>
    <row r="468" spans="1:15">
      <c r="A468" s="164">
        <f>'BC.115+740'!B467</f>
        <v>45526</v>
      </c>
      <c r="B468" s="160">
        <f t="shared" si="21"/>
        <v>454</v>
      </c>
      <c r="C468" s="162">
        <f ca="1">'BC.115+740'!M467/1000</f>
        <v>3.6890000000000001</v>
      </c>
      <c r="D468" s="162">
        <f ca="1">'BC.115+740'!AA467</f>
        <v>4.109</v>
      </c>
      <c r="E468" s="163">
        <f ca="1">'BC.115+740'!AB467</f>
        <v>3.1880000000000002</v>
      </c>
      <c r="F468" s="162">
        <f ca="1">VLOOKUP($A468,'BC.115+740'!$B$13:$X$489,8,0)/1000</f>
        <v>3.5339999999999998</v>
      </c>
      <c r="G468" s="162">
        <f ca="1">VLOOKUP($A468,'BC.115+740'!$B$13:$X$489,9,0)/1000</f>
        <v>-0.46600000000000003</v>
      </c>
      <c r="H468" s="162">
        <f ca="1">VLOOKUP($A468,'BC.115+740'!$B$13:$X$489,14,0)/1000</f>
        <v>3.4790000000000001</v>
      </c>
      <c r="I468" s="162">
        <f ca="1">VLOOKUP($A468,'BC.115+740'!$B$13:$X$489,15,0)/1000</f>
        <v>-0.52100000000000002</v>
      </c>
      <c r="J468" s="162">
        <f ca="1">VLOOKUP($A468,'BC.115+740'!$B$13:$X$489,20,0)/1000</f>
        <v>3.468</v>
      </c>
      <c r="K468" s="162">
        <f ca="1">VLOOKUP($A468,'BC.115+740'!$B$13:$X$489,21,0)/1000</f>
        <v>-0.53200000000000003</v>
      </c>
      <c r="L468" s="160">
        <f t="shared" ca="1" si="22"/>
        <v>-506</v>
      </c>
      <c r="M468" s="161">
        <f t="shared" ca="1" si="23"/>
        <v>-511</v>
      </c>
      <c r="N468" s="160">
        <f t="shared" ca="1" si="24"/>
        <v>-492.00000000000006</v>
      </c>
      <c r="O468" s="160"/>
    </row>
    <row r="469" spans="1:15">
      <c r="A469" s="164">
        <f>'BC.115+740'!B468</f>
        <v>45527</v>
      </c>
      <c r="B469" s="160">
        <f t="shared" si="21"/>
        <v>455</v>
      </c>
      <c r="C469" s="162">
        <f ca="1">'BC.115+740'!M468/1000</f>
        <v>3.681</v>
      </c>
      <c r="D469" s="162">
        <f ca="1">'BC.115+740'!AA468</f>
        <v>4.109</v>
      </c>
      <c r="E469" s="163">
        <f ca="1">'BC.115+740'!AB468</f>
        <v>3.1720000000000002</v>
      </c>
      <c r="F469" s="162">
        <f ca="1">VLOOKUP($A469,'BC.115+740'!$B$13:$X$489,8,0)/1000</f>
        <v>3.5270000000000001</v>
      </c>
      <c r="G469" s="162">
        <f ca="1">VLOOKUP($A469,'BC.115+740'!$B$13:$X$489,9,0)/1000</f>
        <v>-0.47299999999999998</v>
      </c>
      <c r="H469" s="162">
        <f ca="1">VLOOKUP($A469,'BC.115+740'!$B$13:$X$489,14,0)/1000</f>
        <v>3.4710000000000001</v>
      </c>
      <c r="I469" s="162">
        <f ca="1">VLOOKUP($A469,'BC.115+740'!$B$13:$X$489,15,0)/1000</f>
        <v>-0.52900000000000003</v>
      </c>
      <c r="J469" s="162">
        <f ca="1">VLOOKUP($A469,'BC.115+740'!$B$13:$X$489,20,0)/1000</f>
        <v>3.4630000000000001</v>
      </c>
      <c r="K469" s="162">
        <f ca="1">VLOOKUP($A469,'BC.115+740'!$B$13:$X$489,21,0)/1000</f>
        <v>-0.53700000000000003</v>
      </c>
      <c r="L469" s="160">
        <f t="shared" ca="1" si="22"/>
        <v>-513</v>
      </c>
      <c r="M469" s="161">
        <f t="shared" ca="1" si="23"/>
        <v>-519</v>
      </c>
      <c r="N469" s="160">
        <f t="shared" ca="1" si="24"/>
        <v>-497.00000000000006</v>
      </c>
      <c r="O469" s="160"/>
    </row>
    <row r="470" spans="1:15">
      <c r="A470" s="164">
        <f>'BC.115+740'!B469</f>
        <v>45528</v>
      </c>
      <c r="B470" s="160">
        <f t="shared" si="21"/>
        <v>456</v>
      </c>
      <c r="C470" s="162">
        <f ca="1">'BC.115+740'!M469/1000</f>
        <v>3.6739999999999999</v>
      </c>
      <c r="D470" s="162">
        <f ca="1">'BC.115+740'!AA469</f>
        <v>4.109</v>
      </c>
      <c r="E470" s="163">
        <f ca="1">'BC.115+740'!AB469</f>
        <v>3.1579999999999999</v>
      </c>
      <c r="F470" s="162">
        <f ca="1">VLOOKUP($A470,'BC.115+740'!$B$13:$X$489,8,0)/1000</f>
        <v>3.5209999999999999</v>
      </c>
      <c r="G470" s="162">
        <f ca="1">VLOOKUP($A470,'BC.115+740'!$B$13:$X$489,9,0)/1000</f>
        <v>-0.47899999999999998</v>
      </c>
      <c r="H470" s="162">
        <f ca="1">VLOOKUP($A470,'BC.115+740'!$B$13:$X$489,14,0)/1000</f>
        <v>3.464</v>
      </c>
      <c r="I470" s="162">
        <f ca="1">VLOOKUP($A470,'BC.115+740'!$B$13:$X$489,15,0)/1000</f>
        <v>-0.53600000000000003</v>
      </c>
      <c r="J470" s="162">
        <f ca="1">VLOOKUP($A470,'BC.115+740'!$B$13:$X$489,20,0)/1000</f>
        <v>3.456</v>
      </c>
      <c r="K470" s="162">
        <f ca="1">VLOOKUP($A470,'BC.115+740'!$B$13:$X$489,21,0)/1000</f>
        <v>-0.54400000000000004</v>
      </c>
      <c r="L470" s="160">
        <f t="shared" ca="1" si="22"/>
        <v>-519</v>
      </c>
      <c r="M470" s="161">
        <f t="shared" ca="1" si="23"/>
        <v>-526</v>
      </c>
      <c r="N470" s="160">
        <f t="shared" ca="1" si="24"/>
        <v>-504</v>
      </c>
      <c r="O470" s="160"/>
    </row>
    <row r="471" spans="1:15">
      <c r="A471" s="164">
        <f>'BC.115+740'!B470</f>
        <v>45529</v>
      </c>
      <c r="B471" s="160">
        <f t="shared" si="21"/>
        <v>457</v>
      </c>
      <c r="C471" s="162">
        <f ca="1">'BC.115+740'!M470/1000</f>
        <v>3.6669999999999998</v>
      </c>
      <c r="D471" s="162">
        <f ca="1">'BC.115+740'!AA470</f>
        <v>4.109</v>
      </c>
      <c r="E471" s="163">
        <f ca="1">'BC.115+740'!AB470</f>
        <v>3.1440000000000001</v>
      </c>
      <c r="F471" s="162">
        <f ca="1">VLOOKUP($A471,'BC.115+740'!$B$13:$X$489,8,0)/1000</f>
        <v>3.5150000000000001</v>
      </c>
      <c r="G471" s="162">
        <f ca="1">VLOOKUP($A471,'BC.115+740'!$B$13:$X$489,9,0)/1000</f>
        <v>-0.48499999999999999</v>
      </c>
      <c r="H471" s="162">
        <f ca="1">VLOOKUP($A471,'BC.115+740'!$B$13:$X$489,14,0)/1000</f>
        <v>3.4569999999999999</v>
      </c>
      <c r="I471" s="162">
        <f ca="1">VLOOKUP($A471,'BC.115+740'!$B$13:$X$489,15,0)/1000</f>
        <v>-0.54300000000000004</v>
      </c>
      <c r="J471" s="162">
        <f ca="1">VLOOKUP($A471,'BC.115+740'!$B$13:$X$489,20,0)/1000</f>
        <v>3.4470000000000001</v>
      </c>
      <c r="K471" s="162">
        <f ca="1">VLOOKUP($A471,'BC.115+740'!$B$13:$X$489,21,0)/1000</f>
        <v>-0.55300000000000005</v>
      </c>
      <c r="L471" s="160">
        <f t="shared" ca="1" si="22"/>
        <v>-525</v>
      </c>
      <c r="M471" s="161">
        <f t="shared" ca="1" si="23"/>
        <v>-533</v>
      </c>
      <c r="N471" s="160">
        <f t="shared" ca="1" si="24"/>
        <v>-513</v>
      </c>
      <c r="O471" s="160"/>
    </row>
    <row r="472" spans="1:15">
      <c r="A472" s="164">
        <f>'BC.115+740'!B471</f>
        <v>45530</v>
      </c>
      <c r="B472" s="160">
        <f t="shared" si="21"/>
        <v>458</v>
      </c>
      <c r="C472" s="162">
        <f ca="1">'BC.115+740'!M471/1000</f>
        <v>3.6579999999999999</v>
      </c>
      <c r="D472" s="162">
        <f ca="1">'BC.115+740'!AA471</f>
        <v>4.109</v>
      </c>
      <c r="E472" s="163">
        <f ca="1">'BC.115+740'!AB471</f>
        <v>3.1259999999999999</v>
      </c>
      <c r="F472" s="162">
        <f ca="1">VLOOKUP($A472,'BC.115+740'!$B$13:$X$489,8,0)/1000</f>
        <v>3.5070000000000001</v>
      </c>
      <c r="G472" s="162">
        <f ca="1">VLOOKUP($A472,'BC.115+740'!$B$13:$X$489,9,0)/1000</f>
        <v>-0.49299999999999999</v>
      </c>
      <c r="H472" s="162">
        <f ca="1">VLOOKUP($A472,'BC.115+740'!$B$13:$X$489,14,0)/1000</f>
        <v>3.448</v>
      </c>
      <c r="I472" s="162">
        <f ca="1">VLOOKUP($A472,'BC.115+740'!$B$13:$X$489,15,0)/1000</f>
        <v>-0.55200000000000005</v>
      </c>
      <c r="J472" s="162">
        <f ca="1">VLOOKUP($A472,'BC.115+740'!$B$13:$X$489,20,0)/1000</f>
        <v>3.4409999999999998</v>
      </c>
      <c r="K472" s="162">
        <f ca="1">VLOOKUP($A472,'BC.115+740'!$B$13:$X$489,21,0)/1000</f>
        <v>-0.55900000000000005</v>
      </c>
      <c r="L472" s="160">
        <f t="shared" ca="1" si="22"/>
        <v>-533</v>
      </c>
      <c r="M472" s="161">
        <f t="shared" ca="1" si="23"/>
        <v>-542</v>
      </c>
      <c r="N472" s="160">
        <f t="shared" ca="1" si="24"/>
        <v>-519</v>
      </c>
      <c r="O472" s="160"/>
    </row>
    <row r="473" spans="1:15">
      <c r="A473" s="164">
        <f>'BC.115+740'!B472</f>
        <v>45531</v>
      </c>
      <c r="B473" s="160">
        <f t="shared" si="21"/>
        <v>459</v>
      </c>
      <c r="C473" s="162">
        <f ca="1">'BC.115+740'!M472/1000</f>
        <v>3.649</v>
      </c>
      <c r="D473" s="162">
        <f ca="1">'BC.115+740'!AA472</f>
        <v>4.109</v>
      </c>
      <c r="E473" s="163">
        <f ca="1">'BC.115+740'!AB472</f>
        <v>3.1080000000000001</v>
      </c>
      <c r="F473" s="162">
        <f ca="1">VLOOKUP($A473,'BC.115+740'!$B$13:$X$489,8,0)/1000</f>
        <v>3.5</v>
      </c>
      <c r="G473" s="162">
        <f ca="1">VLOOKUP($A473,'BC.115+740'!$B$13:$X$489,9,0)/1000</f>
        <v>-0.5</v>
      </c>
      <c r="H473" s="162">
        <f ca="1">VLOOKUP($A473,'BC.115+740'!$B$13:$X$489,14,0)/1000</f>
        <v>3.4390000000000001</v>
      </c>
      <c r="I473" s="162">
        <f ca="1">VLOOKUP($A473,'BC.115+740'!$B$13:$X$489,15,0)/1000</f>
        <v>-0.56100000000000005</v>
      </c>
      <c r="J473" s="162">
        <f ca="1">VLOOKUP($A473,'BC.115+740'!$B$13:$X$489,20,0)/1000</f>
        <v>3.4340000000000002</v>
      </c>
      <c r="K473" s="162">
        <f ca="1">VLOOKUP($A473,'BC.115+740'!$B$13:$X$489,21,0)/1000</f>
        <v>-0.56599999999999995</v>
      </c>
      <c r="L473" s="160">
        <f t="shared" ca="1" si="22"/>
        <v>-540</v>
      </c>
      <c r="M473" s="161">
        <f t="shared" ca="1" si="23"/>
        <v>-551</v>
      </c>
      <c r="N473" s="160">
        <f t="shared" ca="1" si="24"/>
        <v>-525.99999999999989</v>
      </c>
      <c r="O473" s="160"/>
    </row>
    <row r="474" spans="1:15">
      <c r="A474" s="164">
        <f>'BC.115+740'!B473</f>
        <v>45532</v>
      </c>
      <c r="B474" s="160">
        <f t="shared" si="21"/>
        <v>460</v>
      </c>
      <c r="C474" s="162">
        <f ca="1">'BC.115+740'!M473/1000</f>
        <v>3.64</v>
      </c>
      <c r="D474" s="162">
        <f ca="1">'BC.115+740'!AA473</f>
        <v>4.109</v>
      </c>
      <c r="E474" s="163">
        <f ca="1">'BC.115+740'!AB473</f>
        <v>3.09</v>
      </c>
      <c r="F474" s="162">
        <f ca="1">VLOOKUP($A474,'BC.115+740'!$B$13:$X$489,8,0)/1000</f>
        <v>3.4910000000000001</v>
      </c>
      <c r="G474" s="162">
        <f ca="1">VLOOKUP($A474,'BC.115+740'!$B$13:$X$489,9,0)/1000</f>
        <v>-0.50900000000000001</v>
      </c>
      <c r="H474" s="162">
        <f ca="1">VLOOKUP($A474,'BC.115+740'!$B$13:$X$489,14,0)/1000</f>
        <v>3.43</v>
      </c>
      <c r="I474" s="162">
        <f ca="1">VLOOKUP($A474,'BC.115+740'!$B$13:$X$489,15,0)/1000</f>
        <v>-0.56999999999999995</v>
      </c>
      <c r="J474" s="162">
        <f ca="1">VLOOKUP($A474,'BC.115+740'!$B$13:$X$489,20,0)/1000</f>
        <v>3.427</v>
      </c>
      <c r="K474" s="162">
        <f ca="1">VLOOKUP($A474,'BC.115+740'!$B$13:$X$489,21,0)/1000</f>
        <v>-0.57299999999999995</v>
      </c>
      <c r="L474" s="160">
        <f t="shared" ca="1" si="22"/>
        <v>-549</v>
      </c>
      <c r="M474" s="161">
        <f t="shared" ca="1" si="23"/>
        <v>-559.99999999999989</v>
      </c>
      <c r="N474" s="160">
        <f t="shared" ca="1" si="24"/>
        <v>-532.99999999999989</v>
      </c>
      <c r="O474" s="160"/>
    </row>
    <row r="475" spans="1:15">
      <c r="A475" s="164">
        <f>'BC.115+740'!B474</f>
        <v>45533</v>
      </c>
      <c r="B475" s="160">
        <f t="shared" si="21"/>
        <v>461</v>
      </c>
      <c r="C475" s="162">
        <f ca="1">'BC.115+740'!M474/1000</f>
        <v>3.6320000000000001</v>
      </c>
      <c r="D475" s="162">
        <f ca="1">'BC.115+740'!AA474</f>
        <v>4.109</v>
      </c>
      <c r="E475" s="163">
        <f ca="1">'BC.115+740'!AB474</f>
        <v>3.0739999999999998</v>
      </c>
      <c r="F475" s="162">
        <f ca="1">VLOOKUP($A475,'BC.115+740'!$B$13:$X$489,8,0)/1000</f>
        <v>3.4830000000000001</v>
      </c>
      <c r="G475" s="162">
        <f ca="1">VLOOKUP($A475,'BC.115+740'!$B$13:$X$489,9,0)/1000</f>
        <v>-0.51700000000000002</v>
      </c>
      <c r="H475" s="162">
        <f ca="1">VLOOKUP($A475,'BC.115+740'!$B$13:$X$489,14,0)/1000</f>
        <v>3.4220000000000002</v>
      </c>
      <c r="I475" s="162">
        <f ca="1">VLOOKUP($A475,'BC.115+740'!$B$13:$X$489,15,0)/1000</f>
        <v>-0.57799999999999996</v>
      </c>
      <c r="J475" s="162">
        <f ca="1">VLOOKUP($A475,'BC.115+740'!$B$13:$X$489,20,0)/1000</f>
        <v>3.4209999999999998</v>
      </c>
      <c r="K475" s="162">
        <f ca="1">VLOOKUP($A475,'BC.115+740'!$B$13:$X$489,21,0)/1000</f>
        <v>-0.57899999999999996</v>
      </c>
      <c r="L475" s="160">
        <f t="shared" ca="1" si="22"/>
        <v>-557</v>
      </c>
      <c r="M475" s="161">
        <f t="shared" ca="1" si="23"/>
        <v>-568</v>
      </c>
      <c r="N475" s="160">
        <f t="shared" ca="1" si="24"/>
        <v>-538.99999999999989</v>
      </c>
      <c r="O475" s="160"/>
    </row>
    <row r="476" spans="1:15">
      <c r="A476" s="164">
        <f>'BC.115+740'!B475</f>
        <v>45534</v>
      </c>
      <c r="B476" s="160">
        <f t="shared" si="21"/>
        <v>462</v>
      </c>
      <c r="C476" s="162">
        <f ca="1">'BC.115+740'!M475/1000</f>
        <v>3.625</v>
      </c>
      <c r="D476" s="162">
        <f ca="1">'BC.115+740'!AA475</f>
        <v>4.109</v>
      </c>
      <c r="E476" s="163">
        <f ca="1">'BC.115+740'!AB475</f>
        <v>3.06</v>
      </c>
      <c r="F476" s="162">
        <f ca="1">VLOOKUP($A476,'BC.115+740'!$B$13:$X$489,8,0)/1000</f>
        <v>3.4740000000000002</v>
      </c>
      <c r="G476" s="162">
        <f ca="1">VLOOKUP($A476,'BC.115+740'!$B$13:$X$489,9,0)/1000</f>
        <v>-0.52600000000000002</v>
      </c>
      <c r="H476" s="162">
        <f ca="1">VLOOKUP($A476,'BC.115+740'!$B$13:$X$489,14,0)/1000</f>
        <v>3.415</v>
      </c>
      <c r="I476" s="162">
        <f ca="1">VLOOKUP($A476,'BC.115+740'!$B$13:$X$489,15,0)/1000</f>
        <v>-0.58499999999999996</v>
      </c>
      <c r="J476" s="162">
        <f ca="1">VLOOKUP($A476,'BC.115+740'!$B$13:$X$489,20,0)/1000</f>
        <v>3.415</v>
      </c>
      <c r="K476" s="162">
        <f ca="1">VLOOKUP($A476,'BC.115+740'!$B$13:$X$489,21,0)/1000</f>
        <v>-0.58499999999999996</v>
      </c>
      <c r="L476" s="160">
        <f t="shared" ca="1" si="22"/>
        <v>-566.00000000000011</v>
      </c>
      <c r="M476" s="161">
        <f t="shared" ca="1" si="23"/>
        <v>-575</v>
      </c>
      <c r="N476" s="160">
        <f t="shared" ca="1" si="24"/>
        <v>-544.99999999999989</v>
      </c>
      <c r="O476" s="160"/>
    </row>
    <row r="477" spans="1:15">
      <c r="A477" s="164">
        <f>'BC.115+740'!B476</f>
        <v>45535</v>
      </c>
      <c r="B477" s="160">
        <f t="shared" si="21"/>
        <v>463</v>
      </c>
      <c r="C477" s="162">
        <f ca="1">'BC.115+740'!M476/1000</f>
        <v>3.617</v>
      </c>
      <c r="D477" s="162">
        <f ca="1">'BC.115+740'!AA476</f>
        <v>4.109</v>
      </c>
      <c r="E477" s="163">
        <f ca="1">'BC.115+740'!AB476</f>
        <v>3.044</v>
      </c>
      <c r="F477" s="162">
        <f ca="1">VLOOKUP($A477,'BC.115+740'!$B$13:$X$489,8,0)/1000</f>
        <v>3.4660000000000002</v>
      </c>
      <c r="G477" s="162">
        <f ca="1">VLOOKUP($A477,'BC.115+740'!$B$13:$X$489,9,0)/1000</f>
        <v>-0.53400000000000003</v>
      </c>
      <c r="H477" s="162">
        <f ca="1">VLOOKUP($A477,'BC.115+740'!$B$13:$X$489,14,0)/1000</f>
        <v>3.407</v>
      </c>
      <c r="I477" s="162">
        <f ca="1">VLOOKUP($A477,'BC.115+740'!$B$13:$X$489,15,0)/1000</f>
        <v>-0.59299999999999997</v>
      </c>
      <c r="J477" s="162">
        <f ca="1">VLOOKUP($A477,'BC.115+740'!$B$13:$X$489,20,0)/1000</f>
        <v>3.407</v>
      </c>
      <c r="K477" s="162">
        <f ca="1">VLOOKUP($A477,'BC.115+740'!$B$13:$X$489,21,0)/1000</f>
        <v>-0.59299999999999997</v>
      </c>
      <c r="L477" s="160">
        <f t="shared" ca="1" si="22"/>
        <v>-574.00000000000011</v>
      </c>
      <c r="M477" s="161">
        <f t="shared" ca="1" si="23"/>
        <v>-583</v>
      </c>
      <c r="N477" s="160">
        <f t="shared" ca="1" si="24"/>
        <v>-552.99999999999989</v>
      </c>
      <c r="O477" s="160"/>
    </row>
    <row r="478" spans="1:15">
      <c r="A478" s="164">
        <f>'BC.115+740'!B477</f>
        <v>45536</v>
      </c>
      <c r="B478" s="160">
        <f t="shared" si="21"/>
        <v>464</v>
      </c>
      <c r="C478" s="162">
        <f ca="1">'BC.115+740'!M477/1000</f>
        <v>3.6080000000000001</v>
      </c>
      <c r="D478" s="162">
        <f ca="1">'BC.115+740'!AA477</f>
        <v>4.109</v>
      </c>
      <c r="E478" s="163">
        <f ca="1">'BC.115+740'!AB477</f>
        <v>3.0259999999999998</v>
      </c>
      <c r="F478" s="162">
        <f ca="1">VLOOKUP($A478,'BC.115+740'!$B$13:$X$489,8,0)/1000</f>
        <v>3.4590000000000001</v>
      </c>
      <c r="G478" s="162">
        <f ca="1">VLOOKUP($A478,'BC.115+740'!$B$13:$X$489,9,0)/1000</f>
        <v>-0.54100000000000004</v>
      </c>
      <c r="H478" s="162">
        <f ca="1">VLOOKUP($A478,'BC.115+740'!$B$13:$X$489,14,0)/1000</f>
        <v>3.3980000000000001</v>
      </c>
      <c r="I478" s="162">
        <f ca="1">VLOOKUP($A478,'BC.115+740'!$B$13:$X$489,15,0)/1000</f>
        <v>-0.60199999999999998</v>
      </c>
      <c r="J478" s="162">
        <f ca="1">VLOOKUP($A478,'BC.115+740'!$B$13:$X$489,20,0)/1000</f>
        <v>3.4</v>
      </c>
      <c r="K478" s="162">
        <f ca="1">VLOOKUP($A478,'BC.115+740'!$B$13:$X$489,21,0)/1000</f>
        <v>-0.6</v>
      </c>
      <c r="L478" s="160">
        <f t="shared" ca="1" si="22"/>
        <v>-581.00000000000011</v>
      </c>
      <c r="M478" s="161">
        <f t="shared" ca="1" si="23"/>
        <v>-592</v>
      </c>
      <c r="N478" s="160">
        <f t="shared" ca="1" si="24"/>
        <v>-559.99999999999989</v>
      </c>
      <c r="O478" s="160"/>
    </row>
    <row r="479" spans="1:15">
      <c r="A479" s="164">
        <f>'BC.115+740'!B478</f>
        <v>45537</v>
      </c>
      <c r="B479" s="160">
        <f t="shared" si="21"/>
        <v>465</v>
      </c>
      <c r="C479" s="162">
        <f ca="1">'BC.115+740'!M478/1000</f>
        <v>3.6</v>
      </c>
      <c r="D479" s="162">
        <f ca="1">'BC.115+740'!AA478</f>
        <v>4.109</v>
      </c>
      <c r="E479" s="163">
        <f ca="1">'BC.115+740'!AB478</f>
        <v>3.01</v>
      </c>
      <c r="F479" s="162">
        <f ca="1">VLOOKUP($A479,'BC.115+740'!$B$13:$X$489,8,0)/1000</f>
        <v>3.45</v>
      </c>
      <c r="G479" s="162">
        <f ca="1">VLOOKUP($A479,'BC.115+740'!$B$13:$X$489,9,0)/1000</f>
        <v>-0.55000000000000004</v>
      </c>
      <c r="H479" s="162">
        <f ca="1">VLOOKUP($A479,'BC.115+740'!$B$13:$X$489,14,0)/1000</f>
        <v>3.39</v>
      </c>
      <c r="I479" s="162">
        <f ca="1">VLOOKUP($A479,'BC.115+740'!$B$13:$X$489,15,0)/1000</f>
        <v>-0.61</v>
      </c>
      <c r="J479" s="162">
        <f ca="1">VLOOKUP($A479,'BC.115+740'!$B$13:$X$489,20,0)/1000</f>
        <v>3.391</v>
      </c>
      <c r="K479" s="162">
        <f ca="1">VLOOKUP($A479,'BC.115+740'!$B$13:$X$489,21,0)/1000</f>
        <v>-0.60899999999999999</v>
      </c>
      <c r="L479" s="160">
        <f t="shared" ca="1" si="22"/>
        <v>-590.00000000000011</v>
      </c>
      <c r="M479" s="161">
        <f t="shared" ca="1" si="23"/>
        <v>-600</v>
      </c>
      <c r="N479" s="160">
        <f t="shared" ca="1" si="24"/>
        <v>-569</v>
      </c>
      <c r="O479" s="160"/>
    </row>
    <row r="480" spans="1:15">
      <c r="A480" s="164">
        <f>'BC.115+740'!B479</f>
        <v>45538</v>
      </c>
      <c r="B480" s="160">
        <f t="shared" si="21"/>
        <v>466</v>
      </c>
      <c r="C480" s="162">
        <f ca="1">'BC.115+740'!M479/1000</f>
        <v>3.593</v>
      </c>
      <c r="D480" s="162">
        <f ca="1">'BC.115+740'!AA479</f>
        <v>4.109</v>
      </c>
      <c r="E480" s="163">
        <f ca="1">'BC.115+740'!AB479</f>
        <v>2.996</v>
      </c>
      <c r="F480" s="162">
        <f ca="1">VLOOKUP($A480,'BC.115+740'!$B$13:$X$489,8,0)/1000</f>
        <v>3.4420000000000002</v>
      </c>
      <c r="G480" s="162">
        <f ca="1">VLOOKUP($A480,'BC.115+740'!$B$13:$X$489,9,0)/1000</f>
        <v>-0.55800000000000005</v>
      </c>
      <c r="H480" s="162">
        <f ca="1">VLOOKUP($A480,'BC.115+740'!$B$13:$X$489,14,0)/1000</f>
        <v>3.383</v>
      </c>
      <c r="I480" s="162">
        <f ca="1">VLOOKUP($A480,'BC.115+740'!$B$13:$X$489,15,0)/1000</f>
        <v>-0.61699999999999999</v>
      </c>
      <c r="J480" s="162">
        <f ca="1">VLOOKUP($A480,'BC.115+740'!$B$13:$X$489,20,0)/1000</f>
        <v>3.3889999999999998</v>
      </c>
      <c r="K480" s="162">
        <f ca="1">VLOOKUP($A480,'BC.115+740'!$B$13:$X$489,21,0)/1000</f>
        <v>-0.61099999999999999</v>
      </c>
      <c r="L480" s="160">
        <f t="shared" ca="1" si="22"/>
        <v>-598.00000000000011</v>
      </c>
      <c r="M480" s="161">
        <f t="shared" ca="1" si="23"/>
        <v>-607</v>
      </c>
      <c r="N480" s="160">
        <f t="shared" ca="1" si="24"/>
        <v>-571</v>
      </c>
      <c r="O480" s="160"/>
    </row>
    <row r="481" spans="1:15">
      <c r="A481" s="164">
        <f>'BC.115+740'!B480</f>
        <v>45539</v>
      </c>
      <c r="B481" s="160">
        <f t="shared" si="21"/>
        <v>467</v>
      </c>
      <c r="C481" s="162">
        <f ca="1">'BC.115+740'!M480/1000</f>
        <v>3.5840000000000001</v>
      </c>
      <c r="D481" s="162">
        <f ca="1">'BC.115+740'!AA480</f>
        <v>4.109</v>
      </c>
      <c r="E481" s="163">
        <f ca="1">'BC.115+740'!AB480</f>
        <v>2.9780000000000002</v>
      </c>
      <c r="F481" s="162">
        <f ca="1">VLOOKUP($A481,'BC.115+740'!$B$13:$X$489,8,0)/1000</f>
        <v>3.4329999999999998</v>
      </c>
      <c r="G481" s="162">
        <f ca="1">VLOOKUP($A481,'BC.115+740'!$B$13:$X$489,9,0)/1000</f>
        <v>-0.56699999999999995</v>
      </c>
      <c r="H481" s="162">
        <f ca="1">VLOOKUP($A481,'BC.115+740'!$B$13:$X$489,14,0)/1000</f>
        <v>3.3740000000000001</v>
      </c>
      <c r="I481" s="162">
        <f ca="1">VLOOKUP($A481,'BC.115+740'!$B$13:$X$489,15,0)/1000</f>
        <v>-0.626</v>
      </c>
      <c r="J481" s="162">
        <f ca="1">VLOOKUP($A481,'BC.115+740'!$B$13:$X$489,20,0)/1000</f>
        <v>3.38</v>
      </c>
      <c r="K481" s="162">
        <f ca="1">VLOOKUP($A481,'BC.115+740'!$B$13:$X$489,21,0)/1000</f>
        <v>-0.62</v>
      </c>
      <c r="L481" s="160">
        <f t="shared" ca="1" si="22"/>
        <v>-607</v>
      </c>
      <c r="M481" s="161">
        <f t="shared" ca="1" si="23"/>
        <v>-616</v>
      </c>
      <c r="N481" s="160">
        <f t="shared" ca="1" si="24"/>
        <v>-580</v>
      </c>
      <c r="O481" s="160"/>
    </row>
    <row r="482" spans="1:15">
      <c r="A482" s="164">
        <f>'BC.115+740'!B481</f>
        <v>45540</v>
      </c>
      <c r="B482" s="160">
        <f t="shared" si="21"/>
        <v>468</v>
      </c>
      <c r="C482" s="162">
        <f ca="1">'BC.115+740'!M481/1000</f>
        <v>3.5760000000000001</v>
      </c>
      <c r="D482" s="162">
        <f ca="1">'BC.115+740'!AA481</f>
        <v>4.109</v>
      </c>
      <c r="E482" s="163">
        <f ca="1">'BC.115+740'!AB481</f>
        <v>2.9620000000000002</v>
      </c>
      <c r="F482" s="162">
        <f ca="1">VLOOKUP($A482,'BC.115+740'!$B$13:$X$489,8,0)/1000</f>
        <v>3.4249999999999998</v>
      </c>
      <c r="G482" s="162">
        <f ca="1">VLOOKUP($A482,'BC.115+740'!$B$13:$X$489,9,0)/1000</f>
        <v>-0.57499999999999996</v>
      </c>
      <c r="H482" s="162">
        <f ca="1">VLOOKUP($A482,'BC.115+740'!$B$13:$X$489,14,0)/1000</f>
        <v>3.3660000000000001</v>
      </c>
      <c r="I482" s="162">
        <f ca="1">VLOOKUP($A482,'BC.115+740'!$B$13:$X$489,15,0)/1000</f>
        <v>-0.63400000000000001</v>
      </c>
      <c r="J482" s="162">
        <f ca="1">VLOOKUP($A482,'BC.115+740'!$B$13:$X$489,20,0)/1000</f>
        <v>3.3719999999999999</v>
      </c>
      <c r="K482" s="162">
        <f ca="1">VLOOKUP($A482,'BC.115+740'!$B$13:$X$489,21,0)/1000</f>
        <v>-0.628</v>
      </c>
      <c r="L482" s="160">
        <f t="shared" ca="1" si="22"/>
        <v>-615</v>
      </c>
      <c r="M482" s="161">
        <f t="shared" ca="1" si="23"/>
        <v>-624</v>
      </c>
      <c r="N482" s="160">
        <f t="shared" ca="1" si="24"/>
        <v>-588</v>
      </c>
      <c r="O482" s="160"/>
    </row>
    <row r="483" spans="1:15">
      <c r="A483" s="164">
        <f>'BC.115+740'!B482</f>
        <v>45541</v>
      </c>
      <c r="B483" s="160">
        <f t="shared" si="21"/>
        <v>469</v>
      </c>
      <c r="C483" s="162">
        <f ca="1">'BC.115+740'!M482/1000</f>
        <v>3.5670000000000002</v>
      </c>
      <c r="D483" s="162">
        <f ca="1">'BC.115+740'!AA482</f>
        <v>4.109</v>
      </c>
      <c r="E483" s="163">
        <f ca="1">'BC.115+740'!AB482</f>
        <v>2.944</v>
      </c>
      <c r="F483" s="162">
        <f ca="1">VLOOKUP($A483,'BC.115+740'!$B$13:$X$489,8,0)/1000</f>
        <v>3.4180000000000001</v>
      </c>
      <c r="G483" s="162">
        <f ca="1">VLOOKUP($A483,'BC.115+740'!$B$13:$X$489,9,0)/1000</f>
        <v>-0.58199999999999996</v>
      </c>
      <c r="H483" s="162">
        <f ca="1">VLOOKUP($A483,'BC.115+740'!$B$13:$X$489,14,0)/1000</f>
        <v>3.3570000000000002</v>
      </c>
      <c r="I483" s="162">
        <f ca="1">VLOOKUP($A483,'BC.115+740'!$B$13:$X$489,15,0)/1000</f>
        <v>-0.64300000000000002</v>
      </c>
      <c r="J483" s="162">
        <f ca="1">VLOOKUP($A483,'BC.115+740'!$B$13:$X$489,20,0)/1000</f>
        <v>3.3650000000000002</v>
      </c>
      <c r="K483" s="162">
        <f ca="1">VLOOKUP($A483,'BC.115+740'!$B$13:$X$489,21,0)/1000</f>
        <v>-0.63500000000000001</v>
      </c>
      <c r="L483" s="160">
        <f t="shared" ca="1" si="22"/>
        <v>-622</v>
      </c>
      <c r="M483" s="161">
        <f t="shared" ca="1" si="23"/>
        <v>-633</v>
      </c>
      <c r="N483" s="160">
        <f t="shared" ca="1" si="24"/>
        <v>-595</v>
      </c>
      <c r="O483" s="160"/>
    </row>
    <row r="484" spans="1:15">
      <c r="A484" s="164">
        <f>'BC.115+740'!B483</f>
        <v>45542</v>
      </c>
      <c r="B484" s="160">
        <f t="shared" si="21"/>
        <v>470</v>
      </c>
      <c r="C484" s="162">
        <f ca="1">'BC.115+740'!M483/1000</f>
        <v>3.5590000000000002</v>
      </c>
      <c r="D484" s="162">
        <f ca="1">'BC.115+740'!AA483</f>
        <v>4.109</v>
      </c>
      <c r="E484" s="163">
        <f ca="1">'BC.115+740'!AB483</f>
        <v>2.9279999999999999</v>
      </c>
      <c r="F484" s="162">
        <f ca="1">VLOOKUP($A484,'BC.115+740'!$B$13:$X$489,8,0)/1000</f>
        <v>3.4140000000000001</v>
      </c>
      <c r="G484" s="162">
        <f ca="1">VLOOKUP($A484,'BC.115+740'!$B$13:$X$489,9,0)/1000</f>
        <v>-0.58599999999999997</v>
      </c>
      <c r="H484" s="162">
        <f ca="1">VLOOKUP($A484,'BC.115+740'!$B$13:$X$489,14,0)/1000</f>
        <v>3.3490000000000002</v>
      </c>
      <c r="I484" s="162">
        <f ca="1">VLOOKUP($A484,'BC.115+740'!$B$13:$X$489,15,0)/1000</f>
        <v>-0.65100000000000002</v>
      </c>
      <c r="J484" s="162">
        <f ca="1">VLOOKUP($A484,'BC.115+740'!$B$13:$X$489,20,0)/1000</f>
        <v>3.3580000000000001</v>
      </c>
      <c r="K484" s="162">
        <f ca="1">VLOOKUP($A484,'BC.115+740'!$B$13:$X$489,21,0)/1000</f>
        <v>-0.64200000000000002</v>
      </c>
      <c r="L484" s="160">
        <f t="shared" ca="1" si="22"/>
        <v>-626</v>
      </c>
      <c r="M484" s="161">
        <f t="shared" ca="1" si="23"/>
        <v>-641</v>
      </c>
      <c r="N484" s="160">
        <f t="shared" ca="1" si="24"/>
        <v>-602</v>
      </c>
      <c r="O484" s="160"/>
    </row>
    <row r="485" spans="1:15">
      <c r="A485" s="164">
        <f>'BC.115+740'!B484</f>
        <v>45543</v>
      </c>
      <c r="B485" s="160">
        <f t="shared" si="21"/>
        <v>471</v>
      </c>
      <c r="C485" s="162">
        <f ca="1">'BC.115+740'!M484/1000</f>
        <v>3.552</v>
      </c>
      <c r="D485" s="162">
        <f ca="1">'BC.115+740'!AA484</f>
        <v>4.109</v>
      </c>
      <c r="E485" s="163">
        <f ca="1">'BC.115+740'!AB484</f>
        <v>2.9140000000000001</v>
      </c>
      <c r="F485" s="162">
        <f ca="1">VLOOKUP($A485,'BC.115+740'!$B$13:$X$489,8,0)/1000</f>
        <v>3.411</v>
      </c>
      <c r="G485" s="162">
        <f ca="1">VLOOKUP($A485,'BC.115+740'!$B$13:$X$489,9,0)/1000</f>
        <v>-0.58899999999999997</v>
      </c>
      <c r="H485" s="162">
        <f ca="1">VLOOKUP($A485,'BC.115+740'!$B$13:$X$489,14,0)/1000</f>
        <v>3.3420000000000001</v>
      </c>
      <c r="I485" s="162">
        <f ca="1">VLOOKUP($A485,'BC.115+740'!$B$13:$X$489,15,0)/1000</f>
        <v>-0.65800000000000003</v>
      </c>
      <c r="J485" s="162">
        <f ca="1">VLOOKUP($A485,'BC.115+740'!$B$13:$X$489,20,0)/1000</f>
        <v>3.3519999999999999</v>
      </c>
      <c r="K485" s="162">
        <f ca="1">VLOOKUP($A485,'BC.115+740'!$B$13:$X$489,21,0)/1000</f>
        <v>-0.64800000000000002</v>
      </c>
      <c r="L485" s="160">
        <f t="shared" ca="1" si="22"/>
        <v>-629</v>
      </c>
      <c r="M485" s="161">
        <f t="shared" ca="1" si="23"/>
        <v>-648</v>
      </c>
      <c r="N485" s="160">
        <f t="shared" ca="1" si="24"/>
        <v>-608</v>
      </c>
      <c r="O485" s="160"/>
    </row>
    <row r="486" spans="1:15">
      <c r="A486" s="164">
        <f>'BC.115+740'!B485</f>
        <v>45544</v>
      </c>
      <c r="B486" s="160">
        <f t="shared" si="21"/>
        <v>472</v>
      </c>
      <c r="C486" s="162">
        <f ca="1">'BC.115+740'!M485/1000</f>
        <v>3.548</v>
      </c>
      <c r="D486" s="162">
        <f ca="1">'BC.115+740'!AA485</f>
        <v>4.109</v>
      </c>
      <c r="E486" s="163">
        <f ca="1">'BC.115+740'!AB485</f>
        <v>2.9060000000000001</v>
      </c>
      <c r="F486" s="162">
        <f ca="1">VLOOKUP($A486,'BC.115+740'!$B$13:$X$489,8,0)/1000</f>
        <v>3.4089999999999998</v>
      </c>
      <c r="G486" s="162">
        <f ca="1">VLOOKUP($A486,'BC.115+740'!$B$13:$X$489,9,0)/1000</f>
        <v>-0.59099999999999997</v>
      </c>
      <c r="H486" s="162">
        <f ca="1">VLOOKUP($A486,'BC.115+740'!$B$13:$X$489,14,0)/1000</f>
        <v>3.3380000000000001</v>
      </c>
      <c r="I486" s="162">
        <f ca="1">VLOOKUP($A486,'BC.115+740'!$B$13:$X$489,15,0)/1000</f>
        <v>-0.66200000000000003</v>
      </c>
      <c r="J486" s="162">
        <f ca="1">VLOOKUP($A486,'BC.115+740'!$B$13:$X$489,20,0)/1000</f>
        <v>3.3460000000000001</v>
      </c>
      <c r="K486" s="162">
        <f ca="1">VLOOKUP($A486,'BC.115+740'!$B$13:$X$489,21,0)/1000</f>
        <v>-0.65400000000000003</v>
      </c>
      <c r="L486" s="160">
        <f t="shared" ca="1" si="22"/>
        <v>-631</v>
      </c>
      <c r="M486" s="161">
        <f t="shared" ca="1" si="23"/>
        <v>-652</v>
      </c>
      <c r="N486" s="160">
        <f t="shared" ca="1" si="24"/>
        <v>-614</v>
      </c>
      <c r="O486" s="160"/>
    </row>
    <row r="487" spans="1:15">
      <c r="A487" s="164">
        <f>'BC.115+740'!B486</f>
        <v>45545</v>
      </c>
      <c r="B487" s="160">
        <f t="shared" si="21"/>
        <v>473</v>
      </c>
      <c r="C487" s="162">
        <f ca="1">'BC.115+740'!M486/1000</f>
        <v>3.5449999999999999</v>
      </c>
      <c r="D487" s="162">
        <f ca="1">'BC.115+740'!AA486</f>
        <v>4.109</v>
      </c>
      <c r="E487" s="163">
        <f ca="1">'BC.115+740'!AB486</f>
        <v>2.9</v>
      </c>
      <c r="F487" s="162">
        <f ca="1">VLOOKUP($A487,'BC.115+740'!$B$13:$X$489,8,0)/1000</f>
        <v>3.407</v>
      </c>
      <c r="G487" s="162">
        <f ca="1">VLOOKUP($A487,'BC.115+740'!$B$13:$X$489,9,0)/1000</f>
        <v>-0.59299999999999997</v>
      </c>
      <c r="H487" s="162">
        <f ca="1">VLOOKUP($A487,'BC.115+740'!$B$13:$X$489,14,0)/1000</f>
        <v>3.335</v>
      </c>
      <c r="I487" s="162">
        <f ca="1">VLOOKUP($A487,'BC.115+740'!$B$13:$X$489,15,0)/1000</f>
        <v>-0.66500000000000004</v>
      </c>
      <c r="J487" s="162">
        <f ca="1">VLOOKUP($A487,'BC.115+740'!$B$13:$X$489,20,0)/1000</f>
        <v>3.3380000000000001</v>
      </c>
      <c r="K487" s="162">
        <f ca="1">VLOOKUP($A487,'BC.115+740'!$B$13:$X$489,21,0)/1000</f>
        <v>-0.66200000000000003</v>
      </c>
      <c r="L487" s="160">
        <f t="shared" ca="1" si="22"/>
        <v>-633</v>
      </c>
      <c r="M487" s="161">
        <f t="shared" ca="1" si="23"/>
        <v>-655</v>
      </c>
      <c r="N487" s="160">
        <f t="shared" ca="1" si="24"/>
        <v>-622</v>
      </c>
      <c r="O487" s="160"/>
    </row>
    <row r="488" spans="1:15">
      <c r="A488" s="164">
        <f>'BC.115+740'!B487</f>
        <v>45546</v>
      </c>
      <c r="B488" s="160">
        <f t="shared" si="21"/>
        <v>474</v>
      </c>
      <c r="C488" s="162">
        <f ca="1">'BC.115+740'!M487/1000</f>
        <v>3.5430000000000001</v>
      </c>
      <c r="D488" s="162">
        <f ca="1">'BC.115+740'!AA487</f>
        <v>4.109</v>
      </c>
      <c r="E488" s="163">
        <f ca="1">'BC.115+740'!AB487</f>
        <v>2.8959999999999999</v>
      </c>
      <c r="F488" s="162">
        <f ca="1">VLOOKUP($A488,'BC.115+740'!$B$13:$X$489,8,0)/1000</f>
        <v>3.4060000000000001</v>
      </c>
      <c r="G488" s="162">
        <f ca="1">VLOOKUP($A488,'BC.115+740'!$B$13:$X$489,9,0)/1000</f>
        <v>-0.59399999999999997</v>
      </c>
      <c r="H488" s="162">
        <f ca="1">VLOOKUP($A488,'BC.115+740'!$B$13:$X$489,14,0)/1000</f>
        <v>3.3330000000000002</v>
      </c>
      <c r="I488" s="162">
        <f ca="1">VLOOKUP($A488,'BC.115+740'!$B$13:$X$489,15,0)/1000</f>
        <v>-0.66700000000000004</v>
      </c>
      <c r="J488" s="162">
        <f ca="1">VLOOKUP($A488,'BC.115+740'!$B$13:$X$489,20,0)/1000</f>
        <v>3.331</v>
      </c>
      <c r="K488" s="162">
        <f ca="1">VLOOKUP($A488,'BC.115+740'!$B$13:$X$489,21,0)/1000</f>
        <v>-0.66900000000000004</v>
      </c>
      <c r="L488" s="160">
        <f t="shared" ca="1" si="22"/>
        <v>-634</v>
      </c>
      <c r="M488" s="161">
        <f t="shared" ca="1" si="23"/>
        <v>-657</v>
      </c>
      <c r="N488" s="160">
        <f t="shared" ca="1" si="24"/>
        <v>-629</v>
      </c>
      <c r="O488" s="160"/>
    </row>
    <row r="489" spans="1:15">
      <c r="A489" s="164">
        <f>'BC.115+740'!B488</f>
        <v>45547</v>
      </c>
      <c r="B489" s="160">
        <f t="shared" si="21"/>
        <v>475</v>
      </c>
      <c r="C489" s="162">
        <f ca="1">'BC.115+740'!M488/1000</f>
        <v>3.5409999999999999</v>
      </c>
      <c r="D489" s="162">
        <f ca="1">'BC.115+740'!AA488</f>
        <v>4.109</v>
      </c>
      <c r="E489" s="163">
        <f ca="1">'BC.115+740'!AB488</f>
        <v>2.8919999999999999</v>
      </c>
      <c r="F489" s="162">
        <f ca="1">VLOOKUP($A489,'BC.115+740'!$B$13:$X$489,8,0)/1000</f>
        <v>3.403</v>
      </c>
      <c r="G489" s="162">
        <f ca="1">VLOOKUP($A489,'BC.115+740'!$B$13:$X$489,9,0)/1000</f>
        <v>-0.59699999999999998</v>
      </c>
      <c r="H489" s="162">
        <f ca="1">VLOOKUP($A489,'BC.115+740'!$B$13:$X$489,14,0)/1000</f>
        <v>3.331</v>
      </c>
      <c r="I489" s="162">
        <f ca="1">VLOOKUP($A489,'BC.115+740'!$B$13:$X$489,15,0)/1000</f>
        <v>-0.66900000000000004</v>
      </c>
      <c r="J489" s="162">
        <f ca="1">VLOOKUP($A489,'BC.115+740'!$B$13:$X$489,20,0)/1000</f>
        <v>3.3220000000000001</v>
      </c>
      <c r="K489" s="162">
        <f ca="1">VLOOKUP($A489,'BC.115+740'!$B$13:$X$489,21,0)/1000</f>
        <v>-0.67800000000000005</v>
      </c>
      <c r="L489" s="160">
        <f t="shared" ca="1" si="22"/>
        <v>-637</v>
      </c>
      <c r="M489" s="161">
        <f t="shared" ca="1" si="23"/>
        <v>-659</v>
      </c>
      <c r="N489" s="160">
        <f t="shared" ca="1" si="24"/>
        <v>-638</v>
      </c>
      <c r="O489" s="160"/>
    </row>
    <row r="490" spans="1:15">
      <c r="A490" s="164">
        <f>'BC.115+740'!B489</f>
        <v>45548</v>
      </c>
      <c r="B490" s="160">
        <f t="shared" si="21"/>
        <v>476</v>
      </c>
      <c r="C490" s="162">
        <f ca="1">'BC.115+740'!M489/1000</f>
        <v>3.5390000000000001</v>
      </c>
      <c r="D490" s="162">
        <f ca="1">'BC.115+740'!AA489</f>
        <v>4.109</v>
      </c>
      <c r="E490" s="163">
        <f ca="1">'BC.115+740'!AB489</f>
        <v>2.8879999999999999</v>
      </c>
      <c r="F490" s="162">
        <f ca="1">VLOOKUP($A490,'BC.115+740'!$B$13:$X$4969,8,0)/1000</f>
        <v>3.4009999999999998</v>
      </c>
      <c r="G490" s="162">
        <f ca="1">VLOOKUP($A490,'BC.115+740'!$B$13:$X$4969,9,0)/1000</f>
        <v>-0.59899999999999998</v>
      </c>
      <c r="H490" s="162">
        <f ca="1">VLOOKUP($A490,'BC.115+740'!$B$13:$X$4969,14,0)/1000</f>
        <v>3.3290000000000002</v>
      </c>
      <c r="I490" s="162">
        <f ca="1">VLOOKUP($A490,'BC.115+740'!$B$13:$X$4969,15,0)/1000</f>
        <v>-0.67100000000000004</v>
      </c>
      <c r="J490" s="162">
        <f ca="1">VLOOKUP($A490,'BC.115+740'!$B$13:$X$4969,20,0)/1000</f>
        <v>3.3220000000000001</v>
      </c>
      <c r="K490" s="162">
        <f ca="1">VLOOKUP($A490,'BC.115+740'!$B$13:$X$4969,21,0)/1000</f>
        <v>-0.67800000000000005</v>
      </c>
      <c r="L490" s="160">
        <f t="shared" ca="1" si="22"/>
        <v>-639</v>
      </c>
      <c r="M490" s="161">
        <f t="shared" ca="1" si="23"/>
        <v>-661</v>
      </c>
      <c r="N490" s="160">
        <f t="shared" ca="1" si="24"/>
        <v>-638</v>
      </c>
      <c r="O490" s="160"/>
    </row>
    <row r="491" spans="1:15">
      <c r="A491" s="164">
        <f>'BC.115+740'!B490</f>
        <v>45549</v>
      </c>
      <c r="B491" s="160">
        <f t="shared" si="21"/>
        <v>477</v>
      </c>
      <c r="C491" s="162">
        <f ca="1">'BC.115+740'!M490/1000</f>
        <v>3.5310000000000001</v>
      </c>
      <c r="D491" s="162">
        <f ca="1">'BC.115+740'!AA490</f>
        <v>4.109</v>
      </c>
      <c r="E491" s="163">
        <f ca="1">'BC.115+740'!AB490</f>
        <v>2.8719999999999999</v>
      </c>
      <c r="F491" s="162">
        <f ca="1">VLOOKUP($A491,'BC.115+740'!$B$13:$X$4969,8,0)/1000</f>
        <v>3.3980000000000001</v>
      </c>
      <c r="G491" s="162">
        <f ca="1">VLOOKUP($A491,'BC.115+740'!$B$13:$X$4969,9,0)/1000</f>
        <v>-0.60199999999999998</v>
      </c>
      <c r="H491" s="162">
        <f ca="1">VLOOKUP($A491,'BC.115+740'!$B$13:$X$4969,14,0)/1000</f>
        <v>3.3210000000000002</v>
      </c>
      <c r="I491" s="162">
        <f ca="1">VLOOKUP($A491,'BC.115+740'!$B$13:$X$4969,15,0)/1000</f>
        <v>-0.67900000000000005</v>
      </c>
      <c r="J491" s="162">
        <f ca="1">VLOOKUP($A491,'BC.115+740'!$B$13:$X$4969,20,0)/1000</f>
        <v>3.3220000000000001</v>
      </c>
      <c r="K491" s="162">
        <f ca="1">VLOOKUP($A491,'BC.115+740'!$B$13:$X$4969,21,0)/1000</f>
        <v>-0.67800000000000005</v>
      </c>
      <c r="L491" s="160">
        <f t="shared" ca="1" si="22"/>
        <v>-642</v>
      </c>
      <c r="M491" s="161">
        <f t="shared" ca="1" si="23"/>
        <v>-669</v>
      </c>
      <c r="N491" s="160">
        <f t="shared" ca="1" si="24"/>
        <v>-638</v>
      </c>
      <c r="O491" s="160"/>
    </row>
    <row r="492" spans="1:15">
      <c r="A492" s="164">
        <f>'BC.115+740'!B491</f>
        <v>45550</v>
      </c>
      <c r="B492" s="160">
        <f t="shared" si="21"/>
        <v>478</v>
      </c>
      <c r="C492" s="162">
        <f ca="1">'BC.115+740'!M491/1000</f>
        <v>3.5219999999999998</v>
      </c>
      <c r="D492" s="162">
        <f ca="1">'BC.115+740'!AA491</f>
        <v>4.109</v>
      </c>
      <c r="E492" s="163">
        <f ca="1">'BC.115+740'!AB491</f>
        <v>2.8540000000000001</v>
      </c>
      <c r="F492" s="162">
        <f ca="1">VLOOKUP($A492,'BC.115+740'!$B$13:$X$4969,8,0)/1000</f>
        <v>3.3959999999999999</v>
      </c>
      <c r="G492" s="162">
        <f ca="1">VLOOKUP($A492,'BC.115+740'!$B$13:$X$4969,9,0)/1000</f>
        <v>-0.60399999999999998</v>
      </c>
      <c r="H492" s="162">
        <f ca="1">VLOOKUP($A492,'BC.115+740'!$B$13:$X$4969,14,0)/1000</f>
        <v>3.3119999999999998</v>
      </c>
      <c r="I492" s="162">
        <f ca="1">VLOOKUP($A492,'BC.115+740'!$B$13:$X$4969,15,0)/1000</f>
        <v>-0.68799999999999994</v>
      </c>
      <c r="J492" s="162">
        <f ca="1">VLOOKUP($A492,'BC.115+740'!$B$13:$X$4969,20,0)/1000</f>
        <v>3.3220000000000001</v>
      </c>
      <c r="K492" s="162">
        <f ca="1">VLOOKUP($A492,'BC.115+740'!$B$13:$X$4969,21,0)/1000</f>
        <v>-0.67800000000000005</v>
      </c>
      <c r="L492" s="160">
        <f t="shared" ca="1" si="22"/>
        <v>-644</v>
      </c>
      <c r="M492" s="161">
        <f t="shared" ca="1" si="23"/>
        <v>-677.99999999999989</v>
      </c>
      <c r="N492" s="160">
        <f t="shared" ca="1" si="24"/>
        <v>-638</v>
      </c>
      <c r="O492" s="160"/>
    </row>
    <row r="493" spans="1:15">
      <c r="A493" s="164">
        <f>'BC.115+740'!B492</f>
        <v>45551</v>
      </c>
      <c r="B493" s="160">
        <f t="shared" si="21"/>
        <v>479</v>
      </c>
      <c r="C493" s="162">
        <f ca="1">'BC.115+740'!M492/1000</f>
        <v>3.5139999999999998</v>
      </c>
      <c r="D493" s="162">
        <f ca="1">'BC.115+740'!AA492</f>
        <v>4.109</v>
      </c>
      <c r="E493" s="163">
        <f ca="1">'BC.115+740'!AB492</f>
        <v>2.8380000000000001</v>
      </c>
      <c r="F493" s="162">
        <f ca="1">VLOOKUP($A493,'BC.115+740'!$B$13:$X$4969,8,0)/1000</f>
        <v>3.395</v>
      </c>
      <c r="G493" s="162">
        <f ca="1">VLOOKUP($A493,'BC.115+740'!$B$13:$X$4969,9,0)/1000</f>
        <v>-0.60499999999999998</v>
      </c>
      <c r="H493" s="162">
        <f ca="1">VLOOKUP($A493,'BC.115+740'!$B$13:$X$4969,14,0)/1000</f>
        <v>3.3039999999999998</v>
      </c>
      <c r="I493" s="162">
        <f ca="1">VLOOKUP($A493,'BC.115+740'!$B$13:$X$4969,15,0)/1000</f>
        <v>-0.69599999999999995</v>
      </c>
      <c r="J493" s="162">
        <f ca="1">VLOOKUP($A493,'BC.115+740'!$B$13:$X$4969,20,0)/1000</f>
        <v>3.32</v>
      </c>
      <c r="K493" s="162">
        <f ca="1">VLOOKUP($A493,'BC.115+740'!$B$13:$X$4969,21,0)/1000</f>
        <v>-0.68</v>
      </c>
      <c r="L493" s="160">
        <f t="shared" ca="1" si="22"/>
        <v>-645</v>
      </c>
      <c r="M493" s="161">
        <f t="shared" ca="1" si="23"/>
        <v>-686</v>
      </c>
      <c r="N493" s="160">
        <f t="shared" ca="1" si="24"/>
        <v>-640</v>
      </c>
      <c r="O493" s="160"/>
    </row>
    <row r="494" spans="1:15">
      <c r="A494" s="164">
        <f>'BC.115+740'!B493</f>
        <v>45552</v>
      </c>
      <c r="B494" s="160">
        <f t="shared" si="21"/>
        <v>480</v>
      </c>
      <c r="C494" s="162">
        <f ca="1">'BC.115+740'!M493/1000</f>
        <v>3.5070000000000001</v>
      </c>
      <c r="D494" s="162">
        <f ca="1">'BC.115+740'!AA493</f>
        <v>4.109</v>
      </c>
      <c r="E494" s="163">
        <f ca="1">'BC.115+740'!AB493</f>
        <v>2.8239999999999998</v>
      </c>
      <c r="F494" s="162">
        <f ca="1">VLOOKUP($A494,'BC.115+740'!$B$13:$X$4969,8,0)/1000</f>
        <v>3.3929999999999998</v>
      </c>
      <c r="G494" s="162">
        <f ca="1">VLOOKUP($A494,'BC.115+740'!$B$13:$X$4969,9,0)/1000</f>
        <v>-0.60699999999999998</v>
      </c>
      <c r="H494" s="162">
        <f ca="1">VLOOKUP($A494,'BC.115+740'!$B$13:$X$4969,14,0)/1000</f>
        <v>3.2970000000000002</v>
      </c>
      <c r="I494" s="162">
        <f ca="1">VLOOKUP($A494,'BC.115+740'!$B$13:$X$4969,15,0)/1000</f>
        <v>-0.70299999999999996</v>
      </c>
      <c r="J494" s="162">
        <f ca="1">VLOOKUP($A494,'BC.115+740'!$B$13:$X$4969,20,0)/1000</f>
        <v>3.32</v>
      </c>
      <c r="K494" s="162">
        <f ca="1">VLOOKUP($A494,'BC.115+740'!$B$13:$X$4969,21,0)/1000</f>
        <v>-0.68</v>
      </c>
      <c r="L494" s="160">
        <f t="shared" ca="1" si="22"/>
        <v>-647</v>
      </c>
      <c r="M494" s="161">
        <f t="shared" ca="1" si="23"/>
        <v>-693</v>
      </c>
      <c r="N494" s="160">
        <f t="shared" ca="1" si="24"/>
        <v>-640</v>
      </c>
      <c r="O494" s="160"/>
    </row>
    <row r="495" spans="1:15">
      <c r="A495" s="164">
        <f>'BC.115+740'!B494</f>
        <v>45553</v>
      </c>
      <c r="B495" s="160">
        <f t="shared" si="21"/>
        <v>481</v>
      </c>
      <c r="C495" s="162">
        <f ca="1">'BC.115+740'!M494/1000</f>
        <v>3.4980000000000002</v>
      </c>
      <c r="D495" s="162">
        <f ca="1">'BC.115+740'!AA494</f>
        <v>4.109</v>
      </c>
      <c r="E495" s="163">
        <f ca="1">'BC.115+740'!AB494</f>
        <v>2.806</v>
      </c>
      <c r="F495" s="162">
        <f ca="1">VLOOKUP($A495,'BC.115+740'!$B$13:$X$4969,8,0)/1000</f>
        <v>3.391</v>
      </c>
      <c r="G495" s="162">
        <f ca="1">VLOOKUP($A495,'BC.115+740'!$B$13:$X$4969,9,0)/1000</f>
        <v>-0.60899999999999999</v>
      </c>
      <c r="H495" s="162">
        <f ca="1">VLOOKUP($A495,'BC.115+740'!$B$13:$X$4969,14,0)/1000</f>
        <v>3.2879999999999998</v>
      </c>
      <c r="I495" s="162">
        <f ca="1">VLOOKUP($A495,'BC.115+740'!$B$13:$X$4969,15,0)/1000</f>
        <v>-0.71199999999999997</v>
      </c>
      <c r="J495" s="162">
        <f ca="1">VLOOKUP($A495,'BC.115+740'!$B$13:$X$4969,20,0)/1000</f>
        <v>3.32</v>
      </c>
      <c r="K495" s="162">
        <f ca="1">VLOOKUP($A495,'BC.115+740'!$B$13:$X$4969,21,0)/1000</f>
        <v>-0.68</v>
      </c>
      <c r="L495" s="160">
        <f t="shared" ca="1" si="22"/>
        <v>-649</v>
      </c>
      <c r="M495" s="161">
        <f t="shared" ca="1" si="23"/>
        <v>-702</v>
      </c>
      <c r="N495" s="160">
        <f t="shared" ca="1" si="24"/>
        <v>-640</v>
      </c>
      <c r="O495" s="160"/>
    </row>
    <row r="496" spans="1:15">
      <c r="A496" s="164">
        <f>'BC.115+740'!B495</f>
        <v>45554</v>
      </c>
      <c r="B496" s="160">
        <f t="shared" si="21"/>
        <v>482</v>
      </c>
      <c r="C496" s="162">
        <f ca="1">'BC.115+740'!M495/1000</f>
        <v>3.49</v>
      </c>
      <c r="D496" s="162">
        <f ca="1">'BC.115+740'!AA495</f>
        <v>4.109</v>
      </c>
      <c r="E496" s="163">
        <f ca="1">'BC.115+740'!AB495</f>
        <v>2.79</v>
      </c>
      <c r="F496" s="162">
        <f ca="1">VLOOKUP($A496,'BC.115+740'!$B$13:$X$4969,8,0)/1000</f>
        <v>3.3889999999999998</v>
      </c>
      <c r="G496" s="162">
        <f ca="1">VLOOKUP($A496,'BC.115+740'!$B$13:$X$4969,9,0)/1000</f>
        <v>-0.61099999999999999</v>
      </c>
      <c r="H496" s="162">
        <f ca="1">VLOOKUP($A496,'BC.115+740'!$B$13:$X$4969,14,0)/1000</f>
        <v>3.28</v>
      </c>
      <c r="I496" s="162">
        <f ca="1">VLOOKUP($A496,'BC.115+740'!$B$13:$X$4969,15,0)/1000</f>
        <v>-0.72</v>
      </c>
      <c r="J496" s="162">
        <f ca="1">VLOOKUP($A496,'BC.115+740'!$B$13:$X$4969,20,0)/1000</f>
        <v>3.32</v>
      </c>
      <c r="K496" s="162">
        <f ca="1">VLOOKUP($A496,'BC.115+740'!$B$13:$X$4969,21,0)/1000</f>
        <v>-0.68</v>
      </c>
      <c r="L496" s="160">
        <f t="shared" ca="1" si="22"/>
        <v>-651</v>
      </c>
      <c r="M496" s="161">
        <f t="shared" ca="1" si="23"/>
        <v>-710</v>
      </c>
      <c r="N496" s="160">
        <f t="shared" ca="1" si="24"/>
        <v>-640</v>
      </c>
      <c r="O496" s="160"/>
    </row>
    <row r="497" spans="1:15">
      <c r="A497" s="164">
        <f>'BC.115+740'!B496</f>
        <v>45555</v>
      </c>
      <c r="B497" s="160">
        <f t="shared" si="21"/>
        <v>483</v>
      </c>
      <c r="C497" s="162">
        <f ca="1">'BC.115+740'!M496/1000</f>
        <v>3.4809999999999999</v>
      </c>
      <c r="D497" s="162">
        <f ca="1">'BC.115+740'!AA496</f>
        <v>4.109</v>
      </c>
      <c r="E497" s="163">
        <f ca="1">'BC.115+740'!AB496</f>
        <v>2.7719999999999998</v>
      </c>
      <c r="F497" s="162">
        <f ca="1">VLOOKUP($A497,'BC.115+740'!$B$13:$X$4969,8,0)/1000</f>
        <v>3.387</v>
      </c>
      <c r="G497" s="162">
        <f ca="1">VLOOKUP($A497,'BC.115+740'!$B$13:$X$4969,9,0)/1000</f>
        <v>-0.61299999999999999</v>
      </c>
      <c r="H497" s="162">
        <f ca="1">VLOOKUP($A497,'BC.115+740'!$B$13:$X$4969,14,0)/1000</f>
        <v>3.2709999999999999</v>
      </c>
      <c r="I497" s="162">
        <f ca="1">VLOOKUP($A497,'BC.115+740'!$B$13:$X$4969,15,0)/1000</f>
        <v>-0.72899999999999998</v>
      </c>
      <c r="J497" s="162">
        <f ca="1">VLOOKUP($A497,'BC.115+740'!$B$13:$X$4969,20,0)/1000</f>
        <v>3.32</v>
      </c>
      <c r="K497" s="162">
        <f ca="1">VLOOKUP($A497,'BC.115+740'!$B$13:$X$4969,21,0)/1000</f>
        <v>-0.68</v>
      </c>
      <c r="L497" s="160">
        <f t="shared" ca="1" si="22"/>
        <v>-653</v>
      </c>
      <c r="M497" s="161">
        <f t="shared" ca="1" si="23"/>
        <v>-719</v>
      </c>
      <c r="N497" s="160">
        <f t="shared" ca="1" si="24"/>
        <v>-640</v>
      </c>
      <c r="O497" s="160"/>
    </row>
    <row r="498" spans="1:15">
      <c r="A498" s="164">
        <f>'BC.115+740'!B497</f>
        <v>45556</v>
      </c>
      <c r="B498" s="160">
        <f t="shared" si="21"/>
        <v>484</v>
      </c>
      <c r="C498" s="162">
        <f ca="1">'BC.115+740'!M497/1000</f>
        <v>3.4729999999999999</v>
      </c>
      <c r="D498" s="162">
        <f ca="1">'BC.115+740'!AA497</f>
        <v>4.109</v>
      </c>
      <c r="E498" s="163">
        <f ca="1">'BC.115+740'!AB497</f>
        <v>2.7559999999999998</v>
      </c>
      <c r="F498" s="162">
        <f ca="1">VLOOKUP($A498,'BC.115+740'!$B$13:$X$4969,8,0)/1000</f>
        <v>3.387</v>
      </c>
      <c r="G498" s="162">
        <f ca="1">VLOOKUP($A498,'BC.115+740'!$B$13:$X$4969,9,0)/1000</f>
        <v>-0.61299999999999999</v>
      </c>
      <c r="H498" s="162">
        <f ca="1">VLOOKUP($A498,'BC.115+740'!$B$13:$X$4969,14,0)/1000</f>
        <v>3.2629999999999999</v>
      </c>
      <c r="I498" s="162">
        <f ca="1">VLOOKUP($A498,'BC.115+740'!$B$13:$X$4969,15,0)/1000</f>
        <v>-0.73699999999999999</v>
      </c>
      <c r="J498" s="162">
        <f ca="1">VLOOKUP($A498,'BC.115+740'!$B$13:$X$4969,20,0)/1000</f>
        <v>3.32</v>
      </c>
      <c r="K498" s="162">
        <f ca="1">VLOOKUP($A498,'BC.115+740'!$B$13:$X$4969,21,0)/1000</f>
        <v>-0.68</v>
      </c>
      <c r="L498" s="160">
        <f t="shared" ca="1" si="22"/>
        <v>-653</v>
      </c>
      <c r="M498" s="161">
        <f t="shared" ca="1" si="23"/>
        <v>-727</v>
      </c>
      <c r="N498" s="160">
        <f t="shared" ca="1" si="24"/>
        <v>-640</v>
      </c>
      <c r="O498" s="160"/>
    </row>
    <row r="499" spans="1:15">
      <c r="A499" s="164">
        <f>'BC.115+740'!B498</f>
        <v>45557</v>
      </c>
      <c r="B499" s="160">
        <f t="shared" si="21"/>
        <v>485</v>
      </c>
      <c r="C499" s="162">
        <f ca="1">'BC.115+740'!M498/1000</f>
        <v>3.4660000000000002</v>
      </c>
      <c r="D499" s="162">
        <f ca="1">'BC.115+740'!AA498</f>
        <v>4.109</v>
      </c>
      <c r="E499" s="163">
        <f ca="1">'BC.115+740'!AB498</f>
        <v>2.742</v>
      </c>
      <c r="F499" s="162">
        <f ca="1">VLOOKUP($A499,'BC.115+740'!$B$13:$X$4969,8,0)/1000</f>
        <v>3.3849999999999998</v>
      </c>
      <c r="G499" s="162">
        <f ca="1">VLOOKUP($A499,'BC.115+740'!$B$13:$X$4969,9,0)/1000</f>
        <v>-0.61499999999999999</v>
      </c>
      <c r="H499" s="162">
        <f ca="1">VLOOKUP($A499,'BC.115+740'!$B$13:$X$4969,14,0)/1000</f>
        <v>3.2559999999999998</v>
      </c>
      <c r="I499" s="162">
        <f ca="1">VLOOKUP($A499,'BC.115+740'!$B$13:$X$4969,15,0)/1000</f>
        <v>-0.74399999999999999</v>
      </c>
      <c r="J499" s="162">
        <f ca="1">VLOOKUP($A499,'BC.115+740'!$B$13:$X$4969,20,0)/1000</f>
        <v>3.32</v>
      </c>
      <c r="K499" s="162">
        <f ca="1">VLOOKUP($A499,'BC.115+740'!$B$13:$X$4969,21,0)/1000</f>
        <v>-0.68</v>
      </c>
      <c r="L499" s="160">
        <f t="shared" ca="1" si="22"/>
        <v>-655</v>
      </c>
      <c r="M499" s="161">
        <f t="shared" ca="1" si="23"/>
        <v>-734</v>
      </c>
      <c r="N499" s="160">
        <f t="shared" ca="1" si="24"/>
        <v>-640</v>
      </c>
      <c r="O499" s="160"/>
    </row>
    <row r="500" spans="1:15">
      <c r="A500" s="164">
        <f>'BC.115+740'!B499</f>
        <v>45558</v>
      </c>
      <c r="B500" s="160">
        <f t="shared" si="21"/>
        <v>486</v>
      </c>
      <c r="C500" s="162">
        <f ca="1">'BC.115+740'!M499/1000</f>
        <v>3.4620000000000002</v>
      </c>
      <c r="D500" s="162">
        <f ca="1">'BC.115+740'!AA499</f>
        <v>4.109</v>
      </c>
      <c r="E500" s="163">
        <f ca="1">'BC.115+740'!AB499</f>
        <v>2.734</v>
      </c>
      <c r="F500" s="162">
        <f ca="1">VLOOKUP($A500,'BC.115+740'!$B$13:$X$4969,8,0)/1000</f>
        <v>3.3849999999999998</v>
      </c>
      <c r="G500" s="162">
        <f ca="1">VLOOKUP($A500,'BC.115+740'!$B$13:$X$4969,9,0)/1000</f>
        <v>-0.61499999999999999</v>
      </c>
      <c r="H500" s="162">
        <f ca="1">VLOOKUP($A500,'BC.115+740'!$B$13:$X$4969,14,0)/1000</f>
        <v>3.2519999999999998</v>
      </c>
      <c r="I500" s="162">
        <f ca="1">VLOOKUP($A500,'BC.115+740'!$B$13:$X$4969,15,0)/1000</f>
        <v>-0.748</v>
      </c>
      <c r="J500" s="162">
        <f ca="1">VLOOKUP($A500,'BC.115+740'!$B$13:$X$4969,20,0)/1000</f>
        <v>3.319</v>
      </c>
      <c r="K500" s="162">
        <f ca="1">VLOOKUP($A500,'BC.115+740'!$B$13:$X$4969,21,0)/1000</f>
        <v>-0.68100000000000005</v>
      </c>
      <c r="L500" s="160">
        <f t="shared" ca="1" si="22"/>
        <v>-655</v>
      </c>
      <c r="M500" s="161">
        <f t="shared" ca="1" si="23"/>
        <v>-738</v>
      </c>
      <c r="N500" s="160">
        <f t="shared" ca="1" si="24"/>
        <v>-641</v>
      </c>
      <c r="O500" s="160"/>
    </row>
    <row r="501" spans="1:15">
      <c r="A501" s="164">
        <f>'BC.115+740'!B500</f>
        <v>45559</v>
      </c>
      <c r="B501" s="160">
        <f t="shared" si="21"/>
        <v>487</v>
      </c>
      <c r="C501" s="162">
        <f ca="1">'BC.115+740'!M500/1000</f>
        <v>3.4590000000000001</v>
      </c>
      <c r="D501" s="162">
        <f ca="1">'BC.115+740'!AA500</f>
        <v>4.109</v>
      </c>
      <c r="E501" s="163">
        <f ca="1">'BC.115+740'!AB500</f>
        <v>2.7280000000000002</v>
      </c>
      <c r="F501" s="162">
        <f ca="1">VLOOKUP($A501,'BC.115+740'!$B$13:$X$4969,8,0)/1000</f>
        <v>3.383</v>
      </c>
      <c r="G501" s="162">
        <f ca="1">VLOOKUP($A501,'BC.115+740'!$B$13:$X$4969,9,0)/1000</f>
        <v>-0.61699999999999999</v>
      </c>
      <c r="H501" s="162">
        <f ca="1">VLOOKUP($A501,'BC.115+740'!$B$13:$X$4969,14,0)/1000</f>
        <v>3.2490000000000001</v>
      </c>
      <c r="I501" s="162">
        <f ca="1">VLOOKUP($A501,'BC.115+740'!$B$13:$X$4969,15,0)/1000</f>
        <v>-0.751</v>
      </c>
      <c r="J501" s="162">
        <f ca="1">VLOOKUP($A501,'BC.115+740'!$B$13:$X$4969,20,0)/1000</f>
        <v>3.319</v>
      </c>
      <c r="K501" s="162">
        <f ca="1">VLOOKUP($A501,'BC.115+740'!$B$13:$X$4969,21,0)/1000</f>
        <v>-0.68100000000000005</v>
      </c>
      <c r="L501" s="160">
        <f t="shared" ca="1" si="22"/>
        <v>-657</v>
      </c>
      <c r="M501" s="161">
        <f t="shared" ca="1" si="23"/>
        <v>-741</v>
      </c>
      <c r="N501" s="160">
        <f t="shared" ca="1" si="24"/>
        <v>-641</v>
      </c>
      <c r="O501" s="160"/>
    </row>
    <row r="502" spans="1:15">
      <c r="A502" s="164">
        <f>'BC.115+740'!B501</f>
        <v>45560</v>
      </c>
      <c r="B502" s="160">
        <f t="shared" si="21"/>
        <v>488</v>
      </c>
      <c r="C502" s="162">
        <f ca="1">'BC.115+740'!M501/1000</f>
        <v>3.4569999999999999</v>
      </c>
      <c r="D502" s="162">
        <f ca="1">'BC.115+740'!AA501</f>
        <v>4.109</v>
      </c>
      <c r="E502" s="163">
        <f ca="1">'BC.115+740'!AB501</f>
        <v>2.7240000000000002</v>
      </c>
      <c r="F502" s="162">
        <f ca="1">VLOOKUP($A502,'BC.115+740'!$B$13:$X$4969,8,0)/1000</f>
        <v>3.383</v>
      </c>
      <c r="G502" s="162">
        <f ca="1">VLOOKUP($A502,'BC.115+740'!$B$13:$X$4969,9,0)/1000</f>
        <v>-0.61699999999999999</v>
      </c>
      <c r="H502" s="162">
        <f ca="1">VLOOKUP($A502,'BC.115+740'!$B$13:$X$4969,14,0)/1000</f>
        <v>3.2469999999999999</v>
      </c>
      <c r="I502" s="162">
        <f ca="1">VLOOKUP($A502,'BC.115+740'!$B$13:$X$4969,15,0)/1000</f>
        <v>-0.753</v>
      </c>
      <c r="J502" s="162">
        <f ca="1">VLOOKUP($A502,'BC.115+740'!$B$13:$X$4969,20,0)/1000</f>
        <v>3.319</v>
      </c>
      <c r="K502" s="162">
        <f ca="1">VLOOKUP($A502,'BC.115+740'!$B$13:$X$4969,21,0)/1000</f>
        <v>-0.68100000000000005</v>
      </c>
      <c r="L502" s="160">
        <f t="shared" ca="1" si="22"/>
        <v>-657</v>
      </c>
      <c r="M502" s="161">
        <f t="shared" ca="1" si="23"/>
        <v>-743</v>
      </c>
      <c r="N502" s="160">
        <f t="shared" ca="1" si="24"/>
        <v>-641</v>
      </c>
      <c r="O502" s="160"/>
    </row>
    <row r="503" spans="1:15">
      <c r="A503" s="164">
        <f>'BC.115+740'!B502</f>
        <v>45561</v>
      </c>
      <c r="B503" s="160">
        <f t="shared" si="21"/>
        <v>489</v>
      </c>
      <c r="C503" s="162">
        <f ca="1">'BC.115+740'!M502/1000</f>
        <v>3.4550000000000001</v>
      </c>
      <c r="D503" s="162">
        <f ca="1">'BC.115+740'!AA502</f>
        <v>4.109</v>
      </c>
      <c r="E503" s="163">
        <f ca="1">'BC.115+740'!AB502</f>
        <v>2.72</v>
      </c>
      <c r="F503" s="162">
        <f ca="1">VLOOKUP($A503,'BC.115+740'!$B$13:$X$4969,8,0)/1000</f>
        <v>3.3820000000000001</v>
      </c>
      <c r="G503" s="162">
        <f ca="1">VLOOKUP($A503,'BC.115+740'!$B$13:$X$4969,9,0)/1000</f>
        <v>-0.61799999999999999</v>
      </c>
      <c r="H503" s="162">
        <f ca="1">VLOOKUP($A503,'BC.115+740'!$B$13:$X$4969,14,0)/1000</f>
        <v>3.2450000000000001</v>
      </c>
      <c r="I503" s="162">
        <f ca="1">VLOOKUP($A503,'BC.115+740'!$B$13:$X$4969,15,0)/1000</f>
        <v>-0.755</v>
      </c>
      <c r="J503" s="162">
        <f ca="1">VLOOKUP($A503,'BC.115+740'!$B$13:$X$4969,20,0)/1000</f>
        <v>3.319</v>
      </c>
      <c r="K503" s="162">
        <f ca="1">VLOOKUP($A503,'BC.115+740'!$B$13:$X$4969,21,0)/1000</f>
        <v>-0.68100000000000005</v>
      </c>
      <c r="L503" s="160">
        <f t="shared" ca="1" si="22"/>
        <v>-658</v>
      </c>
      <c r="M503" s="161">
        <f t="shared" ca="1" si="23"/>
        <v>-745</v>
      </c>
      <c r="N503" s="160">
        <f t="shared" ca="1" si="24"/>
        <v>-641</v>
      </c>
      <c r="O503" s="160"/>
    </row>
    <row r="504" spans="1:15">
      <c r="A504" s="164">
        <f>'BC.115+740'!B503</f>
        <v>45562</v>
      </c>
      <c r="B504" s="160">
        <f t="shared" si="21"/>
        <v>490</v>
      </c>
      <c r="C504" s="162">
        <f ca="1">'BC.115+740'!M503/1000</f>
        <v>3.452</v>
      </c>
      <c r="D504" s="162">
        <f ca="1">'BC.115+740'!AA503</f>
        <v>4.109</v>
      </c>
      <c r="E504" s="163">
        <f ca="1">'BC.115+740'!AB503</f>
        <v>2.714</v>
      </c>
      <c r="F504" s="162">
        <f ca="1">VLOOKUP($A504,'BC.115+740'!$B$13:$X$4969,8,0)/1000</f>
        <v>3.3820000000000001</v>
      </c>
      <c r="G504" s="162">
        <f ca="1">VLOOKUP($A504,'BC.115+740'!$B$13:$X$4969,9,0)/1000</f>
        <v>-0.61799999999999999</v>
      </c>
      <c r="H504" s="162">
        <f ca="1">VLOOKUP($A504,'BC.115+740'!$B$13:$X$4969,14,0)/1000</f>
        <v>3.242</v>
      </c>
      <c r="I504" s="162">
        <f ca="1">VLOOKUP($A504,'BC.115+740'!$B$13:$X$4969,15,0)/1000</f>
        <v>-0.75800000000000001</v>
      </c>
      <c r="J504" s="162">
        <f ca="1">VLOOKUP($A504,'BC.115+740'!$B$13:$X$4969,20,0)/1000</f>
        <v>3.319</v>
      </c>
      <c r="K504" s="162">
        <f ca="1">VLOOKUP($A504,'BC.115+740'!$B$13:$X$4969,21,0)/1000</f>
        <v>-0.68100000000000005</v>
      </c>
      <c r="L504" s="160">
        <f t="shared" ca="1" si="22"/>
        <v>-658</v>
      </c>
      <c r="M504" s="161">
        <f t="shared" ca="1" si="23"/>
        <v>-748</v>
      </c>
      <c r="N504" s="160">
        <f t="shared" ca="1" si="24"/>
        <v>-641</v>
      </c>
      <c r="O504" s="160"/>
    </row>
    <row r="505" spans="1:15">
      <c r="A505" s="164">
        <f>'BC.115+740'!B504</f>
        <v>45563</v>
      </c>
      <c r="B505" s="160">
        <f t="shared" si="21"/>
        <v>491</v>
      </c>
      <c r="C505" s="162">
        <f ca="1">'BC.115+740'!M504/1000</f>
        <v>3.45</v>
      </c>
      <c r="D505" s="162">
        <f ca="1">'BC.115+740'!AA504</f>
        <v>4.109</v>
      </c>
      <c r="E505" s="163">
        <f ca="1">'BC.115+740'!AB504</f>
        <v>2.71</v>
      </c>
      <c r="F505" s="162">
        <f ca="1">VLOOKUP($A505,'BC.115+740'!$B$13:$X$4969,8,0)/1000</f>
        <v>3.3820000000000001</v>
      </c>
      <c r="G505" s="162">
        <f ca="1">VLOOKUP($A505,'BC.115+740'!$B$13:$X$4969,9,0)/1000</f>
        <v>-0.61799999999999999</v>
      </c>
      <c r="H505" s="162">
        <f ca="1">VLOOKUP($A505,'BC.115+740'!$B$13:$X$4969,14,0)/1000</f>
        <v>3.24</v>
      </c>
      <c r="I505" s="162">
        <f ca="1">VLOOKUP($A505,'BC.115+740'!$B$13:$X$4969,15,0)/1000</f>
        <v>-0.76</v>
      </c>
      <c r="J505" s="162">
        <f ca="1">VLOOKUP($A505,'BC.115+740'!$B$13:$X$4969,20,0)/1000</f>
        <v>3.319</v>
      </c>
      <c r="K505" s="162">
        <f ca="1">VLOOKUP($A505,'BC.115+740'!$B$13:$X$4969,21,0)/1000</f>
        <v>-0.68100000000000005</v>
      </c>
      <c r="L505" s="160">
        <f t="shared" ca="1" si="22"/>
        <v>-658</v>
      </c>
      <c r="M505" s="161">
        <f t="shared" ca="1" si="23"/>
        <v>-750</v>
      </c>
      <c r="N505" s="160">
        <f t="shared" ca="1" si="24"/>
        <v>-641</v>
      </c>
      <c r="O505" s="160"/>
    </row>
    <row r="506" spans="1:15">
      <c r="A506" s="164">
        <f>'BC.115+740'!B505</f>
        <v>45564</v>
      </c>
      <c r="B506" s="160">
        <f t="shared" si="21"/>
        <v>492</v>
      </c>
      <c r="C506" s="162">
        <f ca="1">'BC.115+740'!M505/1000</f>
        <v>3.4470000000000001</v>
      </c>
      <c r="D506" s="162">
        <f ca="1">'BC.115+740'!AA505</f>
        <v>4.109</v>
      </c>
      <c r="E506" s="163">
        <f ca="1">'BC.115+740'!AB505</f>
        <v>2.7040000000000002</v>
      </c>
      <c r="F506" s="162">
        <f ca="1">VLOOKUP($A506,'BC.115+740'!$B$13:$X$4969,8,0)/1000</f>
        <v>3.3820000000000001</v>
      </c>
      <c r="G506" s="162">
        <f ca="1">VLOOKUP($A506,'BC.115+740'!$B$13:$X$4969,9,0)/1000</f>
        <v>-0.61799999999999999</v>
      </c>
      <c r="H506" s="162">
        <f ca="1">VLOOKUP($A506,'BC.115+740'!$B$13:$X$4969,14,0)/1000</f>
        <v>3.2370000000000001</v>
      </c>
      <c r="I506" s="162">
        <f ca="1">VLOOKUP($A506,'BC.115+740'!$B$13:$X$4969,15,0)/1000</f>
        <v>-0.76300000000000001</v>
      </c>
      <c r="J506" s="162">
        <f ca="1">VLOOKUP($A506,'BC.115+740'!$B$13:$X$4969,20,0)/1000</f>
        <v>3.319</v>
      </c>
      <c r="K506" s="162">
        <f ca="1">VLOOKUP($A506,'BC.115+740'!$B$13:$X$4969,21,0)/1000</f>
        <v>-0.68100000000000005</v>
      </c>
      <c r="L506" s="160">
        <f t="shared" ca="1" si="22"/>
        <v>-658</v>
      </c>
      <c r="M506" s="161">
        <f t="shared" ca="1" si="23"/>
        <v>-753</v>
      </c>
      <c r="N506" s="160">
        <f t="shared" ca="1" si="24"/>
        <v>-641</v>
      </c>
      <c r="O506" s="160"/>
    </row>
    <row r="507" spans="1:15">
      <c r="A507" s="164">
        <f>'BC.115+740'!B506</f>
        <v>45565</v>
      </c>
      <c r="B507" s="160">
        <f t="shared" si="21"/>
        <v>493</v>
      </c>
      <c r="C507" s="162">
        <f ca="1">'BC.115+740'!M506/1000</f>
        <v>3.4449999999999998</v>
      </c>
      <c r="D507" s="162">
        <f ca="1">'BC.115+740'!AA506</f>
        <v>4.109</v>
      </c>
      <c r="E507" s="163">
        <f ca="1">'BC.115+740'!AB506</f>
        <v>2.7</v>
      </c>
      <c r="F507" s="162">
        <f ca="1">VLOOKUP($A507,'BC.115+740'!$B$13:$X$4969,8,0)/1000</f>
        <v>3.38</v>
      </c>
      <c r="G507" s="162">
        <f ca="1">VLOOKUP($A507,'BC.115+740'!$B$13:$X$4969,9,0)/1000</f>
        <v>-0.62</v>
      </c>
      <c r="H507" s="162">
        <f ca="1">VLOOKUP($A507,'BC.115+740'!$B$13:$X$4969,14,0)/1000</f>
        <v>3.2349999999999999</v>
      </c>
      <c r="I507" s="162">
        <f ca="1">VLOOKUP($A507,'BC.115+740'!$B$13:$X$4969,15,0)/1000</f>
        <v>-0.76500000000000001</v>
      </c>
      <c r="J507" s="162">
        <f ca="1">VLOOKUP($A507,'BC.115+740'!$B$13:$X$4969,20,0)/1000</f>
        <v>3.319</v>
      </c>
      <c r="K507" s="162">
        <f ca="1">VLOOKUP($A507,'BC.115+740'!$B$13:$X$4969,21,0)/1000</f>
        <v>-0.68100000000000005</v>
      </c>
      <c r="L507" s="160">
        <f t="shared" ca="1" si="22"/>
        <v>-660</v>
      </c>
      <c r="M507" s="161">
        <f t="shared" ca="1" si="23"/>
        <v>-755</v>
      </c>
      <c r="N507" s="160">
        <f t="shared" ca="1" si="24"/>
        <v>-641</v>
      </c>
      <c r="O507" s="160"/>
    </row>
    <row r="508" spans="1:15">
      <c r="A508" s="164">
        <f>'BC.115+740'!B507</f>
        <v>45566</v>
      </c>
      <c r="B508" s="160">
        <f t="shared" si="21"/>
        <v>494</v>
      </c>
      <c r="C508" s="162">
        <f ca="1">'BC.115+740'!M507/1000</f>
        <v>3.444</v>
      </c>
      <c r="D508" s="162">
        <f ca="1">'BC.115+740'!AA507</f>
        <v>4.109</v>
      </c>
      <c r="E508" s="163">
        <f ca="1">'BC.115+740'!AB507</f>
        <v>2.698</v>
      </c>
      <c r="F508" s="162">
        <f ca="1">VLOOKUP($A508,'BC.115+740'!$B$13:$X$4969,8,0)/1000</f>
        <v>3.38</v>
      </c>
      <c r="G508" s="162">
        <f ca="1">VLOOKUP($A508,'BC.115+740'!$B$13:$X$4969,9,0)/1000</f>
        <v>-0.62</v>
      </c>
      <c r="H508" s="162">
        <f ca="1">VLOOKUP($A508,'BC.115+740'!$B$13:$X$4969,14,0)/1000</f>
        <v>3.234</v>
      </c>
      <c r="I508" s="162">
        <f ca="1">VLOOKUP($A508,'BC.115+740'!$B$13:$X$4969,15,0)/1000</f>
        <v>-0.76600000000000001</v>
      </c>
      <c r="J508" s="162">
        <f ca="1">VLOOKUP($A508,'BC.115+740'!$B$13:$X$4969,20,0)/1000</f>
        <v>3.3180000000000001</v>
      </c>
      <c r="K508" s="162">
        <f ca="1">VLOOKUP($A508,'BC.115+740'!$B$13:$X$4969,21,0)/1000</f>
        <v>-0.68200000000000005</v>
      </c>
      <c r="L508" s="160">
        <f t="shared" ca="1" si="22"/>
        <v>-660</v>
      </c>
      <c r="M508" s="161">
        <f t="shared" ca="1" si="23"/>
        <v>-756</v>
      </c>
      <c r="N508" s="160">
        <f t="shared" ca="1" si="24"/>
        <v>-642</v>
      </c>
      <c r="O508" s="160"/>
    </row>
    <row r="509" spans="1:15">
      <c r="A509" s="164">
        <f>'BC.115+740'!B508</f>
        <v>45567</v>
      </c>
      <c r="B509" s="160">
        <f t="shared" si="21"/>
        <v>495</v>
      </c>
      <c r="C509" s="162">
        <f ca="1">'BC.115+740'!M508/1000</f>
        <v>3.4420000000000002</v>
      </c>
      <c r="D509" s="162">
        <f ca="1">'BC.115+740'!AA508</f>
        <v>4.109</v>
      </c>
      <c r="E509" s="163">
        <f ca="1">'BC.115+740'!AB508</f>
        <v>2.694</v>
      </c>
      <c r="F509" s="162">
        <f ca="1">VLOOKUP($A509,'BC.115+740'!$B$13:$X$4969,8,0)/1000</f>
        <v>3.38</v>
      </c>
      <c r="G509" s="162">
        <f ca="1">VLOOKUP($A509,'BC.115+740'!$B$13:$X$4969,9,0)/1000</f>
        <v>-0.62</v>
      </c>
      <c r="H509" s="162">
        <f ca="1">VLOOKUP($A509,'BC.115+740'!$B$13:$X$4969,14,0)/1000</f>
        <v>3.2320000000000002</v>
      </c>
      <c r="I509" s="162">
        <f ca="1">VLOOKUP($A509,'BC.115+740'!$B$13:$X$4969,15,0)/1000</f>
        <v>-0.76800000000000002</v>
      </c>
      <c r="J509" s="162">
        <f ca="1">VLOOKUP($A509,'BC.115+740'!$B$13:$X$4969,20,0)/1000</f>
        <v>3.3180000000000001</v>
      </c>
      <c r="K509" s="162">
        <f ca="1">VLOOKUP($A509,'BC.115+740'!$B$13:$X$4969,21,0)/1000</f>
        <v>-0.68200000000000005</v>
      </c>
      <c r="L509" s="160">
        <f t="shared" ca="1" si="22"/>
        <v>-660</v>
      </c>
      <c r="M509" s="161">
        <f t="shared" ca="1" si="23"/>
        <v>-758</v>
      </c>
      <c r="N509" s="160">
        <f t="shared" ca="1" si="24"/>
        <v>-642</v>
      </c>
      <c r="O509" s="160"/>
    </row>
    <row r="510" spans="1:15">
      <c r="A510" s="164">
        <f>'BC.115+740'!B509</f>
        <v>45568</v>
      </c>
      <c r="B510" s="160">
        <f t="shared" si="21"/>
        <v>496</v>
      </c>
      <c r="C510" s="162">
        <f ca="1">'BC.115+740'!M509/1000</f>
        <v>3.4350000000000001</v>
      </c>
      <c r="D510" s="162">
        <f ca="1">'BC.115+740'!AA509</f>
        <v>4.109</v>
      </c>
      <c r="E510" s="163">
        <f ca="1">'BC.115+740'!AB509</f>
        <v>2.68</v>
      </c>
      <c r="F510" s="162">
        <f ca="1">VLOOKUP($A510,'BC.115+740'!$B$13:$X$4969,8,0)/1000</f>
        <v>3.38</v>
      </c>
      <c r="G510" s="162">
        <f ca="1">VLOOKUP($A510,'BC.115+740'!$B$13:$X$4969,9,0)/1000</f>
        <v>-0.62</v>
      </c>
      <c r="H510" s="162">
        <f ca="1">VLOOKUP($A510,'BC.115+740'!$B$13:$X$4969,14,0)/1000</f>
        <v>3.2250000000000001</v>
      </c>
      <c r="I510" s="162">
        <f ca="1">VLOOKUP($A510,'BC.115+740'!$B$13:$X$4969,15,0)/1000</f>
        <v>-0.77500000000000002</v>
      </c>
      <c r="J510" s="162">
        <f ca="1">VLOOKUP($A510,'BC.115+740'!$B$13:$X$4969,20,0)/1000</f>
        <v>3.3180000000000001</v>
      </c>
      <c r="K510" s="162">
        <f ca="1">VLOOKUP($A510,'BC.115+740'!$B$13:$X$4969,21,0)/1000</f>
        <v>-0.68200000000000005</v>
      </c>
      <c r="L510" s="160">
        <f t="shared" ca="1" si="22"/>
        <v>-660</v>
      </c>
      <c r="M510" s="161">
        <f t="shared" ca="1" si="23"/>
        <v>-765</v>
      </c>
      <c r="N510" s="160">
        <f t="shared" ca="1" si="24"/>
        <v>-642</v>
      </c>
      <c r="O510" s="160"/>
    </row>
    <row r="511" spans="1:15">
      <c r="A511" s="164">
        <f>'BC.115+740'!B510</f>
        <v>45569</v>
      </c>
      <c r="B511" s="160">
        <f t="shared" si="21"/>
        <v>497</v>
      </c>
      <c r="C511" s="162">
        <f ca="1">'BC.115+740'!M510/1000</f>
        <v>3.4329999999999998</v>
      </c>
      <c r="D511" s="162">
        <f ca="1">'BC.115+740'!AA510</f>
        <v>4.109</v>
      </c>
      <c r="E511" s="163">
        <f ca="1">'BC.115+740'!AB510</f>
        <v>2.6760000000000002</v>
      </c>
      <c r="F511" s="162">
        <f ca="1">VLOOKUP($A511,'BC.115+740'!$B$13:$X$4969,8,0)/1000</f>
        <v>3.38</v>
      </c>
      <c r="G511" s="162">
        <f ca="1">VLOOKUP($A511,'BC.115+740'!$B$13:$X$4969,9,0)/1000</f>
        <v>-0.62</v>
      </c>
      <c r="H511" s="162">
        <f ca="1">VLOOKUP($A511,'BC.115+740'!$B$13:$X$4969,14,0)/1000</f>
        <v>3.2229999999999999</v>
      </c>
      <c r="I511" s="162">
        <f ca="1">VLOOKUP($A511,'BC.115+740'!$B$13:$X$4969,15,0)/1000</f>
        <v>-0.77700000000000002</v>
      </c>
      <c r="J511" s="162">
        <f ca="1">VLOOKUP($A511,'BC.115+740'!$B$13:$X$4969,20,0)/1000</f>
        <v>3.3180000000000001</v>
      </c>
      <c r="K511" s="162">
        <f ca="1">VLOOKUP($A511,'BC.115+740'!$B$13:$X$4969,21,0)/1000</f>
        <v>-0.68200000000000005</v>
      </c>
      <c r="L511" s="160">
        <f t="shared" ca="1" si="22"/>
        <v>-660</v>
      </c>
      <c r="M511" s="161">
        <f t="shared" ca="1" si="23"/>
        <v>-767</v>
      </c>
      <c r="N511" s="160">
        <f t="shared" ca="1" si="24"/>
        <v>-642</v>
      </c>
      <c r="O511" s="160"/>
    </row>
    <row r="512" spans="1:15">
      <c r="A512" s="164">
        <f>'BC.115+740'!B511</f>
        <v>45570</v>
      </c>
      <c r="B512" s="160">
        <f t="shared" si="21"/>
        <v>498</v>
      </c>
      <c r="C512" s="162">
        <f ca="1">'BC.115+740'!M511/1000</f>
        <v>3.427</v>
      </c>
      <c r="D512" s="162">
        <f ca="1">'BC.115+740'!AA511</f>
        <v>4.109</v>
      </c>
      <c r="E512" s="163">
        <f ca="1">'BC.115+740'!AB511</f>
        <v>2.6640000000000001</v>
      </c>
      <c r="F512" s="162">
        <f ca="1">VLOOKUP($A512,'BC.115+740'!$B$13:$X$4969,8,0)/1000</f>
        <v>3.379</v>
      </c>
      <c r="G512" s="162">
        <f ca="1">VLOOKUP($A512,'BC.115+740'!$B$13:$X$4969,9,0)/1000</f>
        <v>-0.621</v>
      </c>
      <c r="H512" s="162">
        <f ca="1">VLOOKUP($A512,'BC.115+740'!$B$13:$X$4969,14,0)/1000</f>
        <v>3.2170000000000001</v>
      </c>
      <c r="I512" s="162">
        <f ca="1">VLOOKUP($A512,'BC.115+740'!$B$13:$X$4969,15,0)/1000</f>
        <v>-0.78300000000000003</v>
      </c>
      <c r="J512" s="162">
        <f ca="1">VLOOKUP($A512,'BC.115+740'!$B$13:$X$4969,20,0)/1000</f>
        <v>3.3159999999999998</v>
      </c>
      <c r="K512" s="162">
        <f ca="1">VLOOKUP($A512,'BC.115+740'!$B$13:$X$4969,21,0)/1000</f>
        <v>-0.68400000000000005</v>
      </c>
      <c r="L512" s="160">
        <f t="shared" ca="1" si="22"/>
        <v>-661</v>
      </c>
      <c r="M512" s="161">
        <f t="shared" ca="1" si="23"/>
        <v>-773</v>
      </c>
      <c r="N512" s="160">
        <f t="shared" ca="1" si="24"/>
        <v>-644</v>
      </c>
      <c r="O512" s="160"/>
    </row>
    <row r="513" spans="1:15">
      <c r="A513" s="164">
        <f>'BC.115+740'!B512</f>
        <v>45571</v>
      </c>
      <c r="B513" s="160">
        <f t="shared" si="21"/>
        <v>499</v>
      </c>
      <c r="C513" s="162">
        <f ca="1">'BC.115+740'!M512/1000</f>
        <v>3.4209999999999998</v>
      </c>
      <c r="D513" s="162">
        <f ca="1">'BC.115+740'!AA512</f>
        <v>4.109</v>
      </c>
      <c r="E513" s="163">
        <f ca="1">'BC.115+740'!AB512</f>
        <v>2.6520000000000001</v>
      </c>
      <c r="F513" s="162">
        <f ca="1">VLOOKUP($A513,'BC.115+740'!$B$13:$X$4969,8,0)/1000</f>
        <v>3.379</v>
      </c>
      <c r="G513" s="162">
        <f ca="1">VLOOKUP($A513,'BC.115+740'!$B$13:$X$4969,9,0)/1000</f>
        <v>-0.621</v>
      </c>
      <c r="H513" s="162">
        <f ca="1">VLOOKUP($A513,'BC.115+740'!$B$13:$X$4969,14,0)/1000</f>
        <v>3.2109999999999999</v>
      </c>
      <c r="I513" s="162">
        <f ca="1">VLOOKUP($A513,'BC.115+740'!$B$13:$X$4969,15,0)/1000</f>
        <v>-0.78900000000000003</v>
      </c>
      <c r="J513" s="162">
        <f ca="1">VLOOKUP($A513,'BC.115+740'!$B$13:$X$4969,20,0)/1000</f>
        <v>3.3159999999999998</v>
      </c>
      <c r="K513" s="162">
        <f ca="1">VLOOKUP($A513,'BC.115+740'!$B$13:$X$4969,21,0)/1000</f>
        <v>-0.68400000000000005</v>
      </c>
      <c r="L513" s="160">
        <f t="shared" ca="1" si="22"/>
        <v>-661</v>
      </c>
      <c r="M513" s="161">
        <f t="shared" ca="1" si="23"/>
        <v>-779</v>
      </c>
      <c r="N513" s="160">
        <f t="shared" ca="1" si="24"/>
        <v>-644</v>
      </c>
      <c r="O513" s="160"/>
    </row>
    <row r="514" spans="1:15">
      <c r="A514" s="164">
        <f>'BC.115+740'!B513</f>
        <v>45572</v>
      </c>
      <c r="B514" s="160">
        <f t="shared" si="21"/>
        <v>500</v>
      </c>
      <c r="C514" s="162">
        <f ca="1">'BC.115+740'!M513/1000</f>
        <v>3.4129999999999998</v>
      </c>
      <c r="D514" s="162">
        <f ca="1">'BC.115+740'!AA513</f>
        <v>4.109</v>
      </c>
      <c r="E514" s="163">
        <f ca="1">'BC.115+740'!AB513</f>
        <v>2.6360000000000001</v>
      </c>
      <c r="F514" s="162">
        <f ca="1">VLOOKUP($A514,'BC.115+740'!$B$13:$X$4969,8,0)/1000</f>
        <v>3.3769999999999998</v>
      </c>
      <c r="G514" s="162">
        <f ca="1">VLOOKUP($A514,'BC.115+740'!$B$13:$X$4969,9,0)/1000</f>
        <v>-0.623</v>
      </c>
      <c r="H514" s="162">
        <f ca="1">VLOOKUP($A514,'BC.115+740'!$B$13:$X$4969,14,0)/1000</f>
        <v>3.2029999999999998</v>
      </c>
      <c r="I514" s="162">
        <f ca="1">VLOOKUP($A514,'BC.115+740'!$B$13:$X$4969,15,0)/1000</f>
        <v>-0.79700000000000004</v>
      </c>
      <c r="J514" s="162">
        <f ca="1">VLOOKUP($A514,'BC.115+740'!$B$13:$X$4969,20,0)/1000</f>
        <v>3.3159999999999998</v>
      </c>
      <c r="K514" s="162">
        <f ca="1">VLOOKUP($A514,'BC.115+740'!$B$13:$X$4969,21,0)/1000</f>
        <v>-0.68400000000000005</v>
      </c>
      <c r="L514" s="160">
        <f t="shared" ca="1" si="22"/>
        <v>-663</v>
      </c>
      <c r="M514" s="161">
        <f t="shared" ca="1" si="23"/>
        <v>-787</v>
      </c>
      <c r="N514" s="160">
        <f t="shared" ca="1" si="24"/>
        <v>-644</v>
      </c>
      <c r="O514" s="160"/>
    </row>
    <row r="515" spans="1:15">
      <c r="A515" s="164">
        <f>'BC.115+740'!B514</f>
        <v>45573</v>
      </c>
      <c r="B515" s="160">
        <f t="shared" si="21"/>
        <v>501</v>
      </c>
      <c r="C515" s="162">
        <f ca="1">'BC.115+740'!M514/1000</f>
        <v>3.4060000000000001</v>
      </c>
      <c r="D515" s="162">
        <f ca="1">'BC.115+740'!AA514</f>
        <v>4.109</v>
      </c>
      <c r="E515" s="163">
        <f ca="1">'BC.115+740'!AB514</f>
        <v>2.6219999999999999</v>
      </c>
      <c r="F515" s="162">
        <f ca="1">VLOOKUP($A515,'BC.115+740'!$B$13:$X$4969,8,0)/1000</f>
        <v>3.3769999999999998</v>
      </c>
      <c r="G515" s="162">
        <f ca="1">VLOOKUP($A515,'BC.115+740'!$B$13:$X$4969,9,0)/1000</f>
        <v>-0.623</v>
      </c>
      <c r="H515" s="162">
        <f ca="1">VLOOKUP($A515,'BC.115+740'!$B$13:$X$4969,14,0)/1000</f>
        <v>3.1960000000000002</v>
      </c>
      <c r="I515" s="162">
        <f ca="1">VLOOKUP($A515,'BC.115+740'!$B$13:$X$4969,15,0)/1000</f>
        <v>-0.80400000000000005</v>
      </c>
      <c r="J515" s="162">
        <f ca="1">VLOOKUP($A515,'BC.115+740'!$B$13:$X$4969,20,0)/1000</f>
        <v>3.3159999999999998</v>
      </c>
      <c r="K515" s="162">
        <f ca="1">VLOOKUP($A515,'BC.115+740'!$B$13:$X$4969,21,0)/1000</f>
        <v>-0.68400000000000005</v>
      </c>
      <c r="L515" s="160">
        <f t="shared" ca="1" si="22"/>
        <v>-663</v>
      </c>
      <c r="M515" s="161">
        <f t="shared" ca="1" si="23"/>
        <v>-794</v>
      </c>
      <c r="N515" s="160">
        <f t="shared" ca="1" si="24"/>
        <v>-644</v>
      </c>
      <c r="O515" s="160"/>
    </row>
    <row r="516" spans="1:15">
      <c r="A516" s="164">
        <f>'BC.115+740'!B515</f>
        <v>45574</v>
      </c>
      <c r="B516" s="160">
        <f t="shared" ref="B516:B579" si="25">+B515+1</f>
        <v>502</v>
      </c>
      <c r="C516" s="162">
        <f ca="1">'BC.115+740'!M515/1000</f>
        <v>3.3969999999999998</v>
      </c>
      <c r="D516" s="162">
        <f ca="1">'BC.115+740'!AA515</f>
        <v>4.109</v>
      </c>
      <c r="E516" s="163">
        <f ca="1">'BC.115+740'!AB515</f>
        <v>2.6040000000000001</v>
      </c>
      <c r="F516" s="162">
        <f ca="1">VLOOKUP($A516,'BC.115+740'!$B$13:$X$4969,8,0)/1000</f>
        <v>3.3769999999999998</v>
      </c>
      <c r="G516" s="162">
        <f ca="1">VLOOKUP($A516,'BC.115+740'!$B$13:$X$4969,9,0)/1000</f>
        <v>-0.623</v>
      </c>
      <c r="H516" s="162">
        <f ca="1">VLOOKUP($A516,'BC.115+740'!$B$13:$X$4969,14,0)/1000</f>
        <v>3.1869999999999998</v>
      </c>
      <c r="I516" s="162">
        <f ca="1">VLOOKUP($A516,'BC.115+740'!$B$13:$X$4969,15,0)/1000</f>
        <v>-0.81299999999999994</v>
      </c>
      <c r="J516" s="162">
        <f ca="1">VLOOKUP($A516,'BC.115+740'!$B$13:$X$4969,20,0)/1000</f>
        <v>3.3159999999999998</v>
      </c>
      <c r="K516" s="162">
        <f ca="1">VLOOKUP($A516,'BC.115+740'!$B$13:$X$4969,21,0)/1000</f>
        <v>-0.68400000000000005</v>
      </c>
      <c r="L516" s="160">
        <f t="shared" ca="1" si="22"/>
        <v>-663</v>
      </c>
      <c r="M516" s="161">
        <f t="shared" ca="1" si="23"/>
        <v>-802.99999999999989</v>
      </c>
      <c r="N516" s="160">
        <f t="shared" ca="1" si="24"/>
        <v>-644</v>
      </c>
      <c r="O516" s="160"/>
    </row>
    <row r="517" spans="1:15">
      <c r="A517" s="164">
        <f>'BC.115+740'!B516</f>
        <v>45575</v>
      </c>
      <c r="B517" s="160">
        <f t="shared" si="25"/>
        <v>503</v>
      </c>
      <c r="C517" s="162">
        <f ca="1">'BC.115+740'!M516/1000</f>
        <v>3.3889999999999998</v>
      </c>
      <c r="D517" s="162">
        <f ca="1">'BC.115+740'!AA516</f>
        <v>4.109</v>
      </c>
      <c r="E517" s="163">
        <f ca="1">'BC.115+740'!AB516</f>
        <v>2.5880000000000001</v>
      </c>
      <c r="F517" s="162">
        <f ca="1">VLOOKUP($A517,'BC.115+740'!$B$13:$X$4969,8,0)/1000</f>
        <v>3.375</v>
      </c>
      <c r="G517" s="162">
        <f ca="1">VLOOKUP($A517,'BC.115+740'!$B$13:$X$4969,9,0)/1000</f>
        <v>-0.625</v>
      </c>
      <c r="H517" s="162">
        <f ca="1">VLOOKUP($A517,'BC.115+740'!$B$13:$X$4969,14,0)/1000</f>
        <v>3.1789999999999998</v>
      </c>
      <c r="I517" s="162">
        <f ca="1">VLOOKUP($A517,'BC.115+740'!$B$13:$X$4969,15,0)/1000</f>
        <v>-0.82099999999999995</v>
      </c>
      <c r="J517" s="162">
        <f ca="1">VLOOKUP($A517,'BC.115+740'!$B$13:$X$4969,20,0)/1000</f>
        <v>3.3149999999999999</v>
      </c>
      <c r="K517" s="162">
        <f ca="1">VLOOKUP($A517,'BC.115+740'!$B$13:$X$4969,21,0)/1000</f>
        <v>-0.68500000000000005</v>
      </c>
      <c r="L517" s="160">
        <f t="shared" ca="1" si="22"/>
        <v>-665</v>
      </c>
      <c r="M517" s="161">
        <f t="shared" ca="1" si="23"/>
        <v>-811</v>
      </c>
      <c r="N517" s="160">
        <f t="shared" ca="1" si="24"/>
        <v>-645</v>
      </c>
      <c r="O517" s="160"/>
    </row>
    <row r="518" spans="1:15">
      <c r="A518" s="164">
        <f>'BC.115+740'!B517</f>
        <v>45576</v>
      </c>
      <c r="B518" s="160">
        <f t="shared" si="25"/>
        <v>504</v>
      </c>
      <c r="C518" s="162">
        <f ca="1">'BC.115+740'!M517/1000</f>
        <v>3.38</v>
      </c>
      <c r="D518" s="162">
        <f ca="1">'BC.115+740'!AA517</f>
        <v>4.109</v>
      </c>
      <c r="E518" s="163">
        <f ca="1">'BC.115+740'!AB517</f>
        <v>2.57</v>
      </c>
      <c r="F518" s="162">
        <f ca="1">VLOOKUP($A518,'BC.115+740'!$B$13:$X$4969,8,0)/1000</f>
        <v>3.375</v>
      </c>
      <c r="G518" s="162">
        <f ca="1">VLOOKUP($A518,'BC.115+740'!$B$13:$X$4969,9,0)/1000</f>
        <v>-0.625</v>
      </c>
      <c r="H518" s="162">
        <f ca="1">VLOOKUP($A518,'BC.115+740'!$B$13:$X$4969,14,0)/1000</f>
        <v>3.17</v>
      </c>
      <c r="I518" s="162">
        <f ca="1">VLOOKUP($A518,'BC.115+740'!$B$13:$X$4969,15,0)/1000</f>
        <v>-0.83</v>
      </c>
      <c r="J518" s="162">
        <f ca="1">VLOOKUP($A518,'BC.115+740'!$B$13:$X$4969,20,0)/1000</f>
        <v>3.3149999999999999</v>
      </c>
      <c r="K518" s="162">
        <f ca="1">VLOOKUP($A518,'BC.115+740'!$B$13:$X$4969,21,0)/1000</f>
        <v>-0.68500000000000005</v>
      </c>
      <c r="L518" s="160">
        <f t="shared" ca="1" si="22"/>
        <v>-665</v>
      </c>
      <c r="M518" s="161">
        <f t="shared" ca="1" si="23"/>
        <v>-820</v>
      </c>
      <c r="N518" s="160">
        <f t="shared" ca="1" si="24"/>
        <v>-645</v>
      </c>
      <c r="O518" s="160"/>
    </row>
    <row r="519" spans="1:15">
      <c r="A519" s="164">
        <f>'BC.115+740'!B518</f>
        <v>45577</v>
      </c>
      <c r="B519" s="160">
        <f t="shared" si="25"/>
        <v>505</v>
      </c>
      <c r="C519" s="162">
        <f ca="1">'BC.115+740'!M518/1000</f>
        <v>3.371</v>
      </c>
      <c r="D519" s="162">
        <f ca="1">'BC.115+740'!AA518</f>
        <v>4.109</v>
      </c>
      <c r="E519" s="163">
        <f ca="1">'BC.115+740'!AB518</f>
        <v>2.552</v>
      </c>
      <c r="F519" s="162">
        <f ca="1">VLOOKUP($A519,'BC.115+740'!$B$13:$X$4969,8,0)/1000</f>
        <v>3.375</v>
      </c>
      <c r="G519" s="162">
        <f ca="1">VLOOKUP($A519,'BC.115+740'!$B$13:$X$4969,9,0)/1000</f>
        <v>-0.625</v>
      </c>
      <c r="H519" s="162">
        <f ca="1">VLOOKUP($A519,'BC.115+740'!$B$13:$X$4969,14,0)/1000</f>
        <v>3.161</v>
      </c>
      <c r="I519" s="162">
        <f ca="1">VLOOKUP($A519,'BC.115+740'!$B$13:$X$4969,15,0)/1000</f>
        <v>-0.83899999999999997</v>
      </c>
      <c r="J519" s="162">
        <f ca="1">VLOOKUP($A519,'BC.115+740'!$B$13:$X$4969,20,0)/1000</f>
        <v>3.3149999999999999</v>
      </c>
      <c r="K519" s="162">
        <f ca="1">VLOOKUP($A519,'BC.115+740'!$B$13:$X$4969,21,0)/1000</f>
        <v>-0.68500000000000005</v>
      </c>
      <c r="L519" s="160">
        <f t="shared" ca="1" si="22"/>
        <v>-665</v>
      </c>
      <c r="M519" s="161">
        <f t="shared" ca="1" si="23"/>
        <v>-829</v>
      </c>
      <c r="N519" s="160">
        <f t="shared" ca="1" si="24"/>
        <v>-645</v>
      </c>
      <c r="O519" s="160"/>
    </row>
    <row r="520" spans="1:15">
      <c r="A520" s="164">
        <f>'BC.115+740'!B519</f>
        <v>45578</v>
      </c>
      <c r="B520" s="160">
        <f t="shared" si="25"/>
        <v>506</v>
      </c>
      <c r="C520" s="162">
        <f ca="1">'BC.115+740'!M519/1000</f>
        <v>3.363</v>
      </c>
      <c r="D520" s="162">
        <f ca="1">'BC.115+740'!AA519</f>
        <v>4.109</v>
      </c>
      <c r="E520" s="163">
        <f ca="1">'BC.115+740'!AB519</f>
        <v>2.536</v>
      </c>
      <c r="F520" s="162">
        <f ca="1">VLOOKUP($A520,'BC.115+740'!$B$13:$X$4969,8,0)/1000</f>
        <v>3.3740000000000001</v>
      </c>
      <c r="G520" s="162">
        <f ca="1">VLOOKUP($A520,'BC.115+740'!$B$13:$X$4969,9,0)/1000</f>
        <v>-0.626</v>
      </c>
      <c r="H520" s="162">
        <f ca="1">VLOOKUP($A520,'BC.115+740'!$B$13:$X$4969,14,0)/1000</f>
        <v>3.153</v>
      </c>
      <c r="I520" s="162">
        <f ca="1">VLOOKUP($A520,'BC.115+740'!$B$13:$X$4969,15,0)/1000</f>
        <v>-0.84699999999999998</v>
      </c>
      <c r="J520" s="162">
        <f ca="1">VLOOKUP($A520,'BC.115+740'!$B$13:$X$4969,20,0)/1000</f>
        <v>3.3149999999999999</v>
      </c>
      <c r="K520" s="162">
        <f ca="1">VLOOKUP($A520,'BC.115+740'!$B$13:$X$4969,21,0)/1000</f>
        <v>-0.68500000000000005</v>
      </c>
      <c r="L520" s="160">
        <f t="shared" ca="1" si="22"/>
        <v>-666</v>
      </c>
      <c r="M520" s="161">
        <f t="shared" ca="1" si="23"/>
        <v>-837</v>
      </c>
      <c r="N520" s="160">
        <f t="shared" ca="1" si="24"/>
        <v>-645</v>
      </c>
      <c r="O520" s="160"/>
    </row>
    <row r="521" spans="1:15">
      <c r="A521" s="164">
        <f>'BC.115+740'!B520</f>
        <v>45579</v>
      </c>
      <c r="B521" s="160">
        <f t="shared" si="25"/>
        <v>507</v>
      </c>
      <c r="C521" s="162">
        <f ca="1">'BC.115+740'!M520/1000</f>
        <v>3.3540000000000001</v>
      </c>
      <c r="D521" s="162">
        <f ca="1">'BC.115+740'!AA520</f>
        <v>4.109</v>
      </c>
      <c r="E521" s="163">
        <f ca="1">'BC.115+740'!AB520</f>
        <v>2.5179999999999998</v>
      </c>
      <c r="F521" s="162">
        <f ca="1">VLOOKUP($A521,'BC.115+740'!$B$13:$X$4969,8,0)/1000</f>
        <v>3.3740000000000001</v>
      </c>
      <c r="G521" s="162">
        <f ca="1">VLOOKUP($A521,'BC.115+740'!$B$13:$X$4969,9,0)/1000</f>
        <v>-0.626</v>
      </c>
      <c r="H521" s="162">
        <f ca="1">VLOOKUP($A521,'BC.115+740'!$B$13:$X$4969,14,0)/1000</f>
        <v>3.1440000000000001</v>
      </c>
      <c r="I521" s="162">
        <f ca="1">VLOOKUP($A521,'BC.115+740'!$B$13:$X$4969,15,0)/1000</f>
        <v>-0.85599999999999998</v>
      </c>
      <c r="J521" s="162">
        <f ca="1">VLOOKUP($A521,'BC.115+740'!$B$13:$X$4969,20,0)/1000</f>
        <v>3.3140000000000001</v>
      </c>
      <c r="K521" s="162">
        <f ca="1">VLOOKUP($A521,'BC.115+740'!$B$13:$X$4969,21,0)/1000</f>
        <v>-0.68600000000000005</v>
      </c>
      <c r="L521" s="160">
        <f t="shared" ca="1" si="22"/>
        <v>-666</v>
      </c>
      <c r="M521" s="161">
        <f t="shared" ca="1" si="23"/>
        <v>-846</v>
      </c>
      <c r="N521" s="160">
        <f t="shared" ca="1" si="24"/>
        <v>-646</v>
      </c>
      <c r="O521" s="160"/>
    </row>
    <row r="522" spans="1:15">
      <c r="A522" s="164">
        <f>'BC.115+740'!B521</f>
        <v>45580</v>
      </c>
      <c r="B522" s="160">
        <f t="shared" si="25"/>
        <v>508</v>
      </c>
      <c r="C522" s="162">
        <f ca="1">'BC.115+740'!M521/1000</f>
        <v>3.3490000000000002</v>
      </c>
      <c r="D522" s="162">
        <f ca="1">'BC.115+740'!AA521</f>
        <v>4.109</v>
      </c>
      <c r="E522" s="163">
        <f ca="1">'BC.115+740'!AB521</f>
        <v>2.508</v>
      </c>
      <c r="F522" s="162">
        <f ca="1">VLOOKUP($A522,'BC.115+740'!$B$13:$X$4969,8,0)/1000</f>
        <v>3.3660000000000001</v>
      </c>
      <c r="G522" s="162">
        <f ca="1">VLOOKUP($A522,'BC.115+740'!$B$13:$X$4969,9,0)/1000</f>
        <v>-0.63400000000000001</v>
      </c>
      <c r="H522" s="162">
        <f ca="1">VLOOKUP($A522,'BC.115+740'!$B$13:$X$4969,14,0)/1000</f>
        <v>3.1389999999999998</v>
      </c>
      <c r="I522" s="162">
        <f ca="1">VLOOKUP($A522,'BC.115+740'!$B$13:$X$4969,15,0)/1000</f>
        <v>-0.86099999999999999</v>
      </c>
      <c r="J522" s="162">
        <f ca="1">VLOOKUP($A522,'BC.115+740'!$B$13:$X$4969,20,0)/1000</f>
        <v>3.3140000000000001</v>
      </c>
      <c r="K522" s="162">
        <f ca="1">VLOOKUP($A522,'BC.115+740'!$B$13:$X$4969,21,0)/1000</f>
        <v>-0.68600000000000005</v>
      </c>
      <c r="L522" s="160">
        <f t="shared" ca="1" si="22"/>
        <v>-674</v>
      </c>
      <c r="M522" s="161">
        <f t="shared" ca="1" si="23"/>
        <v>-851</v>
      </c>
      <c r="N522" s="160">
        <f t="shared" ca="1" si="24"/>
        <v>-646</v>
      </c>
      <c r="O522" s="160"/>
    </row>
    <row r="523" spans="1:15">
      <c r="A523" s="164">
        <f>'BC.115+740'!B522</f>
        <v>45581</v>
      </c>
      <c r="B523" s="160">
        <f t="shared" si="25"/>
        <v>509</v>
      </c>
      <c r="C523" s="162">
        <f ca="1">'BC.115+740'!M522/1000</f>
        <v>3.3420000000000001</v>
      </c>
      <c r="D523" s="162">
        <f ca="1">'BC.115+740'!AA522</f>
        <v>4.109</v>
      </c>
      <c r="E523" s="163">
        <f ca="1">'BC.115+740'!AB522</f>
        <v>2.4940000000000002</v>
      </c>
      <c r="F523" s="162">
        <f ca="1">VLOOKUP($A523,'BC.115+740'!$B$13:$X$4969,8,0)/1000</f>
        <v>3.359</v>
      </c>
      <c r="G523" s="162">
        <f ca="1">VLOOKUP($A523,'BC.115+740'!$B$13:$X$4969,9,0)/1000</f>
        <v>-0.64100000000000001</v>
      </c>
      <c r="H523" s="162">
        <f ca="1">VLOOKUP($A523,'BC.115+740'!$B$13:$X$4969,14,0)/1000</f>
        <v>3.1320000000000001</v>
      </c>
      <c r="I523" s="162">
        <f ca="1">VLOOKUP($A523,'BC.115+740'!$B$13:$X$4969,15,0)/1000</f>
        <v>-0.86799999999999999</v>
      </c>
      <c r="J523" s="162">
        <f ca="1">VLOOKUP($A523,'BC.115+740'!$B$13:$X$4969,20,0)/1000</f>
        <v>3.3140000000000001</v>
      </c>
      <c r="K523" s="162">
        <f ca="1">VLOOKUP($A523,'BC.115+740'!$B$13:$X$4969,21,0)/1000</f>
        <v>-0.68600000000000005</v>
      </c>
      <c r="L523" s="160">
        <f t="shared" ca="1" si="22"/>
        <v>-681</v>
      </c>
      <c r="M523" s="161">
        <f t="shared" ca="1" si="23"/>
        <v>-858</v>
      </c>
      <c r="N523" s="160">
        <f t="shared" ca="1" si="24"/>
        <v>-646</v>
      </c>
      <c r="O523" s="160"/>
    </row>
    <row r="524" spans="1:15">
      <c r="A524" s="164">
        <f>'BC.115+740'!B523</f>
        <v>45582</v>
      </c>
      <c r="B524" s="160">
        <f t="shared" si="25"/>
        <v>510</v>
      </c>
      <c r="C524" s="162">
        <f ca="1">'BC.115+740'!M523/1000</f>
        <v>3.335</v>
      </c>
      <c r="D524" s="162">
        <f ca="1">'BC.115+740'!AA523</f>
        <v>4.109</v>
      </c>
      <c r="E524" s="163">
        <f ca="1">'BC.115+740'!AB523</f>
        <v>2.48</v>
      </c>
      <c r="F524" s="162">
        <f ca="1">VLOOKUP($A524,'BC.115+740'!$B$13:$X$4969,8,0)/1000</f>
        <v>3.355</v>
      </c>
      <c r="G524" s="162">
        <f ca="1">VLOOKUP($A524,'BC.115+740'!$B$13:$X$4969,9,0)/1000</f>
        <v>-0.64500000000000002</v>
      </c>
      <c r="H524" s="162">
        <f ca="1">VLOOKUP($A524,'BC.115+740'!$B$13:$X$4969,14,0)/1000</f>
        <v>3.125</v>
      </c>
      <c r="I524" s="162">
        <f ca="1">VLOOKUP($A524,'BC.115+740'!$B$13:$X$4969,15,0)/1000</f>
        <v>-0.875</v>
      </c>
      <c r="J524" s="162">
        <f ca="1">VLOOKUP($A524,'BC.115+740'!$B$13:$X$4969,20,0)/1000</f>
        <v>3.3140000000000001</v>
      </c>
      <c r="K524" s="162">
        <f ca="1">VLOOKUP($A524,'BC.115+740'!$B$13:$X$4969,21,0)/1000</f>
        <v>-0.68600000000000005</v>
      </c>
      <c r="L524" s="160">
        <f t="shared" ca="1" si="22"/>
        <v>-685</v>
      </c>
      <c r="M524" s="161">
        <f t="shared" ca="1" si="23"/>
        <v>-865</v>
      </c>
      <c r="N524" s="160">
        <f t="shared" ca="1" si="24"/>
        <v>-646</v>
      </c>
      <c r="O524" s="160"/>
    </row>
    <row r="525" spans="1:15">
      <c r="A525" s="164">
        <f>'BC.115+740'!B524</f>
        <v>45583</v>
      </c>
      <c r="B525" s="160">
        <f t="shared" si="25"/>
        <v>511</v>
      </c>
      <c r="C525" s="162">
        <f ca="1">'BC.115+740'!M524/1000</f>
        <v>3.3290000000000002</v>
      </c>
      <c r="D525" s="162">
        <f ca="1">'BC.115+740'!AA524</f>
        <v>4.109</v>
      </c>
      <c r="E525" s="163">
        <f ca="1">'BC.115+740'!AB524</f>
        <v>2.468</v>
      </c>
      <c r="F525" s="162">
        <f ca="1">VLOOKUP($A525,'BC.115+740'!$B$13:$X$4969,8,0)/1000</f>
        <v>3.3519999999999999</v>
      </c>
      <c r="G525" s="162">
        <f ca="1">VLOOKUP($A525,'BC.115+740'!$B$13:$X$4969,9,0)/1000</f>
        <v>-0.64800000000000002</v>
      </c>
      <c r="H525" s="162">
        <f ca="1">VLOOKUP($A525,'BC.115+740'!$B$13:$X$4969,14,0)/1000</f>
        <v>3.1190000000000002</v>
      </c>
      <c r="I525" s="162">
        <f ca="1">VLOOKUP($A525,'BC.115+740'!$B$13:$X$4969,15,0)/1000</f>
        <v>-0.88100000000000001</v>
      </c>
      <c r="J525" s="162">
        <f ca="1">VLOOKUP($A525,'BC.115+740'!$B$13:$X$4969,20,0)/1000</f>
        <v>3.3140000000000001</v>
      </c>
      <c r="K525" s="162">
        <f ca="1">VLOOKUP($A525,'BC.115+740'!$B$13:$X$4969,21,0)/1000</f>
        <v>-0.68600000000000005</v>
      </c>
      <c r="L525" s="160">
        <f t="shared" ca="1" si="22"/>
        <v>-688</v>
      </c>
      <c r="M525" s="161">
        <f t="shared" ca="1" si="23"/>
        <v>-871</v>
      </c>
      <c r="N525" s="160">
        <f t="shared" ca="1" si="24"/>
        <v>-646</v>
      </c>
      <c r="O525" s="160"/>
    </row>
    <row r="526" spans="1:15">
      <c r="A526" s="164">
        <f>'BC.115+740'!B525</f>
        <v>45584</v>
      </c>
      <c r="B526" s="160">
        <f t="shared" si="25"/>
        <v>512</v>
      </c>
      <c r="C526" s="162">
        <f ca="1">'BC.115+740'!M525/1000</f>
        <v>3.327</v>
      </c>
      <c r="D526" s="162">
        <f ca="1">'BC.115+740'!AA525</f>
        <v>4.109</v>
      </c>
      <c r="E526" s="163">
        <f ca="1">'BC.115+740'!AB525</f>
        <v>2.464</v>
      </c>
      <c r="F526" s="162">
        <f ca="1">VLOOKUP($A526,'BC.115+740'!$B$13:$X$4969,8,0)/1000</f>
        <v>3.3519999999999999</v>
      </c>
      <c r="G526" s="162">
        <f ca="1">VLOOKUP($A526,'BC.115+740'!$B$13:$X$4969,9,0)/1000</f>
        <v>-0.64800000000000002</v>
      </c>
      <c r="H526" s="162">
        <f ca="1">VLOOKUP($A526,'BC.115+740'!$B$13:$X$4969,14,0)/1000</f>
        <v>3.117</v>
      </c>
      <c r="I526" s="162">
        <f ca="1">VLOOKUP($A526,'BC.115+740'!$B$13:$X$4969,15,0)/1000</f>
        <v>-0.88300000000000001</v>
      </c>
      <c r="J526" s="162">
        <f ca="1">VLOOKUP($A526,'BC.115+740'!$B$13:$X$4969,20,0)/1000</f>
        <v>3.3140000000000001</v>
      </c>
      <c r="K526" s="162">
        <f ca="1">VLOOKUP($A526,'BC.115+740'!$B$13:$X$4969,21,0)/1000</f>
        <v>-0.68600000000000005</v>
      </c>
      <c r="L526" s="160">
        <f t="shared" ref="L526:L589" ca="1" si="26">(G526-$G$14)*1000</f>
        <v>-688</v>
      </c>
      <c r="M526" s="161">
        <f t="shared" ref="M526:M589" ca="1" si="27">(I526-$I$14)*1000</f>
        <v>-873</v>
      </c>
      <c r="N526" s="160">
        <f t="shared" ca="1" si="24"/>
        <v>-646</v>
      </c>
      <c r="O526" s="160"/>
    </row>
    <row r="527" spans="1:15">
      <c r="A527" s="164">
        <f>'BC.115+740'!B526</f>
        <v>45585</v>
      </c>
      <c r="B527" s="160">
        <f t="shared" si="25"/>
        <v>513</v>
      </c>
      <c r="C527" s="162">
        <f ca="1">'BC.115+740'!M526/1000</f>
        <v>3.323</v>
      </c>
      <c r="D527" s="162">
        <f ca="1">'BC.115+740'!AA526</f>
        <v>4.109</v>
      </c>
      <c r="E527" s="163">
        <f ca="1">'BC.115+740'!AB526</f>
        <v>2.456</v>
      </c>
      <c r="F527" s="162">
        <f ca="1">VLOOKUP($A527,'BC.115+740'!$B$13:$X$4969,8,0)/1000</f>
        <v>3.3439999999999999</v>
      </c>
      <c r="G527" s="162">
        <f ca="1">VLOOKUP($A527,'BC.115+740'!$B$13:$X$4969,9,0)/1000</f>
        <v>-0.65600000000000003</v>
      </c>
      <c r="H527" s="162">
        <f ca="1">VLOOKUP($A527,'BC.115+740'!$B$13:$X$4969,14,0)/1000</f>
        <v>3.113</v>
      </c>
      <c r="I527" s="162">
        <f ca="1">VLOOKUP($A527,'BC.115+740'!$B$13:$X$4969,15,0)/1000</f>
        <v>-0.88700000000000001</v>
      </c>
      <c r="J527" s="162">
        <f ca="1">VLOOKUP($A527,'BC.115+740'!$B$13:$X$4969,20,0)/1000</f>
        <v>3.3140000000000001</v>
      </c>
      <c r="K527" s="162">
        <f ca="1">VLOOKUP($A527,'BC.115+740'!$B$13:$X$4969,21,0)/1000</f>
        <v>-0.68600000000000005</v>
      </c>
      <c r="L527" s="160">
        <f t="shared" ca="1" si="26"/>
        <v>-696.00000000000011</v>
      </c>
      <c r="M527" s="161">
        <f t="shared" ca="1" si="27"/>
        <v>-877</v>
      </c>
      <c r="N527" s="160">
        <f t="shared" ref="N527:N590" ca="1" si="28">(K527-$K$14)*1000</f>
        <v>-646</v>
      </c>
      <c r="O527" s="160"/>
    </row>
    <row r="528" spans="1:15">
      <c r="A528" s="164">
        <f>'BC.115+740'!B527</f>
        <v>45586</v>
      </c>
      <c r="B528" s="160">
        <f t="shared" si="25"/>
        <v>514</v>
      </c>
      <c r="C528" s="162">
        <f ca="1">'BC.115+740'!M527/1000</f>
        <v>3.3210000000000002</v>
      </c>
      <c r="D528" s="162">
        <f ca="1">'BC.115+740'!AA527</f>
        <v>4.109</v>
      </c>
      <c r="E528" s="163">
        <f ca="1">'BC.115+740'!AB527</f>
        <v>2.452</v>
      </c>
      <c r="F528" s="162">
        <f ca="1">VLOOKUP($A528,'BC.115+740'!$B$13:$X$4969,8,0)/1000</f>
        <v>3.3370000000000002</v>
      </c>
      <c r="G528" s="162">
        <f ca="1">VLOOKUP($A528,'BC.115+740'!$B$13:$X$4969,9,0)/1000</f>
        <v>-0.66300000000000003</v>
      </c>
      <c r="H528" s="162">
        <f ca="1">VLOOKUP($A528,'BC.115+740'!$B$13:$X$4969,14,0)/1000</f>
        <v>3.1110000000000002</v>
      </c>
      <c r="I528" s="162">
        <f ca="1">VLOOKUP($A528,'BC.115+740'!$B$13:$X$4969,15,0)/1000</f>
        <v>-0.88900000000000001</v>
      </c>
      <c r="J528" s="162">
        <f ca="1">VLOOKUP($A528,'BC.115+740'!$B$13:$X$4969,20,0)/1000</f>
        <v>3.3140000000000001</v>
      </c>
      <c r="K528" s="162">
        <f ca="1">VLOOKUP($A528,'BC.115+740'!$B$13:$X$4969,21,0)/1000</f>
        <v>-0.68600000000000005</v>
      </c>
      <c r="L528" s="160">
        <f t="shared" ca="1" si="26"/>
        <v>-703.00000000000011</v>
      </c>
      <c r="M528" s="161">
        <f t="shared" ca="1" si="27"/>
        <v>-879</v>
      </c>
      <c r="N528" s="160">
        <f t="shared" ca="1" si="28"/>
        <v>-646</v>
      </c>
      <c r="O528" s="160"/>
    </row>
    <row r="529" spans="1:15">
      <c r="A529" s="164">
        <f>'BC.115+740'!B528</f>
        <v>45587</v>
      </c>
      <c r="B529" s="160">
        <f t="shared" si="25"/>
        <v>515</v>
      </c>
      <c r="C529" s="162">
        <f ca="1">'BC.115+740'!M528/1000</f>
        <v>3.319</v>
      </c>
      <c r="D529" s="162">
        <f ca="1">'BC.115+740'!AA528</f>
        <v>4.109</v>
      </c>
      <c r="E529" s="163">
        <f ca="1">'BC.115+740'!AB528</f>
        <v>2.448</v>
      </c>
      <c r="F529" s="162">
        <f ca="1">VLOOKUP($A529,'BC.115+740'!$B$13:$X$4969,8,0)/1000</f>
        <v>3.3330000000000002</v>
      </c>
      <c r="G529" s="162">
        <f ca="1">VLOOKUP($A529,'BC.115+740'!$B$13:$X$4969,9,0)/1000</f>
        <v>-0.66700000000000004</v>
      </c>
      <c r="H529" s="162">
        <f ca="1">VLOOKUP($A529,'BC.115+740'!$B$13:$X$4969,14,0)/1000</f>
        <v>3.109</v>
      </c>
      <c r="I529" s="162">
        <f ca="1">VLOOKUP($A529,'BC.115+740'!$B$13:$X$4969,15,0)/1000</f>
        <v>-0.89100000000000001</v>
      </c>
      <c r="J529" s="162">
        <f ca="1">VLOOKUP($A529,'BC.115+740'!$B$13:$X$4969,20,0)/1000</f>
        <v>3.3140000000000001</v>
      </c>
      <c r="K529" s="162">
        <f ca="1">VLOOKUP($A529,'BC.115+740'!$B$13:$X$4969,21,0)/1000</f>
        <v>-0.68600000000000005</v>
      </c>
      <c r="L529" s="160">
        <f t="shared" ca="1" si="26"/>
        <v>-707.00000000000011</v>
      </c>
      <c r="M529" s="161">
        <f t="shared" ca="1" si="27"/>
        <v>-881</v>
      </c>
      <c r="N529" s="160">
        <f t="shared" ca="1" si="28"/>
        <v>-646</v>
      </c>
      <c r="O529" s="160"/>
    </row>
    <row r="530" spans="1:15">
      <c r="A530" s="164">
        <f>'BC.115+740'!B529</f>
        <v>45588</v>
      </c>
      <c r="B530" s="160">
        <f t="shared" si="25"/>
        <v>516</v>
      </c>
      <c r="C530" s="162">
        <f ca="1">'BC.115+740'!M529/1000</f>
        <v>3.3130000000000002</v>
      </c>
      <c r="D530" s="162">
        <f ca="1">'BC.115+740'!AA529</f>
        <v>4.109</v>
      </c>
      <c r="E530" s="163">
        <f ca="1">'BC.115+740'!AB529</f>
        <v>2.4359999999999999</v>
      </c>
      <c r="F530" s="162">
        <f ca="1">VLOOKUP($A530,'BC.115+740'!$B$13:$X$4969,8,0)/1000</f>
        <v>3.33</v>
      </c>
      <c r="G530" s="162">
        <f ca="1">VLOOKUP($A530,'BC.115+740'!$B$13:$X$4969,9,0)/1000</f>
        <v>-0.67</v>
      </c>
      <c r="H530" s="162">
        <f ca="1">VLOOKUP($A530,'BC.115+740'!$B$13:$X$4969,14,0)/1000</f>
        <v>3.1030000000000002</v>
      </c>
      <c r="I530" s="162">
        <f ca="1">VLOOKUP($A530,'BC.115+740'!$B$13:$X$4969,15,0)/1000</f>
        <v>-0.89700000000000002</v>
      </c>
      <c r="J530" s="162">
        <f ca="1">VLOOKUP($A530,'BC.115+740'!$B$13:$X$4969,20,0)/1000</f>
        <v>3.3140000000000001</v>
      </c>
      <c r="K530" s="162">
        <f ca="1">VLOOKUP($A530,'BC.115+740'!$B$13:$X$4969,21,0)/1000</f>
        <v>-0.68600000000000005</v>
      </c>
      <c r="L530" s="160">
        <f t="shared" ca="1" si="26"/>
        <v>-710.00000000000011</v>
      </c>
      <c r="M530" s="161">
        <f t="shared" ca="1" si="27"/>
        <v>-887</v>
      </c>
      <c r="N530" s="160">
        <f t="shared" ca="1" si="28"/>
        <v>-646</v>
      </c>
      <c r="O530" s="160"/>
    </row>
    <row r="531" spans="1:15">
      <c r="A531" s="164">
        <f>'BC.115+740'!B530</f>
        <v>45589</v>
      </c>
      <c r="B531" s="160">
        <f t="shared" si="25"/>
        <v>517</v>
      </c>
      <c r="C531" s="162">
        <f ca="1">'BC.115+740'!M530/1000</f>
        <v>3.31</v>
      </c>
      <c r="D531" s="162">
        <f ca="1">'BC.115+740'!AA530</f>
        <v>4.109</v>
      </c>
      <c r="E531" s="163">
        <f ca="1">'BC.115+740'!AB530</f>
        <v>2.4300000000000002</v>
      </c>
      <c r="F531" s="162">
        <f ca="1">VLOOKUP($A531,'BC.115+740'!$B$13:$X$4969,8,0)/1000</f>
        <v>3.33</v>
      </c>
      <c r="G531" s="162">
        <f ca="1">VLOOKUP($A531,'BC.115+740'!$B$13:$X$4969,9,0)/1000</f>
        <v>-0.67</v>
      </c>
      <c r="H531" s="162">
        <f ca="1">VLOOKUP($A531,'BC.115+740'!$B$13:$X$4969,14,0)/1000</f>
        <v>3.1</v>
      </c>
      <c r="I531" s="162">
        <f ca="1">VLOOKUP($A531,'BC.115+740'!$B$13:$X$4969,15,0)/1000</f>
        <v>-0.9</v>
      </c>
      <c r="J531" s="162">
        <f ca="1">VLOOKUP($A531,'BC.115+740'!$B$13:$X$4969,20,0)/1000</f>
        <v>3.3140000000000001</v>
      </c>
      <c r="K531" s="162">
        <f ca="1">VLOOKUP($A531,'BC.115+740'!$B$13:$X$4969,21,0)/1000</f>
        <v>-0.68600000000000005</v>
      </c>
      <c r="L531" s="160">
        <f t="shared" ca="1" si="26"/>
        <v>-710.00000000000011</v>
      </c>
      <c r="M531" s="161">
        <f t="shared" ca="1" si="27"/>
        <v>-890</v>
      </c>
      <c r="N531" s="160">
        <f t="shared" ca="1" si="28"/>
        <v>-646</v>
      </c>
      <c r="O531" s="160"/>
    </row>
    <row r="532" spans="1:15">
      <c r="A532" s="164">
        <f>'BC.115+740'!B531</f>
        <v>45590</v>
      </c>
      <c r="B532" s="160">
        <f t="shared" si="25"/>
        <v>518</v>
      </c>
      <c r="C532" s="162">
        <f ca="1">'BC.115+740'!M531/1000</f>
        <v>3.3079999999999998</v>
      </c>
      <c r="D532" s="162">
        <f ca="1">'BC.115+740'!AA531</f>
        <v>4.109</v>
      </c>
      <c r="E532" s="163">
        <f ca="1">'BC.115+740'!AB531</f>
        <v>2.4260000000000002</v>
      </c>
      <c r="F532" s="162">
        <f ca="1">VLOOKUP($A532,'BC.115+740'!$B$13:$X$4969,8,0)/1000</f>
        <v>3.33</v>
      </c>
      <c r="G532" s="162">
        <f ca="1">VLOOKUP($A532,'BC.115+740'!$B$13:$X$4969,9,0)/1000</f>
        <v>-0.67</v>
      </c>
      <c r="H532" s="162">
        <f ca="1">VLOOKUP($A532,'BC.115+740'!$B$13:$X$4969,14,0)/1000</f>
        <v>3.0979999999999999</v>
      </c>
      <c r="I532" s="162">
        <f ca="1">VLOOKUP($A532,'BC.115+740'!$B$13:$X$4969,15,0)/1000</f>
        <v>-0.90200000000000002</v>
      </c>
      <c r="J532" s="162">
        <f ca="1">VLOOKUP($A532,'BC.115+740'!$B$13:$X$4969,20,0)/1000</f>
        <v>3.3119999999999998</v>
      </c>
      <c r="K532" s="162">
        <f ca="1">VLOOKUP($A532,'BC.115+740'!$B$13:$X$4969,21,0)/1000</f>
        <v>-0.68799999999999994</v>
      </c>
      <c r="L532" s="160">
        <f t="shared" ca="1" si="26"/>
        <v>-710.00000000000011</v>
      </c>
      <c r="M532" s="161">
        <f t="shared" ca="1" si="27"/>
        <v>-892</v>
      </c>
      <c r="N532" s="160">
        <f t="shared" ca="1" si="28"/>
        <v>-647.99999999999989</v>
      </c>
      <c r="O532" s="160"/>
    </row>
    <row r="533" spans="1:15">
      <c r="A533" s="164">
        <f>'BC.115+740'!B532</f>
        <v>45591</v>
      </c>
      <c r="B533" s="160">
        <f t="shared" si="25"/>
        <v>519</v>
      </c>
      <c r="C533" s="162">
        <f ca="1">'BC.115+740'!M532/1000</f>
        <v>3.3050000000000002</v>
      </c>
      <c r="D533" s="162">
        <f ca="1">'BC.115+740'!AA532</f>
        <v>4.109</v>
      </c>
      <c r="E533" s="163">
        <f ca="1">'BC.115+740'!AB532</f>
        <v>2.42</v>
      </c>
      <c r="F533" s="162">
        <f ca="1">VLOOKUP($A533,'BC.115+740'!$B$13:$X$4969,8,0)/1000</f>
        <v>3.33</v>
      </c>
      <c r="G533" s="162">
        <f ca="1">VLOOKUP($A533,'BC.115+740'!$B$13:$X$4969,9,0)/1000</f>
        <v>-0.67</v>
      </c>
      <c r="H533" s="162">
        <f ca="1">VLOOKUP($A533,'BC.115+740'!$B$13:$X$4969,14,0)/1000</f>
        <v>3.0950000000000002</v>
      </c>
      <c r="I533" s="162">
        <f ca="1">VLOOKUP($A533,'BC.115+740'!$B$13:$X$4969,15,0)/1000</f>
        <v>-0.90500000000000003</v>
      </c>
      <c r="J533" s="162">
        <f ca="1">VLOOKUP($A533,'BC.115+740'!$B$13:$X$4969,20,0)/1000</f>
        <v>3.3119999999999998</v>
      </c>
      <c r="K533" s="162">
        <f ca="1">VLOOKUP($A533,'BC.115+740'!$B$13:$X$4969,21,0)/1000</f>
        <v>-0.68799999999999994</v>
      </c>
      <c r="L533" s="160">
        <f t="shared" ca="1" si="26"/>
        <v>-710.00000000000011</v>
      </c>
      <c r="M533" s="161">
        <f t="shared" ca="1" si="27"/>
        <v>-895</v>
      </c>
      <c r="N533" s="160">
        <f t="shared" ca="1" si="28"/>
        <v>-647.99999999999989</v>
      </c>
      <c r="O533" s="160"/>
    </row>
    <row r="534" spans="1:15">
      <c r="A534" s="164">
        <f>'BC.115+740'!B533</f>
        <v>45592</v>
      </c>
      <c r="B534" s="160">
        <f t="shared" si="25"/>
        <v>520</v>
      </c>
      <c r="C534" s="162">
        <f ca="1">'BC.115+740'!M533/1000</f>
        <v>3.3050000000000002</v>
      </c>
      <c r="D534" s="162">
        <f ca="1">'BC.115+740'!AA533</f>
        <v>4.109</v>
      </c>
      <c r="E534" s="163">
        <f ca="1">'BC.115+740'!AB533</f>
        <v>2.42</v>
      </c>
      <c r="F534" s="162">
        <f ca="1">VLOOKUP($A534,'BC.115+740'!$B$13:$X$4969,8,0)/1000</f>
        <v>3.33</v>
      </c>
      <c r="G534" s="162">
        <f ca="1">VLOOKUP($A534,'BC.115+740'!$B$13:$X$4969,9,0)/1000</f>
        <v>-0.67</v>
      </c>
      <c r="H534" s="162">
        <f ca="1">VLOOKUP($A534,'BC.115+740'!$B$13:$X$4969,14,0)/1000</f>
        <v>3.0950000000000002</v>
      </c>
      <c r="I534" s="162">
        <f ca="1">VLOOKUP($A534,'BC.115+740'!$B$13:$X$4969,15,0)/1000</f>
        <v>-0.90500000000000003</v>
      </c>
      <c r="J534" s="162">
        <f ca="1">VLOOKUP($A534,'BC.115+740'!$B$13:$X$4969,20,0)/1000</f>
        <v>3.31</v>
      </c>
      <c r="K534" s="162">
        <f ca="1">VLOOKUP($A534,'BC.115+740'!$B$13:$X$4969,21,0)/1000</f>
        <v>-0.69</v>
      </c>
      <c r="L534" s="160">
        <f t="shared" ca="1" si="26"/>
        <v>-710.00000000000011</v>
      </c>
      <c r="M534" s="161">
        <f t="shared" ca="1" si="27"/>
        <v>-895</v>
      </c>
      <c r="N534" s="160">
        <f t="shared" ca="1" si="28"/>
        <v>-649.99999999999989</v>
      </c>
      <c r="O534" s="160"/>
    </row>
    <row r="535" spans="1:15">
      <c r="A535" s="164">
        <f>'BC.115+740'!B534</f>
        <v>45593</v>
      </c>
      <c r="B535" s="160">
        <f t="shared" si="25"/>
        <v>521</v>
      </c>
      <c r="C535" s="162">
        <f ca="1">'BC.115+740'!M534/1000</f>
        <v>3.3029999999999999</v>
      </c>
      <c r="D535" s="162">
        <f ca="1">'BC.115+740'!AA534</f>
        <v>4.109</v>
      </c>
      <c r="E535" s="163">
        <f ca="1">'BC.115+740'!AB534</f>
        <v>2.4159999999999999</v>
      </c>
      <c r="F535" s="162">
        <f ca="1">VLOOKUP($A535,'BC.115+740'!$B$13:$X$4969,8,0)/1000</f>
        <v>3.33</v>
      </c>
      <c r="G535" s="162">
        <f ca="1">VLOOKUP($A535,'BC.115+740'!$B$13:$X$4969,9,0)/1000</f>
        <v>-0.67</v>
      </c>
      <c r="H535" s="162">
        <f ca="1">VLOOKUP($A535,'BC.115+740'!$B$13:$X$4969,14,0)/1000</f>
        <v>3.093</v>
      </c>
      <c r="I535" s="162">
        <f ca="1">VLOOKUP($A535,'BC.115+740'!$B$13:$X$4969,15,0)/1000</f>
        <v>-0.90700000000000003</v>
      </c>
      <c r="J535" s="162">
        <f ca="1">VLOOKUP($A535,'BC.115+740'!$B$13:$X$4969,20,0)/1000</f>
        <v>3.31</v>
      </c>
      <c r="K535" s="162">
        <f ca="1">VLOOKUP($A535,'BC.115+740'!$B$13:$X$4969,21,0)/1000</f>
        <v>-0.69</v>
      </c>
      <c r="L535" s="160">
        <f t="shared" ca="1" si="26"/>
        <v>-710.00000000000011</v>
      </c>
      <c r="M535" s="161">
        <f t="shared" ca="1" si="27"/>
        <v>-897</v>
      </c>
      <c r="N535" s="160">
        <f t="shared" ca="1" si="28"/>
        <v>-649.99999999999989</v>
      </c>
      <c r="O535" s="160"/>
    </row>
    <row r="536" spans="1:15">
      <c r="A536" s="164">
        <f>'BC.115+740'!B535</f>
        <v>45594</v>
      </c>
      <c r="B536" s="160">
        <f t="shared" si="25"/>
        <v>522</v>
      </c>
      <c r="C536" s="162">
        <f ca="1">'BC.115+740'!M535/1000</f>
        <v>3.3029999999999999</v>
      </c>
      <c r="D536" s="162">
        <f ca="1">'BC.115+740'!AA535</f>
        <v>4.109</v>
      </c>
      <c r="E536" s="163">
        <f ca="1">'BC.115+740'!AB535</f>
        <v>2.4159999999999999</v>
      </c>
      <c r="F536" s="162">
        <f ca="1">VLOOKUP($A536,'BC.115+740'!$B$13:$X$4969,8,0)/1000</f>
        <v>3.33</v>
      </c>
      <c r="G536" s="162">
        <f ca="1">VLOOKUP($A536,'BC.115+740'!$B$13:$X$4969,9,0)/1000</f>
        <v>-0.67</v>
      </c>
      <c r="H536" s="162">
        <f ca="1">VLOOKUP($A536,'BC.115+740'!$B$13:$X$4969,14,0)/1000</f>
        <v>3.093</v>
      </c>
      <c r="I536" s="162">
        <f ca="1">VLOOKUP($A536,'BC.115+740'!$B$13:$X$4969,15,0)/1000</f>
        <v>-0.90700000000000003</v>
      </c>
      <c r="J536" s="162">
        <f ca="1">VLOOKUP($A536,'BC.115+740'!$B$13:$X$4969,20,0)/1000</f>
        <v>3.31</v>
      </c>
      <c r="K536" s="162">
        <f ca="1">VLOOKUP($A536,'BC.115+740'!$B$13:$X$4969,21,0)/1000</f>
        <v>-0.69</v>
      </c>
      <c r="L536" s="160">
        <f t="shared" ca="1" si="26"/>
        <v>-710.00000000000011</v>
      </c>
      <c r="M536" s="161">
        <f t="shared" ca="1" si="27"/>
        <v>-897</v>
      </c>
      <c r="N536" s="160">
        <f t="shared" ca="1" si="28"/>
        <v>-649.99999999999989</v>
      </c>
      <c r="O536" s="160"/>
    </row>
    <row r="537" spans="1:15">
      <c r="A537" s="164">
        <f>'BC.115+740'!B536</f>
        <v>45595</v>
      </c>
      <c r="B537" s="160">
        <f t="shared" si="25"/>
        <v>523</v>
      </c>
      <c r="C537" s="162">
        <f ca="1">'BC.115+740'!M536/1000</f>
        <v>3.3029999999999999</v>
      </c>
      <c r="D537" s="162">
        <f ca="1">'BC.115+740'!AA536</f>
        <v>4.109</v>
      </c>
      <c r="E537" s="163">
        <f ca="1">'BC.115+740'!AB536</f>
        <v>2.4159999999999999</v>
      </c>
      <c r="F537" s="162">
        <f ca="1">VLOOKUP($A537,'BC.115+740'!$B$13:$X$4969,8,0)/1000</f>
        <v>3.3279999999999998</v>
      </c>
      <c r="G537" s="162">
        <f ca="1">VLOOKUP($A537,'BC.115+740'!$B$13:$X$4969,9,0)/1000</f>
        <v>-0.67200000000000004</v>
      </c>
      <c r="H537" s="162">
        <f ca="1">VLOOKUP($A537,'BC.115+740'!$B$13:$X$4969,14,0)/1000</f>
        <v>3.093</v>
      </c>
      <c r="I537" s="162">
        <f ca="1">VLOOKUP($A537,'BC.115+740'!$B$13:$X$4969,15,0)/1000</f>
        <v>-0.90700000000000003</v>
      </c>
      <c r="J537" s="162">
        <f ca="1">VLOOKUP($A537,'BC.115+740'!$B$13:$X$4969,20,0)/1000</f>
        <v>3.31</v>
      </c>
      <c r="K537" s="162">
        <f ca="1">VLOOKUP($A537,'BC.115+740'!$B$13:$X$4969,21,0)/1000</f>
        <v>-0.69</v>
      </c>
      <c r="L537" s="160">
        <f t="shared" ca="1" si="26"/>
        <v>-712.00000000000011</v>
      </c>
      <c r="M537" s="161">
        <f t="shared" ca="1" si="27"/>
        <v>-897</v>
      </c>
      <c r="N537" s="160">
        <f t="shared" ca="1" si="28"/>
        <v>-649.99999999999989</v>
      </c>
      <c r="O537" s="160"/>
    </row>
    <row r="538" spans="1:15">
      <c r="A538" s="164">
        <f>'BC.115+740'!B537</f>
        <v>45596</v>
      </c>
      <c r="B538" s="160">
        <f t="shared" si="25"/>
        <v>524</v>
      </c>
      <c r="C538" s="162">
        <f ca="1">'BC.115+740'!M537/1000</f>
        <v>3.3010000000000002</v>
      </c>
      <c r="D538" s="162">
        <f ca="1">'BC.115+740'!AA537</f>
        <v>4.109</v>
      </c>
      <c r="E538" s="163">
        <f ca="1">'BC.115+740'!AB537</f>
        <v>2.4119999999999999</v>
      </c>
      <c r="F538" s="162">
        <f ca="1">VLOOKUP($A538,'BC.115+740'!$B$13:$X$4969,8,0)/1000</f>
        <v>3.3279999999999998</v>
      </c>
      <c r="G538" s="162">
        <f ca="1">VLOOKUP($A538,'BC.115+740'!$B$13:$X$4969,9,0)/1000</f>
        <v>-0.67200000000000004</v>
      </c>
      <c r="H538" s="162">
        <f ca="1">VLOOKUP($A538,'BC.115+740'!$B$13:$X$4969,14,0)/1000</f>
        <v>3.0910000000000002</v>
      </c>
      <c r="I538" s="162">
        <f ca="1">VLOOKUP($A538,'BC.115+740'!$B$13:$X$4969,15,0)/1000</f>
        <v>-0.90900000000000003</v>
      </c>
      <c r="J538" s="162">
        <f ca="1">VLOOKUP($A538,'BC.115+740'!$B$13:$X$4969,20,0)/1000</f>
        <v>3.31</v>
      </c>
      <c r="K538" s="162">
        <f ca="1">VLOOKUP($A538,'BC.115+740'!$B$13:$X$4969,21,0)/1000</f>
        <v>-0.69</v>
      </c>
      <c r="L538" s="160">
        <f t="shared" ca="1" si="26"/>
        <v>-712.00000000000011</v>
      </c>
      <c r="M538" s="161">
        <f t="shared" ca="1" si="27"/>
        <v>-899</v>
      </c>
      <c r="N538" s="160">
        <f t="shared" ca="1" si="28"/>
        <v>-649.99999999999989</v>
      </c>
      <c r="O538" s="160"/>
    </row>
    <row r="539" spans="1:15">
      <c r="A539" s="164">
        <f>'BC.115+740'!B538</f>
        <v>45597</v>
      </c>
      <c r="B539" s="160">
        <f t="shared" si="25"/>
        <v>525</v>
      </c>
      <c r="C539" s="162">
        <f ca="1">'BC.115+740'!M538/1000</f>
        <v>3.3010000000000002</v>
      </c>
      <c r="D539" s="162">
        <f ca="1">'BC.115+740'!AA538</f>
        <v>4.109</v>
      </c>
      <c r="E539" s="163">
        <f ca="1">'BC.115+740'!AB538</f>
        <v>2.4119999999999999</v>
      </c>
      <c r="F539" s="162">
        <f ca="1">VLOOKUP($A539,'BC.115+740'!$B$13:$X$4969,8,0)/1000</f>
        <v>3.3279999999999998</v>
      </c>
      <c r="G539" s="162">
        <f ca="1">VLOOKUP($A539,'BC.115+740'!$B$13:$X$4969,9,0)/1000</f>
        <v>-0.67200000000000004</v>
      </c>
      <c r="H539" s="162">
        <f ca="1">VLOOKUP($A539,'BC.115+740'!$B$13:$X$4969,14,0)/1000</f>
        <v>3.0910000000000002</v>
      </c>
      <c r="I539" s="162">
        <f ca="1">VLOOKUP($A539,'BC.115+740'!$B$13:$X$4969,15,0)/1000</f>
        <v>-0.90900000000000003</v>
      </c>
      <c r="J539" s="162">
        <f ca="1">VLOOKUP($A539,'BC.115+740'!$B$13:$X$4969,20,0)/1000</f>
        <v>3.3079999999999998</v>
      </c>
      <c r="K539" s="162">
        <f ca="1">VLOOKUP($A539,'BC.115+740'!$B$13:$X$4969,21,0)/1000</f>
        <v>-0.69199999999999995</v>
      </c>
      <c r="L539" s="160">
        <f t="shared" ca="1" si="26"/>
        <v>-712.00000000000011</v>
      </c>
      <c r="M539" s="161">
        <f t="shared" ca="1" si="27"/>
        <v>-899</v>
      </c>
      <c r="N539" s="160">
        <f t="shared" ca="1" si="28"/>
        <v>-651.99999999999989</v>
      </c>
      <c r="O539" s="160"/>
    </row>
    <row r="540" spans="1:15">
      <c r="A540" s="164">
        <f>'BC.115+740'!B539</f>
        <v>45598</v>
      </c>
      <c r="B540" s="160">
        <f t="shared" si="25"/>
        <v>526</v>
      </c>
      <c r="C540" s="162">
        <f ca="1">'BC.115+740'!M539/1000</f>
        <v>3.3010000000000002</v>
      </c>
      <c r="D540" s="162">
        <f ca="1">'BC.115+740'!AA539</f>
        <v>4.109</v>
      </c>
      <c r="E540" s="163">
        <f ca="1">'BC.115+740'!AB539</f>
        <v>2.4119999999999999</v>
      </c>
      <c r="F540" s="162">
        <f ca="1">VLOOKUP($A540,'BC.115+740'!$B$13:$X$4969,8,0)/1000</f>
        <v>3.3260000000000001</v>
      </c>
      <c r="G540" s="162">
        <f ca="1">VLOOKUP($A540,'BC.115+740'!$B$13:$X$4969,9,0)/1000</f>
        <v>-0.67400000000000004</v>
      </c>
      <c r="H540" s="162">
        <f ca="1">VLOOKUP($A540,'BC.115+740'!$B$13:$X$4969,14,0)/1000</f>
        <v>3.0910000000000002</v>
      </c>
      <c r="I540" s="162">
        <f ca="1">VLOOKUP($A540,'BC.115+740'!$B$13:$X$4969,15,0)/1000</f>
        <v>-0.90900000000000003</v>
      </c>
      <c r="J540" s="162">
        <f ca="1">VLOOKUP($A540,'BC.115+740'!$B$13:$X$4969,20,0)/1000</f>
        <v>3.3079999999999998</v>
      </c>
      <c r="K540" s="162">
        <f ca="1">VLOOKUP($A540,'BC.115+740'!$B$13:$X$4969,21,0)/1000</f>
        <v>-0.69199999999999995</v>
      </c>
      <c r="L540" s="160">
        <f t="shared" ca="1" si="26"/>
        <v>-714.00000000000011</v>
      </c>
      <c r="M540" s="161">
        <f t="shared" ca="1" si="27"/>
        <v>-899</v>
      </c>
      <c r="N540" s="160">
        <f t="shared" ca="1" si="28"/>
        <v>-651.99999999999989</v>
      </c>
      <c r="O540" s="160"/>
    </row>
    <row r="541" spans="1:15">
      <c r="A541" s="164">
        <f>'BC.115+740'!B540</f>
        <v>45599</v>
      </c>
      <c r="B541" s="160">
        <f t="shared" si="25"/>
        <v>527</v>
      </c>
      <c r="C541" s="162">
        <f ca="1">'BC.115+740'!M540/1000</f>
        <v>3.3</v>
      </c>
      <c r="D541" s="162">
        <f ca="1">'BC.115+740'!AA540</f>
        <v>4.109</v>
      </c>
      <c r="E541" s="163">
        <f ca="1">'BC.115+740'!AB540</f>
        <v>2.41</v>
      </c>
      <c r="F541" s="162">
        <f ca="1">VLOOKUP($A541,'BC.115+740'!$B$13:$X$4969,8,0)/1000</f>
        <v>3.3260000000000001</v>
      </c>
      <c r="G541" s="162">
        <f ca="1">VLOOKUP($A541,'BC.115+740'!$B$13:$X$4969,9,0)/1000</f>
        <v>-0.67400000000000004</v>
      </c>
      <c r="H541" s="162">
        <f ca="1">VLOOKUP($A541,'BC.115+740'!$B$13:$X$4969,14,0)/1000</f>
        <v>3.09</v>
      </c>
      <c r="I541" s="162">
        <f ca="1">VLOOKUP($A541,'BC.115+740'!$B$13:$X$4969,15,0)/1000</f>
        <v>-0.91</v>
      </c>
      <c r="J541" s="162">
        <f ca="1">VLOOKUP($A541,'BC.115+740'!$B$13:$X$4969,20,0)/1000</f>
        <v>3.3079999999999998</v>
      </c>
      <c r="K541" s="162">
        <f ca="1">VLOOKUP($A541,'BC.115+740'!$B$13:$X$4969,21,0)/1000</f>
        <v>-0.69199999999999995</v>
      </c>
      <c r="L541" s="160">
        <f t="shared" ca="1" si="26"/>
        <v>-714.00000000000011</v>
      </c>
      <c r="M541" s="161">
        <f t="shared" ca="1" si="27"/>
        <v>-900</v>
      </c>
      <c r="N541" s="160">
        <f t="shared" ca="1" si="28"/>
        <v>-651.99999999999989</v>
      </c>
      <c r="O541" s="160"/>
    </row>
    <row r="542" spans="1:15">
      <c r="A542" s="164">
        <f>'BC.115+740'!B541</f>
        <v>45600</v>
      </c>
      <c r="B542" s="160">
        <f t="shared" si="25"/>
        <v>528</v>
      </c>
      <c r="C542" s="162">
        <f ca="1">'BC.115+740'!M541/1000</f>
        <v>3.3</v>
      </c>
      <c r="D542" s="162">
        <f ca="1">'BC.115+740'!AA541</f>
        <v>4.109</v>
      </c>
      <c r="E542" s="163">
        <f ca="1">'BC.115+740'!AB541</f>
        <v>2.41</v>
      </c>
      <c r="F542" s="162">
        <f ca="1">VLOOKUP($A542,'BC.115+740'!$B$13:$X$4969,8,0)/1000</f>
        <v>3.3260000000000001</v>
      </c>
      <c r="G542" s="162">
        <f ca="1">VLOOKUP($A542,'BC.115+740'!$B$13:$X$4969,9,0)/1000</f>
        <v>-0.67400000000000004</v>
      </c>
      <c r="H542" s="162">
        <f ca="1">VLOOKUP($A542,'BC.115+740'!$B$13:$X$4969,14,0)/1000</f>
        <v>3.09</v>
      </c>
      <c r="I542" s="162">
        <f ca="1">VLOOKUP($A542,'BC.115+740'!$B$13:$X$4969,15,0)/1000</f>
        <v>-0.91</v>
      </c>
      <c r="J542" s="162">
        <f ca="1">VLOOKUP($A542,'BC.115+740'!$B$13:$X$4969,20,0)/1000</f>
        <v>3.3079999999999998</v>
      </c>
      <c r="K542" s="162">
        <f ca="1">VLOOKUP($A542,'BC.115+740'!$B$13:$X$4969,21,0)/1000</f>
        <v>-0.69199999999999995</v>
      </c>
      <c r="L542" s="160">
        <f t="shared" ca="1" si="26"/>
        <v>-714.00000000000011</v>
      </c>
      <c r="M542" s="161">
        <f t="shared" ca="1" si="27"/>
        <v>-900</v>
      </c>
      <c r="N542" s="160">
        <f t="shared" ca="1" si="28"/>
        <v>-651.99999999999989</v>
      </c>
      <c r="O542" s="160"/>
    </row>
    <row r="543" spans="1:15">
      <c r="A543" s="164">
        <f>'BC.115+740'!B542</f>
        <v>45601</v>
      </c>
      <c r="B543" s="160">
        <f t="shared" si="25"/>
        <v>529</v>
      </c>
      <c r="C543" s="162">
        <f ca="1">'BC.115+740'!M542/1000</f>
        <v>3.3</v>
      </c>
      <c r="D543" s="162">
        <f ca="1">'BC.115+740'!AA542</f>
        <v>4.109</v>
      </c>
      <c r="E543" s="163">
        <f ca="1">'BC.115+740'!AB542</f>
        <v>2.41</v>
      </c>
      <c r="F543" s="162">
        <f ca="1">VLOOKUP($A543,'BC.115+740'!$B$13:$X$4969,8,0)/1000</f>
        <v>3.3250000000000002</v>
      </c>
      <c r="G543" s="162">
        <f ca="1">VLOOKUP($A543,'BC.115+740'!$B$13:$X$4969,9,0)/1000</f>
        <v>-0.67500000000000004</v>
      </c>
      <c r="H543" s="162">
        <f ca="1">VLOOKUP($A543,'BC.115+740'!$B$13:$X$4969,14,0)/1000</f>
        <v>3.09</v>
      </c>
      <c r="I543" s="162">
        <f ca="1">VLOOKUP($A543,'BC.115+740'!$B$13:$X$4969,15,0)/1000</f>
        <v>-0.91</v>
      </c>
      <c r="J543" s="162">
        <f ca="1">VLOOKUP($A543,'BC.115+740'!$B$13:$X$4969,20,0)/1000</f>
        <v>3.3079999999999998</v>
      </c>
      <c r="K543" s="162">
        <f ca="1">VLOOKUP($A543,'BC.115+740'!$B$13:$X$4969,21,0)/1000</f>
        <v>-0.69199999999999995</v>
      </c>
      <c r="L543" s="160">
        <f t="shared" ca="1" si="26"/>
        <v>-715.00000000000011</v>
      </c>
      <c r="M543" s="161">
        <f t="shared" ca="1" si="27"/>
        <v>-900</v>
      </c>
      <c r="N543" s="160">
        <f t="shared" ca="1" si="28"/>
        <v>-651.99999999999989</v>
      </c>
      <c r="O543" s="160"/>
    </row>
    <row r="544" spans="1:15">
      <c r="A544" s="164">
        <f>'BC.115+740'!B543</f>
        <v>45602</v>
      </c>
      <c r="B544" s="160">
        <f t="shared" si="25"/>
        <v>530</v>
      </c>
      <c r="C544" s="162">
        <f ca="1">'BC.115+740'!M543/1000</f>
        <v>3.298</v>
      </c>
      <c r="D544" s="162">
        <f ca="1">'BC.115+740'!AA543</f>
        <v>4.109</v>
      </c>
      <c r="E544" s="163">
        <f ca="1">'BC.115+740'!AB543</f>
        <v>2.4060000000000001</v>
      </c>
      <c r="F544" s="162">
        <f ca="1">VLOOKUP($A544,'BC.115+740'!$B$13:$X$4969,8,0)/1000</f>
        <v>3.3250000000000002</v>
      </c>
      <c r="G544" s="162">
        <f ca="1">VLOOKUP($A544,'BC.115+740'!$B$13:$X$4969,9,0)/1000</f>
        <v>-0.67500000000000004</v>
      </c>
      <c r="H544" s="162">
        <f ca="1">VLOOKUP($A544,'BC.115+740'!$B$13:$X$4969,14,0)/1000</f>
        <v>3.0880000000000001</v>
      </c>
      <c r="I544" s="162">
        <f ca="1">VLOOKUP($A544,'BC.115+740'!$B$13:$X$4969,15,0)/1000</f>
        <v>-0.91200000000000003</v>
      </c>
      <c r="J544" s="162">
        <f ca="1">VLOOKUP($A544,'BC.115+740'!$B$13:$X$4969,20,0)/1000</f>
        <v>3.3079999999999998</v>
      </c>
      <c r="K544" s="162">
        <f ca="1">VLOOKUP($A544,'BC.115+740'!$B$13:$X$4969,21,0)/1000</f>
        <v>-0.69199999999999995</v>
      </c>
      <c r="L544" s="160">
        <f t="shared" ca="1" si="26"/>
        <v>-715.00000000000011</v>
      </c>
      <c r="M544" s="161">
        <f t="shared" ca="1" si="27"/>
        <v>-902</v>
      </c>
      <c r="N544" s="160">
        <f t="shared" ca="1" si="28"/>
        <v>-651.99999999999989</v>
      </c>
      <c r="O544" s="160"/>
    </row>
    <row r="545" spans="1:15">
      <c r="A545" s="164">
        <f>'BC.115+740'!B544</f>
        <v>45603</v>
      </c>
      <c r="B545" s="160">
        <f t="shared" si="25"/>
        <v>531</v>
      </c>
      <c r="C545" s="162">
        <f ca="1">'BC.115+740'!M544/1000</f>
        <v>3.298</v>
      </c>
      <c r="D545" s="162">
        <f ca="1">'BC.115+740'!AA544</f>
        <v>4.109</v>
      </c>
      <c r="E545" s="163">
        <f ca="1">'BC.115+740'!AB544</f>
        <v>2.4060000000000001</v>
      </c>
      <c r="F545" s="162">
        <f ca="1">VLOOKUP($A545,'BC.115+740'!$B$13:$X$4969,8,0)/1000</f>
        <v>3.3250000000000002</v>
      </c>
      <c r="G545" s="162">
        <f ca="1">VLOOKUP($A545,'BC.115+740'!$B$13:$X$4969,9,0)/1000</f>
        <v>-0.67500000000000004</v>
      </c>
      <c r="H545" s="162">
        <f ca="1">VLOOKUP($A545,'BC.115+740'!$B$13:$X$4969,14,0)/1000</f>
        <v>3.0880000000000001</v>
      </c>
      <c r="I545" s="162">
        <f ca="1">VLOOKUP($A545,'BC.115+740'!$B$13:$X$4969,15,0)/1000</f>
        <v>-0.91200000000000003</v>
      </c>
      <c r="J545" s="162">
        <f ca="1">VLOOKUP($A545,'BC.115+740'!$B$13:$X$4969,20,0)/1000</f>
        <v>3.3079999999999998</v>
      </c>
      <c r="K545" s="162">
        <f ca="1">VLOOKUP($A545,'BC.115+740'!$B$13:$X$4969,21,0)/1000</f>
        <v>-0.69199999999999995</v>
      </c>
      <c r="L545" s="160">
        <f t="shared" ca="1" si="26"/>
        <v>-715.00000000000011</v>
      </c>
      <c r="M545" s="161">
        <f t="shared" ca="1" si="27"/>
        <v>-902</v>
      </c>
      <c r="N545" s="160">
        <f t="shared" ca="1" si="28"/>
        <v>-651.99999999999989</v>
      </c>
      <c r="O545" s="160"/>
    </row>
    <row r="546" spans="1:15">
      <c r="A546" s="164">
        <f>'BC.115+740'!B545</f>
        <v>45604</v>
      </c>
      <c r="B546" s="160">
        <f t="shared" si="25"/>
        <v>532</v>
      </c>
      <c r="C546" s="162">
        <f ca="1">'BC.115+740'!M545/1000</f>
        <v>3.2970000000000002</v>
      </c>
      <c r="D546" s="162">
        <f ca="1">'BC.115+740'!AA545</f>
        <v>4.109</v>
      </c>
      <c r="E546" s="163">
        <f ca="1">'BC.115+740'!AB545</f>
        <v>2.4039999999999999</v>
      </c>
      <c r="F546" s="162">
        <f ca="1">VLOOKUP($A546,'BC.115+740'!$B$13:$X$4969,8,0)/1000</f>
        <v>3.3180000000000001</v>
      </c>
      <c r="G546" s="162">
        <f ca="1">VLOOKUP($A546,'BC.115+740'!$B$13:$X$4969,9,0)/1000</f>
        <v>-0.68200000000000005</v>
      </c>
      <c r="H546" s="162">
        <f ca="1">VLOOKUP($A546,'BC.115+740'!$B$13:$X$4969,14,0)/1000</f>
        <v>3.0870000000000002</v>
      </c>
      <c r="I546" s="162">
        <f ca="1">VLOOKUP($A546,'BC.115+740'!$B$13:$X$4969,15,0)/1000</f>
        <v>-0.91300000000000003</v>
      </c>
      <c r="J546" s="162">
        <f ca="1">VLOOKUP($A546,'BC.115+740'!$B$13:$X$4969,20,0)/1000</f>
        <v>3.3079999999999998</v>
      </c>
      <c r="K546" s="162">
        <f ca="1">VLOOKUP($A546,'BC.115+740'!$B$13:$X$4969,21,0)/1000</f>
        <v>-0.69199999999999995</v>
      </c>
      <c r="L546" s="160">
        <f t="shared" ca="1" si="26"/>
        <v>-722.00000000000011</v>
      </c>
      <c r="M546" s="161">
        <f t="shared" ca="1" si="27"/>
        <v>-903</v>
      </c>
      <c r="N546" s="160">
        <f t="shared" ca="1" si="28"/>
        <v>-651.99999999999989</v>
      </c>
      <c r="O546" s="160"/>
    </row>
    <row r="547" spans="1:15">
      <c r="A547" s="164">
        <f>'BC.115+740'!B546</f>
        <v>45605</v>
      </c>
      <c r="B547" s="160">
        <f t="shared" si="25"/>
        <v>533</v>
      </c>
      <c r="C547" s="162">
        <f ca="1">'BC.115+740'!M546/1000</f>
        <v>3.2970000000000002</v>
      </c>
      <c r="D547" s="162">
        <f ca="1">'BC.115+740'!AA546</f>
        <v>4.109</v>
      </c>
      <c r="E547" s="163">
        <f ca="1">'BC.115+740'!AB546</f>
        <v>2.4039999999999999</v>
      </c>
      <c r="F547" s="162">
        <f ca="1">VLOOKUP($A547,'BC.115+740'!$B$13:$X$4969,8,0)/1000</f>
        <v>3.3140000000000001</v>
      </c>
      <c r="G547" s="162">
        <f ca="1">VLOOKUP($A547,'BC.115+740'!$B$13:$X$4969,9,0)/1000</f>
        <v>-0.68600000000000005</v>
      </c>
      <c r="H547" s="162">
        <f ca="1">VLOOKUP($A547,'BC.115+740'!$B$13:$X$4969,14,0)/1000</f>
        <v>3.0870000000000002</v>
      </c>
      <c r="I547" s="162">
        <f ca="1">VLOOKUP($A547,'BC.115+740'!$B$13:$X$4969,15,0)/1000</f>
        <v>-0.91300000000000003</v>
      </c>
      <c r="J547" s="162">
        <f ca="1">VLOOKUP($A547,'BC.115+740'!$B$13:$X$4969,20,0)/1000</f>
        <v>3.3079999999999998</v>
      </c>
      <c r="K547" s="162">
        <f ca="1">VLOOKUP($A547,'BC.115+740'!$B$13:$X$4969,21,0)/1000</f>
        <v>-0.69199999999999995</v>
      </c>
      <c r="L547" s="160">
        <f t="shared" ca="1" si="26"/>
        <v>-726.00000000000011</v>
      </c>
      <c r="M547" s="161">
        <f t="shared" ca="1" si="27"/>
        <v>-903</v>
      </c>
      <c r="N547" s="160">
        <f t="shared" ca="1" si="28"/>
        <v>-651.99999999999989</v>
      </c>
      <c r="O547" s="160"/>
    </row>
    <row r="548" spans="1:15">
      <c r="A548" s="164">
        <f>'BC.115+740'!B547</f>
        <v>45606</v>
      </c>
      <c r="B548" s="160">
        <f t="shared" si="25"/>
        <v>534</v>
      </c>
      <c r="C548" s="162">
        <f ca="1">'BC.115+740'!M547/1000</f>
        <v>3.2930000000000001</v>
      </c>
      <c r="D548" s="162">
        <f ca="1">'BC.115+740'!AA547</f>
        <v>4.109</v>
      </c>
      <c r="E548" s="163">
        <f ca="1">'BC.115+740'!AB547</f>
        <v>2.3959999999999999</v>
      </c>
      <c r="F548" s="162">
        <f ca="1">VLOOKUP($A548,'BC.115+740'!$B$13:$X$4969,8,0)/1000</f>
        <v>3.3109999999999999</v>
      </c>
      <c r="G548" s="162">
        <f ca="1">VLOOKUP($A548,'BC.115+740'!$B$13:$X$4969,9,0)/1000</f>
        <v>-0.68899999999999995</v>
      </c>
      <c r="H548" s="162">
        <f ca="1">VLOOKUP($A548,'BC.115+740'!$B$13:$X$4969,14,0)/1000</f>
        <v>3.0830000000000002</v>
      </c>
      <c r="I548" s="162">
        <f ca="1">VLOOKUP($A548,'BC.115+740'!$B$13:$X$4969,15,0)/1000</f>
        <v>-0.91700000000000004</v>
      </c>
      <c r="J548" s="162">
        <f ca="1">VLOOKUP($A548,'BC.115+740'!$B$13:$X$4969,20,0)/1000</f>
        <v>3.3079999999999998</v>
      </c>
      <c r="K548" s="162">
        <f ca="1">VLOOKUP($A548,'BC.115+740'!$B$13:$X$4969,21,0)/1000</f>
        <v>-0.69199999999999995</v>
      </c>
      <c r="L548" s="160">
        <f t="shared" ca="1" si="26"/>
        <v>-729</v>
      </c>
      <c r="M548" s="161">
        <f t="shared" ca="1" si="27"/>
        <v>-907</v>
      </c>
      <c r="N548" s="160">
        <f t="shared" ca="1" si="28"/>
        <v>-651.99999999999989</v>
      </c>
      <c r="O548" s="160"/>
    </row>
    <row r="549" spans="1:15">
      <c r="A549" s="164">
        <f>'BC.115+740'!B548</f>
        <v>45607</v>
      </c>
      <c r="B549" s="160">
        <f t="shared" si="25"/>
        <v>535</v>
      </c>
      <c r="C549" s="162">
        <f ca="1">'BC.115+740'!M548/1000</f>
        <v>3.2919999999999998</v>
      </c>
      <c r="D549" s="162">
        <f ca="1">'BC.115+740'!AA548</f>
        <v>4.109</v>
      </c>
      <c r="E549" s="163">
        <f ca="1">'BC.115+740'!AB548</f>
        <v>2.3940000000000001</v>
      </c>
      <c r="F549" s="162">
        <f ca="1">VLOOKUP($A549,'BC.115+740'!$B$13:$X$4969,8,0)/1000</f>
        <v>3.3109999999999999</v>
      </c>
      <c r="G549" s="162">
        <f ca="1">VLOOKUP($A549,'BC.115+740'!$B$13:$X$4969,9,0)/1000</f>
        <v>-0.68899999999999995</v>
      </c>
      <c r="H549" s="162">
        <f ca="1">VLOOKUP($A549,'BC.115+740'!$B$13:$X$4969,14,0)/1000</f>
        <v>3.0819999999999999</v>
      </c>
      <c r="I549" s="162">
        <f ca="1">VLOOKUP($A549,'BC.115+740'!$B$13:$X$4969,15,0)/1000</f>
        <v>-0.91800000000000004</v>
      </c>
      <c r="J549" s="162">
        <f ca="1">VLOOKUP($A549,'BC.115+740'!$B$13:$X$4969,20,0)/1000</f>
        <v>3.3069999999999999</v>
      </c>
      <c r="K549" s="162">
        <f ca="1">VLOOKUP($A549,'BC.115+740'!$B$13:$X$4969,21,0)/1000</f>
        <v>-0.69299999999999995</v>
      </c>
      <c r="L549" s="160">
        <f t="shared" ca="1" si="26"/>
        <v>-729</v>
      </c>
      <c r="M549" s="161">
        <f t="shared" ca="1" si="27"/>
        <v>-908</v>
      </c>
      <c r="N549" s="160">
        <f t="shared" ca="1" si="28"/>
        <v>-652.99999999999989</v>
      </c>
      <c r="O549" s="160"/>
    </row>
    <row r="550" spans="1:15">
      <c r="A550" s="164">
        <f>'BC.115+740'!B549</f>
        <v>45608</v>
      </c>
      <c r="B550" s="160">
        <f t="shared" si="25"/>
        <v>536</v>
      </c>
      <c r="C550" s="162">
        <f ca="1">'BC.115+740'!M549/1000</f>
        <v>3.2919999999999998</v>
      </c>
      <c r="D550" s="162">
        <f ca="1">'BC.115+740'!AA549</f>
        <v>4.109</v>
      </c>
      <c r="E550" s="163">
        <f ca="1">'BC.115+740'!AB549</f>
        <v>2.3940000000000001</v>
      </c>
      <c r="F550" s="162">
        <f ca="1">VLOOKUP($A550,'BC.115+740'!$B$13:$X$4969,8,0)/1000</f>
        <v>3.3109999999999999</v>
      </c>
      <c r="G550" s="162">
        <f ca="1">VLOOKUP($A550,'BC.115+740'!$B$13:$X$4969,9,0)/1000</f>
        <v>-0.68899999999999995</v>
      </c>
      <c r="H550" s="162">
        <f ca="1">VLOOKUP($A550,'BC.115+740'!$B$13:$X$4969,14,0)/1000</f>
        <v>3.0819999999999999</v>
      </c>
      <c r="I550" s="162">
        <f ca="1">VLOOKUP($A550,'BC.115+740'!$B$13:$X$4969,15,0)/1000</f>
        <v>-0.91800000000000004</v>
      </c>
      <c r="J550" s="162">
        <f ca="1">VLOOKUP($A550,'BC.115+740'!$B$13:$X$4969,20,0)/1000</f>
        <v>3.3069999999999999</v>
      </c>
      <c r="K550" s="162">
        <f ca="1">VLOOKUP($A550,'BC.115+740'!$B$13:$X$4969,21,0)/1000</f>
        <v>-0.69299999999999995</v>
      </c>
      <c r="L550" s="160">
        <f t="shared" ca="1" si="26"/>
        <v>-729</v>
      </c>
      <c r="M550" s="161">
        <f t="shared" ca="1" si="27"/>
        <v>-908</v>
      </c>
      <c r="N550" s="160">
        <f t="shared" ca="1" si="28"/>
        <v>-652.99999999999989</v>
      </c>
      <c r="O550" s="160"/>
    </row>
    <row r="551" spans="1:15">
      <c r="A551" s="164">
        <f>'BC.115+740'!B550</f>
        <v>45609</v>
      </c>
      <c r="B551" s="160">
        <f t="shared" si="25"/>
        <v>537</v>
      </c>
      <c r="C551" s="162">
        <f ca="1">'BC.115+740'!M550/1000</f>
        <v>3.2919999999999998</v>
      </c>
      <c r="D551" s="162">
        <f ca="1">'BC.115+740'!AA550</f>
        <v>4.109</v>
      </c>
      <c r="E551" s="163">
        <f ca="1">'BC.115+740'!AB550</f>
        <v>2.3940000000000001</v>
      </c>
      <c r="F551" s="162">
        <f ca="1">VLOOKUP($A551,'BC.115+740'!$B$13:$X$4969,8,0)/1000</f>
        <v>3.3090000000000002</v>
      </c>
      <c r="G551" s="162">
        <f ca="1">VLOOKUP($A551,'BC.115+740'!$B$13:$X$4969,9,0)/1000</f>
        <v>-0.69099999999999995</v>
      </c>
      <c r="H551" s="162">
        <f ca="1">VLOOKUP($A551,'BC.115+740'!$B$13:$X$4969,14,0)/1000</f>
        <v>3.0819999999999999</v>
      </c>
      <c r="I551" s="162">
        <f ca="1">VLOOKUP($A551,'BC.115+740'!$B$13:$X$4969,15,0)/1000</f>
        <v>-0.91800000000000004</v>
      </c>
      <c r="J551" s="162">
        <f ca="1">VLOOKUP($A551,'BC.115+740'!$B$13:$X$4969,20,0)/1000</f>
        <v>3.3069999999999999</v>
      </c>
      <c r="K551" s="162">
        <f ca="1">VLOOKUP($A551,'BC.115+740'!$B$13:$X$4969,21,0)/1000</f>
        <v>-0.69299999999999995</v>
      </c>
      <c r="L551" s="160">
        <f t="shared" ca="1" si="26"/>
        <v>-731</v>
      </c>
      <c r="M551" s="161">
        <f t="shared" ca="1" si="27"/>
        <v>-908</v>
      </c>
      <c r="N551" s="160">
        <f t="shared" ca="1" si="28"/>
        <v>-652.99999999999989</v>
      </c>
      <c r="O551" s="160"/>
    </row>
    <row r="552" spans="1:15">
      <c r="A552" s="164">
        <f>'BC.115+740'!B551</f>
        <v>45610</v>
      </c>
      <c r="B552" s="160">
        <f t="shared" si="25"/>
        <v>538</v>
      </c>
      <c r="C552" s="162">
        <f ca="1">'BC.115+740'!M551/1000</f>
        <v>3.29</v>
      </c>
      <c r="D552" s="162">
        <f ca="1">'BC.115+740'!AA551</f>
        <v>4.109</v>
      </c>
      <c r="E552" s="163">
        <f ca="1">'BC.115+740'!AB551</f>
        <v>2.39</v>
      </c>
      <c r="F552" s="162">
        <f ca="1">VLOOKUP($A552,'BC.115+740'!$B$13:$X$4969,8,0)/1000</f>
        <v>3.3090000000000002</v>
      </c>
      <c r="G552" s="162">
        <f ca="1">VLOOKUP($A552,'BC.115+740'!$B$13:$X$4969,9,0)/1000</f>
        <v>-0.69099999999999995</v>
      </c>
      <c r="H552" s="162">
        <f ca="1">VLOOKUP($A552,'BC.115+740'!$B$13:$X$4969,14,0)/1000</f>
        <v>3.08</v>
      </c>
      <c r="I552" s="162">
        <f ca="1">VLOOKUP($A552,'BC.115+740'!$B$13:$X$4969,15,0)/1000</f>
        <v>-0.92</v>
      </c>
      <c r="J552" s="162">
        <f ca="1">VLOOKUP($A552,'BC.115+740'!$B$13:$X$4969,20,0)/1000</f>
        <v>3.3069999999999999</v>
      </c>
      <c r="K552" s="162">
        <f ca="1">VLOOKUP($A552,'BC.115+740'!$B$13:$X$4969,21,0)/1000</f>
        <v>-0.69299999999999995</v>
      </c>
      <c r="L552" s="160">
        <f t="shared" ca="1" si="26"/>
        <v>-731</v>
      </c>
      <c r="M552" s="161">
        <f t="shared" ca="1" si="27"/>
        <v>-910</v>
      </c>
      <c r="N552" s="160">
        <f t="shared" ca="1" si="28"/>
        <v>-652.99999999999989</v>
      </c>
      <c r="O552" s="160"/>
    </row>
    <row r="553" spans="1:15">
      <c r="A553" s="164">
        <f>'BC.115+740'!B552</f>
        <v>45611</v>
      </c>
      <c r="B553" s="160">
        <f t="shared" si="25"/>
        <v>539</v>
      </c>
      <c r="C553" s="162">
        <f ca="1">'BC.115+740'!M552/1000</f>
        <v>3.2890000000000001</v>
      </c>
      <c r="D553" s="162">
        <f ca="1">'BC.115+740'!AA552</f>
        <v>4.109</v>
      </c>
      <c r="E553" s="163">
        <f ca="1">'BC.115+740'!AB552</f>
        <v>2.3879999999999999</v>
      </c>
      <c r="F553" s="162">
        <f ca="1">VLOOKUP($A553,'BC.115+740'!$B$13:$X$4969,8,0)/1000</f>
        <v>3.3090000000000002</v>
      </c>
      <c r="G553" s="162">
        <f ca="1">VLOOKUP($A553,'BC.115+740'!$B$13:$X$4969,9,0)/1000</f>
        <v>-0.69099999999999995</v>
      </c>
      <c r="H553" s="162">
        <f ca="1">VLOOKUP($A553,'BC.115+740'!$B$13:$X$4969,14,0)/1000</f>
        <v>3.0790000000000002</v>
      </c>
      <c r="I553" s="162">
        <f ca="1">VLOOKUP($A553,'BC.115+740'!$B$13:$X$4969,15,0)/1000</f>
        <v>-0.92100000000000004</v>
      </c>
      <c r="J553" s="162">
        <f ca="1">VLOOKUP($A553,'BC.115+740'!$B$13:$X$4969,20,0)/1000</f>
        <v>3.3069999999999999</v>
      </c>
      <c r="K553" s="162">
        <f ca="1">VLOOKUP($A553,'BC.115+740'!$B$13:$X$4969,21,0)/1000</f>
        <v>-0.69299999999999995</v>
      </c>
      <c r="L553" s="160">
        <f t="shared" ca="1" si="26"/>
        <v>-731</v>
      </c>
      <c r="M553" s="161">
        <f t="shared" ca="1" si="27"/>
        <v>-911</v>
      </c>
      <c r="N553" s="160">
        <f t="shared" ca="1" si="28"/>
        <v>-652.99999999999989</v>
      </c>
      <c r="O553" s="160"/>
    </row>
    <row r="554" spans="1:15">
      <c r="A554" s="164">
        <f>'BC.115+740'!B553</f>
        <v>45612</v>
      </c>
      <c r="B554" s="160">
        <f t="shared" si="25"/>
        <v>540</v>
      </c>
      <c r="C554" s="162">
        <f ca="1">'BC.115+740'!M553/1000</f>
        <v>3.2890000000000001</v>
      </c>
      <c r="D554" s="162">
        <f ca="1">'BC.115+740'!AA553</f>
        <v>4.109</v>
      </c>
      <c r="E554" s="163">
        <f ca="1">'BC.115+740'!AB553</f>
        <v>2.3879999999999999</v>
      </c>
      <c r="F554" s="162">
        <f ca="1">VLOOKUP($A554,'BC.115+740'!$B$13:$X$4969,8,0)/1000</f>
        <v>3.3079999999999998</v>
      </c>
      <c r="G554" s="162">
        <f ca="1">VLOOKUP($A554,'BC.115+740'!$B$13:$X$4969,9,0)/1000</f>
        <v>-0.69199999999999995</v>
      </c>
      <c r="H554" s="162">
        <f ca="1">VLOOKUP($A554,'BC.115+740'!$B$13:$X$4969,14,0)/1000</f>
        <v>3.0790000000000002</v>
      </c>
      <c r="I554" s="162">
        <f ca="1">VLOOKUP($A554,'BC.115+740'!$B$13:$X$4969,15,0)/1000</f>
        <v>-0.92100000000000004</v>
      </c>
      <c r="J554" s="162">
        <f ca="1">VLOOKUP($A554,'BC.115+740'!$B$13:$X$4969,20,0)/1000</f>
        <v>3.3069999999999999</v>
      </c>
      <c r="K554" s="162">
        <f ca="1">VLOOKUP($A554,'BC.115+740'!$B$13:$X$4969,21,0)/1000</f>
        <v>-0.69299999999999995</v>
      </c>
      <c r="L554" s="160">
        <f t="shared" ca="1" si="26"/>
        <v>-732</v>
      </c>
      <c r="M554" s="161">
        <f t="shared" ca="1" si="27"/>
        <v>-911</v>
      </c>
      <c r="N554" s="160">
        <f t="shared" ca="1" si="28"/>
        <v>-652.99999999999989</v>
      </c>
      <c r="O554" s="160"/>
    </row>
    <row r="555" spans="1:15">
      <c r="A555" s="164">
        <f>'BC.115+740'!B554</f>
        <v>45613</v>
      </c>
      <c r="B555" s="160">
        <f t="shared" si="25"/>
        <v>541</v>
      </c>
      <c r="C555" s="162">
        <f ca="1">'BC.115+740'!M554/1000</f>
        <v>3.2890000000000001</v>
      </c>
      <c r="D555" s="162">
        <f ca="1">'BC.115+740'!AA554</f>
        <v>4.109</v>
      </c>
      <c r="E555" s="163">
        <f ca="1">'BC.115+740'!AB554</f>
        <v>2.3879999999999999</v>
      </c>
      <c r="F555" s="162">
        <f ca="1">VLOOKUP($A555,'BC.115+740'!$B$13:$X$4969,8,0)/1000</f>
        <v>3.3079999999999998</v>
      </c>
      <c r="G555" s="162">
        <f ca="1">VLOOKUP($A555,'BC.115+740'!$B$13:$X$4969,9,0)/1000</f>
        <v>-0.69199999999999995</v>
      </c>
      <c r="H555" s="162">
        <f ca="1">VLOOKUP($A555,'BC.115+740'!$B$13:$X$4969,14,0)/1000</f>
        <v>3.0790000000000002</v>
      </c>
      <c r="I555" s="162">
        <f ca="1">VLOOKUP($A555,'BC.115+740'!$B$13:$X$4969,15,0)/1000</f>
        <v>-0.92100000000000004</v>
      </c>
      <c r="J555" s="162">
        <f ca="1">VLOOKUP($A555,'BC.115+740'!$B$13:$X$4969,20,0)/1000</f>
        <v>3.3069999999999999</v>
      </c>
      <c r="K555" s="162">
        <f ca="1">VLOOKUP($A555,'BC.115+740'!$B$13:$X$4969,21,0)/1000</f>
        <v>-0.69299999999999995</v>
      </c>
      <c r="L555" s="160">
        <f t="shared" ca="1" si="26"/>
        <v>-732</v>
      </c>
      <c r="M555" s="161">
        <f t="shared" ca="1" si="27"/>
        <v>-911</v>
      </c>
      <c r="N555" s="160">
        <f t="shared" ca="1" si="28"/>
        <v>-652.99999999999989</v>
      </c>
      <c r="O555" s="160"/>
    </row>
    <row r="556" spans="1:15">
      <c r="A556" s="164">
        <f>'BC.115+740'!B555</f>
        <v>45614</v>
      </c>
      <c r="B556" s="160">
        <f t="shared" si="25"/>
        <v>542</v>
      </c>
      <c r="C556" s="162">
        <f ca="1">'BC.115+740'!M555/1000</f>
        <v>3.286</v>
      </c>
      <c r="D556" s="162">
        <f ca="1">'BC.115+740'!AA555</f>
        <v>4.109</v>
      </c>
      <c r="E556" s="163">
        <f ca="1">'BC.115+740'!AB555</f>
        <v>2.3820000000000001</v>
      </c>
      <c r="F556" s="162">
        <f ca="1">VLOOKUP($A556,'BC.115+740'!$B$13:$X$4969,8,0)/1000</f>
        <v>3.3069999999999999</v>
      </c>
      <c r="G556" s="162">
        <f ca="1">VLOOKUP($A556,'BC.115+740'!$B$13:$X$4969,9,0)/1000</f>
        <v>-0.69299999999999995</v>
      </c>
      <c r="H556" s="162">
        <f ca="1">VLOOKUP($A556,'BC.115+740'!$B$13:$X$4969,14,0)/1000</f>
        <v>3.0760000000000001</v>
      </c>
      <c r="I556" s="162">
        <f ca="1">VLOOKUP($A556,'BC.115+740'!$B$13:$X$4969,15,0)/1000</f>
        <v>-0.92400000000000004</v>
      </c>
      <c r="J556" s="162">
        <f ca="1">VLOOKUP($A556,'BC.115+740'!$B$13:$X$4969,20,0)/1000</f>
        <v>3.3069999999999999</v>
      </c>
      <c r="K556" s="162">
        <f ca="1">VLOOKUP($A556,'BC.115+740'!$B$13:$X$4969,21,0)/1000</f>
        <v>-0.69299999999999995</v>
      </c>
      <c r="L556" s="160">
        <f t="shared" ca="1" si="26"/>
        <v>-733</v>
      </c>
      <c r="M556" s="161">
        <f t="shared" ca="1" si="27"/>
        <v>-914</v>
      </c>
      <c r="N556" s="160">
        <f t="shared" ca="1" si="28"/>
        <v>-652.99999999999989</v>
      </c>
      <c r="O556" s="160"/>
    </row>
    <row r="557" spans="1:15">
      <c r="A557" s="164">
        <f>'BC.115+740'!B556</f>
        <v>45615</v>
      </c>
      <c r="B557" s="160">
        <f t="shared" si="25"/>
        <v>543</v>
      </c>
      <c r="C557" s="162">
        <f ca="1">'BC.115+740'!M556/1000</f>
        <v>3.2839999999999998</v>
      </c>
      <c r="D557" s="162">
        <f ca="1">'BC.115+740'!AA556</f>
        <v>4.109</v>
      </c>
      <c r="E557" s="163">
        <f ca="1">'BC.115+740'!AB556</f>
        <v>2.3780000000000001</v>
      </c>
      <c r="F557" s="162">
        <f ca="1">VLOOKUP($A557,'BC.115+740'!$B$13:$X$4969,8,0)/1000</f>
        <v>3.3069999999999999</v>
      </c>
      <c r="G557" s="162">
        <f ca="1">VLOOKUP($A557,'BC.115+740'!$B$13:$X$4969,9,0)/1000</f>
        <v>-0.69299999999999995</v>
      </c>
      <c r="H557" s="162">
        <f ca="1">VLOOKUP($A557,'BC.115+740'!$B$13:$X$4969,14,0)/1000</f>
        <v>3.0739999999999998</v>
      </c>
      <c r="I557" s="162">
        <f ca="1">VLOOKUP($A557,'BC.115+740'!$B$13:$X$4969,15,0)/1000</f>
        <v>-0.92600000000000005</v>
      </c>
      <c r="J557" s="162">
        <f ca="1">VLOOKUP($A557,'BC.115+740'!$B$13:$X$4969,20,0)/1000</f>
        <v>3.3069999999999999</v>
      </c>
      <c r="K557" s="162">
        <f ca="1">VLOOKUP($A557,'BC.115+740'!$B$13:$X$4969,21,0)/1000</f>
        <v>-0.69299999999999995</v>
      </c>
      <c r="L557" s="160">
        <f t="shared" ca="1" si="26"/>
        <v>-733</v>
      </c>
      <c r="M557" s="161">
        <f t="shared" ca="1" si="27"/>
        <v>-916</v>
      </c>
      <c r="N557" s="160">
        <f t="shared" ca="1" si="28"/>
        <v>-652.99999999999989</v>
      </c>
      <c r="O557" s="160"/>
    </row>
    <row r="558" spans="1:15">
      <c r="A558" s="164">
        <f>'BC.115+740'!B557</f>
        <v>45616</v>
      </c>
      <c r="B558" s="160">
        <f t="shared" si="25"/>
        <v>544</v>
      </c>
      <c r="C558" s="162">
        <f ca="1">'BC.115+740'!M557/1000</f>
        <v>3.282</v>
      </c>
      <c r="D558" s="162">
        <f ca="1">'BC.115+740'!AA557</f>
        <v>4.109</v>
      </c>
      <c r="E558" s="163">
        <f ca="1">'BC.115+740'!AB557</f>
        <v>2.3740000000000001</v>
      </c>
      <c r="F558" s="162">
        <f ca="1">VLOOKUP($A558,'BC.115+740'!$B$13:$X$4969,8,0)/1000</f>
        <v>3.3069999999999999</v>
      </c>
      <c r="G558" s="162">
        <f ca="1">VLOOKUP($A558,'BC.115+740'!$B$13:$X$4969,9,0)/1000</f>
        <v>-0.69299999999999995</v>
      </c>
      <c r="H558" s="162">
        <f ca="1">VLOOKUP($A558,'BC.115+740'!$B$13:$X$4969,14,0)/1000</f>
        <v>3.0720000000000001</v>
      </c>
      <c r="I558" s="162">
        <f ca="1">VLOOKUP($A558,'BC.115+740'!$B$13:$X$4969,15,0)/1000</f>
        <v>-0.92800000000000005</v>
      </c>
      <c r="J558" s="162">
        <f ca="1">VLOOKUP($A558,'BC.115+740'!$B$13:$X$4969,20,0)/1000</f>
        <v>3.3069999999999999</v>
      </c>
      <c r="K558" s="162">
        <f ca="1">VLOOKUP($A558,'BC.115+740'!$B$13:$X$4969,21,0)/1000</f>
        <v>-0.69299999999999995</v>
      </c>
      <c r="L558" s="160">
        <f t="shared" ca="1" si="26"/>
        <v>-733</v>
      </c>
      <c r="M558" s="161">
        <f t="shared" ca="1" si="27"/>
        <v>-918</v>
      </c>
      <c r="N558" s="160">
        <f t="shared" ca="1" si="28"/>
        <v>-652.99999999999989</v>
      </c>
      <c r="O558" s="160"/>
    </row>
    <row r="559" spans="1:15">
      <c r="A559" s="164">
        <f>'BC.115+740'!B558</f>
        <v>45617</v>
      </c>
      <c r="B559" s="160">
        <f t="shared" si="25"/>
        <v>545</v>
      </c>
      <c r="C559" s="162">
        <f ca="1">'BC.115+740'!M558/1000</f>
        <v>3.282</v>
      </c>
      <c r="D559" s="162">
        <f ca="1">'BC.115+740'!AA558</f>
        <v>4.109</v>
      </c>
      <c r="E559" s="163">
        <f ca="1">'BC.115+740'!AB558</f>
        <v>2.3740000000000001</v>
      </c>
      <c r="F559" s="162">
        <f ca="1">VLOOKUP($A559,'BC.115+740'!$B$13:$X$4969,8,0)/1000</f>
        <v>3.3069999999999999</v>
      </c>
      <c r="G559" s="162">
        <f ca="1">VLOOKUP($A559,'BC.115+740'!$B$13:$X$4969,9,0)/1000</f>
        <v>-0.69299999999999995</v>
      </c>
      <c r="H559" s="162">
        <f ca="1">VLOOKUP($A559,'BC.115+740'!$B$13:$X$4969,14,0)/1000</f>
        <v>3.0720000000000001</v>
      </c>
      <c r="I559" s="162">
        <f ca="1">VLOOKUP($A559,'BC.115+740'!$B$13:$X$4969,15,0)/1000</f>
        <v>-0.92800000000000005</v>
      </c>
      <c r="J559" s="162">
        <f ca="1">VLOOKUP($A559,'BC.115+740'!$B$13:$X$4969,20,0)/1000</f>
        <v>3.3069999999999999</v>
      </c>
      <c r="K559" s="162">
        <f ca="1">VLOOKUP($A559,'BC.115+740'!$B$13:$X$4969,21,0)/1000</f>
        <v>-0.69299999999999995</v>
      </c>
      <c r="L559" s="160">
        <f t="shared" ca="1" si="26"/>
        <v>-733</v>
      </c>
      <c r="M559" s="161">
        <f t="shared" ca="1" si="27"/>
        <v>-918</v>
      </c>
      <c r="N559" s="160">
        <f t="shared" ca="1" si="28"/>
        <v>-652.99999999999989</v>
      </c>
      <c r="O559" s="160"/>
    </row>
    <row r="560" spans="1:15">
      <c r="A560" s="164">
        <f>'BC.115+740'!B559</f>
        <v>45618</v>
      </c>
      <c r="B560" s="160">
        <f t="shared" si="25"/>
        <v>546</v>
      </c>
      <c r="C560" s="162">
        <f ca="1">'BC.115+740'!M559/1000</f>
        <v>3.28</v>
      </c>
      <c r="D560" s="162">
        <f ca="1">'BC.115+740'!AA559</f>
        <v>4.109</v>
      </c>
      <c r="E560" s="163">
        <f ca="1">'BC.115+740'!AB559</f>
        <v>2.37</v>
      </c>
      <c r="F560" s="162">
        <f ca="1">VLOOKUP($A560,'BC.115+740'!$B$13:$X$4969,8,0)/1000</f>
        <v>3.3069999999999999</v>
      </c>
      <c r="G560" s="162">
        <f ca="1">VLOOKUP($A560,'BC.115+740'!$B$13:$X$4969,9,0)/1000</f>
        <v>-0.69299999999999995</v>
      </c>
      <c r="H560" s="162">
        <f ca="1">VLOOKUP($A560,'BC.115+740'!$B$13:$X$4969,14,0)/1000</f>
        <v>3.07</v>
      </c>
      <c r="I560" s="162">
        <f ca="1">VLOOKUP($A560,'BC.115+740'!$B$13:$X$4969,15,0)/1000</f>
        <v>-0.93</v>
      </c>
      <c r="J560" s="162">
        <f ca="1">VLOOKUP($A560,'BC.115+740'!$B$13:$X$4969,20,0)/1000</f>
        <v>3.3069999999999999</v>
      </c>
      <c r="K560" s="162">
        <f ca="1">VLOOKUP($A560,'BC.115+740'!$B$13:$X$4969,21,0)/1000</f>
        <v>-0.69299999999999995</v>
      </c>
      <c r="L560" s="160">
        <f t="shared" ca="1" si="26"/>
        <v>-733</v>
      </c>
      <c r="M560" s="161">
        <f t="shared" ca="1" si="27"/>
        <v>-920</v>
      </c>
      <c r="N560" s="160">
        <f t="shared" ca="1" si="28"/>
        <v>-652.99999999999989</v>
      </c>
      <c r="O560" s="160"/>
    </row>
    <row r="561" spans="1:15">
      <c r="A561" s="164">
        <f>'BC.115+740'!B560</f>
        <v>45619</v>
      </c>
      <c r="B561" s="160">
        <f t="shared" si="25"/>
        <v>547</v>
      </c>
      <c r="C561" s="162">
        <f ca="1">'BC.115+740'!M560/1000</f>
        <v>3.28</v>
      </c>
      <c r="D561" s="162">
        <f ca="1">'BC.115+740'!AA560</f>
        <v>4.109</v>
      </c>
      <c r="E561" s="163">
        <f ca="1">'BC.115+740'!AB560</f>
        <v>2.37</v>
      </c>
      <c r="F561" s="162">
        <f ca="1">VLOOKUP($A561,'BC.115+740'!$B$13:$X$4969,8,0)/1000</f>
        <v>3.3069999999999999</v>
      </c>
      <c r="G561" s="162">
        <f ca="1">VLOOKUP($A561,'BC.115+740'!$B$13:$X$4969,9,0)/1000</f>
        <v>-0.69299999999999995</v>
      </c>
      <c r="H561" s="162">
        <f ca="1">VLOOKUP($A561,'BC.115+740'!$B$13:$X$4969,14,0)/1000</f>
        <v>3.07</v>
      </c>
      <c r="I561" s="162">
        <f ca="1">VLOOKUP($A561,'BC.115+740'!$B$13:$X$4969,15,0)/1000</f>
        <v>-0.93</v>
      </c>
      <c r="J561" s="162">
        <f ca="1">VLOOKUP($A561,'BC.115+740'!$B$13:$X$4969,20,0)/1000</f>
        <v>3.3069999999999999</v>
      </c>
      <c r="K561" s="162">
        <f ca="1">VLOOKUP($A561,'BC.115+740'!$B$13:$X$4969,21,0)/1000</f>
        <v>-0.69299999999999995</v>
      </c>
      <c r="L561" s="160">
        <f t="shared" ca="1" si="26"/>
        <v>-733</v>
      </c>
      <c r="M561" s="161">
        <f t="shared" ca="1" si="27"/>
        <v>-920</v>
      </c>
      <c r="N561" s="160">
        <f t="shared" ca="1" si="28"/>
        <v>-652.99999999999989</v>
      </c>
      <c r="O561" s="160"/>
    </row>
    <row r="562" spans="1:15">
      <c r="A562" s="164">
        <f>'BC.115+740'!B561</f>
        <v>45620</v>
      </c>
      <c r="B562" s="160">
        <f t="shared" si="25"/>
        <v>548</v>
      </c>
      <c r="C562" s="162">
        <f ca="1">'BC.115+740'!M561/1000</f>
        <v>3.278</v>
      </c>
      <c r="D562" s="162">
        <f ca="1">'BC.115+740'!AA561</f>
        <v>4.109</v>
      </c>
      <c r="E562" s="163">
        <f ca="1">'BC.115+740'!AB561</f>
        <v>2.3660000000000001</v>
      </c>
      <c r="F562" s="162">
        <f ca="1">VLOOKUP($A562,'BC.115+740'!$B$13:$X$4969,8,0)/1000</f>
        <v>3.306</v>
      </c>
      <c r="G562" s="162">
        <f ca="1">VLOOKUP($A562,'BC.115+740'!$B$13:$X$4969,9,0)/1000</f>
        <v>-0.69399999999999995</v>
      </c>
      <c r="H562" s="162">
        <f ca="1">VLOOKUP($A562,'BC.115+740'!$B$13:$X$4969,14,0)/1000</f>
        <v>3.0680000000000001</v>
      </c>
      <c r="I562" s="162">
        <f ca="1">VLOOKUP($A562,'BC.115+740'!$B$13:$X$4969,15,0)/1000</f>
        <v>-0.93200000000000005</v>
      </c>
      <c r="J562" s="162">
        <f ca="1">VLOOKUP($A562,'BC.115+740'!$B$13:$X$4969,20,0)/1000</f>
        <v>3.3069999999999999</v>
      </c>
      <c r="K562" s="162">
        <f ca="1">VLOOKUP($A562,'BC.115+740'!$B$13:$X$4969,21,0)/1000</f>
        <v>-0.69299999999999995</v>
      </c>
      <c r="L562" s="160">
        <f t="shared" ca="1" si="26"/>
        <v>-734</v>
      </c>
      <c r="M562" s="161">
        <f t="shared" ca="1" si="27"/>
        <v>-922</v>
      </c>
      <c r="N562" s="160">
        <f t="shared" ca="1" si="28"/>
        <v>-652.99999999999989</v>
      </c>
      <c r="O562" s="160"/>
    </row>
    <row r="563" spans="1:15">
      <c r="A563" s="164">
        <f>'BC.115+740'!B562</f>
        <v>45621</v>
      </c>
      <c r="B563" s="160">
        <f t="shared" si="25"/>
        <v>549</v>
      </c>
      <c r="C563" s="162">
        <f ca="1">'BC.115+740'!M562/1000</f>
        <v>3.278</v>
      </c>
      <c r="D563" s="162">
        <f ca="1">'BC.115+740'!AA562</f>
        <v>4.109</v>
      </c>
      <c r="E563" s="163">
        <f ca="1">'BC.115+740'!AB562</f>
        <v>2.3660000000000001</v>
      </c>
      <c r="F563" s="162">
        <f ca="1">VLOOKUP($A563,'BC.115+740'!$B$13:$X$4969,8,0)/1000</f>
        <v>3.3029999999999999</v>
      </c>
      <c r="G563" s="162">
        <f ca="1">VLOOKUP($A563,'BC.115+740'!$B$13:$X$4969,9,0)/1000</f>
        <v>-0.69699999999999995</v>
      </c>
      <c r="H563" s="162">
        <f ca="1">VLOOKUP($A563,'BC.115+740'!$B$13:$X$4969,14,0)/1000</f>
        <v>3.0680000000000001</v>
      </c>
      <c r="I563" s="162">
        <f ca="1">VLOOKUP($A563,'BC.115+740'!$B$13:$X$4969,15,0)/1000</f>
        <v>-0.93200000000000005</v>
      </c>
      <c r="J563" s="162">
        <f ca="1">VLOOKUP($A563,'BC.115+740'!$B$13:$X$4969,20,0)/1000</f>
        <v>3.3069999999999999</v>
      </c>
      <c r="K563" s="162">
        <f ca="1">VLOOKUP($A563,'BC.115+740'!$B$13:$X$4969,21,0)/1000</f>
        <v>-0.69299999999999995</v>
      </c>
      <c r="L563" s="160">
        <f t="shared" ca="1" si="26"/>
        <v>-737</v>
      </c>
      <c r="M563" s="161">
        <f t="shared" ca="1" si="27"/>
        <v>-922</v>
      </c>
      <c r="N563" s="160">
        <f t="shared" ca="1" si="28"/>
        <v>-652.99999999999989</v>
      </c>
      <c r="O563" s="160"/>
    </row>
    <row r="564" spans="1:15">
      <c r="A564" s="164">
        <f>'BC.115+740'!B563</f>
        <v>45622</v>
      </c>
      <c r="B564" s="160">
        <f t="shared" si="25"/>
        <v>550</v>
      </c>
      <c r="C564" s="162">
        <f ca="1">'BC.115+740'!M563/1000</f>
        <v>3.274</v>
      </c>
      <c r="D564" s="162">
        <f ca="1">'BC.115+740'!AA563</f>
        <v>4.109</v>
      </c>
      <c r="E564" s="163">
        <f ca="1">'BC.115+740'!AB563</f>
        <v>2.3580000000000001</v>
      </c>
      <c r="F564" s="162">
        <f ca="1">VLOOKUP($A564,'BC.115+740'!$B$13:$X$4969,8,0)/1000</f>
        <v>3.3029999999999999</v>
      </c>
      <c r="G564" s="162">
        <f ca="1">VLOOKUP($A564,'BC.115+740'!$B$13:$X$4969,9,0)/1000</f>
        <v>-0.69699999999999995</v>
      </c>
      <c r="H564" s="162">
        <f ca="1">VLOOKUP($A564,'BC.115+740'!$B$13:$X$4969,14,0)/1000</f>
        <v>3.0640000000000001</v>
      </c>
      <c r="I564" s="162">
        <f ca="1">VLOOKUP($A564,'BC.115+740'!$B$13:$X$4969,15,0)/1000</f>
        <v>-0.93600000000000005</v>
      </c>
      <c r="J564" s="162">
        <f ca="1">VLOOKUP($A564,'BC.115+740'!$B$13:$X$4969,20,0)/1000</f>
        <v>3.3069999999999999</v>
      </c>
      <c r="K564" s="162">
        <f ca="1">VLOOKUP($A564,'BC.115+740'!$B$13:$X$4969,21,0)/1000</f>
        <v>-0.69299999999999995</v>
      </c>
      <c r="L564" s="160">
        <f t="shared" ca="1" si="26"/>
        <v>-737</v>
      </c>
      <c r="M564" s="161">
        <f t="shared" ca="1" si="27"/>
        <v>-926</v>
      </c>
      <c r="N564" s="160">
        <f t="shared" ca="1" si="28"/>
        <v>-652.99999999999989</v>
      </c>
      <c r="O564" s="160"/>
    </row>
    <row r="565" spans="1:15">
      <c r="A565" s="164">
        <f>'BC.115+740'!B564</f>
        <v>45623</v>
      </c>
      <c r="B565" s="160">
        <f t="shared" si="25"/>
        <v>551</v>
      </c>
      <c r="C565" s="162">
        <f ca="1">'BC.115+740'!M564/1000</f>
        <v>3.274</v>
      </c>
      <c r="D565" s="162">
        <f ca="1">'BC.115+740'!AA564</f>
        <v>4.109</v>
      </c>
      <c r="E565" s="163">
        <f ca="1">'BC.115+740'!AB564</f>
        <v>2.3580000000000001</v>
      </c>
      <c r="F565" s="162">
        <f ca="1">VLOOKUP($A565,'BC.115+740'!$B$13:$X$4969,8,0)/1000</f>
        <v>3.3029999999999999</v>
      </c>
      <c r="G565" s="162">
        <f ca="1">VLOOKUP($A565,'BC.115+740'!$B$13:$X$4969,9,0)/1000</f>
        <v>-0.69699999999999995</v>
      </c>
      <c r="H565" s="162">
        <f ca="1">VLOOKUP($A565,'BC.115+740'!$B$13:$X$4969,14,0)/1000</f>
        <v>3.0640000000000001</v>
      </c>
      <c r="I565" s="162">
        <f ca="1">VLOOKUP($A565,'BC.115+740'!$B$13:$X$4969,15,0)/1000</f>
        <v>-0.93600000000000005</v>
      </c>
      <c r="J565" s="162">
        <f ca="1">VLOOKUP($A565,'BC.115+740'!$B$13:$X$4969,20,0)/1000</f>
        <v>3.3069999999999999</v>
      </c>
      <c r="K565" s="162">
        <f ca="1">VLOOKUP($A565,'BC.115+740'!$B$13:$X$4969,21,0)/1000</f>
        <v>-0.69299999999999995</v>
      </c>
      <c r="L565" s="160">
        <f t="shared" ca="1" si="26"/>
        <v>-737</v>
      </c>
      <c r="M565" s="161">
        <f t="shared" ca="1" si="27"/>
        <v>-926</v>
      </c>
      <c r="N565" s="160">
        <f t="shared" ca="1" si="28"/>
        <v>-652.99999999999989</v>
      </c>
      <c r="O565" s="160"/>
    </row>
    <row r="566" spans="1:15">
      <c r="A566" s="164">
        <f>'BC.115+740'!B565</f>
        <v>45624</v>
      </c>
      <c r="B566" s="160">
        <f t="shared" si="25"/>
        <v>552</v>
      </c>
      <c r="C566" s="162">
        <f ca="1">'BC.115+740'!M565/1000</f>
        <v>3.2730000000000001</v>
      </c>
      <c r="D566" s="162">
        <f ca="1">'BC.115+740'!AA565</f>
        <v>4.109</v>
      </c>
      <c r="E566" s="163">
        <f ca="1">'BC.115+740'!AB565</f>
        <v>2.3559999999999999</v>
      </c>
      <c r="F566" s="162">
        <f ca="1">VLOOKUP($A566,'BC.115+740'!$B$13:$X$4969,8,0)/1000</f>
        <v>3.302</v>
      </c>
      <c r="G566" s="162">
        <f ca="1">VLOOKUP($A566,'BC.115+740'!$B$13:$X$4969,9,0)/1000</f>
        <v>-0.69799999999999995</v>
      </c>
      <c r="H566" s="162">
        <f ca="1">VLOOKUP($A566,'BC.115+740'!$B$13:$X$4969,14,0)/1000</f>
        <v>3.0630000000000002</v>
      </c>
      <c r="I566" s="162">
        <f ca="1">VLOOKUP($A566,'BC.115+740'!$B$13:$X$4969,15,0)/1000</f>
        <v>-0.93700000000000006</v>
      </c>
      <c r="J566" s="162">
        <f ca="1">VLOOKUP($A566,'BC.115+740'!$B$13:$X$4969,20,0)/1000</f>
        <v>3.3069999999999999</v>
      </c>
      <c r="K566" s="162">
        <f ca="1">VLOOKUP($A566,'BC.115+740'!$B$13:$X$4969,21,0)/1000</f>
        <v>-0.69299999999999995</v>
      </c>
      <c r="L566" s="160">
        <f t="shared" ca="1" si="26"/>
        <v>-738</v>
      </c>
      <c r="M566" s="161">
        <f t="shared" ca="1" si="27"/>
        <v>-927</v>
      </c>
      <c r="N566" s="160">
        <f t="shared" ca="1" si="28"/>
        <v>-652.99999999999989</v>
      </c>
      <c r="O566" s="160"/>
    </row>
    <row r="567" spans="1:15">
      <c r="A567" s="164">
        <f>'BC.115+740'!B566</f>
        <v>45625</v>
      </c>
      <c r="B567" s="160">
        <f t="shared" si="25"/>
        <v>553</v>
      </c>
      <c r="C567" s="162">
        <f ca="1">'BC.115+740'!M566/1000</f>
        <v>3.2730000000000001</v>
      </c>
      <c r="D567" s="162">
        <f ca="1">'BC.115+740'!AA566</f>
        <v>4.109</v>
      </c>
      <c r="E567" s="163">
        <f ca="1">'BC.115+740'!AB566</f>
        <v>2.3559999999999999</v>
      </c>
      <c r="F567" s="162">
        <f ca="1">VLOOKUP($A567,'BC.115+740'!$B$13:$X$4969,8,0)/1000</f>
        <v>3.302</v>
      </c>
      <c r="G567" s="162">
        <f ca="1">VLOOKUP($A567,'BC.115+740'!$B$13:$X$4969,9,0)/1000</f>
        <v>-0.69799999999999995</v>
      </c>
      <c r="H567" s="162">
        <f ca="1">VLOOKUP($A567,'BC.115+740'!$B$13:$X$4969,14,0)/1000</f>
        <v>3.0630000000000002</v>
      </c>
      <c r="I567" s="162">
        <f ca="1">VLOOKUP($A567,'BC.115+740'!$B$13:$X$4969,15,0)/1000</f>
        <v>-0.93700000000000006</v>
      </c>
      <c r="J567" s="162">
        <f ca="1">VLOOKUP($A567,'BC.115+740'!$B$13:$X$4969,20,0)/1000</f>
        <v>3.3069999999999999</v>
      </c>
      <c r="K567" s="162">
        <f ca="1">VLOOKUP($A567,'BC.115+740'!$B$13:$X$4969,21,0)/1000</f>
        <v>-0.69299999999999995</v>
      </c>
      <c r="L567" s="160">
        <f t="shared" ca="1" si="26"/>
        <v>-738</v>
      </c>
      <c r="M567" s="161">
        <f t="shared" ca="1" si="27"/>
        <v>-927</v>
      </c>
      <c r="N567" s="160">
        <f t="shared" ca="1" si="28"/>
        <v>-652.99999999999989</v>
      </c>
      <c r="O567" s="160"/>
    </row>
    <row r="568" spans="1:15">
      <c r="A568" s="164">
        <f>'BC.115+740'!B567</f>
        <v>45626</v>
      </c>
      <c r="B568" s="160">
        <f t="shared" si="25"/>
        <v>554</v>
      </c>
      <c r="C568" s="162">
        <f ca="1">'BC.115+740'!M567/1000</f>
        <v>3.2730000000000001</v>
      </c>
      <c r="D568" s="162">
        <f ca="1">'BC.115+740'!AA567</f>
        <v>4.109</v>
      </c>
      <c r="E568" s="163">
        <f ca="1">'BC.115+740'!AB567</f>
        <v>2.3559999999999999</v>
      </c>
      <c r="F568" s="162">
        <f ca="1">VLOOKUP($A568,'BC.115+740'!$B$13:$X$4969,8,0)/1000</f>
        <v>3.302</v>
      </c>
      <c r="G568" s="162">
        <f ca="1">VLOOKUP($A568,'BC.115+740'!$B$13:$X$4969,9,0)/1000</f>
        <v>-0.69799999999999995</v>
      </c>
      <c r="H568" s="162">
        <f ca="1">VLOOKUP($A568,'BC.115+740'!$B$13:$X$4969,14,0)/1000</f>
        <v>3.0630000000000002</v>
      </c>
      <c r="I568" s="162">
        <f ca="1">VLOOKUP($A568,'BC.115+740'!$B$13:$X$4969,15,0)/1000</f>
        <v>-0.93700000000000006</v>
      </c>
      <c r="J568" s="162">
        <f ca="1">VLOOKUP($A568,'BC.115+740'!$B$13:$X$4969,20,0)/1000</f>
        <v>3.3069999999999999</v>
      </c>
      <c r="K568" s="162">
        <f ca="1">VLOOKUP($A568,'BC.115+740'!$B$13:$X$4969,21,0)/1000</f>
        <v>-0.69299999999999995</v>
      </c>
      <c r="L568" s="160">
        <f t="shared" ca="1" si="26"/>
        <v>-738</v>
      </c>
      <c r="M568" s="161">
        <f t="shared" ca="1" si="27"/>
        <v>-927</v>
      </c>
      <c r="N568" s="160">
        <f t="shared" ca="1" si="28"/>
        <v>-652.99999999999989</v>
      </c>
      <c r="O568" s="160"/>
    </row>
    <row r="569" spans="1:15">
      <c r="A569" s="164">
        <f>'BC.115+740'!B568</f>
        <v>45627</v>
      </c>
      <c r="B569" s="160">
        <f t="shared" si="25"/>
        <v>555</v>
      </c>
      <c r="C569" s="162">
        <f ca="1">'BC.115+740'!M568/1000</f>
        <v>3.2730000000000001</v>
      </c>
      <c r="D569" s="162">
        <f ca="1">'BC.115+740'!AA568</f>
        <v>4.109</v>
      </c>
      <c r="E569" s="163">
        <f ca="1">'BC.115+740'!AB568</f>
        <v>2.3559999999999999</v>
      </c>
      <c r="F569" s="162">
        <f ca="1">VLOOKUP($A569,'BC.115+740'!$B$13:$X$4969,8,0)/1000</f>
        <v>3.302</v>
      </c>
      <c r="G569" s="162">
        <f ca="1">VLOOKUP($A569,'BC.115+740'!$B$13:$X$4969,9,0)/1000</f>
        <v>-0.69799999999999995</v>
      </c>
      <c r="H569" s="162">
        <f ca="1">VLOOKUP($A569,'BC.115+740'!$B$13:$X$4969,14,0)/1000</f>
        <v>3.0630000000000002</v>
      </c>
      <c r="I569" s="162">
        <f ca="1">VLOOKUP($A569,'BC.115+740'!$B$13:$X$4969,15,0)/1000</f>
        <v>-0.93700000000000006</v>
      </c>
      <c r="J569" s="162">
        <f ca="1">VLOOKUP($A569,'BC.115+740'!$B$13:$X$4969,20,0)/1000</f>
        <v>3.3069999999999999</v>
      </c>
      <c r="K569" s="162">
        <f ca="1">VLOOKUP($A569,'BC.115+740'!$B$13:$X$4969,21,0)/1000</f>
        <v>-0.69299999999999995</v>
      </c>
      <c r="L569" s="160">
        <f t="shared" ca="1" si="26"/>
        <v>-738</v>
      </c>
      <c r="M569" s="161">
        <f t="shared" ca="1" si="27"/>
        <v>-927</v>
      </c>
      <c r="N569" s="160">
        <f t="shared" ca="1" si="28"/>
        <v>-652.99999999999989</v>
      </c>
      <c r="O569" s="160"/>
    </row>
    <row r="570" spans="1:15">
      <c r="A570" s="164">
        <f>'BC.115+740'!B569</f>
        <v>45628</v>
      </c>
      <c r="B570" s="160">
        <f t="shared" si="25"/>
        <v>556</v>
      </c>
      <c r="C570" s="162">
        <f ca="1">'BC.115+740'!M569/1000</f>
        <v>3.2709999999999999</v>
      </c>
      <c r="D570" s="162">
        <f ca="1">'BC.115+740'!AA569</f>
        <v>4.109</v>
      </c>
      <c r="E570" s="163">
        <f ca="1">'BC.115+740'!AB569</f>
        <v>2.3519999999999999</v>
      </c>
      <c r="F570" s="162">
        <f ca="1">VLOOKUP($A570,'BC.115+740'!$B$13:$X$4969,8,0)/1000</f>
        <v>3.302</v>
      </c>
      <c r="G570" s="162">
        <f ca="1">VLOOKUP($A570,'BC.115+740'!$B$13:$X$4969,9,0)/1000</f>
        <v>-0.69799999999999995</v>
      </c>
      <c r="H570" s="162">
        <f ca="1">VLOOKUP($A570,'BC.115+740'!$B$13:$X$4969,14,0)/1000</f>
        <v>3.0609999999999999</v>
      </c>
      <c r="I570" s="162">
        <f ca="1">VLOOKUP($A570,'BC.115+740'!$B$13:$X$4969,15,0)/1000</f>
        <v>-0.93899999999999995</v>
      </c>
      <c r="J570" s="162">
        <f ca="1">VLOOKUP($A570,'BC.115+740'!$B$13:$X$4969,20,0)/1000</f>
        <v>3.3069999999999999</v>
      </c>
      <c r="K570" s="162">
        <f ca="1">VLOOKUP($A570,'BC.115+740'!$B$13:$X$4969,21,0)/1000</f>
        <v>-0.69299999999999995</v>
      </c>
      <c r="L570" s="160">
        <f t="shared" ca="1" si="26"/>
        <v>-738</v>
      </c>
      <c r="M570" s="161">
        <f t="shared" ca="1" si="27"/>
        <v>-928.99999999999989</v>
      </c>
      <c r="N570" s="160">
        <f t="shared" ca="1" si="28"/>
        <v>-652.99999999999989</v>
      </c>
      <c r="O570" s="160"/>
    </row>
    <row r="571" spans="1:15">
      <c r="A571" s="164">
        <f>'BC.115+740'!B570</f>
        <v>45629</v>
      </c>
      <c r="B571" s="160">
        <f t="shared" si="25"/>
        <v>557</v>
      </c>
      <c r="C571" s="162">
        <f ca="1">'BC.115+740'!M570/1000</f>
        <v>3.2709999999999999</v>
      </c>
      <c r="D571" s="162">
        <f ca="1">'BC.115+740'!AA570</f>
        <v>4.109</v>
      </c>
      <c r="E571" s="163">
        <f ca="1">'BC.115+740'!AB570</f>
        <v>2.3519999999999999</v>
      </c>
      <c r="F571" s="162">
        <f ca="1">VLOOKUP($A571,'BC.115+740'!$B$13:$X$4969,8,0)/1000</f>
        <v>3.302</v>
      </c>
      <c r="G571" s="162">
        <f ca="1">VLOOKUP($A571,'BC.115+740'!$B$13:$X$4969,9,0)/1000</f>
        <v>-0.69799999999999995</v>
      </c>
      <c r="H571" s="162">
        <f ca="1">VLOOKUP($A571,'BC.115+740'!$B$13:$X$4969,14,0)/1000</f>
        <v>3.0609999999999999</v>
      </c>
      <c r="I571" s="162">
        <f ca="1">VLOOKUP($A571,'BC.115+740'!$B$13:$X$4969,15,0)/1000</f>
        <v>-0.93899999999999995</v>
      </c>
      <c r="J571" s="162">
        <f ca="1">VLOOKUP($A571,'BC.115+740'!$B$13:$X$4969,20,0)/1000</f>
        <v>3.3069999999999999</v>
      </c>
      <c r="K571" s="162">
        <f ca="1">VLOOKUP($A571,'BC.115+740'!$B$13:$X$4969,21,0)/1000</f>
        <v>-0.69299999999999995</v>
      </c>
      <c r="L571" s="160">
        <f t="shared" ca="1" si="26"/>
        <v>-738</v>
      </c>
      <c r="M571" s="161">
        <f t="shared" ca="1" si="27"/>
        <v>-928.99999999999989</v>
      </c>
      <c r="N571" s="160">
        <f t="shared" ca="1" si="28"/>
        <v>-652.99999999999989</v>
      </c>
      <c r="O571" s="160"/>
    </row>
    <row r="572" spans="1:15">
      <c r="A572" s="164">
        <f>'BC.115+740'!B571</f>
        <v>45630</v>
      </c>
      <c r="B572" s="160">
        <f t="shared" si="25"/>
        <v>558</v>
      </c>
      <c r="C572" s="162">
        <f ca="1">'BC.115+740'!M571/1000</f>
        <v>3.27</v>
      </c>
      <c r="D572" s="162">
        <f ca="1">'BC.115+740'!AA571</f>
        <v>4.109</v>
      </c>
      <c r="E572" s="163">
        <f ca="1">'BC.115+740'!AB571</f>
        <v>2.35</v>
      </c>
      <c r="F572" s="162">
        <f ca="1">VLOOKUP($A572,'BC.115+740'!$B$13:$X$4969,8,0)/1000</f>
        <v>3.302</v>
      </c>
      <c r="G572" s="162">
        <f ca="1">VLOOKUP($A572,'BC.115+740'!$B$13:$X$4969,9,0)/1000</f>
        <v>-0.69799999999999995</v>
      </c>
      <c r="H572" s="162">
        <f ca="1">VLOOKUP($A572,'BC.115+740'!$B$13:$X$4969,14,0)/1000</f>
        <v>3.06</v>
      </c>
      <c r="I572" s="162">
        <f ca="1">VLOOKUP($A572,'BC.115+740'!$B$13:$X$4969,15,0)/1000</f>
        <v>-0.94</v>
      </c>
      <c r="J572" s="162">
        <f ca="1">VLOOKUP($A572,'BC.115+740'!$B$13:$X$4969,20,0)/1000</f>
        <v>3.3069999999999999</v>
      </c>
      <c r="K572" s="162">
        <f ca="1">VLOOKUP($A572,'BC.115+740'!$B$13:$X$4969,21,0)/1000</f>
        <v>-0.69299999999999995</v>
      </c>
      <c r="L572" s="160">
        <f t="shared" ca="1" si="26"/>
        <v>-738</v>
      </c>
      <c r="M572" s="161">
        <f t="shared" ca="1" si="27"/>
        <v>-929.99999999999989</v>
      </c>
      <c r="N572" s="160">
        <f t="shared" ca="1" si="28"/>
        <v>-652.99999999999989</v>
      </c>
      <c r="O572" s="160"/>
    </row>
    <row r="573" spans="1:15">
      <c r="A573" s="164">
        <f>'BC.115+740'!B572</f>
        <v>45631</v>
      </c>
      <c r="B573" s="160">
        <f t="shared" si="25"/>
        <v>559</v>
      </c>
      <c r="C573" s="162">
        <f ca="1">'BC.115+740'!M572/1000</f>
        <v>3.27</v>
      </c>
      <c r="D573" s="162">
        <f ca="1">'BC.115+740'!AA572</f>
        <v>4.109</v>
      </c>
      <c r="E573" s="163">
        <f ca="1">'BC.115+740'!AB572</f>
        <v>2.35</v>
      </c>
      <c r="F573" s="162">
        <f ca="1">VLOOKUP($A573,'BC.115+740'!$B$13:$X$4969,8,0)/1000</f>
        <v>3.302</v>
      </c>
      <c r="G573" s="162">
        <f ca="1">VLOOKUP($A573,'BC.115+740'!$B$13:$X$4969,9,0)/1000</f>
        <v>-0.69799999999999995</v>
      </c>
      <c r="H573" s="162">
        <f ca="1">VLOOKUP($A573,'BC.115+740'!$B$13:$X$4969,14,0)/1000</f>
        <v>3.06</v>
      </c>
      <c r="I573" s="162">
        <f ca="1">VLOOKUP($A573,'BC.115+740'!$B$13:$X$4969,15,0)/1000</f>
        <v>-0.94</v>
      </c>
      <c r="J573" s="162">
        <f ca="1">VLOOKUP($A573,'BC.115+740'!$B$13:$X$4969,20,0)/1000</f>
        <v>3.3069999999999999</v>
      </c>
      <c r="K573" s="162">
        <f ca="1">VLOOKUP($A573,'BC.115+740'!$B$13:$X$4969,21,0)/1000</f>
        <v>-0.69299999999999995</v>
      </c>
      <c r="L573" s="160">
        <f t="shared" ca="1" si="26"/>
        <v>-738</v>
      </c>
      <c r="M573" s="161">
        <f t="shared" ca="1" si="27"/>
        <v>-929.99999999999989</v>
      </c>
      <c r="N573" s="160">
        <f t="shared" ca="1" si="28"/>
        <v>-652.99999999999989</v>
      </c>
      <c r="O573" s="160"/>
    </row>
    <row r="574" spans="1:15">
      <c r="A574" s="164">
        <f>'BC.115+740'!B573</f>
        <v>45632</v>
      </c>
      <c r="B574" s="160">
        <f t="shared" si="25"/>
        <v>560</v>
      </c>
      <c r="C574" s="162">
        <f ca="1">'BC.115+740'!M573/1000</f>
        <v>3.27</v>
      </c>
      <c r="D574" s="162">
        <f ca="1">'BC.115+740'!AA573</f>
        <v>4.109</v>
      </c>
      <c r="E574" s="163">
        <f ca="1">'BC.115+740'!AB573</f>
        <v>2.35</v>
      </c>
      <c r="F574" s="162">
        <f ca="1">VLOOKUP($A574,'BC.115+740'!$B$13:$X$4969,8,0)/1000</f>
        <v>3.298</v>
      </c>
      <c r="G574" s="162">
        <f ca="1">VLOOKUP($A574,'BC.115+740'!$B$13:$X$4969,9,0)/1000</f>
        <v>-0.70199999999999996</v>
      </c>
      <c r="H574" s="162">
        <f ca="1">VLOOKUP($A574,'BC.115+740'!$B$13:$X$4969,14,0)/1000</f>
        <v>3.06</v>
      </c>
      <c r="I574" s="162">
        <f ca="1">VLOOKUP($A574,'BC.115+740'!$B$13:$X$4969,15,0)/1000</f>
        <v>-0.94</v>
      </c>
      <c r="J574" s="162">
        <f ca="1">VLOOKUP($A574,'BC.115+740'!$B$13:$X$4969,20,0)/1000</f>
        <v>3.3069999999999999</v>
      </c>
      <c r="K574" s="162">
        <f ca="1">VLOOKUP($A574,'BC.115+740'!$B$13:$X$4969,21,0)/1000</f>
        <v>-0.69299999999999995</v>
      </c>
      <c r="L574" s="160">
        <f t="shared" ca="1" si="26"/>
        <v>-742</v>
      </c>
      <c r="M574" s="161">
        <f t="shared" ca="1" si="27"/>
        <v>-929.99999999999989</v>
      </c>
      <c r="N574" s="160">
        <f t="shared" ca="1" si="28"/>
        <v>-652.99999999999989</v>
      </c>
      <c r="O574" s="160"/>
    </row>
    <row r="575" spans="1:15">
      <c r="A575" s="164">
        <f>'BC.115+740'!B574</f>
        <v>45633</v>
      </c>
      <c r="B575" s="160">
        <f t="shared" si="25"/>
        <v>561</v>
      </c>
      <c r="C575" s="162">
        <f ca="1">'BC.115+740'!M574/1000</f>
        <v>3.2679999999999998</v>
      </c>
      <c r="D575" s="162">
        <f ca="1">'BC.115+740'!AA574</f>
        <v>4.109</v>
      </c>
      <c r="E575" s="163">
        <f ca="1">'BC.115+740'!AB574</f>
        <v>2.3460000000000001</v>
      </c>
      <c r="F575" s="162">
        <f ca="1">VLOOKUP($A575,'BC.115+740'!$B$13:$X$4969,8,0)/1000</f>
        <v>3.2970000000000002</v>
      </c>
      <c r="G575" s="162">
        <f ca="1">VLOOKUP($A575,'BC.115+740'!$B$13:$X$4969,9,0)/1000</f>
        <v>-0.70299999999999996</v>
      </c>
      <c r="H575" s="162">
        <f ca="1">VLOOKUP($A575,'BC.115+740'!$B$13:$X$4969,14,0)/1000</f>
        <v>3.0579999999999998</v>
      </c>
      <c r="I575" s="162">
        <f ca="1">VLOOKUP($A575,'BC.115+740'!$B$13:$X$4969,15,0)/1000</f>
        <v>-0.94199999999999995</v>
      </c>
      <c r="J575" s="162">
        <f ca="1">VLOOKUP($A575,'BC.115+740'!$B$13:$X$4969,20,0)/1000</f>
        <v>3.3069999999999999</v>
      </c>
      <c r="K575" s="162">
        <f ca="1">VLOOKUP($A575,'BC.115+740'!$B$13:$X$4969,21,0)/1000</f>
        <v>-0.69299999999999995</v>
      </c>
      <c r="L575" s="160">
        <f t="shared" ca="1" si="26"/>
        <v>-743</v>
      </c>
      <c r="M575" s="161">
        <f t="shared" ca="1" si="27"/>
        <v>-931.99999999999989</v>
      </c>
      <c r="N575" s="160">
        <f t="shared" ca="1" si="28"/>
        <v>-652.99999999999989</v>
      </c>
      <c r="O575" s="160"/>
    </row>
    <row r="576" spans="1:15">
      <c r="A576" s="164">
        <f>'BC.115+740'!B575</f>
        <v>45634</v>
      </c>
      <c r="B576" s="160">
        <f t="shared" si="25"/>
        <v>562</v>
      </c>
      <c r="C576" s="162">
        <f ca="1">'BC.115+740'!M575/1000</f>
        <v>3.2679999999999998</v>
      </c>
      <c r="D576" s="162">
        <f ca="1">'BC.115+740'!AA575</f>
        <v>4.109</v>
      </c>
      <c r="E576" s="163">
        <f ca="1">'BC.115+740'!AB575</f>
        <v>2.3460000000000001</v>
      </c>
      <c r="F576" s="162">
        <f ca="1">VLOOKUP($A576,'BC.115+740'!$B$13:$X$4969,8,0)/1000</f>
        <v>3.2970000000000002</v>
      </c>
      <c r="G576" s="162">
        <f ca="1">VLOOKUP($A576,'BC.115+740'!$B$13:$X$4969,9,0)/1000</f>
        <v>-0.70299999999999996</v>
      </c>
      <c r="H576" s="162">
        <f ca="1">VLOOKUP($A576,'BC.115+740'!$B$13:$X$4969,14,0)/1000</f>
        <v>3.0579999999999998</v>
      </c>
      <c r="I576" s="162">
        <f ca="1">VLOOKUP($A576,'BC.115+740'!$B$13:$X$4969,15,0)/1000</f>
        <v>-0.94199999999999995</v>
      </c>
      <c r="J576" s="162">
        <f ca="1">VLOOKUP($A576,'BC.115+740'!$B$13:$X$4969,20,0)/1000</f>
        <v>3.3050000000000002</v>
      </c>
      <c r="K576" s="162">
        <f ca="1">VLOOKUP($A576,'BC.115+740'!$B$13:$X$4969,21,0)/1000</f>
        <v>-0.69499999999999995</v>
      </c>
      <c r="L576" s="160">
        <f t="shared" ca="1" si="26"/>
        <v>-743</v>
      </c>
      <c r="M576" s="161">
        <f t="shared" ca="1" si="27"/>
        <v>-931.99999999999989</v>
      </c>
      <c r="N576" s="160">
        <f t="shared" ca="1" si="28"/>
        <v>-654.99999999999989</v>
      </c>
      <c r="O576" s="160"/>
    </row>
    <row r="577" spans="1:15">
      <c r="A577" s="164">
        <f>'BC.115+740'!B576</f>
        <v>45635</v>
      </c>
      <c r="B577" s="160">
        <f t="shared" si="25"/>
        <v>563</v>
      </c>
      <c r="C577" s="162">
        <f ca="1">'BC.115+740'!M576/1000</f>
        <v>3.2679999999999998</v>
      </c>
      <c r="D577" s="162">
        <f ca="1">'BC.115+740'!AA576</f>
        <v>4.109</v>
      </c>
      <c r="E577" s="163">
        <f ca="1">'BC.115+740'!AB576</f>
        <v>2.3460000000000001</v>
      </c>
      <c r="F577" s="162">
        <f ca="1">VLOOKUP($A577,'BC.115+740'!$B$13:$X$4969,8,0)/1000</f>
        <v>3.2970000000000002</v>
      </c>
      <c r="G577" s="162">
        <f ca="1">VLOOKUP($A577,'BC.115+740'!$B$13:$X$4969,9,0)/1000</f>
        <v>-0.70299999999999996</v>
      </c>
      <c r="H577" s="162">
        <f ca="1">VLOOKUP($A577,'BC.115+740'!$B$13:$X$4969,14,0)/1000</f>
        <v>3.0579999999999998</v>
      </c>
      <c r="I577" s="162">
        <f ca="1">VLOOKUP($A577,'BC.115+740'!$B$13:$X$4969,15,0)/1000</f>
        <v>-0.94199999999999995</v>
      </c>
      <c r="J577" s="162">
        <f ca="1">VLOOKUP($A577,'BC.115+740'!$B$13:$X$4969,20,0)/1000</f>
        <v>3.3050000000000002</v>
      </c>
      <c r="K577" s="162">
        <f ca="1">VLOOKUP($A577,'BC.115+740'!$B$13:$X$4969,21,0)/1000</f>
        <v>-0.69499999999999995</v>
      </c>
      <c r="L577" s="160">
        <f t="shared" ca="1" si="26"/>
        <v>-743</v>
      </c>
      <c r="M577" s="161">
        <f t="shared" ca="1" si="27"/>
        <v>-931.99999999999989</v>
      </c>
      <c r="N577" s="160">
        <f t="shared" ca="1" si="28"/>
        <v>-654.99999999999989</v>
      </c>
      <c r="O577" s="160"/>
    </row>
    <row r="578" spans="1:15">
      <c r="A578" s="164">
        <f>'BC.115+740'!B577</f>
        <v>45636</v>
      </c>
      <c r="B578" s="160">
        <f t="shared" si="25"/>
        <v>564</v>
      </c>
      <c r="C578" s="162">
        <f ca="1">'BC.115+740'!M577/1000</f>
        <v>3.266</v>
      </c>
      <c r="D578" s="162">
        <f ca="1">'BC.115+740'!AA577</f>
        <v>4.109</v>
      </c>
      <c r="E578" s="163">
        <f ca="1">'BC.115+740'!AB577</f>
        <v>2.3420000000000001</v>
      </c>
      <c r="F578" s="162">
        <f ca="1">VLOOKUP($A578,'BC.115+740'!$B$13:$X$4969,8,0)/1000</f>
        <v>3.2959999999999998</v>
      </c>
      <c r="G578" s="162">
        <f ca="1">VLOOKUP($A578,'BC.115+740'!$B$13:$X$4969,9,0)/1000</f>
        <v>-0.70399999999999996</v>
      </c>
      <c r="H578" s="162">
        <f ca="1">VLOOKUP($A578,'BC.115+740'!$B$13:$X$4969,14,0)/1000</f>
        <v>3.056</v>
      </c>
      <c r="I578" s="162">
        <f ca="1">VLOOKUP($A578,'BC.115+740'!$B$13:$X$4969,15,0)/1000</f>
        <v>-0.94399999999999995</v>
      </c>
      <c r="J578" s="162">
        <f ca="1">VLOOKUP($A578,'BC.115+740'!$B$13:$X$4969,20,0)/1000</f>
        <v>3.3050000000000002</v>
      </c>
      <c r="K578" s="162">
        <f ca="1">VLOOKUP($A578,'BC.115+740'!$B$13:$X$4969,21,0)/1000</f>
        <v>-0.69499999999999995</v>
      </c>
      <c r="L578" s="160">
        <f t="shared" ca="1" si="26"/>
        <v>-744</v>
      </c>
      <c r="M578" s="161">
        <f t="shared" ca="1" si="27"/>
        <v>-933.99999999999989</v>
      </c>
      <c r="N578" s="160">
        <f t="shared" ca="1" si="28"/>
        <v>-654.99999999999989</v>
      </c>
      <c r="O578" s="160"/>
    </row>
    <row r="579" spans="1:15">
      <c r="A579" s="164">
        <f>'BC.115+740'!B578</f>
        <v>45637</v>
      </c>
      <c r="B579" s="160">
        <f t="shared" si="25"/>
        <v>565</v>
      </c>
      <c r="C579" s="162">
        <f ca="1">'BC.115+740'!M578/1000</f>
        <v>3.266</v>
      </c>
      <c r="D579" s="162">
        <f ca="1">'BC.115+740'!AA578</f>
        <v>4.109</v>
      </c>
      <c r="E579" s="163">
        <f ca="1">'BC.115+740'!AB578</f>
        <v>2.3420000000000001</v>
      </c>
      <c r="F579" s="162">
        <f ca="1">VLOOKUP($A579,'BC.115+740'!$B$13:$X$4969,8,0)/1000</f>
        <v>3.2959999999999998</v>
      </c>
      <c r="G579" s="162">
        <f ca="1">VLOOKUP($A579,'BC.115+740'!$B$13:$X$4969,9,0)/1000</f>
        <v>-0.70399999999999996</v>
      </c>
      <c r="H579" s="162">
        <f ca="1">VLOOKUP($A579,'BC.115+740'!$B$13:$X$4969,14,0)/1000</f>
        <v>3.056</v>
      </c>
      <c r="I579" s="162">
        <f ca="1">VLOOKUP($A579,'BC.115+740'!$B$13:$X$4969,15,0)/1000</f>
        <v>-0.94399999999999995</v>
      </c>
      <c r="J579" s="162">
        <f ca="1">VLOOKUP($A579,'BC.115+740'!$B$13:$X$4969,20,0)/1000</f>
        <v>3.3050000000000002</v>
      </c>
      <c r="K579" s="162">
        <f ca="1">VLOOKUP($A579,'BC.115+740'!$B$13:$X$4969,21,0)/1000</f>
        <v>-0.69499999999999995</v>
      </c>
      <c r="L579" s="160">
        <f t="shared" ca="1" si="26"/>
        <v>-744</v>
      </c>
      <c r="M579" s="161">
        <f t="shared" ca="1" si="27"/>
        <v>-933.99999999999989</v>
      </c>
      <c r="N579" s="160">
        <f t="shared" ca="1" si="28"/>
        <v>-654.99999999999989</v>
      </c>
      <c r="O579" s="160"/>
    </row>
    <row r="580" spans="1:15">
      <c r="A580" s="164">
        <f>'BC.115+740'!B579</f>
        <v>45638</v>
      </c>
      <c r="B580" s="160">
        <f t="shared" ref="B580:B643" si="29">+B579+1</f>
        <v>566</v>
      </c>
      <c r="C580" s="162">
        <f ca="1">'BC.115+740'!M579/1000</f>
        <v>3.2650000000000001</v>
      </c>
      <c r="D580" s="162">
        <f ca="1">'BC.115+740'!AA579</f>
        <v>4.109</v>
      </c>
      <c r="E580" s="163">
        <f ca="1">'BC.115+740'!AB579</f>
        <v>2.34</v>
      </c>
      <c r="F580" s="162">
        <f ca="1">VLOOKUP($A580,'BC.115+740'!$B$13:$X$4969,8,0)/1000</f>
        <v>3.2919999999999998</v>
      </c>
      <c r="G580" s="162">
        <f ca="1">VLOOKUP($A580,'BC.115+740'!$B$13:$X$4969,9,0)/1000</f>
        <v>-0.70799999999999996</v>
      </c>
      <c r="H580" s="162">
        <f ca="1">VLOOKUP($A580,'BC.115+740'!$B$13:$X$4969,14,0)/1000</f>
        <v>3.0550000000000002</v>
      </c>
      <c r="I580" s="162">
        <f ca="1">VLOOKUP($A580,'BC.115+740'!$B$13:$X$4969,15,0)/1000</f>
        <v>-0.94499999999999995</v>
      </c>
      <c r="J580" s="162">
        <f ca="1">VLOOKUP($A580,'BC.115+740'!$B$13:$X$4969,20,0)/1000</f>
        <v>3.3050000000000002</v>
      </c>
      <c r="K580" s="162">
        <f ca="1">VLOOKUP($A580,'BC.115+740'!$B$13:$X$4969,21,0)/1000</f>
        <v>-0.69499999999999995</v>
      </c>
      <c r="L580" s="160">
        <f t="shared" ca="1" si="26"/>
        <v>-748</v>
      </c>
      <c r="M580" s="161">
        <f t="shared" ca="1" si="27"/>
        <v>-934.99999999999989</v>
      </c>
      <c r="N580" s="160">
        <f t="shared" ca="1" si="28"/>
        <v>-654.99999999999989</v>
      </c>
      <c r="O580" s="160"/>
    </row>
    <row r="581" spans="1:15">
      <c r="A581" s="164">
        <f>'BC.115+740'!B580</f>
        <v>45639</v>
      </c>
      <c r="B581" s="160">
        <f t="shared" si="29"/>
        <v>567</v>
      </c>
      <c r="C581" s="162">
        <f ca="1">'BC.115+740'!M580/1000</f>
        <v>3.2650000000000001</v>
      </c>
      <c r="D581" s="162">
        <f ca="1">'BC.115+740'!AA580</f>
        <v>4.109</v>
      </c>
      <c r="E581" s="163">
        <f ca="1">'BC.115+740'!AB580</f>
        <v>2.34</v>
      </c>
      <c r="F581" s="162">
        <f ca="1">VLOOKUP($A581,'BC.115+740'!$B$13:$X$4969,8,0)/1000</f>
        <v>3.2909999999999999</v>
      </c>
      <c r="G581" s="162">
        <f ca="1">VLOOKUP($A581,'BC.115+740'!$B$13:$X$4969,9,0)/1000</f>
        <v>-0.70899999999999996</v>
      </c>
      <c r="H581" s="162">
        <f ca="1">VLOOKUP($A581,'BC.115+740'!$B$13:$X$4969,14,0)/1000</f>
        <v>3.0550000000000002</v>
      </c>
      <c r="I581" s="162">
        <f ca="1">VLOOKUP($A581,'BC.115+740'!$B$13:$X$4969,15,0)/1000</f>
        <v>-0.94499999999999995</v>
      </c>
      <c r="J581" s="162">
        <f ca="1">VLOOKUP($A581,'BC.115+740'!$B$13:$X$4969,20,0)/1000</f>
        <v>3.3050000000000002</v>
      </c>
      <c r="K581" s="162">
        <f ca="1">VLOOKUP($A581,'BC.115+740'!$B$13:$X$4969,21,0)/1000</f>
        <v>-0.69499999999999995</v>
      </c>
      <c r="L581" s="160">
        <f t="shared" ca="1" si="26"/>
        <v>-749</v>
      </c>
      <c r="M581" s="161">
        <f t="shared" ca="1" si="27"/>
        <v>-934.99999999999989</v>
      </c>
      <c r="N581" s="160">
        <f t="shared" ca="1" si="28"/>
        <v>-654.99999999999989</v>
      </c>
      <c r="O581" s="160"/>
    </row>
    <row r="582" spans="1:15">
      <c r="A582" s="164">
        <f>'BC.115+740'!B581</f>
        <v>45640</v>
      </c>
      <c r="B582" s="160">
        <f t="shared" si="29"/>
        <v>568</v>
      </c>
      <c r="C582" s="162">
        <f ca="1">'BC.115+740'!M581/1000</f>
        <v>3.2650000000000001</v>
      </c>
      <c r="D582" s="162">
        <f ca="1">'BC.115+740'!AA581</f>
        <v>4.109</v>
      </c>
      <c r="E582" s="163">
        <f ca="1">'BC.115+740'!AB581</f>
        <v>2.34</v>
      </c>
      <c r="F582" s="162">
        <f ca="1">VLOOKUP($A582,'BC.115+740'!$B$13:$X$4969,8,0)/1000</f>
        <v>3.2909999999999999</v>
      </c>
      <c r="G582" s="162">
        <f ca="1">VLOOKUP($A582,'BC.115+740'!$B$13:$X$4969,9,0)/1000</f>
        <v>-0.70899999999999996</v>
      </c>
      <c r="H582" s="162">
        <f ca="1">VLOOKUP($A582,'BC.115+740'!$B$13:$X$4969,14,0)/1000</f>
        <v>3.0550000000000002</v>
      </c>
      <c r="I582" s="162">
        <f ca="1">VLOOKUP($A582,'BC.115+740'!$B$13:$X$4969,15,0)/1000</f>
        <v>-0.94499999999999995</v>
      </c>
      <c r="J582" s="162">
        <f ca="1">VLOOKUP($A582,'BC.115+740'!$B$13:$X$4969,20,0)/1000</f>
        <v>3.3039999999999998</v>
      </c>
      <c r="K582" s="162">
        <f ca="1">VLOOKUP($A582,'BC.115+740'!$B$13:$X$4969,21,0)/1000</f>
        <v>-0.69599999999999995</v>
      </c>
      <c r="L582" s="160">
        <f t="shared" ca="1" si="26"/>
        <v>-749</v>
      </c>
      <c r="M582" s="161">
        <f t="shared" ca="1" si="27"/>
        <v>-934.99999999999989</v>
      </c>
      <c r="N582" s="160">
        <f t="shared" ca="1" si="28"/>
        <v>-655.99999999999989</v>
      </c>
      <c r="O582" s="160"/>
    </row>
    <row r="583" spans="1:15">
      <c r="A583" s="164">
        <f>'BC.115+740'!B582</f>
        <v>45641</v>
      </c>
      <c r="B583" s="160">
        <f t="shared" si="29"/>
        <v>569</v>
      </c>
      <c r="C583" s="162">
        <f ca="1">'BC.115+740'!M582/1000</f>
        <v>3.2610000000000001</v>
      </c>
      <c r="D583" s="162">
        <f ca="1">'BC.115+740'!AA582</f>
        <v>4.109</v>
      </c>
      <c r="E583" s="163">
        <f ca="1">'BC.115+740'!AB582</f>
        <v>2.3319999999999999</v>
      </c>
      <c r="F583" s="162">
        <f ca="1">VLOOKUP($A583,'BC.115+740'!$B$13:$X$4969,8,0)/1000</f>
        <v>3.2869999999999999</v>
      </c>
      <c r="G583" s="162">
        <f ca="1">VLOOKUP($A583,'BC.115+740'!$B$13:$X$4969,9,0)/1000</f>
        <v>-0.71299999999999997</v>
      </c>
      <c r="H583" s="162">
        <f ca="1">VLOOKUP($A583,'BC.115+740'!$B$13:$X$4969,14,0)/1000</f>
        <v>3.0510000000000002</v>
      </c>
      <c r="I583" s="162">
        <f ca="1">VLOOKUP($A583,'BC.115+740'!$B$13:$X$4969,15,0)/1000</f>
        <v>-0.94899999999999995</v>
      </c>
      <c r="J583" s="162">
        <f ca="1">VLOOKUP($A583,'BC.115+740'!$B$13:$X$4969,20,0)/1000</f>
        <v>3.3039999999999998</v>
      </c>
      <c r="K583" s="162">
        <f ca="1">VLOOKUP($A583,'BC.115+740'!$B$13:$X$4969,21,0)/1000</f>
        <v>-0.69599999999999995</v>
      </c>
      <c r="L583" s="160">
        <f t="shared" ca="1" si="26"/>
        <v>-753</v>
      </c>
      <c r="M583" s="161">
        <f t="shared" ca="1" si="27"/>
        <v>-939</v>
      </c>
      <c r="N583" s="160">
        <f t="shared" ca="1" si="28"/>
        <v>-655.99999999999989</v>
      </c>
      <c r="O583" s="160"/>
    </row>
    <row r="584" spans="1:15">
      <c r="A584" s="164">
        <f>'BC.115+740'!B583</f>
        <v>45642</v>
      </c>
      <c r="B584" s="160">
        <f t="shared" si="29"/>
        <v>570</v>
      </c>
      <c r="C584" s="162">
        <f ca="1">'BC.115+740'!M583/1000</f>
        <v>3.2610000000000001</v>
      </c>
      <c r="D584" s="162">
        <f ca="1">'BC.115+740'!AA583</f>
        <v>4.109</v>
      </c>
      <c r="E584" s="163">
        <f ca="1">'BC.115+740'!AB583</f>
        <v>2.3319999999999999</v>
      </c>
      <c r="F584" s="162">
        <f ca="1">VLOOKUP($A584,'BC.115+740'!$B$13:$X$4969,8,0)/1000</f>
        <v>3.286</v>
      </c>
      <c r="G584" s="162">
        <f ca="1">VLOOKUP($A584,'BC.115+740'!$B$13:$X$4969,9,0)/1000</f>
        <v>-0.71399999999999997</v>
      </c>
      <c r="H584" s="162">
        <f ca="1">VLOOKUP($A584,'BC.115+740'!$B$13:$X$4969,14,0)/1000</f>
        <v>3.0510000000000002</v>
      </c>
      <c r="I584" s="162">
        <f ca="1">VLOOKUP($A584,'BC.115+740'!$B$13:$X$4969,15,0)/1000</f>
        <v>-0.94899999999999995</v>
      </c>
      <c r="J584" s="162">
        <f ca="1">VLOOKUP($A584,'BC.115+740'!$B$13:$X$4969,20,0)/1000</f>
        <v>3.3039999999999998</v>
      </c>
      <c r="K584" s="162">
        <f ca="1">VLOOKUP($A584,'BC.115+740'!$B$13:$X$4969,21,0)/1000</f>
        <v>-0.69599999999999995</v>
      </c>
      <c r="L584" s="160">
        <f t="shared" ca="1" si="26"/>
        <v>-754</v>
      </c>
      <c r="M584" s="161">
        <f t="shared" ca="1" si="27"/>
        <v>-939</v>
      </c>
      <c r="N584" s="160">
        <f t="shared" ca="1" si="28"/>
        <v>-655.99999999999989</v>
      </c>
      <c r="O584" s="160"/>
    </row>
    <row r="585" spans="1:15">
      <c r="A585" s="164">
        <f>'BC.115+740'!B584</f>
        <v>45643</v>
      </c>
      <c r="B585" s="160">
        <f t="shared" si="29"/>
        <v>571</v>
      </c>
      <c r="C585" s="162">
        <f ca="1">'BC.115+740'!M584/1000</f>
        <v>3.2610000000000001</v>
      </c>
      <c r="D585" s="162">
        <f ca="1">'BC.115+740'!AA584</f>
        <v>4.109</v>
      </c>
      <c r="E585" s="163">
        <f ca="1">'BC.115+740'!AB584</f>
        <v>2.3319999999999999</v>
      </c>
      <c r="F585" s="162">
        <f ca="1">VLOOKUP($A585,'BC.115+740'!$B$13:$X$4969,8,0)/1000</f>
        <v>3.286</v>
      </c>
      <c r="G585" s="162">
        <f ca="1">VLOOKUP($A585,'BC.115+740'!$B$13:$X$4969,9,0)/1000</f>
        <v>-0.71399999999999997</v>
      </c>
      <c r="H585" s="162">
        <f ca="1">VLOOKUP($A585,'BC.115+740'!$B$13:$X$4969,14,0)/1000</f>
        <v>3.0510000000000002</v>
      </c>
      <c r="I585" s="162">
        <f ca="1">VLOOKUP($A585,'BC.115+740'!$B$13:$X$4969,15,0)/1000</f>
        <v>-0.94899999999999995</v>
      </c>
      <c r="J585" s="162">
        <f ca="1">VLOOKUP($A585,'BC.115+740'!$B$13:$X$4969,20,0)/1000</f>
        <v>3.3039999999999998</v>
      </c>
      <c r="K585" s="162">
        <f ca="1">VLOOKUP($A585,'BC.115+740'!$B$13:$X$4969,21,0)/1000</f>
        <v>-0.69599999999999995</v>
      </c>
      <c r="L585" s="160">
        <f t="shared" ca="1" si="26"/>
        <v>-754</v>
      </c>
      <c r="M585" s="161">
        <f t="shared" ca="1" si="27"/>
        <v>-939</v>
      </c>
      <c r="N585" s="160">
        <f t="shared" ca="1" si="28"/>
        <v>-655.99999999999989</v>
      </c>
      <c r="O585" s="160"/>
    </row>
    <row r="586" spans="1:15">
      <c r="A586" s="164">
        <f>'BC.115+740'!B585</f>
        <v>45644</v>
      </c>
      <c r="B586" s="160">
        <f t="shared" si="29"/>
        <v>572</v>
      </c>
      <c r="C586" s="162">
        <f ca="1">'BC.115+740'!M585/1000</f>
        <v>3.2610000000000001</v>
      </c>
      <c r="D586" s="162">
        <f ca="1">'BC.115+740'!AA585</f>
        <v>4.109</v>
      </c>
      <c r="E586" s="163">
        <f ca="1">'BC.115+740'!AB585</f>
        <v>2.3319999999999999</v>
      </c>
      <c r="F586" s="162">
        <f ca="1">VLOOKUP($A586,'BC.115+740'!$B$13:$X$4969,8,0)/1000</f>
        <v>3.286</v>
      </c>
      <c r="G586" s="162">
        <f ca="1">VLOOKUP($A586,'BC.115+740'!$B$13:$X$4969,9,0)/1000</f>
        <v>-0.71399999999999997</v>
      </c>
      <c r="H586" s="162">
        <f ca="1">VLOOKUP($A586,'BC.115+740'!$B$13:$X$4969,14,0)/1000</f>
        <v>3.0510000000000002</v>
      </c>
      <c r="I586" s="162">
        <f ca="1">VLOOKUP($A586,'BC.115+740'!$B$13:$X$4969,15,0)/1000</f>
        <v>-0.94899999999999995</v>
      </c>
      <c r="J586" s="162">
        <f ca="1">VLOOKUP($A586,'BC.115+740'!$B$13:$X$4969,20,0)/1000</f>
        <v>3.3039999999999998</v>
      </c>
      <c r="K586" s="162">
        <f ca="1">VLOOKUP($A586,'BC.115+740'!$B$13:$X$4969,21,0)/1000</f>
        <v>-0.69599999999999995</v>
      </c>
      <c r="L586" s="160">
        <f t="shared" ca="1" si="26"/>
        <v>-754</v>
      </c>
      <c r="M586" s="161">
        <f t="shared" ca="1" si="27"/>
        <v>-939</v>
      </c>
      <c r="N586" s="160">
        <f t="shared" ca="1" si="28"/>
        <v>-655.99999999999989</v>
      </c>
      <c r="O586" s="160"/>
    </row>
    <row r="587" spans="1:15">
      <c r="A587" s="164">
        <f>'BC.115+740'!B586</f>
        <v>45645</v>
      </c>
      <c r="B587" s="160">
        <f t="shared" si="29"/>
        <v>573</v>
      </c>
      <c r="C587" s="162">
        <f ca="1">'BC.115+740'!M586/1000</f>
        <v>3.2589999999999999</v>
      </c>
      <c r="D587" s="162">
        <f ca="1">'BC.115+740'!AA586</f>
        <v>4.109</v>
      </c>
      <c r="E587" s="163">
        <f ca="1">'BC.115+740'!AB586</f>
        <v>2.3279999999999998</v>
      </c>
      <c r="F587" s="162">
        <f ca="1">VLOOKUP($A587,'BC.115+740'!$B$13:$X$4969,8,0)/1000</f>
        <v>3.286</v>
      </c>
      <c r="G587" s="162">
        <f ca="1">VLOOKUP($A587,'BC.115+740'!$B$13:$X$4969,9,0)/1000</f>
        <v>-0.71399999999999997</v>
      </c>
      <c r="H587" s="162">
        <f ca="1">VLOOKUP($A587,'BC.115+740'!$B$13:$X$4969,14,0)/1000</f>
        <v>3.0489999999999999</v>
      </c>
      <c r="I587" s="162">
        <f ca="1">VLOOKUP($A587,'BC.115+740'!$B$13:$X$4969,15,0)/1000</f>
        <v>-0.95099999999999996</v>
      </c>
      <c r="J587" s="162">
        <f ca="1">VLOOKUP($A587,'BC.115+740'!$B$13:$X$4969,20,0)/1000</f>
        <v>3.3039999999999998</v>
      </c>
      <c r="K587" s="162">
        <f ca="1">VLOOKUP($A587,'BC.115+740'!$B$13:$X$4969,21,0)/1000</f>
        <v>-0.69599999999999995</v>
      </c>
      <c r="L587" s="160">
        <f t="shared" ca="1" si="26"/>
        <v>-754</v>
      </c>
      <c r="M587" s="161">
        <f t="shared" ca="1" si="27"/>
        <v>-941</v>
      </c>
      <c r="N587" s="160">
        <f t="shared" ca="1" si="28"/>
        <v>-655.99999999999989</v>
      </c>
      <c r="O587" s="160"/>
    </row>
    <row r="588" spans="1:15">
      <c r="A588" s="164">
        <f>'BC.115+740'!B587</f>
        <v>45646</v>
      </c>
      <c r="B588" s="160">
        <f t="shared" si="29"/>
        <v>574</v>
      </c>
      <c r="C588" s="162">
        <f ca="1">'BC.115+740'!M587/1000</f>
        <v>3.2589999999999999</v>
      </c>
      <c r="D588" s="162">
        <f ca="1">'BC.115+740'!AA587</f>
        <v>4.109</v>
      </c>
      <c r="E588" s="163">
        <f ca="1">'BC.115+740'!AB587</f>
        <v>2.3279999999999998</v>
      </c>
      <c r="F588" s="162">
        <f ca="1">VLOOKUP($A588,'BC.115+740'!$B$13:$X$4969,8,0)/1000</f>
        <v>3.286</v>
      </c>
      <c r="G588" s="162">
        <f ca="1">VLOOKUP($A588,'BC.115+740'!$B$13:$X$4969,9,0)/1000</f>
        <v>-0.71399999999999997</v>
      </c>
      <c r="H588" s="162">
        <f ca="1">VLOOKUP($A588,'BC.115+740'!$B$13:$X$4969,14,0)/1000</f>
        <v>3.0489999999999999</v>
      </c>
      <c r="I588" s="162">
        <f ca="1">VLOOKUP($A588,'BC.115+740'!$B$13:$X$4969,15,0)/1000</f>
        <v>-0.95099999999999996</v>
      </c>
      <c r="J588" s="162">
        <f ca="1">VLOOKUP($A588,'BC.115+740'!$B$13:$X$4969,20,0)/1000</f>
        <v>3.3039999999999998</v>
      </c>
      <c r="K588" s="162">
        <f ca="1">VLOOKUP($A588,'BC.115+740'!$B$13:$X$4969,21,0)/1000</f>
        <v>-0.69599999999999995</v>
      </c>
      <c r="L588" s="160">
        <f t="shared" ca="1" si="26"/>
        <v>-754</v>
      </c>
      <c r="M588" s="161">
        <f t="shared" ca="1" si="27"/>
        <v>-941</v>
      </c>
      <c r="N588" s="160">
        <f t="shared" ca="1" si="28"/>
        <v>-655.99999999999989</v>
      </c>
      <c r="O588" s="160"/>
    </row>
    <row r="589" spans="1:15">
      <c r="A589" s="164">
        <f>'BC.115+740'!B588</f>
        <v>45647</v>
      </c>
      <c r="B589" s="160">
        <f t="shared" si="29"/>
        <v>575</v>
      </c>
      <c r="C589" s="162">
        <f ca="1">'BC.115+740'!M588/1000</f>
        <v>3.2589999999999999</v>
      </c>
      <c r="D589" s="162">
        <f ca="1">'BC.115+740'!AA588</f>
        <v>4.109</v>
      </c>
      <c r="E589" s="163">
        <f ca="1">'BC.115+740'!AB588</f>
        <v>2.3279999999999998</v>
      </c>
      <c r="F589" s="162">
        <f ca="1">VLOOKUP($A589,'BC.115+740'!$B$13:$X$4969,8,0)/1000</f>
        <v>3.286</v>
      </c>
      <c r="G589" s="162">
        <f ca="1">VLOOKUP($A589,'BC.115+740'!$B$13:$X$4969,9,0)/1000</f>
        <v>-0.71399999999999997</v>
      </c>
      <c r="H589" s="162">
        <f ca="1">VLOOKUP($A589,'BC.115+740'!$B$13:$X$4969,14,0)/1000</f>
        <v>3.0489999999999999</v>
      </c>
      <c r="I589" s="162">
        <f ca="1">VLOOKUP($A589,'BC.115+740'!$B$13:$X$4969,15,0)/1000</f>
        <v>-0.95099999999999996</v>
      </c>
      <c r="J589" s="162">
        <f ca="1">VLOOKUP($A589,'BC.115+740'!$B$13:$X$4969,20,0)/1000</f>
        <v>3.3039999999999998</v>
      </c>
      <c r="K589" s="162">
        <f ca="1">VLOOKUP($A589,'BC.115+740'!$B$13:$X$4969,21,0)/1000</f>
        <v>-0.69599999999999995</v>
      </c>
      <c r="L589" s="160">
        <f t="shared" ca="1" si="26"/>
        <v>-754</v>
      </c>
      <c r="M589" s="161">
        <f t="shared" ca="1" si="27"/>
        <v>-941</v>
      </c>
      <c r="N589" s="160">
        <f t="shared" ca="1" si="28"/>
        <v>-655.99999999999989</v>
      </c>
      <c r="O589" s="160"/>
    </row>
    <row r="590" spans="1:15">
      <c r="A590" s="164">
        <f>'BC.115+740'!B589</f>
        <v>45648</v>
      </c>
      <c r="B590" s="160">
        <f t="shared" si="29"/>
        <v>576</v>
      </c>
      <c r="C590" s="162">
        <f ca="1">'BC.115+740'!M589/1000</f>
        <v>3.258</v>
      </c>
      <c r="D590" s="162">
        <f ca="1">'BC.115+740'!AA589</f>
        <v>4.109</v>
      </c>
      <c r="E590" s="163">
        <f ca="1">'BC.115+740'!AB589</f>
        <v>2.3260000000000001</v>
      </c>
      <c r="F590" s="162">
        <f ca="1">VLOOKUP($A590,'BC.115+740'!$B$13:$X$4969,8,0)/1000</f>
        <v>3.286</v>
      </c>
      <c r="G590" s="162">
        <f ca="1">VLOOKUP($A590,'BC.115+740'!$B$13:$X$4969,9,0)/1000</f>
        <v>-0.71399999999999997</v>
      </c>
      <c r="H590" s="162">
        <f ca="1">VLOOKUP($A590,'BC.115+740'!$B$13:$X$4969,14,0)/1000</f>
        <v>3.048</v>
      </c>
      <c r="I590" s="162">
        <f ca="1">VLOOKUP($A590,'BC.115+740'!$B$13:$X$4969,15,0)/1000</f>
        <v>-0.95199999999999996</v>
      </c>
      <c r="J590" s="162">
        <f ca="1">VLOOKUP($A590,'BC.115+740'!$B$13:$X$4969,20,0)/1000</f>
        <v>3.3039999999999998</v>
      </c>
      <c r="K590" s="162">
        <f ca="1">VLOOKUP($A590,'BC.115+740'!$B$13:$X$4969,21,0)/1000</f>
        <v>-0.69599999999999995</v>
      </c>
      <c r="L590" s="160">
        <f t="shared" ref="L590:L653" ca="1" si="30">(G590-$G$14)*1000</f>
        <v>-754</v>
      </c>
      <c r="M590" s="161">
        <f t="shared" ref="M590:M653" ca="1" si="31">(I590-$I$14)*1000</f>
        <v>-942</v>
      </c>
      <c r="N590" s="160">
        <f t="shared" ca="1" si="28"/>
        <v>-655.99999999999989</v>
      </c>
      <c r="O590" s="160"/>
    </row>
    <row r="591" spans="1:15">
      <c r="A591" s="164">
        <f>'BC.115+740'!B590</f>
        <v>45649</v>
      </c>
      <c r="B591" s="160">
        <f t="shared" si="29"/>
        <v>577</v>
      </c>
      <c r="C591" s="162">
        <f ca="1">'BC.115+740'!M590/1000</f>
        <v>3.258</v>
      </c>
      <c r="D591" s="162">
        <f ca="1">'BC.115+740'!AA590</f>
        <v>4.109</v>
      </c>
      <c r="E591" s="163">
        <f ca="1">'BC.115+740'!AB590</f>
        <v>2.3260000000000001</v>
      </c>
      <c r="F591" s="162">
        <f ca="1">VLOOKUP($A591,'BC.115+740'!$B$13:$X$4969,8,0)/1000</f>
        <v>3.2839999999999998</v>
      </c>
      <c r="G591" s="162">
        <f ca="1">VLOOKUP($A591,'BC.115+740'!$B$13:$X$4969,9,0)/1000</f>
        <v>-0.71599999999999997</v>
      </c>
      <c r="H591" s="162">
        <f ca="1">VLOOKUP($A591,'BC.115+740'!$B$13:$X$4969,14,0)/1000</f>
        <v>3.048</v>
      </c>
      <c r="I591" s="162">
        <f ca="1">VLOOKUP($A591,'BC.115+740'!$B$13:$X$4969,15,0)/1000</f>
        <v>-0.95199999999999996</v>
      </c>
      <c r="J591" s="162">
        <f ca="1">VLOOKUP($A591,'BC.115+740'!$B$13:$X$4969,20,0)/1000</f>
        <v>3.3039999999999998</v>
      </c>
      <c r="K591" s="162">
        <f ca="1">VLOOKUP($A591,'BC.115+740'!$B$13:$X$4969,21,0)/1000</f>
        <v>-0.69599999999999995</v>
      </c>
      <c r="L591" s="160">
        <f t="shared" ca="1" si="30"/>
        <v>-756</v>
      </c>
      <c r="M591" s="161">
        <f t="shared" ca="1" si="31"/>
        <v>-942</v>
      </c>
      <c r="N591" s="160">
        <f t="shared" ref="N591:N654" ca="1" si="32">(K591-$K$14)*1000</f>
        <v>-655.99999999999989</v>
      </c>
      <c r="O591" s="160"/>
    </row>
    <row r="592" spans="1:15">
      <c r="A592" s="164">
        <f>'BC.115+740'!B591</f>
        <v>45650</v>
      </c>
      <c r="B592" s="160">
        <f t="shared" si="29"/>
        <v>578</v>
      </c>
      <c r="C592" s="162">
        <f ca="1">'BC.115+740'!M591/1000</f>
        <v>3.258</v>
      </c>
      <c r="D592" s="162">
        <f ca="1">'BC.115+740'!AA591</f>
        <v>4.109</v>
      </c>
      <c r="E592" s="163">
        <f ca="1">'BC.115+740'!AB591</f>
        <v>2.3260000000000001</v>
      </c>
      <c r="F592" s="162">
        <f ca="1">VLOOKUP($A592,'BC.115+740'!$B$13:$X$4969,8,0)/1000</f>
        <v>3.2839999999999998</v>
      </c>
      <c r="G592" s="162">
        <f ca="1">VLOOKUP($A592,'BC.115+740'!$B$13:$X$4969,9,0)/1000</f>
        <v>-0.71599999999999997</v>
      </c>
      <c r="H592" s="162">
        <f ca="1">VLOOKUP($A592,'BC.115+740'!$B$13:$X$4969,14,0)/1000</f>
        <v>3.048</v>
      </c>
      <c r="I592" s="162">
        <f ca="1">VLOOKUP($A592,'BC.115+740'!$B$13:$X$4969,15,0)/1000</f>
        <v>-0.95199999999999996</v>
      </c>
      <c r="J592" s="162">
        <f ca="1">VLOOKUP($A592,'BC.115+740'!$B$13:$X$4969,20,0)/1000</f>
        <v>3.3029999999999999</v>
      </c>
      <c r="K592" s="162">
        <f ca="1">VLOOKUP($A592,'BC.115+740'!$B$13:$X$4969,21,0)/1000</f>
        <v>-0.69699999999999995</v>
      </c>
      <c r="L592" s="160">
        <f t="shared" ca="1" si="30"/>
        <v>-756</v>
      </c>
      <c r="M592" s="161">
        <f t="shared" ca="1" si="31"/>
        <v>-942</v>
      </c>
      <c r="N592" s="160">
        <f t="shared" ca="1" si="32"/>
        <v>-656.99999999999989</v>
      </c>
      <c r="O592" s="160"/>
    </row>
    <row r="593" spans="1:15">
      <c r="A593" s="164">
        <f>'BC.115+740'!B592</f>
        <v>45651</v>
      </c>
      <c r="B593" s="160">
        <f t="shared" si="29"/>
        <v>579</v>
      </c>
      <c r="C593" s="162">
        <f ca="1">'BC.115+740'!M592/1000</f>
        <v>3.2559999999999998</v>
      </c>
      <c r="D593" s="162">
        <f ca="1">'BC.115+740'!AA592</f>
        <v>4.109</v>
      </c>
      <c r="E593" s="163">
        <f ca="1">'BC.115+740'!AB592</f>
        <v>2.3220000000000001</v>
      </c>
      <c r="F593" s="162">
        <f ca="1">VLOOKUP($A593,'BC.115+740'!$B$13:$X$4969,8,0)/1000</f>
        <v>3.2839999999999998</v>
      </c>
      <c r="G593" s="162">
        <f ca="1">VLOOKUP($A593,'BC.115+740'!$B$13:$X$4969,9,0)/1000</f>
        <v>-0.71599999999999997</v>
      </c>
      <c r="H593" s="162">
        <f ca="1">VLOOKUP($A593,'BC.115+740'!$B$13:$X$4969,14,0)/1000</f>
        <v>3.0459999999999998</v>
      </c>
      <c r="I593" s="162">
        <f ca="1">VLOOKUP($A593,'BC.115+740'!$B$13:$X$4969,15,0)/1000</f>
        <v>-0.95399999999999996</v>
      </c>
      <c r="J593" s="162">
        <f ca="1">VLOOKUP($A593,'BC.115+740'!$B$13:$X$4969,20,0)/1000</f>
        <v>3.3029999999999999</v>
      </c>
      <c r="K593" s="162">
        <f ca="1">VLOOKUP($A593,'BC.115+740'!$B$13:$X$4969,21,0)/1000</f>
        <v>-0.69699999999999995</v>
      </c>
      <c r="L593" s="160">
        <f t="shared" ca="1" si="30"/>
        <v>-756</v>
      </c>
      <c r="M593" s="161">
        <f t="shared" ca="1" si="31"/>
        <v>-944</v>
      </c>
      <c r="N593" s="160">
        <f t="shared" ca="1" si="32"/>
        <v>-656.99999999999989</v>
      </c>
      <c r="O593" s="160"/>
    </row>
    <row r="594" spans="1:15">
      <c r="A594" s="164">
        <f>'BC.115+740'!B593</f>
        <v>45652</v>
      </c>
      <c r="B594" s="160">
        <f t="shared" si="29"/>
        <v>580</v>
      </c>
      <c r="C594" s="162">
        <f ca="1">'BC.115+740'!M593/1000</f>
        <v>3.2559999999999998</v>
      </c>
      <c r="D594" s="162">
        <f ca="1">'BC.115+740'!AA593</f>
        <v>4.109</v>
      </c>
      <c r="E594" s="163">
        <f ca="1">'BC.115+740'!AB593</f>
        <v>2.3220000000000001</v>
      </c>
      <c r="F594" s="162">
        <f ca="1">VLOOKUP($A594,'BC.115+740'!$B$13:$X$4969,8,0)/1000</f>
        <v>3.2810000000000001</v>
      </c>
      <c r="G594" s="162">
        <f ca="1">VLOOKUP($A594,'BC.115+740'!$B$13:$X$4969,9,0)/1000</f>
        <v>-0.71899999999999997</v>
      </c>
      <c r="H594" s="162">
        <f ca="1">VLOOKUP($A594,'BC.115+740'!$B$13:$X$4969,14,0)/1000</f>
        <v>3.0459999999999998</v>
      </c>
      <c r="I594" s="162">
        <f ca="1">VLOOKUP($A594,'BC.115+740'!$B$13:$X$4969,15,0)/1000</f>
        <v>-0.95399999999999996</v>
      </c>
      <c r="J594" s="162">
        <f ca="1">VLOOKUP($A594,'BC.115+740'!$B$13:$X$4969,20,0)/1000</f>
        <v>3.3029999999999999</v>
      </c>
      <c r="K594" s="162">
        <f ca="1">VLOOKUP($A594,'BC.115+740'!$B$13:$X$4969,21,0)/1000</f>
        <v>-0.69699999999999995</v>
      </c>
      <c r="L594" s="160">
        <f t="shared" ca="1" si="30"/>
        <v>-759</v>
      </c>
      <c r="M594" s="161">
        <f t="shared" ca="1" si="31"/>
        <v>-944</v>
      </c>
      <c r="N594" s="160">
        <f t="shared" ca="1" si="32"/>
        <v>-656.99999999999989</v>
      </c>
      <c r="O594" s="160"/>
    </row>
    <row r="595" spans="1:15">
      <c r="A595" s="164">
        <f>'BC.115+740'!B594</f>
        <v>45653</v>
      </c>
      <c r="B595" s="160">
        <f t="shared" si="29"/>
        <v>581</v>
      </c>
      <c r="C595" s="162">
        <f ca="1">'BC.115+740'!M594/1000</f>
        <v>3.2519999999999998</v>
      </c>
      <c r="D595" s="162">
        <f ca="1">'BC.115+740'!AA594</f>
        <v>4.109</v>
      </c>
      <c r="E595" s="163">
        <f ca="1">'BC.115+740'!AB594</f>
        <v>2.3140000000000001</v>
      </c>
      <c r="F595" s="162">
        <f ca="1">VLOOKUP($A595,'BC.115+740'!$B$13:$X$4969,8,0)/1000</f>
        <v>3.2810000000000001</v>
      </c>
      <c r="G595" s="162">
        <f ca="1">VLOOKUP($A595,'BC.115+740'!$B$13:$X$4969,9,0)/1000</f>
        <v>-0.71899999999999997</v>
      </c>
      <c r="H595" s="162">
        <f ca="1">VLOOKUP($A595,'BC.115+740'!$B$13:$X$4969,14,0)/1000</f>
        <v>3.0419999999999998</v>
      </c>
      <c r="I595" s="162">
        <f ca="1">VLOOKUP($A595,'BC.115+740'!$B$13:$X$4969,15,0)/1000</f>
        <v>-0.95799999999999996</v>
      </c>
      <c r="J595" s="162">
        <f ca="1">VLOOKUP($A595,'BC.115+740'!$B$13:$X$4969,20,0)/1000</f>
        <v>3.3029999999999999</v>
      </c>
      <c r="K595" s="162">
        <f ca="1">VLOOKUP($A595,'BC.115+740'!$B$13:$X$4969,21,0)/1000</f>
        <v>-0.69699999999999995</v>
      </c>
      <c r="L595" s="160">
        <f t="shared" ca="1" si="30"/>
        <v>-759</v>
      </c>
      <c r="M595" s="161">
        <f t="shared" ca="1" si="31"/>
        <v>-948</v>
      </c>
      <c r="N595" s="160">
        <f t="shared" ca="1" si="32"/>
        <v>-656.99999999999989</v>
      </c>
      <c r="O595" s="160"/>
    </row>
    <row r="596" spans="1:15">
      <c r="A596" s="164">
        <f>'BC.115+740'!B595</f>
        <v>45654</v>
      </c>
      <c r="B596" s="160">
        <f t="shared" si="29"/>
        <v>582</v>
      </c>
      <c r="C596" s="162">
        <f ca="1">'BC.115+740'!M595/1000</f>
        <v>3.2519999999999998</v>
      </c>
      <c r="D596" s="162">
        <f ca="1">'BC.115+740'!AA595</f>
        <v>4.109</v>
      </c>
      <c r="E596" s="163">
        <f ca="1">'BC.115+740'!AB595</f>
        <v>2.3140000000000001</v>
      </c>
      <c r="F596" s="162">
        <f ca="1">VLOOKUP($A596,'BC.115+740'!$B$13:$X$4969,8,0)/1000</f>
        <v>3.2810000000000001</v>
      </c>
      <c r="G596" s="162">
        <f ca="1">VLOOKUP($A596,'BC.115+740'!$B$13:$X$4969,9,0)/1000</f>
        <v>-0.71899999999999997</v>
      </c>
      <c r="H596" s="162">
        <f ca="1">VLOOKUP($A596,'BC.115+740'!$B$13:$X$4969,14,0)/1000</f>
        <v>3.0419999999999998</v>
      </c>
      <c r="I596" s="162">
        <f ca="1">VLOOKUP($A596,'BC.115+740'!$B$13:$X$4969,15,0)/1000</f>
        <v>-0.95799999999999996</v>
      </c>
      <c r="J596" s="162">
        <f ca="1">VLOOKUP($A596,'BC.115+740'!$B$13:$X$4969,20,0)/1000</f>
        <v>3.3029999999999999</v>
      </c>
      <c r="K596" s="162">
        <f ca="1">VLOOKUP($A596,'BC.115+740'!$B$13:$X$4969,21,0)/1000</f>
        <v>-0.69699999999999995</v>
      </c>
      <c r="L596" s="160">
        <f t="shared" ca="1" si="30"/>
        <v>-759</v>
      </c>
      <c r="M596" s="161">
        <f t="shared" ca="1" si="31"/>
        <v>-948</v>
      </c>
      <c r="N596" s="160">
        <f t="shared" ca="1" si="32"/>
        <v>-656.99999999999989</v>
      </c>
      <c r="O596" s="160"/>
    </row>
    <row r="597" spans="1:15">
      <c r="A597" s="164">
        <f>'BC.115+740'!B596</f>
        <v>45655</v>
      </c>
      <c r="B597" s="160">
        <f t="shared" si="29"/>
        <v>583</v>
      </c>
      <c r="C597" s="162">
        <f ca="1">'BC.115+740'!M596/1000</f>
        <v>3.2519999999999998</v>
      </c>
      <c r="D597" s="162">
        <f ca="1">'BC.115+740'!AA596</f>
        <v>4.109</v>
      </c>
      <c r="E597" s="163">
        <f ca="1">'BC.115+740'!AB596</f>
        <v>2.3140000000000001</v>
      </c>
      <c r="F597" s="162">
        <f ca="1">VLOOKUP($A597,'BC.115+740'!$B$13:$X$4969,8,0)/1000</f>
        <v>3.28</v>
      </c>
      <c r="G597" s="162">
        <f ca="1">VLOOKUP($A597,'BC.115+740'!$B$13:$X$4969,9,0)/1000</f>
        <v>-0.72</v>
      </c>
      <c r="H597" s="162">
        <f ca="1">VLOOKUP($A597,'BC.115+740'!$B$13:$X$4969,14,0)/1000</f>
        <v>3.0419999999999998</v>
      </c>
      <c r="I597" s="162">
        <f ca="1">VLOOKUP($A597,'BC.115+740'!$B$13:$X$4969,15,0)/1000</f>
        <v>-0.95799999999999996</v>
      </c>
      <c r="J597" s="162">
        <f ca="1">VLOOKUP($A597,'BC.115+740'!$B$13:$X$4969,20,0)/1000</f>
        <v>3.3029999999999999</v>
      </c>
      <c r="K597" s="162">
        <f ca="1">VLOOKUP($A597,'BC.115+740'!$B$13:$X$4969,21,0)/1000</f>
        <v>-0.69699999999999995</v>
      </c>
      <c r="L597" s="160">
        <f t="shared" ca="1" si="30"/>
        <v>-760</v>
      </c>
      <c r="M597" s="161">
        <f t="shared" ca="1" si="31"/>
        <v>-948</v>
      </c>
      <c r="N597" s="160">
        <f t="shared" ca="1" si="32"/>
        <v>-656.99999999999989</v>
      </c>
      <c r="O597" s="160"/>
    </row>
    <row r="598" spans="1:15">
      <c r="A598" s="164">
        <f>'BC.115+740'!B597</f>
        <v>45656</v>
      </c>
      <c r="B598" s="160">
        <f t="shared" si="29"/>
        <v>584</v>
      </c>
      <c r="C598" s="162">
        <f ca="1">'BC.115+740'!M597/1000</f>
        <v>3.25</v>
      </c>
      <c r="D598" s="162">
        <f ca="1">'BC.115+740'!AA597</f>
        <v>4.109</v>
      </c>
      <c r="E598" s="163">
        <f ca="1">'BC.115+740'!AB597</f>
        <v>2.31</v>
      </c>
      <c r="F598" s="162">
        <f ca="1">VLOOKUP($A598,'BC.115+740'!$B$13:$X$4969,8,0)/1000</f>
        <v>3.28</v>
      </c>
      <c r="G598" s="162">
        <f ca="1">VLOOKUP($A598,'BC.115+740'!$B$13:$X$4969,9,0)/1000</f>
        <v>-0.72</v>
      </c>
      <c r="H598" s="162">
        <f ca="1">VLOOKUP($A598,'BC.115+740'!$B$13:$X$4969,14,0)/1000</f>
        <v>3.04</v>
      </c>
      <c r="I598" s="162">
        <f ca="1">VLOOKUP($A598,'BC.115+740'!$B$13:$X$4969,15,0)/1000</f>
        <v>-0.96</v>
      </c>
      <c r="J598" s="162">
        <f ca="1">VLOOKUP($A598,'BC.115+740'!$B$13:$X$4969,20,0)/1000</f>
        <v>3.3010000000000002</v>
      </c>
      <c r="K598" s="162">
        <f ca="1">VLOOKUP($A598,'BC.115+740'!$B$13:$X$4969,21,0)/1000</f>
        <v>-0.69899999999999995</v>
      </c>
      <c r="L598" s="160">
        <f t="shared" ca="1" si="30"/>
        <v>-760</v>
      </c>
      <c r="M598" s="161">
        <f t="shared" ca="1" si="31"/>
        <v>-950</v>
      </c>
      <c r="N598" s="160">
        <f t="shared" ca="1" si="32"/>
        <v>-658.99999999999989</v>
      </c>
      <c r="O598" s="160"/>
    </row>
    <row r="599" spans="1:15">
      <c r="A599" s="164">
        <f>'BC.115+740'!B598</f>
        <v>45657</v>
      </c>
      <c r="B599" s="160">
        <f t="shared" si="29"/>
        <v>585</v>
      </c>
      <c r="C599" s="162">
        <f ca="1">'BC.115+740'!M598/1000</f>
        <v>3.25</v>
      </c>
      <c r="D599" s="162">
        <f ca="1">'BC.115+740'!AA598</f>
        <v>4.109</v>
      </c>
      <c r="E599" s="163">
        <f ca="1">'BC.115+740'!AB598</f>
        <v>2.31</v>
      </c>
      <c r="F599" s="162">
        <f ca="1">VLOOKUP($A599,'BC.115+740'!$B$13:$X$4969,8,0)/1000</f>
        <v>3.2759999999999998</v>
      </c>
      <c r="G599" s="162">
        <f ca="1">VLOOKUP($A599,'BC.115+740'!$B$13:$X$4969,9,0)/1000</f>
        <v>-0.72399999999999998</v>
      </c>
      <c r="H599" s="162">
        <f ca="1">VLOOKUP($A599,'BC.115+740'!$B$13:$X$4969,14,0)/1000</f>
        <v>3.04</v>
      </c>
      <c r="I599" s="162">
        <f ca="1">VLOOKUP($A599,'BC.115+740'!$B$13:$X$4969,15,0)/1000</f>
        <v>-0.96</v>
      </c>
      <c r="J599" s="162">
        <f ca="1">VLOOKUP($A599,'BC.115+740'!$B$13:$X$4969,20,0)/1000</f>
        <v>3.3010000000000002</v>
      </c>
      <c r="K599" s="162">
        <f ca="1">VLOOKUP($A599,'BC.115+740'!$B$13:$X$4969,21,0)/1000</f>
        <v>-0.69899999999999995</v>
      </c>
      <c r="L599" s="160">
        <f t="shared" ca="1" si="30"/>
        <v>-764</v>
      </c>
      <c r="M599" s="161">
        <f t="shared" ca="1" si="31"/>
        <v>-950</v>
      </c>
      <c r="N599" s="160">
        <f t="shared" ca="1" si="32"/>
        <v>-658.99999999999989</v>
      </c>
      <c r="O599" s="160"/>
    </row>
    <row r="600" spans="1:15">
      <c r="A600" s="164">
        <f>'BC.115+740'!B599</f>
        <v>45658</v>
      </c>
      <c r="B600" s="160">
        <f t="shared" si="29"/>
        <v>586</v>
      </c>
      <c r="C600" s="162">
        <f ca="1">'BC.115+740'!M599/1000</f>
        <v>3.25</v>
      </c>
      <c r="D600" s="162">
        <f ca="1">'BC.115+740'!AA599</f>
        <v>4.109</v>
      </c>
      <c r="E600" s="163">
        <f ca="1">'BC.115+740'!AB599</f>
        <v>2.31</v>
      </c>
      <c r="F600" s="162">
        <f ca="1">VLOOKUP($A600,'BC.115+740'!$B$13:$X$4969,8,0)/1000</f>
        <v>3.2749999999999999</v>
      </c>
      <c r="G600" s="162">
        <f ca="1">VLOOKUP($A600,'BC.115+740'!$B$13:$X$4969,9,0)/1000</f>
        <v>-0.72499999999999998</v>
      </c>
      <c r="H600" s="162">
        <f ca="1">VLOOKUP($A600,'BC.115+740'!$B$13:$X$4969,14,0)/1000</f>
        <v>3.04</v>
      </c>
      <c r="I600" s="162">
        <f ca="1">VLOOKUP($A600,'BC.115+740'!$B$13:$X$4969,15,0)/1000</f>
        <v>-0.96</v>
      </c>
      <c r="J600" s="162">
        <f ca="1">VLOOKUP($A600,'BC.115+740'!$B$13:$X$4969,20,0)/1000</f>
        <v>3.3010000000000002</v>
      </c>
      <c r="K600" s="162">
        <f ca="1">VLOOKUP($A600,'BC.115+740'!$B$13:$X$4969,21,0)/1000</f>
        <v>-0.69899999999999995</v>
      </c>
      <c r="L600" s="160">
        <f t="shared" ca="1" si="30"/>
        <v>-765</v>
      </c>
      <c r="M600" s="161">
        <f t="shared" ca="1" si="31"/>
        <v>-950</v>
      </c>
      <c r="N600" s="160">
        <f t="shared" ca="1" si="32"/>
        <v>-658.99999999999989</v>
      </c>
      <c r="O600" s="160"/>
    </row>
    <row r="601" spans="1:15">
      <c r="A601" s="164">
        <f>'BC.115+740'!B600</f>
        <v>45659</v>
      </c>
      <c r="B601" s="160">
        <f t="shared" si="29"/>
        <v>587</v>
      </c>
      <c r="C601" s="162">
        <f ca="1">'BC.115+740'!M600/1000</f>
        <v>3.2490000000000001</v>
      </c>
      <c r="D601" s="162">
        <f ca="1">'BC.115+740'!AA600</f>
        <v>4.109</v>
      </c>
      <c r="E601" s="163">
        <f ca="1">'BC.115+740'!AB600</f>
        <v>2.3079999999999998</v>
      </c>
      <c r="F601" s="162">
        <f ca="1">VLOOKUP($A601,'BC.115+740'!$B$13:$X$4969,8,0)/1000</f>
        <v>3.2749999999999999</v>
      </c>
      <c r="G601" s="162">
        <f ca="1">VLOOKUP($A601,'BC.115+740'!$B$13:$X$4969,9,0)/1000</f>
        <v>-0.72499999999999998</v>
      </c>
      <c r="H601" s="162">
        <f ca="1">VLOOKUP($A601,'BC.115+740'!$B$13:$X$4969,14,0)/1000</f>
        <v>3.0390000000000001</v>
      </c>
      <c r="I601" s="162">
        <f ca="1">VLOOKUP($A601,'BC.115+740'!$B$13:$X$4969,15,0)/1000</f>
        <v>-0.96099999999999997</v>
      </c>
      <c r="J601" s="162">
        <f ca="1">VLOOKUP($A601,'BC.115+740'!$B$13:$X$4969,20,0)/1000</f>
        <v>3.3010000000000002</v>
      </c>
      <c r="K601" s="162">
        <f ca="1">VLOOKUP($A601,'BC.115+740'!$B$13:$X$4969,21,0)/1000</f>
        <v>-0.69899999999999995</v>
      </c>
      <c r="L601" s="160">
        <f t="shared" ca="1" si="30"/>
        <v>-765</v>
      </c>
      <c r="M601" s="161">
        <f t="shared" ca="1" si="31"/>
        <v>-951</v>
      </c>
      <c r="N601" s="160">
        <f t="shared" ca="1" si="32"/>
        <v>-658.99999999999989</v>
      </c>
      <c r="O601" s="160"/>
    </row>
    <row r="602" spans="1:15">
      <c r="A602" s="164">
        <f>'BC.115+740'!B601</f>
        <v>45660</v>
      </c>
      <c r="B602" s="160">
        <f t="shared" si="29"/>
        <v>588</v>
      </c>
      <c r="C602" s="162">
        <f ca="1">'BC.115+740'!M601/1000</f>
        <v>3.2490000000000001</v>
      </c>
      <c r="D602" s="162">
        <f ca="1">'BC.115+740'!AA601</f>
        <v>4.109</v>
      </c>
      <c r="E602" s="163">
        <f ca="1">'BC.115+740'!AB601</f>
        <v>2.3079999999999998</v>
      </c>
      <c r="F602" s="162">
        <f ca="1">VLOOKUP($A602,'BC.115+740'!$B$13:$X$4969,8,0)/1000</f>
        <v>3.2749999999999999</v>
      </c>
      <c r="G602" s="162">
        <f ca="1">VLOOKUP($A602,'BC.115+740'!$B$13:$X$4969,9,0)/1000</f>
        <v>-0.72499999999999998</v>
      </c>
      <c r="H602" s="162">
        <f ca="1">VLOOKUP($A602,'BC.115+740'!$B$13:$X$4969,14,0)/1000</f>
        <v>3.0390000000000001</v>
      </c>
      <c r="I602" s="162">
        <f ca="1">VLOOKUP($A602,'BC.115+740'!$B$13:$X$4969,15,0)/1000</f>
        <v>-0.96099999999999997</v>
      </c>
      <c r="J602" s="162">
        <f ca="1">VLOOKUP($A602,'BC.115+740'!$B$13:$X$4969,20,0)/1000</f>
        <v>3.3010000000000002</v>
      </c>
      <c r="K602" s="162">
        <f ca="1">VLOOKUP($A602,'BC.115+740'!$B$13:$X$4969,21,0)/1000</f>
        <v>-0.69899999999999995</v>
      </c>
      <c r="L602" s="160">
        <f t="shared" ca="1" si="30"/>
        <v>-765</v>
      </c>
      <c r="M602" s="161">
        <f t="shared" ca="1" si="31"/>
        <v>-951</v>
      </c>
      <c r="N602" s="160">
        <f t="shared" ca="1" si="32"/>
        <v>-658.99999999999989</v>
      </c>
      <c r="O602" s="160"/>
    </row>
    <row r="603" spans="1:15">
      <c r="A603" s="164">
        <f>'BC.115+740'!B602</f>
        <v>45661</v>
      </c>
      <c r="B603" s="160">
        <f t="shared" si="29"/>
        <v>589</v>
      </c>
      <c r="C603" s="162">
        <f ca="1">'BC.115+740'!M602/1000</f>
        <v>3.2490000000000001</v>
      </c>
      <c r="D603" s="162">
        <f ca="1">'BC.115+740'!AA602</f>
        <v>4.109</v>
      </c>
      <c r="E603" s="163">
        <f ca="1">'BC.115+740'!AB602</f>
        <v>2.3079999999999998</v>
      </c>
      <c r="F603" s="162">
        <f ca="1">VLOOKUP($A603,'BC.115+740'!$B$13:$X$4969,8,0)/1000</f>
        <v>3.2730000000000001</v>
      </c>
      <c r="G603" s="162">
        <f ca="1">VLOOKUP($A603,'BC.115+740'!$B$13:$X$4969,9,0)/1000</f>
        <v>-0.72699999999999998</v>
      </c>
      <c r="H603" s="162">
        <f ca="1">VLOOKUP($A603,'BC.115+740'!$B$13:$X$4969,14,0)/1000</f>
        <v>3.0390000000000001</v>
      </c>
      <c r="I603" s="162">
        <f ca="1">VLOOKUP($A603,'BC.115+740'!$B$13:$X$4969,15,0)/1000</f>
        <v>-0.96099999999999997</v>
      </c>
      <c r="J603" s="162">
        <f ca="1">VLOOKUP($A603,'BC.115+740'!$B$13:$X$4969,20,0)/1000</f>
        <v>3.2989999999999999</v>
      </c>
      <c r="K603" s="162">
        <f ca="1">VLOOKUP($A603,'BC.115+740'!$B$13:$X$4969,21,0)/1000</f>
        <v>-0.70099999999999996</v>
      </c>
      <c r="L603" s="160">
        <f t="shared" ca="1" si="30"/>
        <v>-767</v>
      </c>
      <c r="M603" s="161">
        <f t="shared" ca="1" si="31"/>
        <v>-951</v>
      </c>
      <c r="N603" s="160">
        <f t="shared" ca="1" si="32"/>
        <v>-660.99999999999989</v>
      </c>
      <c r="O603" s="160"/>
    </row>
    <row r="604" spans="1:15">
      <c r="A604" s="164">
        <f>'BC.115+740'!B603</f>
        <v>45662</v>
      </c>
      <c r="B604" s="160">
        <f t="shared" si="29"/>
        <v>590</v>
      </c>
      <c r="C604" s="162">
        <f ca="1">'BC.115+740'!M603/1000</f>
        <v>3.2490000000000001</v>
      </c>
      <c r="D604" s="162">
        <f ca="1">'BC.115+740'!AA603</f>
        <v>4.109</v>
      </c>
      <c r="E604" s="163">
        <f ca="1">'BC.115+740'!AB603</f>
        <v>2.3079999999999998</v>
      </c>
      <c r="F604" s="162">
        <f ca="1">VLOOKUP($A604,'BC.115+740'!$B$13:$X$4969,8,0)/1000</f>
        <v>3.2730000000000001</v>
      </c>
      <c r="G604" s="162">
        <f ca="1">VLOOKUP($A604,'BC.115+740'!$B$13:$X$4969,9,0)/1000</f>
        <v>-0.72699999999999998</v>
      </c>
      <c r="H604" s="162">
        <f ca="1">VLOOKUP($A604,'BC.115+740'!$B$13:$X$4969,14,0)/1000</f>
        <v>3.0390000000000001</v>
      </c>
      <c r="I604" s="162">
        <f ca="1">VLOOKUP($A604,'BC.115+740'!$B$13:$X$4969,15,0)/1000</f>
        <v>-0.96099999999999997</v>
      </c>
      <c r="J604" s="162">
        <f ca="1">VLOOKUP($A604,'BC.115+740'!$B$13:$X$4969,20,0)/1000</f>
        <v>3.2989999999999999</v>
      </c>
      <c r="K604" s="162">
        <f ca="1">VLOOKUP($A604,'BC.115+740'!$B$13:$X$4969,21,0)/1000</f>
        <v>-0.70099999999999996</v>
      </c>
      <c r="L604" s="160">
        <f t="shared" ca="1" si="30"/>
        <v>-767</v>
      </c>
      <c r="M604" s="161">
        <f t="shared" ca="1" si="31"/>
        <v>-951</v>
      </c>
      <c r="N604" s="160">
        <f t="shared" ca="1" si="32"/>
        <v>-660.99999999999989</v>
      </c>
      <c r="O604" s="160"/>
    </row>
    <row r="605" spans="1:15">
      <c r="A605" s="164">
        <f>'BC.115+740'!B604</f>
        <v>45663</v>
      </c>
      <c r="B605" s="160">
        <f t="shared" si="29"/>
        <v>591</v>
      </c>
      <c r="C605" s="162">
        <f ca="1">'BC.115+740'!M604/1000</f>
        <v>3.2490000000000001</v>
      </c>
      <c r="D605" s="162">
        <f ca="1">'BC.115+740'!AA604</f>
        <v>4.109</v>
      </c>
      <c r="E605" s="163">
        <f ca="1">'BC.115+740'!AB604</f>
        <v>2.3079999999999998</v>
      </c>
      <c r="F605" s="162">
        <f ca="1">VLOOKUP($A605,'BC.115+740'!$B$13:$X$4969,8,0)/1000</f>
        <v>3.2730000000000001</v>
      </c>
      <c r="G605" s="162">
        <f ca="1">VLOOKUP($A605,'BC.115+740'!$B$13:$X$4969,9,0)/1000</f>
        <v>-0.72699999999999998</v>
      </c>
      <c r="H605" s="162">
        <f ca="1">VLOOKUP($A605,'BC.115+740'!$B$13:$X$4969,14,0)/1000</f>
        <v>3.0390000000000001</v>
      </c>
      <c r="I605" s="162">
        <f ca="1">VLOOKUP($A605,'BC.115+740'!$B$13:$X$4969,15,0)/1000</f>
        <v>-0.96099999999999997</v>
      </c>
      <c r="J605" s="162">
        <f ca="1">VLOOKUP($A605,'BC.115+740'!$B$13:$X$4969,20,0)/1000</f>
        <v>3.2989999999999999</v>
      </c>
      <c r="K605" s="162">
        <f ca="1">VLOOKUP($A605,'BC.115+740'!$B$13:$X$4969,21,0)/1000</f>
        <v>-0.70099999999999996</v>
      </c>
      <c r="L605" s="160">
        <f t="shared" ca="1" si="30"/>
        <v>-767</v>
      </c>
      <c r="M605" s="161">
        <f t="shared" ca="1" si="31"/>
        <v>-951</v>
      </c>
      <c r="N605" s="160">
        <f t="shared" ca="1" si="32"/>
        <v>-660.99999999999989</v>
      </c>
      <c r="O605" s="160"/>
    </row>
    <row r="606" spans="1:15">
      <c r="A606" s="164">
        <f>'BC.115+740'!B605</f>
        <v>45664</v>
      </c>
      <c r="B606" s="160">
        <f t="shared" si="29"/>
        <v>592</v>
      </c>
      <c r="C606" s="162">
        <f ca="1">'BC.115+740'!M605/1000</f>
        <v>3.2480000000000002</v>
      </c>
      <c r="D606" s="162">
        <f ca="1">'BC.115+740'!AA605</f>
        <v>4.109</v>
      </c>
      <c r="E606" s="163">
        <f ca="1">'BC.115+740'!AB605</f>
        <v>2.306</v>
      </c>
      <c r="F606" s="162">
        <f ca="1">VLOOKUP($A606,'BC.115+740'!$B$13:$X$4969,8,0)/1000</f>
        <v>3.2709999999999999</v>
      </c>
      <c r="G606" s="162">
        <f ca="1">VLOOKUP($A606,'BC.115+740'!$B$13:$X$4969,9,0)/1000</f>
        <v>-0.72899999999999998</v>
      </c>
      <c r="H606" s="162">
        <f ca="1">VLOOKUP($A606,'BC.115+740'!$B$13:$X$4969,14,0)/1000</f>
        <v>3.0379999999999998</v>
      </c>
      <c r="I606" s="162">
        <f ca="1">VLOOKUP($A606,'BC.115+740'!$B$13:$X$4969,15,0)/1000</f>
        <v>-0.96199999999999997</v>
      </c>
      <c r="J606" s="162">
        <f ca="1">VLOOKUP($A606,'BC.115+740'!$B$13:$X$4969,20,0)/1000</f>
        <v>3.2989999999999999</v>
      </c>
      <c r="K606" s="162">
        <f ca="1">VLOOKUP($A606,'BC.115+740'!$B$13:$X$4969,21,0)/1000</f>
        <v>-0.70099999999999996</v>
      </c>
      <c r="L606" s="160">
        <f t="shared" ca="1" si="30"/>
        <v>-769</v>
      </c>
      <c r="M606" s="161">
        <f t="shared" ca="1" si="31"/>
        <v>-952</v>
      </c>
      <c r="N606" s="160">
        <f t="shared" ca="1" si="32"/>
        <v>-660.99999999999989</v>
      </c>
      <c r="O606" s="160"/>
    </row>
    <row r="607" spans="1:15">
      <c r="A607" s="164">
        <f>'BC.115+740'!B606</f>
        <v>45665</v>
      </c>
      <c r="B607" s="160">
        <f t="shared" si="29"/>
        <v>593</v>
      </c>
      <c r="C607" s="162">
        <f ca="1">'BC.115+740'!M606/1000</f>
        <v>3.2480000000000002</v>
      </c>
      <c r="D607" s="162">
        <f ca="1">'BC.115+740'!AA606</f>
        <v>4.109</v>
      </c>
      <c r="E607" s="163">
        <f ca="1">'BC.115+740'!AB606</f>
        <v>2.306</v>
      </c>
      <c r="F607" s="162">
        <f ca="1">VLOOKUP($A607,'BC.115+740'!$B$13:$X$4969,8,0)/1000</f>
        <v>3.2709999999999999</v>
      </c>
      <c r="G607" s="162">
        <f ca="1">VLOOKUP($A607,'BC.115+740'!$B$13:$X$4969,9,0)/1000</f>
        <v>-0.72899999999999998</v>
      </c>
      <c r="H607" s="162">
        <f ca="1">VLOOKUP($A607,'BC.115+740'!$B$13:$X$4969,14,0)/1000</f>
        <v>3.0379999999999998</v>
      </c>
      <c r="I607" s="162">
        <f ca="1">VLOOKUP($A607,'BC.115+740'!$B$13:$X$4969,15,0)/1000</f>
        <v>-0.96199999999999997</v>
      </c>
      <c r="J607" s="162">
        <f ca="1">VLOOKUP($A607,'BC.115+740'!$B$13:$X$4969,20,0)/1000</f>
        <v>3.2970000000000002</v>
      </c>
      <c r="K607" s="162">
        <f ca="1">VLOOKUP($A607,'BC.115+740'!$B$13:$X$4969,21,0)/1000</f>
        <v>-0.70299999999999996</v>
      </c>
      <c r="L607" s="160">
        <f t="shared" ca="1" si="30"/>
        <v>-769</v>
      </c>
      <c r="M607" s="161">
        <f t="shared" ca="1" si="31"/>
        <v>-952</v>
      </c>
      <c r="N607" s="160">
        <f t="shared" ca="1" si="32"/>
        <v>-662.99999999999989</v>
      </c>
      <c r="O607" s="160"/>
    </row>
    <row r="608" spans="1:15">
      <c r="A608" s="164">
        <f>'BC.115+740'!B607</f>
        <v>45666</v>
      </c>
      <c r="B608" s="160">
        <f t="shared" si="29"/>
        <v>594</v>
      </c>
      <c r="C608" s="162">
        <f ca="1">'BC.115+740'!M607/1000</f>
        <v>3.2480000000000002</v>
      </c>
      <c r="D608" s="162">
        <f ca="1">'BC.115+740'!AA607</f>
        <v>4.109</v>
      </c>
      <c r="E608" s="163">
        <f ca="1">'BC.115+740'!AB607</f>
        <v>2.306</v>
      </c>
      <c r="F608" s="162">
        <f ca="1">VLOOKUP($A608,'BC.115+740'!$B$13:$X$4969,8,0)/1000</f>
        <v>3.2709999999999999</v>
      </c>
      <c r="G608" s="162">
        <f ca="1">VLOOKUP($A608,'BC.115+740'!$B$13:$X$4969,9,0)/1000</f>
        <v>-0.72899999999999998</v>
      </c>
      <c r="H608" s="162">
        <f ca="1">VLOOKUP($A608,'BC.115+740'!$B$13:$X$4969,14,0)/1000</f>
        <v>3.0379999999999998</v>
      </c>
      <c r="I608" s="162">
        <f ca="1">VLOOKUP($A608,'BC.115+740'!$B$13:$X$4969,15,0)/1000</f>
        <v>-0.96199999999999997</v>
      </c>
      <c r="J608" s="162">
        <f ca="1">VLOOKUP($A608,'BC.115+740'!$B$13:$X$4969,20,0)/1000</f>
        <v>3.2970000000000002</v>
      </c>
      <c r="K608" s="162">
        <f ca="1">VLOOKUP($A608,'BC.115+740'!$B$13:$X$4969,21,0)/1000</f>
        <v>-0.70299999999999996</v>
      </c>
      <c r="L608" s="160">
        <f t="shared" ca="1" si="30"/>
        <v>-769</v>
      </c>
      <c r="M608" s="161">
        <f t="shared" ca="1" si="31"/>
        <v>-952</v>
      </c>
      <c r="N608" s="160">
        <f t="shared" ca="1" si="32"/>
        <v>-662.99999999999989</v>
      </c>
      <c r="O608" s="160"/>
    </row>
    <row r="609" spans="1:15">
      <c r="A609" s="164">
        <f>'BC.115+740'!B608</f>
        <v>45667</v>
      </c>
      <c r="B609" s="160">
        <f t="shared" si="29"/>
        <v>595</v>
      </c>
      <c r="C609" s="162">
        <f ca="1">'BC.115+740'!M608/1000</f>
        <v>3.2480000000000002</v>
      </c>
      <c r="D609" s="162">
        <f ca="1">'BC.115+740'!AA608</f>
        <v>4.109</v>
      </c>
      <c r="E609" s="163">
        <f ca="1">'BC.115+740'!AB608</f>
        <v>2.306</v>
      </c>
      <c r="F609" s="162">
        <f ca="1">VLOOKUP($A609,'BC.115+740'!$B$13:$X$4969,8,0)/1000</f>
        <v>3.2709999999999999</v>
      </c>
      <c r="G609" s="162">
        <f ca="1">VLOOKUP($A609,'BC.115+740'!$B$13:$X$4969,9,0)/1000</f>
        <v>-0.72899999999999998</v>
      </c>
      <c r="H609" s="162">
        <f ca="1">VLOOKUP($A609,'BC.115+740'!$B$13:$X$4969,14,0)/1000</f>
        <v>3.0379999999999998</v>
      </c>
      <c r="I609" s="162">
        <f ca="1">VLOOKUP($A609,'BC.115+740'!$B$13:$X$4969,15,0)/1000</f>
        <v>-0.96199999999999997</v>
      </c>
      <c r="J609" s="162">
        <f ca="1">VLOOKUP($A609,'BC.115+740'!$B$13:$X$4969,20,0)/1000</f>
        <v>3.2970000000000002</v>
      </c>
      <c r="K609" s="162">
        <f ca="1">VLOOKUP($A609,'BC.115+740'!$B$13:$X$4969,21,0)/1000</f>
        <v>-0.70299999999999996</v>
      </c>
      <c r="L609" s="160">
        <f t="shared" ca="1" si="30"/>
        <v>-769</v>
      </c>
      <c r="M609" s="161">
        <f t="shared" ca="1" si="31"/>
        <v>-952</v>
      </c>
      <c r="N609" s="160">
        <f t="shared" ca="1" si="32"/>
        <v>-662.99999999999989</v>
      </c>
      <c r="O609" s="160"/>
    </row>
    <row r="610" spans="1:15">
      <c r="A610" s="164">
        <f>'BC.115+740'!B609</f>
        <v>45668</v>
      </c>
      <c r="B610" s="160">
        <f t="shared" si="29"/>
        <v>596</v>
      </c>
      <c r="C610" s="162">
        <f ca="1">'BC.115+740'!M609/1000</f>
        <v>3.2480000000000002</v>
      </c>
      <c r="D610" s="162">
        <f ca="1">'BC.115+740'!AA609</f>
        <v>4.109</v>
      </c>
      <c r="E610" s="163">
        <f ca="1">'BC.115+740'!AB609</f>
        <v>2.306</v>
      </c>
      <c r="F610" s="162">
        <f ca="1">VLOOKUP($A610,'BC.115+740'!$B$13:$X$4969,8,0)/1000</f>
        <v>3.2709999999999999</v>
      </c>
      <c r="G610" s="162">
        <f ca="1">VLOOKUP($A610,'BC.115+740'!$B$13:$X$4969,9,0)/1000</f>
        <v>-0.72899999999999998</v>
      </c>
      <c r="H610" s="162">
        <f ca="1">VLOOKUP($A610,'BC.115+740'!$B$13:$X$4969,14,0)/1000</f>
        <v>3.0379999999999998</v>
      </c>
      <c r="I610" s="162">
        <f ca="1">VLOOKUP($A610,'BC.115+740'!$B$13:$X$4969,15,0)/1000</f>
        <v>-0.96199999999999997</v>
      </c>
      <c r="J610" s="162">
        <f ca="1">VLOOKUP($A610,'BC.115+740'!$B$13:$X$4969,20,0)/1000</f>
        <v>3.2970000000000002</v>
      </c>
      <c r="K610" s="162">
        <f ca="1">VLOOKUP($A610,'BC.115+740'!$B$13:$X$4969,21,0)/1000</f>
        <v>-0.70299999999999996</v>
      </c>
      <c r="L610" s="160">
        <f t="shared" ca="1" si="30"/>
        <v>-769</v>
      </c>
      <c r="M610" s="161">
        <f t="shared" ca="1" si="31"/>
        <v>-952</v>
      </c>
      <c r="N610" s="160">
        <f t="shared" ca="1" si="32"/>
        <v>-662.99999999999989</v>
      </c>
      <c r="O610" s="160"/>
    </row>
    <row r="611" spans="1:15">
      <c r="A611" s="164">
        <f>'BC.115+740'!B610</f>
        <v>45669</v>
      </c>
      <c r="B611" s="160">
        <f t="shared" si="29"/>
        <v>597</v>
      </c>
      <c r="C611" s="162">
        <f ca="1">'BC.115+740'!M610/1000</f>
        <v>3.246</v>
      </c>
      <c r="D611" s="162">
        <f ca="1">'BC.115+740'!AA610</f>
        <v>4.109</v>
      </c>
      <c r="E611" s="163">
        <f ca="1">'BC.115+740'!AB610</f>
        <v>2.302</v>
      </c>
      <c r="F611" s="162">
        <f ca="1">VLOOKUP($A611,'BC.115+740'!$B$13:$X$4969,8,0)/1000</f>
        <v>3.2709999999999999</v>
      </c>
      <c r="G611" s="162">
        <f ca="1">VLOOKUP($A611,'BC.115+740'!$B$13:$X$4969,9,0)/1000</f>
        <v>-0.72899999999999998</v>
      </c>
      <c r="H611" s="162">
        <f ca="1">VLOOKUP($A611,'BC.115+740'!$B$13:$X$4969,14,0)/1000</f>
        <v>3.036</v>
      </c>
      <c r="I611" s="162">
        <f ca="1">VLOOKUP($A611,'BC.115+740'!$B$13:$X$4969,15,0)/1000</f>
        <v>-0.96399999999999997</v>
      </c>
      <c r="J611" s="162">
        <f ca="1">VLOOKUP($A611,'BC.115+740'!$B$13:$X$4969,20,0)/1000</f>
        <v>3.2970000000000002</v>
      </c>
      <c r="K611" s="162">
        <f ca="1">VLOOKUP($A611,'BC.115+740'!$B$13:$X$4969,21,0)/1000</f>
        <v>-0.70299999999999996</v>
      </c>
      <c r="L611" s="160">
        <f t="shared" ca="1" si="30"/>
        <v>-769</v>
      </c>
      <c r="M611" s="161">
        <f t="shared" ca="1" si="31"/>
        <v>-954</v>
      </c>
      <c r="N611" s="160">
        <f t="shared" ca="1" si="32"/>
        <v>-662.99999999999989</v>
      </c>
      <c r="O611" s="160"/>
    </row>
    <row r="612" spans="1:15">
      <c r="A612" s="164">
        <f>'BC.115+740'!B611</f>
        <v>45670</v>
      </c>
      <c r="B612" s="160">
        <f t="shared" si="29"/>
        <v>598</v>
      </c>
      <c r="C612" s="162">
        <f ca="1">'BC.115+740'!M611/1000</f>
        <v>3.246</v>
      </c>
      <c r="D612" s="162">
        <f ca="1">'BC.115+740'!AA611</f>
        <v>4.109</v>
      </c>
      <c r="E612" s="163">
        <f ca="1">'BC.115+740'!AB611</f>
        <v>2.302</v>
      </c>
      <c r="F612" s="162">
        <f ca="1">VLOOKUP($A612,'BC.115+740'!$B$13:$X$4969,8,0)/1000</f>
        <v>3.2709999999999999</v>
      </c>
      <c r="G612" s="162">
        <f ca="1">VLOOKUP($A612,'BC.115+740'!$B$13:$X$4969,9,0)/1000</f>
        <v>-0.72899999999999998</v>
      </c>
      <c r="H612" s="162">
        <f ca="1">VLOOKUP($A612,'BC.115+740'!$B$13:$X$4969,14,0)/1000</f>
        <v>3.036</v>
      </c>
      <c r="I612" s="162">
        <f ca="1">VLOOKUP($A612,'BC.115+740'!$B$13:$X$4969,15,0)/1000</f>
        <v>-0.96399999999999997</v>
      </c>
      <c r="J612" s="162">
        <f ca="1">VLOOKUP($A612,'BC.115+740'!$B$13:$X$4969,20,0)/1000</f>
        <v>3.2959999999999998</v>
      </c>
      <c r="K612" s="162">
        <f ca="1">VLOOKUP($A612,'BC.115+740'!$B$13:$X$4969,21,0)/1000</f>
        <v>-0.70399999999999996</v>
      </c>
      <c r="L612" s="160">
        <f t="shared" ca="1" si="30"/>
        <v>-769</v>
      </c>
      <c r="M612" s="161">
        <f t="shared" ca="1" si="31"/>
        <v>-954</v>
      </c>
      <c r="N612" s="160">
        <f t="shared" ca="1" si="32"/>
        <v>-663.99999999999989</v>
      </c>
      <c r="O612" s="160"/>
    </row>
    <row r="613" spans="1:15">
      <c r="A613" s="164">
        <f>'BC.115+740'!B612</f>
        <v>45671</v>
      </c>
      <c r="B613" s="160">
        <f t="shared" si="29"/>
        <v>599</v>
      </c>
      <c r="C613" s="162">
        <f ca="1">'BC.115+740'!M612/1000</f>
        <v>3.246</v>
      </c>
      <c r="D613" s="162">
        <f ca="1">'BC.115+740'!AA612</f>
        <v>4.109</v>
      </c>
      <c r="E613" s="163">
        <f ca="1">'BC.115+740'!AB612</f>
        <v>2.302</v>
      </c>
      <c r="F613" s="162">
        <f ca="1">VLOOKUP($A613,'BC.115+740'!$B$13:$X$4969,8,0)/1000</f>
        <v>3.27</v>
      </c>
      <c r="G613" s="162">
        <f ca="1">VLOOKUP($A613,'BC.115+740'!$B$13:$X$4969,9,0)/1000</f>
        <v>-0.73</v>
      </c>
      <c r="H613" s="162">
        <f ca="1">VLOOKUP($A613,'BC.115+740'!$B$13:$X$4969,14,0)/1000</f>
        <v>3.036</v>
      </c>
      <c r="I613" s="162">
        <f ca="1">VLOOKUP($A613,'BC.115+740'!$B$13:$X$4969,15,0)/1000</f>
        <v>-0.96399999999999997</v>
      </c>
      <c r="J613" s="162">
        <f ca="1">VLOOKUP($A613,'BC.115+740'!$B$13:$X$4969,20,0)/1000</f>
        <v>3.2959999999999998</v>
      </c>
      <c r="K613" s="162">
        <f ca="1">VLOOKUP($A613,'BC.115+740'!$B$13:$X$4969,21,0)/1000</f>
        <v>-0.70399999999999996</v>
      </c>
      <c r="L613" s="160">
        <f t="shared" ca="1" si="30"/>
        <v>-770</v>
      </c>
      <c r="M613" s="161">
        <f t="shared" ca="1" si="31"/>
        <v>-954</v>
      </c>
      <c r="N613" s="160">
        <f t="shared" ca="1" si="32"/>
        <v>-663.99999999999989</v>
      </c>
      <c r="O613" s="160"/>
    </row>
    <row r="614" spans="1:15">
      <c r="A614" s="164">
        <f>'BC.115+740'!B613</f>
        <v>45672</v>
      </c>
      <c r="B614" s="160">
        <f t="shared" si="29"/>
        <v>600</v>
      </c>
      <c r="C614" s="162">
        <f ca="1">'BC.115+740'!M613/1000</f>
        <v>3.246</v>
      </c>
      <c r="D614" s="162">
        <f ca="1">'BC.115+740'!AA613</f>
        <v>4.109</v>
      </c>
      <c r="E614" s="163">
        <f ca="1">'BC.115+740'!AB613</f>
        <v>2.302</v>
      </c>
      <c r="F614" s="162">
        <f ca="1">VLOOKUP($A614,'BC.115+740'!$B$13:$X$4969,8,0)/1000</f>
        <v>3.27</v>
      </c>
      <c r="G614" s="162">
        <f ca="1">VLOOKUP($A614,'BC.115+740'!$B$13:$X$4969,9,0)/1000</f>
        <v>-0.73</v>
      </c>
      <c r="H614" s="162">
        <f ca="1">VLOOKUP($A614,'BC.115+740'!$B$13:$X$4969,14,0)/1000</f>
        <v>3.036</v>
      </c>
      <c r="I614" s="162">
        <f ca="1">VLOOKUP($A614,'BC.115+740'!$B$13:$X$4969,15,0)/1000</f>
        <v>-0.96399999999999997</v>
      </c>
      <c r="J614" s="162">
        <f ca="1">VLOOKUP($A614,'BC.115+740'!$B$13:$X$4969,20,0)/1000</f>
        <v>3.294</v>
      </c>
      <c r="K614" s="162">
        <f ca="1">VLOOKUP($A614,'BC.115+740'!$B$13:$X$4969,21,0)/1000</f>
        <v>-0.70599999999999996</v>
      </c>
      <c r="L614" s="160">
        <f t="shared" ca="1" si="30"/>
        <v>-770</v>
      </c>
      <c r="M614" s="161">
        <f t="shared" ca="1" si="31"/>
        <v>-954</v>
      </c>
      <c r="N614" s="160">
        <f t="shared" ca="1" si="32"/>
        <v>-665.99999999999989</v>
      </c>
      <c r="O614" s="160"/>
    </row>
    <row r="615" spans="1:15">
      <c r="A615" s="164">
        <f>'BC.115+740'!B614</f>
        <v>45673</v>
      </c>
      <c r="B615" s="160">
        <f t="shared" si="29"/>
        <v>601</v>
      </c>
      <c r="C615" s="162">
        <f ca="1">'BC.115+740'!M614/1000</f>
        <v>3.2429999999999999</v>
      </c>
      <c r="D615" s="162">
        <f ca="1">'BC.115+740'!AA614</f>
        <v>4.109</v>
      </c>
      <c r="E615" s="163">
        <f ca="1">'BC.115+740'!AB614</f>
        <v>2.2959999999999998</v>
      </c>
      <c r="F615" s="162">
        <f ca="1">VLOOKUP($A615,'BC.115+740'!$B$13:$X$4969,8,0)/1000</f>
        <v>3.27</v>
      </c>
      <c r="G615" s="162">
        <f ca="1">VLOOKUP($A615,'BC.115+740'!$B$13:$X$4969,9,0)/1000</f>
        <v>-0.73</v>
      </c>
      <c r="H615" s="162">
        <f ca="1">VLOOKUP($A615,'BC.115+740'!$B$13:$X$4969,14,0)/1000</f>
        <v>3.0329999999999999</v>
      </c>
      <c r="I615" s="162">
        <f ca="1">VLOOKUP($A615,'BC.115+740'!$B$13:$X$4969,15,0)/1000</f>
        <v>-0.96699999999999997</v>
      </c>
      <c r="J615" s="162">
        <f ca="1">VLOOKUP($A615,'BC.115+740'!$B$13:$X$4969,20,0)/1000</f>
        <v>3.294</v>
      </c>
      <c r="K615" s="162">
        <f ca="1">VLOOKUP($A615,'BC.115+740'!$B$13:$X$4969,21,0)/1000</f>
        <v>-0.70599999999999996</v>
      </c>
      <c r="L615" s="160">
        <f t="shared" ca="1" si="30"/>
        <v>-770</v>
      </c>
      <c r="M615" s="161">
        <f t="shared" ca="1" si="31"/>
        <v>-957</v>
      </c>
      <c r="N615" s="160">
        <f t="shared" ca="1" si="32"/>
        <v>-665.99999999999989</v>
      </c>
      <c r="O615" s="160"/>
    </row>
    <row r="616" spans="1:15">
      <c r="A616" s="164">
        <f>'BC.115+740'!B615</f>
        <v>45674</v>
      </c>
      <c r="B616" s="160">
        <f t="shared" si="29"/>
        <v>602</v>
      </c>
      <c r="C616" s="162">
        <f ca="1">'BC.115+740'!M615/1000</f>
        <v>3.2429999999999999</v>
      </c>
      <c r="D616" s="162">
        <f ca="1">'BC.115+740'!AA615</f>
        <v>4.109</v>
      </c>
      <c r="E616" s="163">
        <f ca="1">'BC.115+740'!AB615</f>
        <v>2.2959999999999998</v>
      </c>
      <c r="F616" s="162">
        <f ca="1">VLOOKUP($A616,'BC.115+740'!$B$13:$X$4969,8,0)/1000</f>
        <v>3.2679999999999998</v>
      </c>
      <c r="G616" s="162">
        <f ca="1">VLOOKUP($A616,'BC.115+740'!$B$13:$X$4969,9,0)/1000</f>
        <v>-0.73199999999999998</v>
      </c>
      <c r="H616" s="162">
        <f ca="1">VLOOKUP($A616,'BC.115+740'!$B$13:$X$4969,14,0)/1000</f>
        <v>3.0329999999999999</v>
      </c>
      <c r="I616" s="162">
        <f ca="1">VLOOKUP($A616,'BC.115+740'!$B$13:$X$4969,15,0)/1000</f>
        <v>-0.96699999999999997</v>
      </c>
      <c r="J616" s="162">
        <f ca="1">VLOOKUP($A616,'BC.115+740'!$B$13:$X$4969,20,0)/1000</f>
        <v>3.294</v>
      </c>
      <c r="K616" s="162">
        <f ca="1">VLOOKUP($A616,'BC.115+740'!$B$13:$X$4969,21,0)/1000</f>
        <v>-0.70599999999999996</v>
      </c>
      <c r="L616" s="160">
        <f t="shared" ca="1" si="30"/>
        <v>-772</v>
      </c>
      <c r="M616" s="161">
        <f t="shared" ca="1" si="31"/>
        <v>-957</v>
      </c>
      <c r="N616" s="160">
        <f t="shared" ca="1" si="32"/>
        <v>-665.99999999999989</v>
      </c>
      <c r="O616" s="160"/>
    </row>
    <row r="617" spans="1:15">
      <c r="A617" s="164">
        <f>'BC.115+740'!B616</f>
        <v>45675</v>
      </c>
      <c r="B617" s="160">
        <f t="shared" si="29"/>
        <v>603</v>
      </c>
      <c r="C617" s="162">
        <f ca="1">'BC.115+740'!M616/1000</f>
        <v>3.2410000000000001</v>
      </c>
      <c r="D617" s="162">
        <f ca="1">'BC.115+740'!AA616</f>
        <v>4.109</v>
      </c>
      <c r="E617" s="163">
        <f ca="1">'BC.115+740'!AB616</f>
        <v>2.2919999999999998</v>
      </c>
      <c r="F617" s="162">
        <f ca="1">VLOOKUP($A617,'BC.115+740'!$B$13:$X$4969,8,0)/1000</f>
        <v>3.2679999999999998</v>
      </c>
      <c r="G617" s="162">
        <f ca="1">VLOOKUP($A617,'BC.115+740'!$B$13:$X$4969,9,0)/1000</f>
        <v>-0.73199999999999998</v>
      </c>
      <c r="H617" s="162">
        <f ca="1">VLOOKUP($A617,'BC.115+740'!$B$13:$X$4969,14,0)/1000</f>
        <v>3.0310000000000001</v>
      </c>
      <c r="I617" s="162">
        <f ca="1">VLOOKUP($A617,'BC.115+740'!$B$13:$X$4969,15,0)/1000</f>
        <v>-0.96899999999999997</v>
      </c>
      <c r="J617" s="162">
        <f ca="1">VLOOKUP($A617,'BC.115+740'!$B$13:$X$4969,20,0)/1000</f>
        <v>3.294</v>
      </c>
      <c r="K617" s="162">
        <f ca="1">VLOOKUP($A617,'BC.115+740'!$B$13:$X$4969,21,0)/1000</f>
        <v>-0.70599999999999996</v>
      </c>
      <c r="L617" s="160">
        <f t="shared" ca="1" si="30"/>
        <v>-772</v>
      </c>
      <c r="M617" s="161">
        <f t="shared" ca="1" si="31"/>
        <v>-959</v>
      </c>
      <c r="N617" s="160">
        <f t="shared" ca="1" si="32"/>
        <v>-665.99999999999989</v>
      </c>
      <c r="O617" s="160"/>
    </row>
    <row r="618" spans="1:15">
      <c r="A618" s="164">
        <f>'BC.115+740'!B617</f>
        <v>45676</v>
      </c>
      <c r="B618" s="160">
        <f t="shared" si="29"/>
        <v>604</v>
      </c>
      <c r="C618" s="162">
        <f ca="1">'BC.115+740'!M617/1000</f>
        <v>3.2410000000000001</v>
      </c>
      <c r="D618" s="162">
        <f ca="1">'BC.115+740'!AA617</f>
        <v>4.109</v>
      </c>
      <c r="E618" s="163">
        <f ca="1">'BC.115+740'!AB617</f>
        <v>2.2919999999999998</v>
      </c>
      <c r="F618" s="162">
        <f ca="1">VLOOKUP($A618,'BC.115+740'!$B$13:$X$4969,8,0)/1000</f>
        <v>3.2679999999999998</v>
      </c>
      <c r="G618" s="162">
        <f ca="1">VLOOKUP($A618,'BC.115+740'!$B$13:$X$4969,9,0)/1000</f>
        <v>-0.73199999999999998</v>
      </c>
      <c r="H618" s="162">
        <f ca="1">VLOOKUP($A618,'BC.115+740'!$B$13:$X$4969,14,0)/1000</f>
        <v>3.0310000000000001</v>
      </c>
      <c r="I618" s="162">
        <f ca="1">VLOOKUP($A618,'BC.115+740'!$B$13:$X$4969,15,0)/1000</f>
        <v>-0.96899999999999997</v>
      </c>
      <c r="J618" s="162">
        <f ca="1">VLOOKUP($A618,'BC.115+740'!$B$13:$X$4969,20,0)/1000</f>
        <v>3.294</v>
      </c>
      <c r="K618" s="162">
        <f ca="1">VLOOKUP($A618,'BC.115+740'!$B$13:$X$4969,21,0)/1000</f>
        <v>-0.70599999999999996</v>
      </c>
      <c r="L618" s="160">
        <f t="shared" ca="1" si="30"/>
        <v>-772</v>
      </c>
      <c r="M618" s="161">
        <f t="shared" ca="1" si="31"/>
        <v>-959</v>
      </c>
      <c r="N618" s="160">
        <f t="shared" ca="1" si="32"/>
        <v>-665.99999999999989</v>
      </c>
      <c r="O618" s="160"/>
    </row>
    <row r="619" spans="1:15">
      <c r="A619" s="164">
        <f>'BC.115+740'!B618</f>
        <v>45677</v>
      </c>
      <c r="B619" s="160">
        <f t="shared" si="29"/>
        <v>605</v>
      </c>
      <c r="C619" s="162">
        <f ca="1">'BC.115+740'!M618/1000</f>
        <v>3.2410000000000001</v>
      </c>
      <c r="D619" s="162">
        <f ca="1">'BC.115+740'!AA618</f>
        <v>4.109</v>
      </c>
      <c r="E619" s="163">
        <f ca="1">'BC.115+740'!AB618</f>
        <v>2.2919999999999998</v>
      </c>
      <c r="F619" s="162">
        <f ca="1">VLOOKUP($A619,'BC.115+740'!$B$13:$X$4969,8,0)/1000</f>
        <v>3.2679999999999998</v>
      </c>
      <c r="G619" s="162">
        <f ca="1">VLOOKUP($A619,'BC.115+740'!$B$13:$X$4969,9,0)/1000</f>
        <v>-0.73199999999999998</v>
      </c>
      <c r="H619" s="162">
        <f ca="1">VLOOKUP($A619,'BC.115+740'!$B$13:$X$4969,14,0)/1000</f>
        <v>3.0310000000000001</v>
      </c>
      <c r="I619" s="162">
        <f ca="1">VLOOKUP($A619,'BC.115+740'!$B$13:$X$4969,15,0)/1000</f>
        <v>-0.96899999999999997</v>
      </c>
      <c r="J619" s="162">
        <f ca="1">VLOOKUP($A619,'BC.115+740'!$B$13:$X$4969,20,0)/1000</f>
        <v>3.294</v>
      </c>
      <c r="K619" s="162">
        <f ca="1">VLOOKUP($A619,'BC.115+740'!$B$13:$X$4969,21,0)/1000</f>
        <v>-0.70599999999999996</v>
      </c>
      <c r="L619" s="160">
        <f t="shared" ca="1" si="30"/>
        <v>-772</v>
      </c>
      <c r="M619" s="161">
        <f t="shared" ca="1" si="31"/>
        <v>-959</v>
      </c>
      <c r="N619" s="160">
        <f t="shared" ca="1" si="32"/>
        <v>-665.99999999999989</v>
      </c>
      <c r="O619" s="160"/>
    </row>
    <row r="620" spans="1:15">
      <c r="A620" s="164">
        <f>'BC.115+740'!B619</f>
        <v>45678</v>
      </c>
      <c r="B620" s="160">
        <f t="shared" si="29"/>
        <v>606</v>
      </c>
      <c r="C620" s="162">
        <f ca="1">'BC.115+740'!M619/1000</f>
        <v>3.2410000000000001</v>
      </c>
      <c r="D620" s="162">
        <f ca="1">'BC.115+740'!AA619</f>
        <v>4.109</v>
      </c>
      <c r="E620" s="163">
        <f ca="1">'BC.115+740'!AB619</f>
        <v>2.2919999999999998</v>
      </c>
      <c r="F620" s="162">
        <f ca="1">VLOOKUP($A620,'BC.115+740'!$B$13:$X$4969,8,0)/1000</f>
        <v>3.266</v>
      </c>
      <c r="G620" s="162">
        <f ca="1">VLOOKUP($A620,'BC.115+740'!$B$13:$X$4969,9,0)/1000</f>
        <v>-0.73399999999999999</v>
      </c>
      <c r="H620" s="162">
        <f ca="1">VLOOKUP($A620,'BC.115+740'!$B$13:$X$4969,14,0)/1000</f>
        <v>3.0310000000000001</v>
      </c>
      <c r="I620" s="162">
        <f ca="1">VLOOKUP($A620,'BC.115+740'!$B$13:$X$4969,15,0)/1000</f>
        <v>-0.96899999999999997</v>
      </c>
      <c r="J620" s="162">
        <f ca="1">VLOOKUP($A620,'BC.115+740'!$B$13:$X$4969,20,0)/1000</f>
        <v>3.294</v>
      </c>
      <c r="K620" s="162">
        <f ca="1">VLOOKUP($A620,'BC.115+740'!$B$13:$X$4969,21,0)/1000</f>
        <v>-0.70599999999999996</v>
      </c>
      <c r="L620" s="160">
        <f t="shared" ca="1" si="30"/>
        <v>-774</v>
      </c>
      <c r="M620" s="161">
        <f t="shared" ca="1" si="31"/>
        <v>-959</v>
      </c>
      <c r="N620" s="160">
        <f t="shared" ca="1" si="32"/>
        <v>-665.99999999999989</v>
      </c>
      <c r="O620" s="160"/>
    </row>
    <row r="621" spans="1:15">
      <c r="A621" s="164">
        <f>'BC.115+740'!B620</f>
        <v>45679</v>
      </c>
      <c r="B621" s="160">
        <f t="shared" si="29"/>
        <v>607</v>
      </c>
      <c r="C621" s="162">
        <f ca="1">'BC.115+740'!M620/1000</f>
        <v>3.24</v>
      </c>
      <c r="D621" s="162">
        <f ca="1">'BC.115+740'!AA620</f>
        <v>4.109</v>
      </c>
      <c r="E621" s="163">
        <f ca="1">'BC.115+740'!AB620</f>
        <v>2.29</v>
      </c>
      <c r="F621" s="162">
        <f ca="1">VLOOKUP($A621,'BC.115+740'!$B$13:$X$4969,8,0)/1000</f>
        <v>3.266</v>
      </c>
      <c r="G621" s="162">
        <f ca="1">VLOOKUP($A621,'BC.115+740'!$B$13:$X$4969,9,0)/1000</f>
        <v>-0.73399999999999999</v>
      </c>
      <c r="H621" s="162">
        <f ca="1">VLOOKUP($A621,'BC.115+740'!$B$13:$X$4969,14,0)/1000</f>
        <v>3.03</v>
      </c>
      <c r="I621" s="162">
        <f ca="1">VLOOKUP($A621,'BC.115+740'!$B$13:$X$4969,15,0)/1000</f>
        <v>-0.97</v>
      </c>
      <c r="J621" s="162">
        <f ca="1">VLOOKUP($A621,'BC.115+740'!$B$13:$X$4969,20,0)/1000</f>
        <v>3.2919999999999998</v>
      </c>
      <c r="K621" s="162">
        <f ca="1">VLOOKUP($A621,'BC.115+740'!$B$13:$X$4969,21,0)/1000</f>
        <v>-0.70799999999999996</v>
      </c>
      <c r="L621" s="160">
        <f t="shared" ca="1" si="30"/>
        <v>-774</v>
      </c>
      <c r="M621" s="161">
        <f t="shared" ca="1" si="31"/>
        <v>-960</v>
      </c>
      <c r="N621" s="160">
        <f t="shared" ca="1" si="32"/>
        <v>-667.99999999999989</v>
      </c>
      <c r="O621" s="160"/>
    </row>
    <row r="622" spans="1:15">
      <c r="A622" s="164">
        <f>'BC.115+740'!B621</f>
        <v>45680</v>
      </c>
      <c r="B622" s="160">
        <f t="shared" si="29"/>
        <v>608</v>
      </c>
      <c r="C622" s="162">
        <f ca="1">'BC.115+740'!M621/1000</f>
        <v>3.24</v>
      </c>
      <c r="D622" s="162">
        <f ca="1">'BC.115+740'!AA621</f>
        <v>4.109</v>
      </c>
      <c r="E622" s="163">
        <f ca="1">'BC.115+740'!AB621</f>
        <v>2.29</v>
      </c>
      <c r="F622" s="162">
        <f ca="1">VLOOKUP($A622,'BC.115+740'!$B$13:$X$4969,8,0)/1000</f>
        <v>3.266</v>
      </c>
      <c r="G622" s="162">
        <f ca="1">VLOOKUP($A622,'BC.115+740'!$B$13:$X$4969,9,0)/1000</f>
        <v>-0.73399999999999999</v>
      </c>
      <c r="H622" s="162">
        <f ca="1">VLOOKUP($A622,'BC.115+740'!$B$13:$X$4969,14,0)/1000</f>
        <v>3.03</v>
      </c>
      <c r="I622" s="162">
        <f ca="1">VLOOKUP($A622,'BC.115+740'!$B$13:$X$4969,15,0)/1000</f>
        <v>-0.97</v>
      </c>
      <c r="J622" s="162">
        <f ca="1">VLOOKUP($A622,'BC.115+740'!$B$13:$X$4969,20,0)/1000</f>
        <v>3.2919999999999998</v>
      </c>
      <c r="K622" s="162">
        <f ca="1">VLOOKUP($A622,'BC.115+740'!$B$13:$X$4969,21,0)/1000</f>
        <v>-0.70799999999999996</v>
      </c>
      <c r="L622" s="160">
        <f t="shared" ca="1" si="30"/>
        <v>-774</v>
      </c>
      <c r="M622" s="161">
        <f t="shared" ca="1" si="31"/>
        <v>-960</v>
      </c>
      <c r="N622" s="160">
        <f t="shared" ca="1" si="32"/>
        <v>-667.99999999999989</v>
      </c>
      <c r="O622" s="160"/>
    </row>
    <row r="623" spans="1:15">
      <c r="A623" s="164">
        <f>'BC.115+740'!B622</f>
        <v>45681</v>
      </c>
      <c r="B623" s="160">
        <f t="shared" si="29"/>
        <v>609</v>
      </c>
      <c r="C623" s="162">
        <f ca="1">'BC.115+740'!M622/1000</f>
        <v>3.24</v>
      </c>
      <c r="D623" s="162">
        <f ca="1">'BC.115+740'!AA622</f>
        <v>4.109</v>
      </c>
      <c r="E623" s="163">
        <f ca="1">'BC.115+740'!AB622</f>
        <v>2.29</v>
      </c>
      <c r="F623" s="162">
        <f ca="1">VLOOKUP($A623,'BC.115+740'!$B$13:$X$4969,8,0)/1000</f>
        <v>3.266</v>
      </c>
      <c r="G623" s="162">
        <f ca="1">VLOOKUP($A623,'BC.115+740'!$B$13:$X$4969,9,0)/1000</f>
        <v>-0.73399999999999999</v>
      </c>
      <c r="H623" s="162">
        <f ca="1">VLOOKUP($A623,'BC.115+740'!$B$13:$X$4969,14,0)/1000</f>
        <v>3.03</v>
      </c>
      <c r="I623" s="162">
        <f ca="1">VLOOKUP($A623,'BC.115+740'!$B$13:$X$4969,15,0)/1000</f>
        <v>-0.97</v>
      </c>
      <c r="J623" s="162">
        <f ca="1">VLOOKUP($A623,'BC.115+740'!$B$13:$X$4969,20,0)/1000</f>
        <v>3.2919999999999998</v>
      </c>
      <c r="K623" s="162">
        <f ca="1">VLOOKUP($A623,'BC.115+740'!$B$13:$X$4969,21,0)/1000</f>
        <v>-0.70799999999999996</v>
      </c>
      <c r="L623" s="160">
        <f t="shared" ca="1" si="30"/>
        <v>-774</v>
      </c>
      <c r="M623" s="161">
        <f t="shared" ca="1" si="31"/>
        <v>-960</v>
      </c>
      <c r="N623" s="160">
        <f t="shared" ca="1" si="32"/>
        <v>-667.99999999999989</v>
      </c>
      <c r="O623" s="160"/>
    </row>
    <row r="624" spans="1:15">
      <c r="A624" s="164">
        <f>'BC.115+740'!B623</f>
        <v>45682</v>
      </c>
      <c r="B624" s="160">
        <f t="shared" si="29"/>
        <v>610</v>
      </c>
      <c r="C624" s="162">
        <f ca="1">'BC.115+740'!M623/1000</f>
        <v>3.2360000000000002</v>
      </c>
      <c r="D624" s="162">
        <f ca="1">'BC.115+740'!AA623</f>
        <v>4.109</v>
      </c>
      <c r="E624" s="163">
        <f ca="1">'BC.115+740'!AB623</f>
        <v>2.282</v>
      </c>
      <c r="F624" s="162">
        <f ca="1">VLOOKUP($A624,'BC.115+740'!$B$13:$X$4969,8,0)/1000</f>
        <v>3.266</v>
      </c>
      <c r="G624" s="162">
        <f ca="1">VLOOKUP($A624,'BC.115+740'!$B$13:$X$4969,9,0)/1000</f>
        <v>-0.73399999999999999</v>
      </c>
      <c r="H624" s="162">
        <f ca="1">VLOOKUP($A624,'BC.115+740'!$B$13:$X$4969,14,0)/1000</f>
        <v>3.0259999999999998</v>
      </c>
      <c r="I624" s="162">
        <f ca="1">VLOOKUP($A624,'BC.115+740'!$B$13:$X$4969,15,0)/1000</f>
        <v>-0.97399999999999998</v>
      </c>
      <c r="J624" s="162">
        <f ca="1">VLOOKUP($A624,'BC.115+740'!$B$13:$X$4969,20,0)/1000</f>
        <v>3.2919999999999998</v>
      </c>
      <c r="K624" s="162">
        <f ca="1">VLOOKUP($A624,'BC.115+740'!$B$13:$X$4969,21,0)/1000</f>
        <v>-0.70799999999999996</v>
      </c>
      <c r="L624" s="160">
        <f t="shared" ca="1" si="30"/>
        <v>-774</v>
      </c>
      <c r="M624" s="161">
        <f t="shared" ca="1" si="31"/>
        <v>-964</v>
      </c>
      <c r="N624" s="160">
        <f t="shared" ca="1" si="32"/>
        <v>-667.99999999999989</v>
      </c>
      <c r="O624" s="160"/>
    </row>
    <row r="625" spans="1:15">
      <c r="A625" s="164">
        <f>'BC.115+740'!B624</f>
        <v>45683</v>
      </c>
      <c r="B625" s="160">
        <f t="shared" si="29"/>
        <v>611</v>
      </c>
      <c r="C625" s="162">
        <f ca="1">'BC.115+740'!M624/1000</f>
        <v>3.2360000000000002</v>
      </c>
      <c r="D625" s="162">
        <f ca="1">'BC.115+740'!AA624</f>
        <v>4.109</v>
      </c>
      <c r="E625" s="163">
        <f ca="1">'BC.115+740'!AB624</f>
        <v>2.282</v>
      </c>
      <c r="F625" s="162">
        <f ca="1">VLOOKUP($A625,'BC.115+740'!$B$13:$X$4969,8,0)/1000</f>
        <v>3.2650000000000001</v>
      </c>
      <c r="G625" s="162">
        <f ca="1">VLOOKUP($A625,'BC.115+740'!$B$13:$X$4969,9,0)/1000</f>
        <v>-0.73499999999999999</v>
      </c>
      <c r="H625" s="162">
        <f ca="1">VLOOKUP($A625,'BC.115+740'!$B$13:$X$4969,14,0)/1000</f>
        <v>3.0259999999999998</v>
      </c>
      <c r="I625" s="162">
        <f ca="1">VLOOKUP($A625,'BC.115+740'!$B$13:$X$4969,15,0)/1000</f>
        <v>-0.97399999999999998</v>
      </c>
      <c r="J625" s="162">
        <f ca="1">VLOOKUP($A625,'BC.115+740'!$B$13:$X$4969,20,0)/1000</f>
        <v>3.2919999999999998</v>
      </c>
      <c r="K625" s="162">
        <f ca="1">VLOOKUP($A625,'BC.115+740'!$B$13:$X$4969,21,0)/1000</f>
        <v>-0.70799999999999996</v>
      </c>
      <c r="L625" s="160">
        <f t="shared" ca="1" si="30"/>
        <v>-775</v>
      </c>
      <c r="M625" s="161">
        <f t="shared" ca="1" si="31"/>
        <v>-964</v>
      </c>
      <c r="N625" s="160">
        <f t="shared" ca="1" si="32"/>
        <v>-667.99999999999989</v>
      </c>
      <c r="O625" s="160"/>
    </row>
    <row r="626" spans="1:15">
      <c r="A626" s="164">
        <f>'BC.115+740'!B625</f>
        <v>45684</v>
      </c>
      <c r="B626" s="160">
        <f t="shared" si="29"/>
        <v>612</v>
      </c>
      <c r="C626" s="162">
        <f ca="1">'BC.115+740'!M625/1000</f>
        <v>3.2309999999999999</v>
      </c>
      <c r="D626" s="162">
        <f ca="1">'BC.115+740'!AA625</f>
        <v>4.109</v>
      </c>
      <c r="E626" s="163">
        <f ca="1">'BC.115+740'!AB625</f>
        <v>2.2719999999999998</v>
      </c>
      <c r="F626" s="162">
        <f ca="1">VLOOKUP($A626,'BC.115+740'!$B$13:$X$4969,8,0)/1000</f>
        <v>3.2650000000000001</v>
      </c>
      <c r="G626" s="162">
        <f ca="1">VLOOKUP($A626,'BC.115+740'!$B$13:$X$4969,9,0)/1000</f>
        <v>-0.73499999999999999</v>
      </c>
      <c r="H626" s="162">
        <f ca="1">VLOOKUP($A626,'BC.115+740'!$B$13:$X$4969,14,0)/1000</f>
        <v>3.0209999999999999</v>
      </c>
      <c r="I626" s="162">
        <f ca="1">VLOOKUP($A626,'BC.115+740'!$B$13:$X$4969,15,0)/1000</f>
        <v>-0.97899999999999998</v>
      </c>
      <c r="J626" s="162">
        <f ca="1">VLOOKUP($A626,'BC.115+740'!$B$13:$X$4969,20,0)/1000</f>
        <v>3.2919999999999998</v>
      </c>
      <c r="K626" s="162">
        <f ca="1">VLOOKUP($A626,'BC.115+740'!$B$13:$X$4969,21,0)/1000</f>
        <v>-0.70799999999999996</v>
      </c>
      <c r="L626" s="160">
        <f t="shared" ca="1" si="30"/>
        <v>-775</v>
      </c>
      <c r="M626" s="161">
        <f t="shared" ca="1" si="31"/>
        <v>-969</v>
      </c>
      <c r="N626" s="160">
        <f t="shared" ca="1" si="32"/>
        <v>-667.99999999999989</v>
      </c>
      <c r="O626" s="160"/>
    </row>
    <row r="627" spans="1:15">
      <c r="A627" s="164">
        <f>'BC.115+740'!B626</f>
        <v>45685</v>
      </c>
      <c r="B627" s="160">
        <f t="shared" si="29"/>
        <v>613</v>
      </c>
      <c r="C627" s="162">
        <f ca="1">'BC.115+740'!M626/1000</f>
        <v>3.2309999999999999</v>
      </c>
      <c r="D627" s="162">
        <f ca="1">'BC.115+740'!AA626</f>
        <v>4.109</v>
      </c>
      <c r="E627" s="163">
        <f ca="1">'BC.115+740'!AB626</f>
        <v>2.2719999999999998</v>
      </c>
      <c r="F627" s="162">
        <f ca="1">VLOOKUP($A627,'BC.115+740'!$B$13:$X$4969,8,0)/1000</f>
        <v>3.2650000000000001</v>
      </c>
      <c r="G627" s="162">
        <f ca="1">VLOOKUP($A627,'BC.115+740'!$B$13:$X$4969,9,0)/1000</f>
        <v>-0.73499999999999999</v>
      </c>
      <c r="H627" s="162">
        <f ca="1">VLOOKUP($A627,'BC.115+740'!$B$13:$X$4969,14,0)/1000</f>
        <v>3.0209999999999999</v>
      </c>
      <c r="I627" s="162">
        <f ca="1">VLOOKUP($A627,'BC.115+740'!$B$13:$X$4969,15,0)/1000</f>
        <v>-0.97899999999999998</v>
      </c>
      <c r="J627" s="162">
        <f ca="1">VLOOKUP($A627,'BC.115+740'!$B$13:$X$4969,20,0)/1000</f>
        <v>3.2919999999999998</v>
      </c>
      <c r="K627" s="162">
        <f ca="1">VLOOKUP($A627,'BC.115+740'!$B$13:$X$4969,21,0)/1000</f>
        <v>-0.70799999999999996</v>
      </c>
      <c r="L627" s="160">
        <f t="shared" ca="1" si="30"/>
        <v>-775</v>
      </c>
      <c r="M627" s="161">
        <f t="shared" ca="1" si="31"/>
        <v>-969</v>
      </c>
      <c r="N627" s="160">
        <f t="shared" ca="1" si="32"/>
        <v>-667.99999999999989</v>
      </c>
      <c r="O627" s="160"/>
    </row>
    <row r="628" spans="1:15">
      <c r="A628" s="164">
        <f>'BC.115+740'!B627</f>
        <v>45686</v>
      </c>
      <c r="B628" s="160">
        <f t="shared" si="29"/>
        <v>614</v>
      </c>
      <c r="C628" s="162">
        <f ca="1">'BC.115+740'!M627/1000</f>
        <v>3.23</v>
      </c>
      <c r="D628" s="162">
        <f ca="1">'BC.115+740'!AA627</f>
        <v>4.109</v>
      </c>
      <c r="E628" s="163">
        <f ca="1">'BC.115+740'!AB627</f>
        <v>2.27</v>
      </c>
      <c r="F628" s="162">
        <f ca="1">VLOOKUP($A628,'BC.115+740'!$B$13:$X$4969,8,0)/1000</f>
        <v>3.2650000000000001</v>
      </c>
      <c r="G628" s="162">
        <f ca="1">VLOOKUP($A628,'BC.115+740'!$B$13:$X$4969,9,0)/1000</f>
        <v>-0.73499999999999999</v>
      </c>
      <c r="H628" s="162">
        <f ca="1">VLOOKUP($A628,'BC.115+740'!$B$13:$X$4969,14,0)/1000</f>
        <v>3.02</v>
      </c>
      <c r="I628" s="162">
        <f ca="1">VLOOKUP($A628,'BC.115+740'!$B$13:$X$4969,15,0)/1000</f>
        <v>-0.98</v>
      </c>
      <c r="J628" s="162">
        <f ca="1">VLOOKUP($A628,'BC.115+740'!$B$13:$X$4969,20,0)/1000</f>
        <v>3.2909999999999999</v>
      </c>
      <c r="K628" s="162">
        <f ca="1">VLOOKUP($A628,'BC.115+740'!$B$13:$X$4969,21,0)/1000</f>
        <v>-0.70899999999999996</v>
      </c>
      <c r="L628" s="160">
        <f t="shared" ca="1" si="30"/>
        <v>-775</v>
      </c>
      <c r="M628" s="161">
        <f t="shared" ca="1" si="31"/>
        <v>-970</v>
      </c>
      <c r="N628" s="160">
        <f t="shared" ca="1" si="32"/>
        <v>-668.99999999999989</v>
      </c>
      <c r="O628" s="160"/>
    </row>
    <row r="629" spans="1:15">
      <c r="A629" s="164">
        <f>'BC.115+740'!B628</f>
        <v>45687</v>
      </c>
      <c r="B629" s="160">
        <f t="shared" si="29"/>
        <v>615</v>
      </c>
      <c r="C629" s="162">
        <f ca="1">'BC.115+740'!M628/1000</f>
        <v>3.2269999999999999</v>
      </c>
      <c r="D629" s="162">
        <f ca="1">'BC.115+740'!AA628</f>
        <v>4.109</v>
      </c>
      <c r="E629" s="163">
        <f ca="1">'BC.115+740'!AB628</f>
        <v>2.2639999999999998</v>
      </c>
      <c r="F629" s="162">
        <f ca="1">VLOOKUP($A629,'BC.115+740'!$B$13:$X$4969,8,0)/1000</f>
        <v>3.2629999999999999</v>
      </c>
      <c r="G629" s="162">
        <f ca="1">VLOOKUP($A629,'BC.115+740'!$B$13:$X$4969,9,0)/1000</f>
        <v>-0.73699999999999999</v>
      </c>
      <c r="H629" s="162">
        <f ca="1">VLOOKUP($A629,'BC.115+740'!$B$13:$X$4969,14,0)/1000</f>
        <v>3.0169999999999999</v>
      </c>
      <c r="I629" s="162">
        <f ca="1">VLOOKUP($A629,'BC.115+740'!$B$13:$X$4969,15,0)/1000</f>
        <v>-0.98299999999999998</v>
      </c>
      <c r="J629" s="162">
        <f ca="1">VLOOKUP($A629,'BC.115+740'!$B$13:$X$4969,20,0)/1000</f>
        <v>3.2909999999999999</v>
      </c>
      <c r="K629" s="162">
        <f ca="1">VLOOKUP($A629,'BC.115+740'!$B$13:$X$4969,21,0)/1000</f>
        <v>-0.70899999999999996</v>
      </c>
      <c r="L629" s="160">
        <f t="shared" ca="1" si="30"/>
        <v>-777</v>
      </c>
      <c r="M629" s="161">
        <f t="shared" ca="1" si="31"/>
        <v>-973</v>
      </c>
      <c r="N629" s="160">
        <f t="shared" ca="1" si="32"/>
        <v>-668.99999999999989</v>
      </c>
      <c r="O629" s="160"/>
    </row>
    <row r="630" spans="1:15">
      <c r="A630" s="164">
        <f>'BC.115+740'!B629</f>
        <v>45688</v>
      </c>
      <c r="B630" s="160">
        <f t="shared" si="29"/>
        <v>616</v>
      </c>
      <c r="C630" s="162">
        <f ca="1">'BC.115+740'!M629/1000</f>
        <v>3.2269999999999999</v>
      </c>
      <c r="D630" s="162">
        <f ca="1">'BC.115+740'!AA629</f>
        <v>4.109</v>
      </c>
      <c r="E630" s="163">
        <f ca="1">'BC.115+740'!AB629</f>
        <v>2.2639999999999998</v>
      </c>
      <c r="F630" s="162">
        <f ca="1">VLOOKUP($A630,'BC.115+740'!$B$13:$X$4969,8,0)/1000</f>
        <v>3.2629999999999999</v>
      </c>
      <c r="G630" s="162">
        <f ca="1">VLOOKUP($A630,'BC.115+740'!$B$13:$X$4969,9,0)/1000</f>
        <v>-0.73699999999999999</v>
      </c>
      <c r="H630" s="162">
        <f ca="1">VLOOKUP($A630,'BC.115+740'!$B$13:$X$4969,14,0)/1000</f>
        <v>3.0169999999999999</v>
      </c>
      <c r="I630" s="162">
        <f ca="1">VLOOKUP($A630,'BC.115+740'!$B$13:$X$4969,15,0)/1000</f>
        <v>-0.98299999999999998</v>
      </c>
      <c r="J630" s="162">
        <f ca="1">VLOOKUP($A630,'BC.115+740'!$B$13:$X$4969,20,0)/1000</f>
        <v>3.2909999999999999</v>
      </c>
      <c r="K630" s="162">
        <f ca="1">VLOOKUP($A630,'BC.115+740'!$B$13:$X$4969,21,0)/1000</f>
        <v>-0.70899999999999996</v>
      </c>
      <c r="L630" s="160">
        <f t="shared" ca="1" si="30"/>
        <v>-777</v>
      </c>
      <c r="M630" s="161">
        <f t="shared" ca="1" si="31"/>
        <v>-973</v>
      </c>
      <c r="N630" s="160">
        <f t="shared" ca="1" si="32"/>
        <v>-668.99999999999989</v>
      </c>
      <c r="O630" s="160"/>
    </row>
    <row r="631" spans="1:15">
      <c r="A631" s="164">
        <f>'BC.115+740'!B630</f>
        <v>45689</v>
      </c>
      <c r="B631" s="160">
        <f t="shared" si="29"/>
        <v>617</v>
      </c>
      <c r="C631" s="162">
        <f ca="1">'BC.115+740'!M630/1000</f>
        <v>3.226</v>
      </c>
      <c r="D631" s="162">
        <f ca="1">'BC.115+740'!AA630</f>
        <v>4.109</v>
      </c>
      <c r="E631" s="163">
        <f ca="1">'BC.115+740'!AB630</f>
        <v>2.262</v>
      </c>
      <c r="F631" s="162">
        <f ca="1">VLOOKUP($A631,'BC.115+740'!$B$13:$X$4969,8,0)/1000</f>
        <v>3.2610000000000001</v>
      </c>
      <c r="G631" s="162">
        <f ca="1">VLOOKUP($A631,'BC.115+740'!$B$13:$X$4969,9,0)/1000</f>
        <v>-0.73899999999999999</v>
      </c>
      <c r="H631" s="162">
        <f ca="1">VLOOKUP($A631,'BC.115+740'!$B$13:$X$4969,14,0)/1000</f>
        <v>3.016</v>
      </c>
      <c r="I631" s="162">
        <f ca="1">VLOOKUP($A631,'BC.115+740'!$B$13:$X$4969,15,0)/1000</f>
        <v>-0.98399999999999999</v>
      </c>
      <c r="J631" s="162">
        <f ca="1">VLOOKUP($A631,'BC.115+740'!$B$13:$X$4969,20,0)/1000</f>
        <v>3.2909999999999999</v>
      </c>
      <c r="K631" s="162">
        <f ca="1">VLOOKUP($A631,'BC.115+740'!$B$13:$X$4969,21,0)/1000</f>
        <v>-0.70899999999999996</v>
      </c>
      <c r="L631" s="160">
        <f t="shared" ca="1" si="30"/>
        <v>-779</v>
      </c>
      <c r="M631" s="161">
        <f t="shared" ca="1" si="31"/>
        <v>-974</v>
      </c>
      <c r="N631" s="160">
        <f t="shared" ca="1" si="32"/>
        <v>-668.99999999999989</v>
      </c>
      <c r="O631" s="160"/>
    </row>
    <row r="632" spans="1:15">
      <c r="A632" s="164">
        <f>'BC.115+740'!B631</f>
        <v>45690</v>
      </c>
      <c r="B632" s="160">
        <f t="shared" si="29"/>
        <v>618</v>
      </c>
      <c r="C632" s="162">
        <f ca="1">'BC.115+740'!M631/1000</f>
        <v>3.226</v>
      </c>
      <c r="D632" s="162">
        <f ca="1">'BC.115+740'!AA631</f>
        <v>4.109</v>
      </c>
      <c r="E632" s="163">
        <f ca="1">'BC.115+740'!AB631</f>
        <v>2.262</v>
      </c>
      <c r="F632" s="162">
        <f ca="1">VLOOKUP($A632,'BC.115+740'!$B$13:$X$4969,8,0)/1000</f>
        <v>3.2610000000000001</v>
      </c>
      <c r="G632" s="162">
        <f ca="1">VLOOKUP($A632,'BC.115+740'!$B$13:$X$4969,9,0)/1000</f>
        <v>-0.73899999999999999</v>
      </c>
      <c r="H632" s="162">
        <f ca="1">VLOOKUP($A632,'BC.115+740'!$B$13:$X$4969,14,0)/1000</f>
        <v>3.016</v>
      </c>
      <c r="I632" s="162">
        <f ca="1">VLOOKUP($A632,'BC.115+740'!$B$13:$X$4969,15,0)/1000</f>
        <v>-0.98399999999999999</v>
      </c>
      <c r="J632" s="162">
        <f ca="1">VLOOKUP($A632,'BC.115+740'!$B$13:$X$4969,20,0)/1000</f>
        <v>3.2890000000000001</v>
      </c>
      <c r="K632" s="162">
        <f ca="1">VLOOKUP($A632,'BC.115+740'!$B$13:$X$4969,21,0)/1000</f>
        <v>-0.71099999999999997</v>
      </c>
      <c r="L632" s="160">
        <f t="shared" ca="1" si="30"/>
        <v>-779</v>
      </c>
      <c r="M632" s="161">
        <f t="shared" ca="1" si="31"/>
        <v>-974</v>
      </c>
      <c r="N632" s="160">
        <f t="shared" ca="1" si="32"/>
        <v>-670.99999999999989</v>
      </c>
      <c r="O632" s="160"/>
    </row>
    <row r="633" spans="1:15">
      <c r="A633" s="164">
        <f>'BC.115+740'!B632</f>
        <v>45691</v>
      </c>
      <c r="B633" s="160">
        <f t="shared" si="29"/>
        <v>619</v>
      </c>
      <c r="C633" s="162">
        <f ca="1">'BC.115+740'!M632/1000</f>
        <v>3.226</v>
      </c>
      <c r="D633" s="162">
        <f ca="1">'BC.115+740'!AA632</f>
        <v>4.109</v>
      </c>
      <c r="E633" s="163">
        <f ca="1">'BC.115+740'!AB632</f>
        <v>2.262</v>
      </c>
      <c r="F633" s="162">
        <f ca="1">VLOOKUP($A633,'BC.115+740'!$B$13:$X$4969,8,0)/1000</f>
        <v>3.2610000000000001</v>
      </c>
      <c r="G633" s="162">
        <f ca="1">VLOOKUP($A633,'BC.115+740'!$B$13:$X$4969,9,0)/1000</f>
        <v>-0.73899999999999999</v>
      </c>
      <c r="H633" s="162">
        <f ca="1">VLOOKUP($A633,'BC.115+740'!$B$13:$X$4969,14,0)/1000</f>
        <v>3.016</v>
      </c>
      <c r="I633" s="162">
        <f ca="1">VLOOKUP($A633,'BC.115+740'!$B$13:$X$4969,15,0)/1000</f>
        <v>-0.98399999999999999</v>
      </c>
      <c r="J633" s="162">
        <f ca="1">VLOOKUP($A633,'BC.115+740'!$B$13:$X$4969,20,0)/1000</f>
        <v>3.2890000000000001</v>
      </c>
      <c r="K633" s="162">
        <f ca="1">VLOOKUP($A633,'BC.115+740'!$B$13:$X$4969,21,0)/1000</f>
        <v>-0.71099999999999997</v>
      </c>
      <c r="L633" s="160">
        <f t="shared" ca="1" si="30"/>
        <v>-779</v>
      </c>
      <c r="M633" s="161">
        <f t="shared" ca="1" si="31"/>
        <v>-974</v>
      </c>
      <c r="N633" s="160">
        <f t="shared" ca="1" si="32"/>
        <v>-670.99999999999989</v>
      </c>
      <c r="O633" s="160"/>
    </row>
    <row r="634" spans="1:15">
      <c r="A634" s="164">
        <f>'BC.115+740'!B633</f>
        <v>45692</v>
      </c>
      <c r="B634" s="160">
        <f t="shared" si="29"/>
        <v>620</v>
      </c>
      <c r="C634" s="162">
        <f ca="1">'BC.115+740'!M633/1000</f>
        <v>3.2240000000000002</v>
      </c>
      <c r="D634" s="162">
        <f ca="1">'BC.115+740'!AA633</f>
        <v>4.109</v>
      </c>
      <c r="E634" s="163">
        <f ca="1">'BC.115+740'!AB633</f>
        <v>2.258</v>
      </c>
      <c r="F634" s="162">
        <f ca="1">VLOOKUP($A634,'BC.115+740'!$B$13:$X$4969,8,0)/1000</f>
        <v>3.2610000000000001</v>
      </c>
      <c r="G634" s="162">
        <f ca="1">VLOOKUP($A634,'BC.115+740'!$B$13:$X$4969,9,0)/1000</f>
        <v>-0.73899999999999999</v>
      </c>
      <c r="H634" s="162">
        <f ca="1">VLOOKUP($A634,'BC.115+740'!$B$13:$X$4969,14,0)/1000</f>
        <v>3.0139999999999998</v>
      </c>
      <c r="I634" s="162">
        <f ca="1">VLOOKUP($A634,'BC.115+740'!$B$13:$X$4969,15,0)/1000</f>
        <v>-0.98599999999999999</v>
      </c>
      <c r="J634" s="162">
        <f ca="1">VLOOKUP($A634,'BC.115+740'!$B$13:$X$4969,20,0)/1000</f>
        <v>3.2890000000000001</v>
      </c>
      <c r="K634" s="162">
        <f ca="1">VLOOKUP($A634,'BC.115+740'!$B$13:$X$4969,21,0)/1000</f>
        <v>-0.71099999999999997</v>
      </c>
      <c r="L634" s="160">
        <f t="shared" ca="1" si="30"/>
        <v>-779</v>
      </c>
      <c r="M634" s="161">
        <f t="shared" ca="1" si="31"/>
        <v>-976</v>
      </c>
      <c r="N634" s="160">
        <f t="shared" ca="1" si="32"/>
        <v>-670.99999999999989</v>
      </c>
      <c r="O634" s="160"/>
    </row>
    <row r="635" spans="1:15">
      <c r="A635" s="164">
        <f>'BC.115+740'!B634</f>
        <v>45693</v>
      </c>
      <c r="B635" s="160">
        <f t="shared" si="29"/>
        <v>621</v>
      </c>
      <c r="C635" s="162">
        <f ca="1">'BC.115+740'!M634/1000</f>
        <v>3.2240000000000002</v>
      </c>
      <c r="D635" s="162">
        <f ca="1">'BC.115+740'!AA634</f>
        <v>4.109</v>
      </c>
      <c r="E635" s="163">
        <f ca="1">'BC.115+740'!AB634</f>
        <v>2.258</v>
      </c>
      <c r="F635" s="162">
        <f ca="1">VLOOKUP($A635,'BC.115+740'!$B$13:$X$4969,8,0)/1000</f>
        <v>3.2589999999999999</v>
      </c>
      <c r="G635" s="162">
        <f ca="1">VLOOKUP($A635,'BC.115+740'!$B$13:$X$4969,9,0)/1000</f>
        <v>-0.74099999999999999</v>
      </c>
      <c r="H635" s="162">
        <f ca="1">VLOOKUP($A635,'BC.115+740'!$B$13:$X$4969,14,0)/1000</f>
        <v>3.0139999999999998</v>
      </c>
      <c r="I635" s="162">
        <f ca="1">VLOOKUP($A635,'BC.115+740'!$B$13:$X$4969,15,0)/1000</f>
        <v>-0.98599999999999999</v>
      </c>
      <c r="J635" s="162">
        <f ca="1">VLOOKUP($A635,'BC.115+740'!$B$13:$X$4969,20,0)/1000</f>
        <v>3.2890000000000001</v>
      </c>
      <c r="K635" s="162">
        <f ca="1">VLOOKUP($A635,'BC.115+740'!$B$13:$X$4969,21,0)/1000</f>
        <v>-0.71099999999999997</v>
      </c>
      <c r="L635" s="160">
        <f t="shared" ca="1" si="30"/>
        <v>-781</v>
      </c>
      <c r="M635" s="161">
        <f t="shared" ca="1" si="31"/>
        <v>-976</v>
      </c>
      <c r="N635" s="160">
        <f t="shared" ca="1" si="32"/>
        <v>-670.99999999999989</v>
      </c>
      <c r="O635" s="160"/>
    </row>
    <row r="636" spans="1:15">
      <c r="A636" s="164">
        <f>'BC.115+740'!B635</f>
        <v>45694</v>
      </c>
      <c r="B636" s="160">
        <f t="shared" si="29"/>
        <v>622</v>
      </c>
      <c r="C636" s="162">
        <f ca="1">'BC.115+740'!M635/1000</f>
        <v>3.222</v>
      </c>
      <c r="D636" s="162">
        <f ca="1">'BC.115+740'!AA635</f>
        <v>4.109</v>
      </c>
      <c r="E636" s="163">
        <f ca="1">'BC.115+740'!AB635</f>
        <v>2.254</v>
      </c>
      <c r="F636" s="162">
        <f ca="1">VLOOKUP($A636,'BC.115+740'!$B$13:$X$4969,8,0)/1000</f>
        <v>3.2589999999999999</v>
      </c>
      <c r="G636" s="162">
        <f ca="1">VLOOKUP($A636,'BC.115+740'!$B$13:$X$4969,9,0)/1000</f>
        <v>-0.74099999999999999</v>
      </c>
      <c r="H636" s="162">
        <f ca="1">VLOOKUP($A636,'BC.115+740'!$B$13:$X$4969,14,0)/1000</f>
        <v>3.012</v>
      </c>
      <c r="I636" s="162">
        <f ca="1">VLOOKUP($A636,'BC.115+740'!$B$13:$X$4969,15,0)/1000</f>
        <v>-0.98799999999999999</v>
      </c>
      <c r="J636" s="162">
        <f ca="1">VLOOKUP($A636,'BC.115+740'!$B$13:$X$4969,20,0)/1000</f>
        <v>3.2879999999999998</v>
      </c>
      <c r="K636" s="162">
        <f ca="1">VLOOKUP($A636,'BC.115+740'!$B$13:$X$4969,21,0)/1000</f>
        <v>-0.71199999999999997</v>
      </c>
      <c r="L636" s="160">
        <f t="shared" ca="1" si="30"/>
        <v>-781</v>
      </c>
      <c r="M636" s="161">
        <f t="shared" ca="1" si="31"/>
        <v>-978</v>
      </c>
      <c r="N636" s="160">
        <f t="shared" ca="1" si="32"/>
        <v>-671.99999999999989</v>
      </c>
      <c r="O636" s="160"/>
    </row>
    <row r="637" spans="1:15">
      <c r="A637" s="164">
        <f>'BC.115+740'!B636</f>
        <v>45695</v>
      </c>
      <c r="B637" s="160">
        <f t="shared" si="29"/>
        <v>623</v>
      </c>
      <c r="C637" s="162">
        <f ca="1">'BC.115+740'!M636/1000</f>
        <v>3.222</v>
      </c>
      <c r="D637" s="162">
        <f ca="1">'BC.115+740'!AA636</f>
        <v>4.109</v>
      </c>
      <c r="E637" s="163">
        <f ca="1">'BC.115+740'!AB636</f>
        <v>2.254</v>
      </c>
      <c r="F637" s="162">
        <f ca="1">VLOOKUP($A637,'BC.115+740'!$B$13:$X$4969,8,0)/1000</f>
        <v>3.2589999999999999</v>
      </c>
      <c r="G637" s="162">
        <f ca="1">VLOOKUP($A637,'BC.115+740'!$B$13:$X$4969,9,0)/1000</f>
        <v>-0.74099999999999999</v>
      </c>
      <c r="H637" s="162">
        <f ca="1">VLOOKUP($A637,'BC.115+740'!$B$13:$X$4969,14,0)/1000</f>
        <v>3.012</v>
      </c>
      <c r="I637" s="162">
        <f ca="1">VLOOKUP($A637,'BC.115+740'!$B$13:$X$4969,15,0)/1000</f>
        <v>-0.98799999999999999</v>
      </c>
      <c r="J637" s="162">
        <f ca="1">VLOOKUP($A637,'BC.115+740'!$B$13:$X$4969,20,0)/1000</f>
        <v>3.2879999999999998</v>
      </c>
      <c r="K637" s="162">
        <f ca="1">VLOOKUP($A637,'BC.115+740'!$B$13:$X$4969,21,0)/1000</f>
        <v>-0.71199999999999997</v>
      </c>
      <c r="L637" s="160">
        <f t="shared" ca="1" si="30"/>
        <v>-781</v>
      </c>
      <c r="M637" s="161">
        <f t="shared" ca="1" si="31"/>
        <v>-978</v>
      </c>
      <c r="N637" s="160">
        <f t="shared" ca="1" si="32"/>
        <v>-671.99999999999989</v>
      </c>
      <c r="O637" s="160"/>
    </row>
    <row r="638" spans="1:15">
      <c r="A638" s="164">
        <f>'BC.115+740'!B637</f>
        <v>45696</v>
      </c>
      <c r="B638" s="160">
        <f t="shared" si="29"/>
        <v>624</v>
      </c>
      <c r="C638" s="162">
        <f ca="1">'BC.115+740'!M637/1000</f>
        <v>3.22</v>
      </c>
      <c r="D638" s="162">
        <f ca="1">'BC.115+740'!AA637</f>
        <v>4.109</v>
      </c>
      <c r="E638" s="163">
        <f ca="1">'BC.115+740'!AB637</f>
        <v>2.25</v>
      </c>
      <c r="F638" s="162">
        <f ca="1">VLOOKUP($A638,'BC.115+740'!$B$13:$X$4969,8,0)/1000</f>
        <v>3.2589999999999999</v>
      </c>
      <c r="G638" s="162">
        <f ca="1">VLOOKUP($A638,'BC.115+740'!$B$13:$X$4969,9,0)/1000</f>
        <v>-0.74099999999999999</v>
      </c>
      <c r="H638" s="162">
        <f ca="1">VLOOKUP($A638,'BC.115+740'!$B$13:$X$4969,14,0)/1000</f>
        <v>3.01</v>
      </c>
      <c r="I638" s="162">
        <f ca="1">VLOOKUP($A638,'BC.115+740'!$B$13:$X$4969,15,0)/1000</f>
        <v>-0.99</v>
      </c>
      <c r="J638" s="162">
        <f ca="1">VLOOKUP($A638,'BC.115+740'!$B$13:$X$4969,20,0)/1000</f>
        <v>3.2879999999999998</v>
      </c>
      <c r="K638" s="162">
        <f ca="1">VLOOKUP($A638,'BC.115+740'!$B$13:$X$4969,21,0)/1000</f>
        <v>-0.71199999999999997</v>
      </c>
      <c r="L638" s="160">
        <f t="shared" ca="1" si="30"/>
        <v>-781</v>
      </c>
      <c r="M638" s="161">
        <f t="shared" ca="1" si="31"/>
        <v>-980</v>
      </c>
      <c r="N638" s="160">
        <f t="shared" ca="1" si="32"/>
        <v>-671.99999999999989</v>
      </c>
      <c r="O638" s="160"/>
    </row>
    <row r="639" spans="1:15">
      <c r="A639" s="164">
        <f>'BC.115+740'!B638</f>
        <v>45697</v>
      </c>
      <c r="B639" s="160">
        <f t="shared" si="29"/>
        <v>625</v>
      </c>
      <c r="C639" s="162">
        <f ca="1">'BC.115+740'!M638/1000</f>
        <v>3.22</v>
      </c>
      <c r="D639" s="162">
        <f ca="1">'BC.115+740'!AA638</f>
        <v>4.109</v>
      </c>
      <c r="E639" s="163">
        <f ca="1">'BC.115+740'!AB638</f>
        <v>2.25</v>
      </c>
      <c r="F639" s="162">
        <f ca="1">VLOOKUP($A639,'BC.115+740'!$B$13:$X$4969,8,0)/1000</f>
        <v>3.258</v>
      </c>
      <c r="G639" s="162">
        <f ca="1">VLOOKUP($A639,'BC.115+740'!$B$13:$X$4969,9,0)/1000</f>
        <v>-0.74199999999999999</v>
      </c>
      <c r="H639" s="162">
        <f ca="1">VLOOKUP($A639,'BC.115+740'!$B$13:$X$4969,14,0)/1000</f>
        <v>3.01</v>
      </c>
      <c r="I639" s="162">
        <f ca="1">VLOOKUP($A639,'BC.115+740'!$B$13:$X$4969,15,0)/1000</f>
        <v>-0.99</v>
      </c>
      <c r="J639" s="162">
        <f ca="1">VLOOKUP($A639,'BC.115+740'!$B$13:$X$4969,20,0)/1000</f>
        <v>3.2879999999999998</v>
      </c>
      <c r="K639" s="162">
        <f ca="1">VLOOKUP($A639,'BC.115+740'!$B$13:$X$4969,21,0)/1000</f>
        <v>-0.71199999999999997</v>
      </c>
      <c r="L639" s="160">
        <f t="shared" ca="1" si="30"/>
        <v>-782</v>
      </c>
      <c r="M639" s="161">
        <f t="shared" ca="1" si="31"/>
        <v>-980</v>
      </c>
      <c r="N639" s="160">
        <f t="shared" ca="1" si="32"/>
        <v>-671.99999999999989</v>
      </c>
      <c r="O639" s="160"/>
    </row>
    <row r="640" spans="1:15">
      <c r="A640" s="164">
        <f>'BC.115+740'!B639</f>
        <v>45698</v>
      </c>
      <c r="B640" s="160">
        <f t="shared" si="29"/>
        <v>626</v>
      </c>
      <c r="C640" s="162">
        <f ca="1">'BC.115+740'!M639/1000</f>
        <v>3.22</v>
      </c>
      <c r="D640" s="162">
        <f ca="1">'BC.115+740'!AA639</f>
        <v>4.109</v>
      </c>
      <c r="E640" s="163">
        <f ca="1">'BC.115+740'!AB639</f>
        <v>2.25</v>
      </c>
      <c r="F640" s="162">
        <f ca="1">VLOOKUP($A640,'BC.115+740'!$B$13:$X$4969,8,0)/1000</f>
        <v>3.258</v>
      </c>
      <c r="G640" s="162">
        <f ca="1">VLOOKUP($A640,'BC.115+740'!$B$13:$X$4969,9,0)/1000</f>
        <v>-0.74199999999999999</v>
      </c>
      <c r="H640" s="162">
        <f ca="1">VLOOKUP($A640,'BC.115+740'!$B$13:$X$4969,14,0)/1000</f>
        <v>3.01</v>
      </c>
      <c r="I640" s="162">
        <f ca="1">VLOOKUP($A640,'BC.115+740'!$B$13:$X$4969,15,0)/1000</f>
        <v>-0.99</v>
      </c>
      <c r="J640" s="162">
        <f ca="1">VLOOKUP($A640,'BC.115+740'!$B$13:$X$4969,20,0)/1000</f>
        <v>3.2879999999999998</v>
      </c>
      <c r="K640" s="162">
        <f ca="1">VLOOKUP($A640,'BC.115+740'!$B$13:$X$4969,21,0)/1000</f>
        <v>-0.71199999999999997</v>
      </c>
      <c r="L640" s="160">
        <f t="shared" ca="1" si="30"/>
        <v>-782</v>
      </c>
      <c r="M640" s="161">
        <f t="shared" ca="1" si="31"/>
        <v>-980</v>
      </c>
      <c r="N640" s="160">
        <f t="shared" ca="1" si="32"/>
        <v>-671.99999999999989</v>
      </c>
      <c r="O640" s="160"/>
    </row>
    <row r="641" spans="1:15">
      <c r="A641" s="164">
        <f>'BC.115+740'!B640</f>
        <v>45699</v>
      </c>
      <c r="B641" s="160">
        <f t="shared" si="29"/>
        <v>627</v>
      </c>
      <c r="C641" s="162">
        <f ca="1">'BC.115+740'!M640/1000</f>
        <v>3.22</v>
      </c>
      <c r="D641" s="162">
        <f ca="1">'BC.115+740'!AA640</f>
        <v>4.109</v>
      </c>
      <c r="E641" s="163">
        <f ca="1">'BC.115+740'!AB640</f>
        <v>2.25</v>
      </c>
      <c r="F641" s="162">
        <f ca="1">VLOOKUP($A641,'BC.115+740'!$B$13:$X$4969,8,0)/1000</f>
        <v>3.2570000000000001</v>
      </c>
      <c r="G641" s="162">
        <f ca="1">VLOOKUP($A641,'BC.115+740'!$B$13:$X$4969,9,0)/1000</f>
        <v>-0.74299999999999999</v>
      </c>
      <c r="H641" s="162">
        <f ca="1">VLOOKUP($A641,'BC.115+740'!$B$13:$X$4969,14,0)/1000</f>
        <v>3.01</v>
      </c>
      <c r="I641" s="162">
        <f ca="1">VLOOKUP($A641,'BC.115+740'!$B$13:$X$4969,15,0)/1000</f>
        <v>-0.99</v>
      </c>
      <c r="J641" s="162">
        <f ca="1">VLOOKUP($A641,'BC.115+740'!$B$13:$X$4969,20,0)/1000</f>
        <v>3.2879999999999998</v>
      </c>
      <c r="K641" s="162">
        <f ca="1">VLOOKUP($A641,'BC.115+740'!$B$13:$X$4969,21,0)/1000</f>
        <v>-0.71199999999999997</v>
      </c>
      <c r="L641" s="160">
        <f t="shared" ca="1" si="30"/>
        <v>-783</v>
      </c>
      <c r="M641" s="161">
        <f t="shared" ca="1" si="31"/>
        <v>-980</v>
      </c>
      <c r="N641" s="160">
        <f t="shared" ca="1" si="32"/>
        <v>-671.99999999999989</v>
      </c>
      <c r="O641" s="160"/>
    </row>
    <row r="642" spans="1:15">
      <c r="A642" s="164">
        <f>'BC.115+740'!B641</f>
        <v>45700</v>
      </c>
      <c r="B642" s="160">
        <f t="shared" si="29"/>
        <v>628</v>
      </c>
      <c r="C642" s="162">
        <f ca="1">'BC.115+740'!M641/1000</f>
        <v>3.22</v>
      </c>
      <c r="D642" s="162">
        <f ca="1">'BC.115+740'!AA641</f>
        <v>4.109</v>
      </c>
      <c r="E642" s="163">
        <f ca="1">'BC.115+740'!AB641</f>
        <v>2.25</v>
      </c>
      <c r="F642" s="162">
        <f ca="1">VLOOKUP($A642,'BC.115+740'!$B$13:$X$4969,8,0)/1000</f>
        <v>3.2570000000000001</v>
      </c>
      <c r="G642" s="162">
        <f ca="1">VLOOKUP($A642,'BC.115+740'!$B$13:$X$4969,9,0)/1000</f>
        <v>-0.74299999999999999</v>
      </c>
      <c r="H642" s="162">
        <f ca="1">VLOOKUP($A642,'BC.115+740'!$B$13:$X$4969,14,0)/1000</f>
        <v>3.01</v>
      </c>
      <c r="I642" s="162">
        <f ca="1">VLOOKUP($A642,'BC.115+740'!$B$13:$X$4969,15,0)/1000</f>
        <v>-0.99</v>
      </c>
      <c r="J642" s="162">
        <f ca="1">VLOOKUP($A642,'BC.115+740'!$B$13:$X$4969,20,0)/1000</f>
        <v>3.2879999999999998</v>
      </c>
      <c r="K642" s="162">
        <f ca="1">VLOOKUP($A642,'BC.115+740'!$B$13:$X$4969,21,0)/1000</f>
        <v>-0.71199999999999997</v>
      </c>
      <c r="L642" s="160">
        <f t="shared" ca="1" si="30"/>
        <v>-783</v>
      </c>
      <c r="M642" s="161">
        <f t="shared" ca="1" si="31"/>
        <v>-980</v>
      </c>
      <c r="N642" s="160">
        <f t="shared" ca="1" si="32"/>
        <v>-671.99999999999989</v>
      </c>
      <c r="O642" s="160"/>
    </row>
    <row r="643" spans="1:15">
      <c r="A643" s="164">
        <f>'BC.115+740'!B642</f>
        <v>45701</v>
      </c>
      <c r="B643" s="160">
        <f t="shared" si="29"/>
        <v>629</v>
      </c>
      <c r="C643" s="162">
        <f ca="1">'BC.115+740'!M642/1000</f>
        <v>3.2189999999999999</v>
      </c>
      <c r="D643" s="162">
        <f ca="1">'BC.115+740'!AA642</f>
        <v>4.109</v>
      </c>
      <c r="E643" s="163">
        <f ca="1">'BC.115+740'!AB642</f>
        <v>2.2480000000000002</v>
      </c>
      <c r="F643" s="162">
        <f ca="1">VLOOKUP($A643,'BC.115+740'!$B$13:$X$4969,8,0)/1000</f>
        <v>3.2570000000000001</v>
      </c>
      <c r="G643" s="162">
        <f ca="1">VLOOKUP($A643,'BC.115+740'!$B$13:$X$4969,9,0)/1000</f>
        <v>-0.74299999999999999</v>
      </c>
      <c r="H643" s="162">
        <f ca="1">VLOOKUP($A643,'BC.115+740'!$B$13:$X$4969,14,0)/1000</f>
        <v>3.0089999999999999</v>
      </c>
      <c r="I643" s="162">
        <f ca="1">VLOOKUP($A643,'BC.115+740'!$B$13:$X$4969,15,0)/1000</f>
        <v>-0.99099999999999999</v>
      </c>
      <c r="J643" s="162">
        <f ca="1">VLOOKUP($A643,'BC.115+740'!$B$13:$X$4969,20,0)/1000</f>
        <v>3.2869999999999999</v>
      </c>
      <c r="K643" s="162">
        <f ca="1">VLOOKUP($A643,'BC.115+740'!$B$13:$X$4969,21,0)/1000</f>
        <v>-0.71299999999999997</v>
      </c>
      <c r="L643" s="160">
        <f t="shared" ca="1" si="30"/>
        <v>-783</v>
      </c>
      <c r="M643" s="161">
        <f t="shared" ca="1" si="31"/>
        <v>-981</v>
      </c>
      <c r="N643" s="160">
        <f t="shared" ca="1" si="32"/>
        <v>-672.99999999999989</v>
      </c>
      <c r="O643" s="160"/>
    </row>
    <row r="644" spans="1:15">
      <c r="A644" s="164">
        <f>'BC.115+740'!B643</f>
        <v>45702</v>
      </c>
      <c r="B644" s="160">
        <f t="shared" ref="B644:B704" si="33">+B643+1</f>
        <v>630</v>
      </c>
      <c r="C644" s="162">
        <f ca="1">'BC.115+740'!M643/1000</f>
        <v>3.2189999999999999</v>
      </c>
      <c r="D644" s="162">
        <f ca="1">'BC.115+740'!AA643</f>
        <v>4.109</v>
      </c>
      <c r="E644" s="163">
        <f ca="1">'BC.115+740'!AB643</f>
        <v>2.2480000000000002</v>
      </c>
      <c r="F644" s="162">
        <f ca="1">VLOOKUP($A644,'BC.115+740'!$B$13:$X$4969,8,0)/1000</f>
        <v>3.2570000000000001</v>
      </c>
      <c r="G644" s="162">
        <f ca="1">VLOOKUP($A644,'BC.115+740'!$B$13:$X$4969,9,0)/1000</f>
        <v>-0.74299999999999999</v>
      </c>
      <c r="H644" s="162">
        <f ca="1">VLOOKUP($A644,'BC.115+740'!$B$13:$X$4969,14,0)/1000</f>
        <v>3.0089999999999999</v>
      </c>
      <c r="I644" s="162">
        <f ca="1">VLOOKUP($A644,'BC.115+740'!$B$13:$X$4969,15,0)/1000</f>
        <v>-0.99099999999999999</v>
      </c>
      <c r="J644" s="162">
        <f ca="1">VLOOKUP($A644,'BC.115+740'!$B$13:$X$4969,20,0)/1000</f>
        <v>3.2869999999999999</v>
      </c>
      <c r="K644" s="162">
        <f ca="1">VLOOKUP($A644,'BC.115+740'!$B$13:$X$4969,21,0)/1000</f>
        <v>-0.71299999999999997</v>
      </c>
      <c r="L644" s="160">
        <f t="shared" ca="1" si="30"/>
        <v>-783</v>
      </c>
      <c r="M644" s="161">
        <f t="shared" ca="1" si="31"/>
        <v>-981</v>
      </c>
      <c r="N644" s="160">
        <f t="shared" ca="1" si="32"/>
        <v>-672.99999999999989</v>
      </c>
      <c r="O644" s="160"/>
    </row>
    <row r="645" spans="1:15">
      <c r="A645" s="164">
        <f>'BC.115+740'!B644</f>
        <v>45703</v>
      </c>
      <c r="B645" s="160">
        <f t="shared" si="33"/>
        <v>631</v>
      </c>
      <c r="C645" s="162">
        <f ca="1">'BC.115+740'!M644/1000</f>
        <v>3.218</v>
      </c>
      <c r="D645" s="162">
        <f ca="1">'BC.115+740'!AA644</f>
        <v>4.109</v>
      </c>
      <c r="E645" s="163">
        <f ca="1">'BC.115+740'!AB644</f>
        <v>2.246</v>
      </c>
      <c r="F645" s="162">
        <f ca="1">VLOOKUP($A645,'BC.115+740'!$B$13:$X$4969,8,0)/1000</f>
        <v>3.2559999999999998</v>
      </c>
      <c r="G645" s="162">
        <f ca="1">VLOOKUP($A645,'BC.115+740'!$B$13:$X$4969,9,0)/1000</f>
        <v>-0.74399999999999999</v>
      </c>
      <c r="H645" s="162">
        <f ca="1">VLOOKUP($A645,'BC.115+740'!$B$13:$X$4969,14,0)/1000</f>
        <v>3.008</v>
      </c>
      <c r="I645" s="162">
        <f ca="1">VLOOKUP($A645,'BC.115+740'!$B$13:$X$4969,15,0)/1000</f>
        <v>-0.99199999999999999</v>
      </c>
      <c r="J645" s="162">
        <f ca="1">VLOOKUP($A645,'BC.115+740'!$B$13:$X$4969,20,0)/1000</f>
        <v>3.2869999999999999</v>
      </c>
      <c r="K645" s="162">
        <f ca="1">VLOOKUP($A645,'BC.115+740'!$B$13:$X$4969,21,0)/1000</f>
        <v>-0.71299999999999997</v>
      </c>
      <c r="L645" s="160">
        <f t="shared" ca="1" si="30"/>
        <v>-784</v>
      </c>
      <c r="M645" s="161">
        <f t="shared" ca="1" si="31"/>
        <v>-982</v>
      </c>
      <c r="N645" s="160">
        <f t="shared" ca="1" si="32"/>
        <v>-672.99999999999989</v>
      </c>
      <c r="O645" s="160"/>
    </row>
    <row r="646" spans="1:15">
      <c r="A646" s="164">
        <f>'BC.115+740'!B645</f>
        <v>45704</v>
      </c>
      <c r="B646" s="160">
        <f t="shared" si="33"/>
        <v>632</v>
      </c>
      <c r="C646" s="162">
        <f ca="1">'BC.115+740'!M645/1000</f>
        <v>3.218</v>
      </c>
      <c r="D646" s="162">
        <f ca="1">'BC.115+740'!AA645</f>
        <v>4.109</v>
      </c>
      <c r="E646" s="163">
        <f ca="1">'BC.115+740'!AB645</f>
        <v>2.246</v>
      </c>
      <c r="F646" s="162">
        <f ca="1">VLOOKUP($A646,'BC.115+740'!$B$13:$X$4969,8,0)/1000</f>
        <v>3.2559999999999998</v>
      </c>
      <c r="G646" s="162">
        <f ca="1">VLOOKUP($A646,'BC.115+740'!$B$13:$X$4969,9,0)/1000</f>
        <v>-0.74399999999999999</v>
      </c>
      <c r="H646" s="162">
        <f ca="1">VLOOKUP($A646,'BC.115+740'!$B$13:$X$4969,14,0)/1000</f>
        <v>3.008</v>
      </c>
      <c r="I646" s="162">
        <f ca="1">VLOOKUP($A646,'BC.115+740'!$B$13:$X$4969,15,0)/1000</f>
        <v>-0.99199999999999999</v>
      </c>
      <c r="J646" s="162">
        <f ca="1">VLOOKUP($A646,'BC.115+740'!$B$13:$X$4969,20,0)/1000</f>
        <v>3.2869999999999999</v>
      </c>
      <c r="K646" s="162">
        <f ca="1">VLOOKUP($A646,'BC.115+740'!$B$13:$X$4969,21,0)/1000</f>
        <v>-0.71299999999999997</v>
      </c>
      <c r="L646" s="160">
        <f t="shared" ca="1" si="30"/>
        <v>-784</v>
      </c>
      <c r="M646" s="161">
        <f t="shared" ca="1" si="31"/>
        <v>-982</v>
      </c>
      <c r="N646" s="160">
        <f t="shared" ca="1" si="32"/>
        <v>-672.99999999999989</v>
      </c>
      <c r="O646" s="160"/>
    </row>
    <row r="647" spans="1:15">
      <c r="A647" s="164">
        <f>'BC.115+740'!B646</f>
        <v>45705</v>
      </c>
      <c r="B647" s="160">
        <f t="shared" si="33"/>
        <v>633</v>
      </c>
      <c r="C647" s="162">
        <f ca="1">'BC.115+740'!M646/1000</f>
        <v>3.218</v>
      </c>
      <c r="D647" s="162">
        <f ca="1">'BC.115+740'!AA646</f>
        <v>4.109</v>
      </c>
      <c r="E647" s="163">
        <f ca="1">'BC.115+740'!AB646</f>
        <v>2.246</v>
      </c>
      <c r="F647" s="162">
        <f ca="1">VLOOKUP($A647,'BC.115+740'!$B$13:$X$4969,8,0)/1000</f>
        <v>3.2559999999999998</v>
      </c>
      <c r="G647" s="162">
        <f ca="1">VLOOKUP($A647,'BC.115+740'!$B$13:$X$4969,9,0)/1000</f>
        <v>-0.74399999999999999</v>
      </c>
      <c r="H647" s="162">
        <f ca="1">VLOOKUP($A647,'BC.115+740'!$B$13:$X$4969,14,0)/1000</f>
        <v>3.008</v>
      </c>
      <c r="I647" s="162">
        <f ca="1">VLOOKUP($A647,'BC.115+740'!$B$13:$X$4969,15,0)/1000</f>
        <v>-0.99199999999999999</v>
      </c>
      <c r="J647" s="162">
        <f ca="1">VLOOKUP($A647,'BC.115+740'!$B$13:$X$4969,20,0)/1000</f>
        <v>3.2869999999999999</v>
      </c>
      <c r="K647" s="162">
        <f ca="1">VLOOKUP($A647,'BC.115+740'!$B$13:$X$4969,21,0)/1000</f>
        <v>-0.71299999999999997</v>
      </c>
      <c r="L647" s="160">
        <f t="shared" ca="1" si="30"/>
        <v>-784</v>
      </c>
      <c r="M647" s="161">
        <f t="shared" ca="1" si="31"/>
        <v>-982</v>
      </c>
      <c r="N647" s="160">
        <f t="shared" ca="1" si="32"/>
        <v>-672.99999999999989</v>
      </c>
      <c r="O647" s="160"/>
    </row>
    <row r="648" spans="1:15">
      <c r="A648" s="164">
        <f>'BC.115+740'!B647</f>
        <v>45706</v>
      </c>
      <c r="B648" s="160">
        <f t="shared" si="33"/>
        <v>634</v>
      </c>
      <c r="C648" s="162">
        <f ca="1">'BC.115+740'!M647/1000</f>
        <v>3.218</v>
      </c>
      <c r="D648" s="162">
        <f ca="1">'BC.115+740'!AA647</f>
        <v>4.109</v>
      </c>
      <c r="E648" s="163">
        <f ca="1">'BC.115+740'!AB647</f>
        <v>2.246</v>
      </c>
      <c r="F648" s="162">
        <f ca="1">VLOOKUP($A648,'BC.115+740'!$B$13:$X$4969,8,0)/1000</f>
        <v>3.254</v>
      </c>
      <c r="G648" s="162">
        <f ca="1">VLOOKUP($A648,'BC.115+740'!$B$13:$X$4969,9,0)/1000</f>
        <v>-0.746</v>
      </c>
      <c r="H648" s="162">
        <f ca="1">VLOOKUP($A648,'BC.115+740'!$B$13:$X$4969,14,0)/1000</f>
        <v>3.008</v>
      </c>
      <c r="I648" s="162">
        <f ca="1">VLOOKUP($A648,'BC.115+740'!$B$13:$X$4969,15,0)/1000</f>
        <v>-0.99199999999999999</v>
      </c>
      <c r="J648" s="162">
        <f ca="1">VLOOKUP($A648,'BC.115+740'!$B$13:$X$4969,20,0)/1000</f>
        <v>3.2869999999999999</v>
      </c>
      <c r="K648" s="162">
        <f ca="1">VLOOKUP($A648,'BC.115+740'!$B$13:$X$4969,21,0)/1000</f>
        <v>-0.71299999999999997</v>
      </c>
      <c r="L648" s="160">
        <f t="shared" ca="1" si="30"/>
        <v>-786</v>
      </c>
      <c r="M648" s="161">
        <f t="shared" ca="1" si="31"/>
        <v>-982</v>
      </c>
      <c r="N648" s="160">
        <f t="shared" ca="1" si="32"/>
        <v>-672.99999999999989</v>
      </c>
      <c r="O648" s="160"/>
    </row>
    <row r="649" spans="1:15">
      <c r="A649" s="164">
        <f>'BC.115+740'!B648</f>
        <v>45707</v>
      </c>
      <c r="B649" s="160">
        <f t="shared" si="33"/>
        <v>635</v>
      </c>
      <c r="C649" s="162">
        <f ca="1">'BC.115+740'!M648/1000</f>
        <v>3.218</v>
      </c>
      <c r="D649" s="162">
        <f ca="1">'BC.115+740'!AA648</f>
        <v>4.109</v>
      </c>
      <c r="E649" s="163">
        <f ca="1">'BC.115+740'!AB648</f>
        <v>2.246</v>
      </c>
      <c r="F649" s="162">
        <f ca="1">VLOOKUP($A649,'BC.115+740'!$B$13:$X$4969,8,0)/1000</f>
        <v>3.2509999999999999</v>
      </c>
      <c r="G649" s="162">
        <f ca="1">VLOOKUP($A649,'BC.115+740'!$B$13:$X$4969,9,0)/1000</f>
        <v>-0.749</v>
      </c>
      <c r="H649" s="162">
        <f ca="1">VLOOKUP($A649,'BC.115+740'!$B$13:$X$4969,14,0)/1000</f>
        <v>3.008</v>
      </c>
      <c r="I649" s="162">
        <f ca="1">VLOOKUP($A649,'BC.115+740'!$B$13:$X$4969,15,0)/1000</f>
        <v>-0.99199999999999999</v>
      </c>
      <c r="J649" s="162">
        <f ca="1">VLOOKUP($A649,'BC.115+740'!$B$13:$X$4969,20,0)/1000</f>
        <v>3.2869999999999999</v>
      </c>
      <c r="K649" s="162">
        <f ca="1">VLOOKUP($A649,'BC.115+740'!$B$13:$X$4969,21,0)/1000</f>
        <v>-0.71299999999999997</v>
      </c>
      <c r="L649" s="160">
        <f t="shared" ca="1" si="30"/>
        <v>-789</v>
      </c>
      <c r="M649" s="161">
        <f t="shared" ca="1" si="31"/>
        <v>-982</v>
      </c>
      <c r="N649" s="160">
        <f t="shared" ca="1" si="32"/>
        <v>-672.99999999999989</v>
      </c>
      <c r="O649" s="160"/>
    </row>
    <row r="650" spans="1:15">
      <c r="A650" s="164">
        <f>'BC.115+740'!B649</f>
        <v>45708</v>
      </c>
      <c r="B650" s="160">
        <f t="shared" si="33"/>
        <v>636</v>
      </c>
      <c r="C650" s="162">
        <f ca="1">'BC.115+740'!M649/1000</f>
        <v>3.218</v>
      </c>
      <c r="D650" s="162">
        <f ca="1">'BC.115+740'!AA649</f>
        <v>4.109</v>
      </c>
      <c r="E650" s="163">
        <f ca="1">'BC.115+740'!AB649</f>
        <v>2.246</v>
      </c>
      <c r="F650" s="162">
        <f ca="1">VLOOKUP($A650,'BC.115+740'!$B$13:$X$4969,8,0)/1000</f>
        <v>3.2490000000000001</v>
      </c>
      <c r="G650" s="162">
        <f ca="1">VLOOKUP($A650,'BC.115+740'!$B$13:$X$4969,9,0)/1000</f>
        <v>-0.751</v>
      </c>
      <c r="H650" s="162">
        <f ca="1">VLOOKUP($A650,'BC.115+740'!$B$13:$X$4969,14,0)/1000</f>
        <v>3.008</v>
      </c>
      <c r="I650" s="162">
        <f ca="1">VLOOKUP($A650,'BC.115+740'!$B$13:$X$4969,15,0)/1000</f>
        <v>-0.99199999999999999</v>
      </c>
      <c r="J650" s="162">
        <f ca="1">VLOOKUP($A650,'BC.115+740'!$B$13:$X$4969,20,0)/1000</f>
        <v>3.2850000000000001</v>
      </c>
      <c r="K650" s="162">
        <f ca="1">VLOOKUP($A650,'BC.115+740'!$B$13:$X$4969,21,0)/1000</f>
        <v>-0.71499999999999997</v>
      </c>
      <c r="L650" s="160">
        <f t="shared" ca="1" si="30"/>
        <v>-791</v>
      </c>
      <c r="M650" s="161">
        <f t="shared" ca="1" si="31"/>
        <v>-982</v>
      </c>
      <c r="N650" s="160">
        <f t="shared" ca="1" si="32"/>
        <v>-674.99999999999989</v>
      </c>
      <c r="O650" s="160"/>
    </row>
    <row r="651" spans="1:15">
      <c r="A651" s="164">
        <f>'BC.115+740'!B650</f>
        <v>45709</v>
      </c>
      <c r="B651" s="160">
        <f t="shared" si="33"/>
        <v>637</v>
      </c>
      <c r="C651" s="162">
        <f ca="1">'BC.115+740'!M650/1000</f>
        <v>3.218</v>
      </c>
      <c r="D651" s="162">
        <f ca="1">'BC.115+740'!AA650</f>
        <v>4.109</v>
      </c>
      <c r="E651" s="163">
        <f ca="1">'BC.115+740'!AB650</f>
        <v>2.246</v>
      </c>
      <c r="F651" s="162">
        <f ca="1">VLOOKUP($A651,'BC.115+740'!$B$13:$X$4969,8,0)/1000</f>
        <v>3.2469999999999999</v>
      </c>
      <c r="G651" s="162">
        <f ca="1">VLOOKUP($A651,'BC.115+740'!$B$13:$X$4969,9,0)/1000</f>
        <v>-0.753</v>
      </c>
      <c r="H651" s="162">
        <f ca="1">VLOOKUP($A651,'BC.115+740'!$B$13:$X$4969,14,0)/1000</f>
        <v>3.008</v>
      </c>
      <c r="I651" s="162">
        <f ca="1">VLOOKUP($A651,'BC.115+740'!$B$13:$X$4969,15,0)/1000</f>
        <v>-0.99199999999999999</v>
      </c>
      <c r="J651" s="162">
        <f ca="1">VLOOKUP($A651,'BC.115+740'!$B$13:$X$4969,20,0)/1000</f>
        <v>3.2850000000000001</v>
      </c>
      <c r="K651" s="162">
        <f ca="1">VLOOKUP($A651,'BC.115+740'!$B$13:$X$4969,21,0)/1000</f>
        <v>-0.71499999999999997</v>
      </c>
      <c r="L651" s="160">
        <f t="shared" ca="1" si="30"/>
        <v>-793</v>
      </c>
      <c r="M651" s="161">
        <f t="shared" ca="1" si="31"/>
        <v>-982</v>
      </c>
      <c r="N651" s="160">
        <f t="shared" ca="1" si="32"/>
        <v>-674.99999999999989</v>
      </c>
      <c r="O651" s="160"/>
    </row>
    <row r="652" spans="1:15">
      <c r="A652" s="164">
        <f>'BC.115+740'!B651</f>
        <v>45710</v>
      </c>
      <c r="B652" s="160">
        <f t="shared" si="33"/>
        <v>638</v>
      </c>
      <c r="C652" s="162">
        <f ca="1">'BC.115+740'!M651/1000</f>
        <v>3.218</v>
      </c>
      <c r="D652" s="162">
        <f ca="1">'BC.115+740'!AA651</f>
        <v>4.109</v>
      </c>
      <c r="E652" s="163">
        <f ca="1">'BC.115+740'!AB651</f>
        <v>2.246</v>
      </c>
      <c r="F652" s="162">
        <f ca="1">VLOOKUP($A652,'BC.115+740'!$B$13:$X$4969,8,0)/1000</f>
        <v>3.2450000000000001</v>
      </c>
      <c r="G652" s="162">
        <f ca="1">VLOOKUP($A652,'BC.115+740'!$B$13:$X$4969,9,0)/1000</f>
        <v>-0.755</v>
      </c>
      <c r="H652" s="162">
        <f ca="1">VLOOKUP($A652,'BC.115+740'!$B$13:$X$4969,14,0)/1000</f>
        <v>3.008</v>
      </c>
      <c r="I652" s="162">
        <f ca="1">VLOOKUP($A652,'BC.115+740'!$B$13:$X$4969,15,0)/1000</f>
        <v>-0.99199999999999999</v>
      </c>
      <c r="J652" s="162">
        <f ca="1">VLOOKUP($A652,'BC.115+740'!$B$13:$X$4969,20,0)/1000</f>
        <v>3.2850000000000001</v>
      </c>
      <c r="K652" s="162">
        <f ca="1">VLOOKUP($A652,'BC.115+740'!$B$13:$X$4969,21,0)/1000</f>
        <v>-0.71499999999999997</v>
      </c>
      <c r="L652" s="160">
        <f t="shared" ca="1" si="30"/>
        <v>-795</v>
      </c>
      <c r="M652" s="161">
        <f t="shared" ca="1" si="31"/>
        <v>-982</v>
      </c>
      <c r="N652" s="160">
        <f t="shared" ca="1" si="32"/>
        <v>-674.99999999999989</v>
      </c>
      <c r="O652" s="160"/>
    </row>
    <row r="653" spans="1:15">
      <c r="A653" s="164">
        <f>'BC.115+740'!B652</f>
        <v>45711</v>
      </c>
      <c r="B653" s="160">
        <f t="shared" si="33"/>
        <v>639</v>
      </c>
      <c r="C653" s="162">
        <f ca="1">'BC.115+740'!M652/1000</f>
        <v>3.2170000000000001</v>
      </c>
      <c r="D653" s="162">
        <f ca="1">'BC.115+740'!AA652</f>
        <v>4.109</v>
      </c>
      <c r="E653" s="163">
        <f ca="1">'BC.115+740'!AB652</f>
        <v>2.2440000000000002</v>
      </c>
      <c r="F653" s="162">
        <f ca="1">VLOOKUP($A653,'BC.115+740'!$B$13:$X$4969,8,0)/1000</f>
        <v>3.2429999999999999</v>
      </c>
      <c r="G653" s="162">
        <f ca="1">VLOOKUP($A653,'BC.115+740'!$B$13:$X$4969,9,0)/1000</f>
        <v>-0.75700000000000001</v>
      </c>
      <c r="H653" s="162">
        <f ca="1">VLOOKUP($A653,'BC.115+740'!$B$13:$X$4969,14,0)/1000</f>
        <v>3.0070000000000001</v>
      </c>
      <c r="I653" s="162">
        <f ca="1">VLOOKUP($A653,'BC.115+740'!$B$13:$X$4969,15,0)/1000</f>
        <v>-0.99299999999999999</v>
      </c>
      <c r="J653" s="162">
        <f ca="1">VLOOKUP($A653,'BC.115+740'!$B$13:$X$4969,20,0)/1000</f>
        <v>3.2850000000000001</v>
      </c>
      <c r="K653" s="162">
        <f ca="1">VLOOKUP($A653,'BC.115+740'!$B$13:$X$4969,21,0)/1000</f>
        <v>-0.71499999999999997</v>
      </c>
      <c r="L653" s="160">
        <f t="shared" ca="1" si="30"/>
        <v>-797</v>
      </c>
      <c r="M653" s="161">
        <f t="shared" ca="1" si="31"/>
        <v>-983</v>
      </c>
      <c r="N653" s="160">
        <f t="shared" ca="1" si="32"/>
        <v>-674.99999999999989</v>
      </c>
      <c r="O653" s="160"/>
    </row>
    <row r="654" spans="1:15">
      <c r="A654" s="164">
        <f>'BC.115+740'!B653</f>
        <v>45712</v>
      </c>
      <c r="B654" s="160">
        <f t="shared" si="33"/>
        <v>640</v>
      </c>
      <c r="C654" s="162">
        <f ca="1">'BC.115+740'!M653/1000</f>
        <v>3.2170000000000001</v>
      </c>
      <c r="D654" s="162">
        <f ca="1">'BC.115+740'!AA653</f>
        <v>4.109</v>
      </c>
      <c r="E654" s="163">
        <f ca="1">'BC.115+740'!AB653</f>
        <v>2.2440000000000002</v>
      </c>
      <c r="F654" s="162">
        <f ca="1">VLOOKUP($A654,'BC.115+740'!$B$13:$X$4969,8,0)/1000</f>
        <v>3.2410000000000001</v>
      </c>
      <c r="G654" s="162">
        <f ca="1">VLOOKUP($A654,'BC.115+740'!$B$13:$X$4969,9,0)/1000</f>
        <v>-0.75900000000000001</v>
      </c>
      <c r="H654" s="162">
        <f ca="1">VLOOKUP($A654,'BC.115+740'!$B$13:$X$4969,14,0)/1000</f>
        <v>3.0070000000000001</v>
      </c>
      <c r="I654" s="162">
        <f ca="1">VLOOKUP($A654,'BC.115+740'!$B$13:$X$4969,15,0)/1000</f>
        <v>-0.99299999999999999</v>
      </c>
      <c r="J654" s="162">
        <f ca="1">VLOOKUP($A654,'BC.115+740'!$B$13:$X$4969,20,0)/1000</f>
        <v>3.2850000000000001</v>
      </c>
      <c r="K654" s="162">
        <f ca="1">VLOOKUP($A654,'BC.115+740'!$B$13:$X$4969,21,0)/1000</f>
        <v>-0.71499999999999997</v>
      </c>
      <c r="L654" s="160">
        <f t="shared" ref="L654:L704" ca="1" si="34">(G654-$G$14)*1000</f>
        <v>-799</v>
      </c>
      <c r="M654" s="161">
        <f t="shared" ref="M654:M704" ca="1" si="35">(I654-$I$14)*1000</f>
        <v>-983</v>
      </c>
      <c r="N654" s="160">
        <f t="shared" ca="1" si="32"/>
        <v>-674.99999999999989</v>
      </c>
      <c r="O654" s="160"/>
    </row>
    <row r="655" spans="1:15">
      <c r="A655" s="164">
        <f>'BC.115+740'!B654</f>
        <v>45713</v>
      </c>
      <c r="B655" s="160">
        <f t="shared" si="33"/>
        <v>641</v>
      </c>
      <c r="C655" s="162">
        <f ca="1">'BC.115+740'!M654/1000</f>
        <v>3.2170000000000001</v>
      </c>
      <c r="D655" s="162">
        <f ca="1">'BC.115+740'!AA654</f>
        <v>4.109</v>
      </c>
      <c r="E655" s="163">
        <f ca="1">'BC.115+740'!AB654</f>
        <v>2.2440000000000002</v>
      </c>
      <c r="F655" s="162">
        <f ca="1">VLOOKUP($A655,'BC.115+740'!$B$13:$X$4969,8,0)/1000</f>
        <v>3.2389999999999999</v>
      </c>
      <c r="G655" s="162">
        <f ca="1">VLOOKUP($A655,'BC.115+740'!$B$13:$X$4969,9,0)/1000</f>
        <v>-0.76100000000000001</v>
      </c>
      <c r="H655" s="162">
        <f ca="1">VLOOKUP($A655,'BC.115+740'!$B$13:$X$4969,14,0)/1000</f>
        <v>3.0070000000000001</v>
      </c>
      <c r="I655" s="162">
        <f ca="1">VLOOKUP($A655,'BC.115+740'!$B$13:$X$4969,15,0)/1000</f>
        <v>-0.99299999999999999</v>
      </c>
      <c r="J655" s="162">
        <f ca="1">VLOOKUP($A655,'BC.115+740'!$B$13:$X$4969,20,0)/1000</f>
        <v>3.2850000000000001</v>
      </c>
      <c r="K655" s="162">
        <f ca="1">VLOOKUP($A655,'BC.115+740'!$B$13:$X$4969,21,0)/1000</f>
        <v>-0.71499999999999997</v>
      </c>
      <c r="L655" s="160">
        <f t="shared" ca="1" si="34"/>
        <v>-801</v>
      </c>
      <c r="M655" s="161">
        <f t="shared" ca="1" si="35"/>
        <v>-983</v>
      </c>
      <c r="N655" s="160">
        <f t="shared" ref="N655:N704" ca="1" si="36">(K655-$K$14)*1000</f>
        <v>-674.99999999999989</v>
      </c>
      <c r="O655" s="160"/>
    </row>
    <row r="656" spans="1:15">
      <c r="A656" s="164">
        <f>'BC.115+740'!B655</f>
        <v>45714</v>
      </c>
      <c r="B656" s="160">
        <f t="shared" si="33"/>
        <v>642</v>
      </c>
      <c r="C656" s="162">
        <f ca="1">'BC.115+740'!M655/1000</f>
        <v>3.2170000000000001</v>
      </c>
      <c r="D656" s="162">
        <f ca="1">'BC.115+740'!AA655</f>
        <v>4.109</v>
      </c>
      <c r="E656" s="163">
        <f ca="1">'BC.115+740'!AB655</f>
        <v>2.2440000000000002</v>
      </c>
      <c r="F656" s="162">
        <f ca="1">VLOOKUP($A656,'BC.115+740'!$B$13:$X$4969,8,0)/1000</f>
        <v>3.2360000000000002</v>
      </c>
      <c r="G656" s="162">
        <f ca="1">VLOOKUP($A656,'BC.115+740'!$B$13:$X$4969,9,0)/1000</f>
        <v>-0.76400000000000001</v>
      </c>
      <c r="H656" s="162">
        <f ca="1">VLOOKUP($A656,'BC.115+740'!$B$13:$X$4969,14,0)/1000</f>
        <v>3.0070000000000001</v>
      </c>
      <c r="I656" s="162">
        <f ca="1">VLOOKUP($A656,'BC.115+740'!$B$13:$X$4969,15,0)/1000</f>
        <v>-0.99299999999999999</v>
      </c>
      <c r="J656" s="162">
        <f ca="1">VLOOKUP($A656,'BC.115+740'!$B$13:$X$4969,20,0)/1000</f>
        <v>3.2850000000000001</v>
      </c>
      <c r="K656" s="162">
        <f ca="1">VLOOKUP($A656,'BC.115+740'!$B$13:$X$4969,21,0)/1000</f>
        <v>-0.71499999999999997</v>
      </c>
      <c r="L656" s="160">
        <f t="shared" ca="1" si="34"/>
        <v>-804</v>
      </c>
      <c r="M656" s="161">
        <f t="shared" ca="1" si="35"/>
        <v>-983</v>
      </c>
      <c r="N656" s="160">
        <f t="shared" ca="1" si="36"/>
        <v>-674.99999999999989</v>
      </c>
      <c r="O656" s="160"/>
    </row>
    <row r="657" spans="1:15">
      <c r="A657" s="164">
        <f>'BC.115+740'!B656</f>
        <v>45715</v>
      </c>
      <c r="B657" s="160">
        <f t="shared" si="33"/>
        <v>643</v>
      </c>
      <c r="C657" s="162">
        <f ca="1">'BC.115+740'!M656/1000</f>
        <v>3.5470000000000002</v>
      </c>
      <c r="D657" s="162">
        <f ca="1">'BC.115+740'!AA656</f>
        <v>4.444</v>
      </c>
      <c r="E657" s="163">
        <f ca="1">'BC.115+740'!AB656</f>
        <v>2.5640000000000001</v>
      </c>
      <c r="F657" s="162">
        <f ca="1">VLOOKUP($A657,'BC.115+740'!$B$13:$X$4969,8,0)/1000</f>
        <v>3.226</v>
      </c>
      <c r="G657" s="162">
        <f ca="1">VLOOKUP($A657,'BC.115+740'!$B$13:$X$4969,9,0)/1000</f>
        <v>-0.77400000000000002</v>
      </c>
      <c r="H657" s="162">
        <f ca="1">VLOOKUP($A657,'BC.115+740'!$B$13:$X$4969,14,0)/1000</f>
        <v>2.9969999999999999</v>
      </c>
      <c r="I657" s="162">
        <f ca="1">VLOOKUP($A657,'BC.115+740'!$B$13:$X$4969,15,0)/1000</f>
        <v>-1.0029999999999999</v>
      </c>
      <c r="J657" s="162">
        <f ca="1">VLOOKUP($A657,'BC.115+740'!$B$13:$X$4969,20,0)/1000</f>
        <v>3.28</v>
      </c>
      <c r="K657" s="162">
        <f ca="1">VLOOKUP($A657,'BC.115+740'!$B$13:$X$4969,21,0)/1000</f>
        <v>-0.72</v>
      </c>
      <c r="L657" s="160">
        <f t="shared" ca="1" si="34"/>
        <v>-814</v>
      </c>
      <c r="M657" s="161">
        <f t="shared" ca="1" si="35"/>
        <v>-992.99999999999989</v>
      </c>
      <c r="N657" s="160">
        <f t="shared" ca="1" si="36"/>
        <v>-679.99999999999989</v>
      </c>
      <c r="O657" s="160"/>
    </row>
    <row r="658" spans="1:15">
      <c r="A658" s="164">
        <f>'BC.115+740'!B657</f>
        <v>45716</v>
      </c>
      <c r="B658" s="160">
        <f t="shared" si="33"/>
        <v>644</v>
      </c>
      <c r="C658" s="162">
        <f ca="1">'BC.115+740'!M657/1000</f>
        <v>3.5369999999999999</v>
      </c>
      <c r="D658" s="162">
        <f ca="1">'BC.115+740'!AA657</f>
        <v>4.444</v>
      </c>
      <c r="E658" s="163">
        <f ca="1">'BC.115+740'!AB657</f>
        <v>2.544</v>
      </c>
      <c r="F658" s="162">
        <f ca="1">VLOOKUP($A658,'BC.115+740'!$B$13:$X$4969,8,0)/1000</f>
        <v>3.2160000000000002</v>
      </c>
      <c r="G658" s="162">
        <f ca="1">VLOOKUP($A658,'BC.115+740'!$B$13:$X$4969,9,0)/1000</f>
        <v>-0.78400000000000003</v>
      </c>
      <c r="H658" s="162">
        <f ca="1">VLOOKUP($A658,'BC.115+740'!$B$13:$X$4969,14,0)/1000</f>
        <v>2.9870000000000001</v>
      </c>
      <c r="I658" s="162">
        <f ca="1">VLOOKUP($A658,'BC.115+740'!$B$13:$X$4969,15,0)/1000</f>
        <v>-1.0129999999999999</v>
      </c>
      <c r="J658" s="162">
        <f ca="1">VLOOKUP($A658,'BC.115+740'!$B$13:$X$4969,20,0)/1000</f>
        <v>3.274</v>
      </c>
      <c r="K658" s="162">
        <f ca="1">VLOOKUP($A658,'BC.115+740'!$B$13:$X$4969,21,0)/1000</f>
        <v>-0.72599999999999998</v>
      </c>
      <c r="L658" s="160">
        <f t="shared" ca="1" si="34"/>
        <v>-824.00000000000011</v>
      </c>
      <c r="M658" s="161">
        <f t="shared" ca="1" si="35"/>
        <v>-1002.9999999999999</v>
      </c>
      <c r="N658" s="160">
        <f t="shared" ca="1" si="36"/>
        <v>-686</v>
      </c>
      <c r="O658" s="160"/>
    </row>
    <row r="659" spans="1:15">
      <c r="A659" s="164">
        <f>'BC.115+740'!B658</f>
        <v>45717</v>
      </c>
      <c r="B659" s="160">
        <f t="shared" si="33"/>
        <v>645</v>
      </c>
      <c r="C659" s="162">
        <f ca="1">'BC.115+740'!M658/1000</f>
        <v>3.5270000000000001</v>
      </c>
      <c r="D659" s="162">
        <f ca="1">'BC.115+740'!AA658</f>
        <v>4.444</v>
      </c>
      <c r="E659" s="163">
        <f ca="1">'BC.115+740'!AB658</f>
        <v>2.524</v>
      </c>
      <c r="F659" s="162">
        <f ca="1">VLOOKUP($A659,'BC.115+740'!$B$13:$X$4969,8,0)/1000</f>
        <v>3.206</v>
      </c>
      <c r="G659" s="162">
        <f ca="1">VLOOKUP($A659,'BC.115+740'!$B$13:$X$4969,9,0)/1000</f>
        <v>-0.79400000000000004</v>
      </c>
      <c r="H659" s="162">
        <f ca="1">VLOOKUP($A659,'BC.115+740'!$B$13:$X$4969,14,0)/1000</f>
        <v>2.9769999999999999</v>
      </c>
      <c r="I659" s="162">
        <f ca="1">VLOOKUP($A659,'BC.115+740'!$B$13:$X$4969,15,0)/1000</f>
        <v>-1.0229999999999999</v>
      </c>
      <c r="J659" s="162">
        <f ca="1">VLOOKUP($A659,'BC.115+740'!$B$13:$X$4969,20,0)/1000</f>
        <v>3.2669999999999999</v>
      </c>
      <c r="K659" s="162">
        <f ca="1">VLOOKUP($A659,'BC.115+740'!$B$13:$X$4969,21,0)/1000</f>
        <v>-0.73299999999999998</v>
      </c>
      <c r="L659" s="160">
        <f t="shared" ca="1" si="34"/>
        <v>-834.00000000000011</v>
      </c>
      <c r="M659" s="161">
        <f t="shared" ca="1" si="35"/>
        <v>-1012.9999999999999</v>
      </c>
      <c r="N659" s="160">
        <f t="shared" ca="1" si="36"/>
        <v>-693</v>
      </c>
      <c r="O659" s="160"/>
    </row>
    <row r="660" spans="1:15">
      <c r="A660" s="164">
        <f>'BC.115+740'!B659</f>
        <v>45718</v>
      </c>
      <c r="B660" s="160">
        <f t="shared" si="33"/>
        <v>646</v>
      </c>
      <c r="C660" s="162">
        <f ca="1">'BC.115+740'!M659/1000</f>
        <v>3.5169999999999999</v>
      </c>
      <c r="D660" s="162">
        <f ca="1">'BC.115+740'!AA659</f>
        <v>4.444</v>
      </c>
      <c r="E660" s="163">
        <f ca="1">'BC.115+740'!AB659</f>
        <v>2.504</v>
      </c>
      <c r="F660" s="162">
        <f ca="1">VLOOKUP($A660,'BC.115+740'!$B$13:$X$4969,8,0)/1000</f>
        <v>3.1960000000000002</v>
      </c>
      <c r="G660" s="162">
        <f ca="1">VLOOKUP($A660,'BC.115+740'!$B$13:$X$4969,9,0)/1000</f>
        <v>-0.80400000000000005</v>
      </c>
      <c r="H660" s="162">
        <f ca="1">VLOOKUP($A660,'BC.115+740'!$B$13:$X$4969,14,0)/1000</f>
        <v>2.9670000000000001</v>
      </c>
      <c r="I660" s="162">
        <f ca="1">VLOOKUP($A660,'BC.115+740'!$B$13:$X$4969,15,0)/1000</f>
        <v>-1.0329999999999999</v>
      </c>
      <c r="J660" s="162">
        <f ca="1">VLOOKUP($A660,'BC.115+740'!$B$13:$X$4969,20,0)/1000</f>
        <v>3.258</v>
      </c>
      <c r="K660" s="162">
        <f ca="1">VLOOKUP($A660,'BC.115+740'!$B$13:$X$4969,21,0)/1000</f>
        <v>-0.74199999999999999</v>
      </c>
      <c r="L660" s="160">
        <f t="shared" ca="1" si="34"/>
        <v>-844.00000000000011</v>
      </c>
      <c r="M660" s="161">
        <f t="shared" ca="1" si="35"/>
        <v>-1022.9999999999999</v>
      </c>
      <c r="N660" s="160">
        <f t="shared" ca="1" si="36"/>
        <v>-702</v>
      </c>
      <c r="O660" s="160"/>
    </row>
    <row r="661" spans="1:15">
      <c r="A661" s="164">
        <f>'BC.115+740'!B660</f>
        <v>45719</v>
      </c>
      <c r="B661" s="160">
        <f t="shared" si="33"/>
        <v>647</v>
      </c>
      <c r="C661" s="162">
        <f ca="1">'BC.115+740'!M660/1000</f>
        <v>3.5070000000000001</v>
      </c>
      <c r="D661" s="162">
        <f ca="1">'BC.115+740'!AA660</f>
        <v>4.444</v>
      </c>
      <c r="E661" s="163">
        <f ca="1">'BC.115+740'!AB660</f>
        <v>2.484</v>
      </c>
      <c r="F661" s="162">
        <f ca="1">VLOOKUP($A661,'BC.115+740'!$B$13:$X$4969,8,0)/1000</f>
        <v>3.1859999999999999</v>
      </c>
      <c r="G661" s="162">
        <f ca="1">VLOOKUP($A661,'BC.115+740'!$B$13:$X$4969,9,0)/1000</f>
        <v>-0.81399999999999995</v>
      </c>
      <c r="H661" s="162">
        <f ca="1">VLOOKUP($A661,'BC.115+740'!$B$13:$X$4969,14,0)/1000</f>
        <v>2.9569999999999999</v>
      </c>
      <c r="I661" s="162">
        <f ca="1">VLOOKUP($A661,'BC.115+740'!$B$13:$X$4969,15,0)/1000</f>
        <v>-1.0429999999999999</v>
      </c>
      <c r="J661" s="162">
        <f ca="1">VLOOKUP($A661,'BC.115+740'!$B$13:$X$4969,20,0)/1000</f>
        <v>3.2519999999999998</v>
      </c>
      <c r="K661" s="162">
        <f ca="1">VLOOKUP($A661,'BC.115+740'!$B$13:$X$4969,21,0)/1000</f>
        <v>-0.748</v>
      </c>
      <c r="L661" s="160">
        <f t="shared" ca="1" si="34"/>
        <v>-854</v>
      </c>
      <c r="M661" s="161">
        <f t="shared" ca="1" si="35"/>
        <v>-1033</v>
      </c>
      <c r="N661" s="160">
        <f t="shared" ca="1" si="36"/>
        <v>-708</v>
      </c>
      <c r="O661" s="160"/>
    </row>
    <row r="662" spans="1:15">
      <c r="A662" s="164">
        <f>'BC.115+740'!B661</f>
        <v>45720</v>
      </c>
      <c r="B662" s="160">
        <f t="shared" si="33"/>
        <v>648</v>
      </c>
      <c r="C662" s="162">
        <f ca="1">'BC.115+740'!M661/1000</f>
        <v>3.7970000000000002</v>
      </c>
      <c r="D662" s="162">
        <f ca="1">'BC.115+740'!AA661</f>
        <v>4.7359999999999998</v>
      </c>
      <c r="E662" s="163">
        <f ca="1">'BC.115+740'!AB661</f>
        <v>2.7639999999999998</v>
      </c>
      <c r="F662" s="162">
        <f ca="1">VLOOKUP($A662,'BC.115+740'!$B$13:$X$4969,8,0)/1000</f>
        <v>3.1760000000000002</v>
      </c>
      <c r="G662" s="162">
        <f ca="1">VLOOKUP($A662,'BC.115+740'!$B$13:$X$4969,9,0)/1000</f>
        <v>-0.82399999999999995</v>
      </c>
      <c r="H662" s="162">
        <f ca="1">VLOOKUP($A662,'BC.115+740'!$B$13:$X$4969,14,0)/1000</f>
        <v>2.9470000000000001</v>
      </c>
      <c r="I662" s="162">
        <f ca="1">VLOOKUP($A662,'BC.115+740'!$B$13:$X$4969,15,0)/1000</f>
        <v>-1.0529999999999999</v>
      </c>
      <c r="J662" s="162">
        <f ca="1">VLOOKUP($A662,'BC.115+740'!$B$13:$X$4969,20,0)/1000</f>
        <v>3.2440000000000002</v>
      </c>
      <c r="K662" s="162">
        <f ca="1">VLOOKUP($A662,'BC.115+740'!$B$13:$X$4969,21,0)/1000</f>
        <v>-0.75600000000000001</v>
      </c>
      <c r="L662" s="160">
        <f t="shared" ca="1" si="34"/>
        <v>-864</v>
      </c>
      <c r="M662" s="161">
        <f t="shared" ca="1" si="35"/>
        <v>-1043</v>
      </c>
      <c r="N662" s="160">
        <f t="shared" ca="1" si="36"/>
        <v>-716</v>
      </c>
      <c r="O662" s="160"/>
    </row>
    <row r="663" spans="1:15">
      <c r="A663" s="164">
        <f>'BC.115+740'!B662</f>
        <v>45721</v>
      </c>
      <c r="B663" s="160">
        <f t="shared" si="33"/>
        <v>649</v>
      </c>
      <c r="C663" s="162">
        <f ca="1">'BC.115+740'!M662/1000</f>
        <v>3.7869999999999999</v>
      </c>
      <c r="D663" s="162">
        <f ca="1">'BC.115+740'!AA662</f>
        <v>4.7359999999999998</v>
      </c>
      <c r="E663" s="163">
        <f ca="1">'BC.115+740'!AB662</f>
        <v>2.7440000000000002</v>
      </c>
      <c r="F663" s="162">
        <f ca="1">VLOOKUP($A663,'BC.115+740'!$B$13:$X$4969,8,0)/1000</f>
        <v>3.1659999999999999</v>
      </c>
      <c r="G663" s="162">
        <f ca="1">VLOOKUP($A663,'BC.115+740'!$B$13:$X$4969,9,0)/1000</f>
        <v>-0.83399999999999996</v>
      </c>
      <c r="H663" s="162">
        <f ca="1">VLOOKUP($A663,'BC.115+740'!$B$13:$X$4969,14,0)/1000</f>
        <v>2.9369999999999998</v>
      </c>
      <c r="I663" s="162">
        <f ca="1">VLOOKUP($A663,'BC.115+740'!$B$13:$X$4969,15,0)/1000</f>
        <v>-1.0629999999999999</v>
      </c>
      <c r="J663" s="162">
        <f ca="1">VLOOKUP($A663,'BC.115+740'!$B$13:$X$4969,20,0)/1000</f>
        <v>3.238</v>
      </c>
      <c r="K663" s="162">
        <f ca="1">VLOOKUP($A663,'BC.115+740'!$B$13:$X$4969,21,0)/1000</f>
        <v>-0.76200000000000001</v>
      </c>
      <c r="L663" s="160">
        <f t="shared" ca="1" si="34"/>
        <v>-874</v>
      </c>
      <c r="M663" s="161">
        <f t="shared" ca="1" si="35"/>
        <v>-1053</v>
      </c>
      <c r="N663" s="160">
        <f t="shared" ca="1" si="36"/>
        <v>-722</v>
      </c>
      <c r="O663" s="160"/>
    </row>
    <row r="664" spans="1:15">
      <c r="A664" s="164">
        <f>'BC.115+740'!B663</f>
        <v>45722</v>
      </c>
      <c r="B664" s="160">
        <f t="shared" si="33"/>
        <v>650</v>
      </c>
      <c r="C664" s="162">
        <f ca="1">'BC.115+740'!M663/1000</f>
        <v>3.7770000000000001</v>
      </c>
      <c r="D664" s="162">
        <f ca="1">'BC.115+740'!AA663</f>
        <v>4.7359999999999998</v>
      </c>
      <c r="E664" s="163">
        <f ca="1">'BC.115+740'!AB663</f>
        <v>2.7240000000000002</v>
      </c>
      <c r="F664" s="162">
        <f ca="1">VLOOKUP($A664,'BC.115+740'!$B$13:$X$4969,8,0)/1000</f>
        <v>3.1560000000000001</v>
      </c>
      <c r="G664" s="162">
        <f ca="1">VLOOKUP($A664,'BC.115+740'!$B$13:$X$4969,9,0)/1000</f>
        <v>-0.84399999999999997</v>
      </c>
      <c r="H664" s="162">
        <f ca="1">VLOOKUP($A664,'BC.115+740'!$B$13:$X$4969,14,0)/1000</f>
        <v>2.927</v>
      </c>
      <c r="I664" s="162">
        <f ca="1">VLOOKUP($A664,'BC.115+740'!$B$13:$X$4969,15,0)/1000</f>
        <v>-1.073</v>
      </c>
      <c r="J664" s="162">
        <f ca="1">VLOOKUP($A664,'BC.115+740'!$B$13:$X$4969,20,0)/1000</f>
        <v>3.2290000000000001</v>
      </c>
      <c r="K664" s="162">
        <f ca="1">VLOOKUP($A664,'BC.115+740'!$B$13:$X$4969,21,0)/1000</f>
        <v>-0.77100000000000002</v>
      </c>
      <c r="L664" s="160">
        <f t="shared" ca="1" si="34"/>
        <v>-884</v>
      </c>
      <c r="M664" s="161">
        <f t="shared" ca="1" si="35"/>
        <v>-1063</v>
      </c>
      <c r="N664" s="160">
        <f t="shared" ca="1" si="36"/>
        <v>-731</v>
      </c>
      <c r="O664" s="160"/>
    </row>
    <row r="665" spans="1:15">
      <c r="A665" s="164">
        <f>'BC.115+740'!B664</f>
        <v>45723</v>
      </c>
      <c r="B665" s="160">
        <f t="shared" si="33"/>
        <v>651</v>
      </c>
      <c r="C665" s="162">
        <f ca="1">'BC.115+740'!M664/1000</f>
        <v>3.7669999999999999</v>
      </c>
      <c r="D665" s="162">
        <f ca="1">'BC.115+740'!AA664</f>
        <v>4.7359999999999998</v>
      </c>
      <c r="E665" s="163">
        <f ca="1">'BC.115+740'!AB664</f>
        <v>2.7040000000000002</v>
      </c>
      <c r="F665" s="162">
        <f ca="1">VLOOKUP($A665,'BC.115+740'!$B$13:$X$4969,8,0)/1000</f>
        <v>3.1459999999999999</v>
      </c>
      <c r="G665" s="162">
        <f ca="1">VLOOKUP($A665,'BC.115+740'!$B$13:$X$4969,9,0)/1000</f>
        <v>-0.85399999999999998</v>
      </c>
      <c r="H665" s="162">
        <f ca="1">VLOOKUP($A665,'BC.115+740'!$B$13:$X$4969,14,0)/1000</f>
        <v>2.9169999999999998</v>
      </c>
      <c r="I665" s="162">
        <f ca="1">VLOOKUP($A665,'BC.115+740'!$B$13:$X$4969,15,0)/1000</f>
        <v>-1.083</v>
      </c>
      <c r="J665" s="162">
        <f ca="1">VLOOKUP($A665,'BC.115+740'!$B$13:$X$4969,20,0)/1000</f>
        <v>3.22</v>
      </c>
      <c r="K665" s="162">
        <f ca="1">VLOOKUP($A665,'BC.115+740'!$B$13:$X$4969,21,0)/1000</f>
        <v>-0.78</v>
      </c>
      <c r="L665" s="160">
        <f t="shared" ca="1" si="34"/>
        <v>-894</v>
      </c>
      <c r="M665" s="161">
        <f t="shared" ca="1" si="35"/>
        <v>-1073</v>
      </c>
      <c r="N665" s="160">
        <f t="shared" ca="1" si="36"/>
        <v>-740</v>
      </c>
      <c r="O665" s="160"/>
    </row>
    <row r="666" spans="1:15">
      <c r="A666" s="164">
        <f>'BC.115+740'!B665</f>
        <v>45724</v>
      </c>
      <c r="B666" s="160">
        <f t="shared" si="33"/>
        <v>652</v>
      </c>
      <c r="C666" s="162">
        <f ca="1">'BC.115+740'!M665/1000</f>
        <v>3.7570000000000001</v>
      </c>
      <c r="D666" s="162">
        <f ca="1">'BC.115+740'!AA665</f>
        <v>4.7359999999999998</v>
      </c>
      <c r="E666" s="163">
        <f ca="1">'BC.115+740'!AB665</f>
        <v>2.6840000000000002</v>
      </c>
      <c r="F666" s="162">
        <f ca="1">VLOOKUP($A666,'BC.115+740'!$B$13:$X$4969,8,0)/1000</f>
        <v>3.1360000000000001</v>
      </c>
      <c r="G666" s="162">
        <f ca="1">VLOOKUP($A666,'BC.115+740'!$B$13:$X$4969,9,0)/1000</f>
        <v>-0.86399999999999999</v>
      </c>
      <c r="H666" s="162">
        <f ca="1">VLOOKUP($A666,'BC.115+740'!$B$13:$X$4969,14,0)/1000</f>
        <v>2.907</v>
      </c>
      <c r="I666" s="162">
        <f ca="1">VLOOKUP($A666,'BC.115+740'!$B$13:$X$4969,15,0)/1000</f>
        <v>-1.093</v>
      </c>
      <c r="J666" s="162">
        <f ca="1">VLOOKUP($A666,'BC.115+740'!$B$13:$X$4969,20,0)/1000</f>
        <v>3.2109999999999999</v>
      </c>
      <c r="K666" s="162">
        <f ca="1">VLOOKUP($A666,'BC.115+740'!$B$13:$X$4969,21,0)/1000</f>
        <v>-0.78900000000000003</v>
      </c>
      <c r="L666" s="160">
        <f t="shared" ca="1" si="34"/>
        <v>-904</v>
      </c>
      <c r="M666" s="161">
        <f t="shared" ca="1" si="35"/>
        <v>-1083</v>
      </c>
      <c r="N666" s="160">
        <f t="shared" ca="1" si="36"/>
        <v>-749</v>
      </c>
      <c r="O666" s="160"/>
    </row>
    <row r="667" spans="1:15">
      <c r="A667" s="164">
        <f>'BC.115+740'!B666</f>
        <v>45725</v>
      </c>
      <c r="B667" s="160">
        <f t="shared" si="33"/>
        <v>653</v>
      </c>
      <c r="C667" s="162">
        <f ca="1">'BC.115+740'!M666/1000</f>
        <v>4.0890000000000004</v>
      </c>
      <c r="D667" s="162">
        <f ca="1">'BC.115+740'!AA666</f>
        <v>5.0709999999999997</v>
      </c>
      <c r="E667" s="163">
        <f ca="1">'BC.115+740'!AB666</f>
        <v>3.008</v>
      </c>
      <c r="F667" s="162">
        <f ca="1">VLOOKUP($A667,'BC.115+740'!$B$13:$X$4969,8,0)/1000</f>
        <v>3.1259999999999999</v>
      </c>
      <c r="G667" s="162">
        <f ca="1">VLOOKUP($A667,'BC.115+740'!$B$13:$X$4969,9,0)/1000</f>
        <v>-0.874</v>
      </c>
      <c r="H667" s="162">
        <f ca="1">VLOOKUP($A667,'BC.115+740'!$B$13:$X$4969,14,0)/1000</f>
        <v>2.899</v>
      </c>
      <c r="I667" s="162">
        <f ca="1">VLOOKUP($A667,'BC.115+740'!$B$13:$X$4969,15,0)/1000</f>
        <v>-1.101</v>
      </c>
      <c r="J667" s="162">
        <f ca="1">VLOOKUP($A667,'BC.115+740'!$B$13:$X$4969,20,0)/1000</f>
        <v>3.206</v>
      </c>
      <c r="K667" s="162">
        <f ca="1">VLOOKUP($A667,'BC.115+740'!$B$13:$X$4969,21,0)/1000</f>
        <v>-0.79400000000000004</v>
      </c>
      <c r="L667" s="160">
        <f t="shared" ca="1" si="34"/>
        <v>-914</v>
      </c>
      <c r="M667" s="161">
        <f t="shared" ca="1" si="35"/>
        <v>-1091</v>
      </c>
      <c r="N667" s="160">
        <f t="shared" ca="1" si="36"/>
        <v>-754</v>
      </c>
      <c r="O667" s="160"/>
    </row>
    <row r="668" spans="1:15">
      <c r="A668" s="164">
        <f>'BC.115+740'!B667</f>
        <v>45726</v>
      </c>
      <c r="B668" s="160">
        <f t="shared" si="33"/>
        <v>654</v>
      </c>
      <c r="C668" s="162">
        <f ca="1">'BC.115+740'!M667/1000</f>
        <v>4.0789999999999997</v>
      </c>
      <c r="D668" s="162">
        <f ca="1">'BC.115+740'!AA667</f>
        <v>5.0709999999999997</v>
      </c>
      <c r="E668" s="163">
        <f ca="1">'BC.115+740'!AB667</f>
        <v>2.988</v>
      </c>
      <c r="F668" s="162">
        <f ca="1">VLOOKUP($A668,'BC.115+740'!$B$13:$X$4969,8,0)/1000</f>
        <v>3.1160000000000001</v>
      </c>
      <c r="G668" s="162">
        <f ca="1">VLOOKUP($A668,'BC.115+740'!$B$13:$X$4969,9,0)/1000</f>
        <v>-0.88400000000000001</v>
      </c>
      <c r="H668" s="162">
        <f ca="1">VLOOKUP($A668,'BC.115+740'!$B$13:$X$4969,14,0)/1000</f>
        <v>2.8889999999999998</v>
      </c>
      <c r="I668" s="162">
        <f ca="1">VLOOKUP($A668,'BC.115+740'!$B$13:$X$4969,15,0)/1000</f>
        <v>-1.111</v>
      </c>
      <c r="J668" s="162">
        <f ca="1">VLOOKUP($A668,'BC.115+740'!$B$13:$X$4969,20,0)/1000</f>
        <v>3.198</v>
      </c>
      <c r="K668" s="162">
        <f ca="1">VLOOKUP($A668,'BC.115+740'!$B$13:$X$4969,21,0)/1000</f>
        <v>-0.80200000000000005</v>
      </c>
      <c r="L668" s="160">
        <f t="shared" ca="1" si="34"/>
        <v>-924</v>
      </c>
      <c r="M668" s="161">
        <f t="shared" ca="1" si="35"/>
        <v>-1101</v>
      </c>
      <c r="N668" s="160">
        <f t="shared" ca="1" si="36"/>
        <v>-762</v>
      </c>
      <c r="O668" s="160"/>
    </row>
    <row r="669" spans="1:15">
      <c r="A669" s="164">
        <f>'BC.115+740'!B668</f>
        <v>45727</v>
      </c>
      <c r="B669" s="160">
        <f t="shared" si="33"/>
        <v>655</v>
      </c>
      <c r="C669" s="162">
        <f ca="1">'BC.115+740'!M668/1000</f>
        <v>4.069</v>
      </c>
      <c r="D669" s="162">
        <f ca="1">'BC.115+740'!AA668</f>
        <v>5.0709999999999997</v>
      </c>
      <c r="E669" s="163">
        <f ca="1">'BC.115+740'!AB668</f>
        <v>2.968</v>
      </c>
      <c r="F669" s="162">
        <f ca="1">VLOOKUP($A669,'BC.115+740'!$B$13:$X$4969,8,0)/1000</f>
        <v>3.1059999999999999</v>
      </c>
      <c r="G669" s="162">
        <f ca="1">VLOOKUP($A669,'BC.115+740'!$B$13:$X$4969,9,0)/1000</f>
        <v>-0.89400000000000002</v>
      </c>
      <c r="H669" s="162">
        <f ca="1">VLOOKUP($A669,'BC.115+740'!$B$13:$X$4969,14,0)/1000</f>
        <v>2.879</v>
      </c>
      <c r="I669" s="162">
        <f ca="1">VLOOKUP($A669,'BC.115+740'!$B$13:$X$4969,15,0)/1000</f>
        <v>-1.121</v>
      </c>
      <c r="J669" s="162">
        <f ca="1">VLOOKUP($A669,'BC.115+740'!$B$13:$X$4969,20,0)/1000</f>
        <v>3.1909999999999998</v>
      </c>
      <c r="K669" s="162">
        <f ca="1">VLOOKUP($A669,'BC.115+740'!$B$13:$X$4969,21,0)/1000</f>
        <v>-0.80900000000000005</v>
      </c>
      <c r="L669" s="160">
        <f t="shared" ca="1" si="34"/>
        <v>-934</v>
      </c>
      <c r="M669" s="161">
        <f t="shared" ca="1" si="35"/>
        <v>-1111</v>
      </c>
      <c r="N669" s="160">
        <f t="shared" ca="1" si="36"/>
        <v>-769</v>
      </c>
      <c r="O669" s="160"/>
    </row>
    <row r="670" spans="1:15">
      <c r="A670" s="164">
        <f>'BC.115+740'!B669</f>
        <v>45728</v>
      </c>
      <c r="B670" s="160">
        <f t="shared" si="33"/>
        <v>656</v>
      </c>
      <c r="C670" s="162">
        <f ca="1">'BC.115+740'!M669/1000</f>
        <v>4.0590000000000002</v>
      </c>
      <c r="D670" s="162">
        <f ca="1">'BC.115+740'!AA669</f>
        <v>5.0709999999999997</v>
      </c>
      <c r="E670" s="163">
        <f ca="1">'BC.115+740'!AB669</f>
        <v>2.948</v>
      </c>
      <c r="F670" s="162">
        <f ca="1">VLOOKUP($A670,'BC.115+740'!$B$13:$X$4969,8,0)/1000</f>
        <v>3.0960000000000001</v>
      </c>
      <c r="G670" s="162">
        <f ca="1">VLOOKUP($A670,'BC.115+740'!$B$13:$X$4969,9,0)/1000</f>
        <v>-0.90400000000000003</v>
      </c>
      <c r="H670" s="162">
        <f ca="1">VLOOKUP($A670,'BC.115+740'!$B$13:$X$4969,14,0)/1000</f>
        <v>2.8690000000000002</v>
      </c>
      <c r="I670" s="162">
        <f ca="1">VLOOKUP($A670,'BC.115+740'!$B$13:$X$4969,15,0)/1000</f>
        <v>-1.131</v>
      </c>
      <c r="J670" s="162">
        <f ca="1">VLOOKUP($A670,'BC.115+740'!$B$13:$X$4969,20,0)/1000</f>
        <v>3.1850000000000001</v>
      </c>
      <c r="K670" s="162">
        <f ca="1">VLOOKUP($A670,'BC.115+740'!$B$13:$X$4969,21,0)/1000</f>
        <v>-0.81499999999999995</v>
      </c>
      <c r="L670" s="160">
        <f t="shared" ca="1" si="34"/>
        <v>-944.00000000000011</v>
      </c>
      <c r="M670" s="161">
        <f t="shared" ca="1" si="35"/>
        <v>-1121</v>
      </c>
      <c r="N670" s="160">
        <f t="shared" ca="1" si="36"/>
        <v>-774.99999999999989</v>
      </c>
      <c r="O670" s="160"/>
    </row>
    <row r="671" spans="1:15">
      <c r="A671" s="164">
        <f>'BC.115+740'!B670</f>
        <v>45729</v>
      </c>
      <c r="B671" s="160">
        <f t="shared" si="33"/>
        <v>657</v>
      </c>
      <c r="C671" s="162">
        <f ca="1">'BC.115+740'!M670/1000</f>
        <v>4.05</v>
      </c>
      <c r="D671" s="162">
        <f ca="1">'BC.115+740'!AA670</f>
        <v>5.0709999999999997</v>
      </c>
      <c r="E671" s="163">
        <f ca="1">'BC.115+740'!AB670</f>
        <v>2.93</v>
      </c>
      <c r="F671" s="162">
        <f ca="1">VLOOKUP($A671,'BC.115+740'!$B$13:$X$4969,8,0)/1000</f>
        <v>3.0859999999999999</v>
      </c>
      <c r="G671" s="162">
        <f ca="1">VLOOKUP($A671,'BC.115+740'!$B$13:$X$4969,9,0)/1000</f>
        <v>-0.91400000000000003</v>
      </c>
      <c r="H671" s="162">
        <f ca="1">VLOOKUP($A671,'BC.115+740'!$B$13:$X$4969,14,0)/1000</f>
        <v>2.86</v>
      </c>
      <c r="I671" s="162">
        <f ca="1">VLOOKUP($A671,'BC.115+740'!$B$13:$X$4969,15,0)/1000</f>
        <v>-1.1399999999999999</v>
      </c>
      <c r="J671" s="162">
        <f ca="1">VLOOKUP($A671,'BC.115+740'!$B$13:$X$4969,20,0)/1000</f>
        <v>3.177</v>
      </c>
      <c r="K671" s="162">
        <f ca="1">VLOOKUP($A671,'BC.115+740'!$B$13:$X$4969,21,0)/1000</f>
        <v>-0.82299999999999995</v>
      </c>
      <c r="L671" s="160">
        <f t="shared" ca="1" si="34"/>
        <v>-954.00000000000011</v>
      </c>
      <c r="M671" s="161">
        <f t="shared" ca="1" si="35"/>
        <v>-1130</v>
      </c>
      <c r="N671" s="160">
        <f t="shared" ca="1" si="36"/>
        <v>-782.99999999999989</v>
      </c>
      <c r="O671" s="160"/>
    </row>
    <row r="672" spans="1:15">
      <c r="A672" s="164">
        <f>'BC.115+740'!B671</f>
        <v>45730</v>
      </c>
      <c r="B672" s="160">
        <f t="shared" si="33"/>
        <v>658</v>
      </c>
      <c r="C672" s="162">
        <f ca="1">'BC.115+740'!M671/1000</f>
        <v>4.34</v>
      </c>
      <c r="D672" s="162">
        <f ca="1">'BC.115+740'!AA671</f>
        <v>5.3629999999999995</v>
      </c>
      <c r="E672" s="163">
        <f ca="1">'BC.115+740'!AB671</f>
        <v>3.21</v>
      </c>
      <c r="F672" s="162">
        <f ca="1">VLOOKUP($A672,'BC.115+740'!$B$13:$X$4969,8,0)/1000</f>
        <v>3.0760000000000001</v>
      </c>
      <c r="G672" s="162">
        <f ca="1">VLOOKUP($A672,'BC.115+740'!$B$13:$X$4969,9,0)/1000</f>
        <v>-0.92400000000000004</v>
      </c>
      <c r="H672" s="162">
        <f ca="1">VLOOKUP($A672,'BC.115+740'!$B$13:$X$4969,14,0)/1000</f>
        <v>2.85</v>
      </c>
      <c r="I672" s="162">
        <f ca="1">VLOOKUP($A672,'BC.115+740'!$B$13:$X$4969,15,0)/1000</f>
        <v>-1.1499999999999999</v>
      </c>
      <c r="J672" s="162">
        <f ca="1">VLOOKUP($A672,'BC.115+740'!$B$13:$X$4969,20,0)/1000</f>
        <v>3.169</v>
      </c>
      <c r="K672" s="162">
        <f ca="1">VLOOKUP($A672,'BC.115+740'!$B$13:$X$4969,21,0)/1000</f>
        <v>-0.83099999999999996</v>
      </c>
      <c r="L672" s="160">
        <f t="shared" ca="1" si="34"/>
        <v>-964.00000000000011</v>
      </c>
      <c r="M672" s="161">
        <f t="shared" ca="1" si="35"/>
        <v>-1140</v>
      </c>
      <c r="N672" s="160">
        <f t="shared" ca="1" si="36"/>
        <v>-790.99999999999989</v>
      </c>
      <c r="O672" s="160"/>
    </row>
    <row r="673" spans="1:15">
      <c r="A673" s="164">
        <f>'BC.115+740'!B672</f>
        <v>45731</v>
      </c>
      <c r="B673" s="160">
        <f t="shared" si="33"/>
        <v>659</v>
      </c>
      <c r="C673" s="162">
        <f ca="1">'BC.115+740'!M672/1000</f>
        <v>4.33</v>
      </c>
      <c r="D673" s="162">
        <f ca="1">'BC.115+740'!AA672</f>
        <v>5.3629999999999995</v>
      </c>
      <c r="E673" s="163">
        <f ca="1">'BC.115+740'!AB672</f>
        <v>3.19</v>
      </c>
      <c r="F673" s="162">
        <f ca="1">VLOOKUP($A673,'BC.115+740'!$B$13:$X$4969,8,0)/1000</f>
        <v>3.0659999999999998</v>
      </c>
      <c r="G673" s="162">
        <f ca="1">VLOOKUP($A673,'BC.115+740'!$B$13:$X$4969,9,0)/1000</f>
        <v>-0.93400000000000005</v>
      </c>
      <c r="H673" s="162">
        <f ca="1">VLOOKUP($A673,'BC.115+740'!$B$13:$X$4969,14,0)/1000</f>
        <v>2.84</v>
      </c>
      <c r="I673" s="162">
        <f ca="1">VLOOKUP($A673,'BC.115+740'!$B$13:$X$4969,15,0)/1000</f>
        <v>-1.1599999999999999</v>
      </c>
      <c r="J673" s="162">
        <f ca="1">VLOOKUP($A673,'BC.115+740'!$B$13:$X$4969,20,0)/1000</f>
        <v>3.1589999999999998</v>
      </c>
      <c r="K673" s="162">
        <f ca="1">VLOOKUP($A673,'BC.115+740'!$B$13:$X$4969,21,0)/1000</f>
        <v>-0.84099999999999997</v>
      </c>
      <c r="L673" s="160">
        <f t="shared" ca="1" si="34"/>
        <v>-974.00000000000011</v>
      </c>
      <c r="M673" s="161">
        <f t="shared" ca="1" si="35"/>
        <v>-1150</v>
      </c>
      <c r="N673" s="160">
        <f t="shared" ca="1" si="36"/>
        <v>-800.99999999999989</v>
      </c>
      <c r="O673" s="160"/>
    </row>
    <row r="674" spans="1:15">
      <c r="A674" s="164">
        <f>'BC.115+740'!B673</f>
        <v>45732</v>
      </c>
      <c r="B674" s="160">
        <f t="shared" si="33"/>
        <v>660</v>
      </c>
      <c r="C674" s="162">
        <f ca="1">'BC.115+740'!M673/1000</f>
        <v>4.32</v>
      </c>
      <c r="D674" s="162">
        <f ca="1">'BC.115+740'!AA673</f>
        <v>5.3629999999999995</v>
      </c>
      <c r="E674" s="163">
        <f ca="1">'BC.115+740'!AB673</f>
        <v>3.17</v>
      </c>
      <c r="F674" s="162">
        <f ca="1">VLOOKUP($A674,'BC.115+740'!$B$13:$X$4969,8,0)/1000</f>
        <v>3.056</v>
      </c>
      <c r="G674" s="162">
        <f ca="1">VLOOKUP($A674,'BC.115+740'!$B$13:$X$4969,9,0)/1000</f>
        <v>-0.94399999999999995</v>
      </c>
      <c r="H674" s="162">
        <f ca="1">VLOOKUP($A674,'BC.115+740'!$B$13:$X$4969,14,0)/1000</f>
        <v>2.83</v>
      </c>
      <c r="I674" s="162">
        <f ca="1">VLOOKUP($A674,'BC.115+740'!$B$13:$X$4969,15,0)/1000</f>
        <v>-1.17</v>
      </c>
      <c r="J674" s="162">
        <f ca="1">VLOOKUP($A674,'BC.115+740'!$B$13:$X$4969,20,0)/1000</f>
        <v>3.15</v>
      </c>
      <c r="K674" s="162">
        <f ca="1">VLOOKUP($A674,'BC.115+740'!$B$13:$X$4969,21,0)/1000</f>
        <v>-0.85</v>
      </c>
      <c r="L674" s="160">
        <f t="shared" ca="1" si="34"/>
        <v>-984</v>
      </c>
      <c r="M674" s="161">
        <f t="shared" ca="1" si="35"/>
        <v>-1160</v>
      </c>
      <c r="N674" s="160">
        <f t="shared" ca="1" si="36"/>
        <v>-809.99999999999989</v>
      </c>
      <c r="O674" s="160"/>
    </row>
    <row r="675" spans="1:15">
      <c r="A675" s="164">
        <f>'BC.115+740'!B674</f>
        <v>45733</v>
      </c>
      <c r="B675" s="160">
        <f t="shared" si="33"/>
        <v>661</v>
      </c>
      <c r="C675" s="162">
        <f ca="1">'BC.115+740'!M674/1000</f>
        <v>4.3099999999999996</v>
      </c>
      <c r="D675" s="162">
        <f ca="1">'BC.115+740'!AA674</f>
        <v>5.3629999999999995</v>
      </c>
      <c r="E675" s="163">
        <f ca="1">'BC.115+740'!AB674</f>
        <v>3.15</v>
      </c>
      <c r="F675" s="162">
        <f ca="1">VLOOKUP($A675,'BC.115+740'!$B$13:$X$4969,8,0)/1000</f>
        <v>3.0459999999999998</v>
      </c>
      <c r="G675" s="162">
        <f ca="1">VLOOKUP($A675,'BC.115+740'!$B$13:$X$4969,9,0)/1000</f>
        <v>-0.95399999999999996</v>
      </c>
      <c r="H675" s="162">
        <f ca="1">VLOOKUP($A675,'BC.115+740'!$B$13:$X$4969,14,0)/1000</f>
        <v>2.82</v>
      </c>
      <c r="I675" s="162">
        <f ca="1">VLOOKUP($A675,'BC.115+740'!$B$13:$X$4969,15,0)/1000</f>
        <v>-1.18</v>
      </c>
      <c r="J675" s="162">
        <f ca="1">VLOOKUP($A675,'BC.115+740'!$B$13:$X$4969,20,0)/1000</f>
        <v>3.14</v>
      </c>
      <c r="K675" s="162">
        <f ca="1">VLOOKUP($A675,'BC.115+740'!$B$13:$X$4969,21,0)/1000</f>
        <v>-0.86</v>
      </c>
      <c r="L675" s="160">
        <f t="shared" ca="1" si="34"/>
        <v>-994</v>
      </c>
      <c r="M675" s="161">
        <f t="shared" ca="1" si="35"/>
        <v>-1170</v>
      </c>
      <c r="N675" s="160">
        <f t="shared" ca="1" si="36"/>
        <v>-820</v>
      </c>
      <c r="O675" s="160"/>
    </row>
    <row r="676" spans="1:15">
      <c r="A676" s="164">
        <f>'BC.115+740'!B675</f>
        <v>45734</v>
      </c>
      <c r="B676" s="160">
        <f t="shared" si="33"/>
        <v>662</v>
      </c>
      <c r="C676" s="162">
        <f ca="1">'BC.115+740'!M675/1000</f>
        <v>4.3</v>
      </c>
      <c r="D676" s="162">
        <f ca="1">'BC.115+740'!AA675</f>
        <v>5.3629999999999995</v>
      </c>
      <c r="E676" s="163">
        <f ca="1">'BC.115+740'!AB675</f>
        <v>3.13</v>
      </c>
      <c r="F676" s="162">
        <f ca="1">VLOOKUP($A676,'BC.115+740'!$B$13:$X$4969,8,0)/1000</f>
        <v>3.036</v>
      </c>
      <c r="G676" s="162">
        <f ca="1">VLOOKUP($A676,'BC.115+740'!$B$13:$X$4969,9,0)/1000</f>
        <v>-0.96399999999999997</v>
      </c>
      <c r="H676" s="162">
        <f ca="1">VLOOKUP($A676,'BC.115+740'!$B$13:$X$4969,14,0)/1000</f>
        <v>2.81</v>
      </c>
      <c r="I676" s="162">
        <f ca="1">VLOOKUP($A676,'BC.115+740'!$B$13:$X$4969,15,0)/1000</f>
        <v>-1.19</v>
      </c>
      <c r="J676" s="162">
        <f ca="1">VLOOKUP($A676,'BC.115+740'!$B$13:$X$4969,20,0)/1000</f>
        <v>3.1339999999999999</v>
      </c>
      <c r="K676" s="162">
        <f ca="1">VLOOKUP($A676,'BC.115+740'!$B$13:$X$4969,21,0)/1000</f>
        <v>-0.86599999999999999</v>
      </c>
      <c r="L676" s="160">
        <f t="shared" ca="1" si="34"/>
        <v>-1004</v>
      </c>
      <c r="M676" s="161">
        <f t="shared" ca="1" si="35"/>
        <v>-1180</v>
      </c>
      <c r="N676" s="160">
        <f t="shared" ca="1" si="36"/>
        <v>-826</v>
      </c>
      <c r="O676" s="160"/>
    </row>
    <row r="677" spans="1:15">
      <c r="A677" s="164">
        <f>'BC.115+740'!B676</f>
        <v>45735</v>
      </c>
      <c r="B677" s="160">
        <f t="shared" si="33"/>
        <v>663</v>
      </c>
      <c r="C677" s="162">
        <f ca="1">'BC.115+740'!M676/1000</f>
        <v>4.5919999999999996</v>
      </c>
      <c r="D677" s="162">
        <f ca="1">'BC.115+740'!AA676</f>
        <v>5.6539999999999999</v>
      </c>
      <c r="E677" s="163">
        <f ca="1">'BC.115+740'!AB676</f>
        <v>3.4140000000000001</v>
      </c>
      <c r="F677" s="162">
        <f ca="1">VLOOKUP($A677,'BC.115+740'!$B$13:$X$4969,8,0)/1000</f>
        <v>3.0259999999999998</v>
      </c>
      <c r="G677" s="162">
        <f ca="1">VLOOKUP($A677,'BC.115+740'!$B$13:$X$4969,9,0)/1000</f>
        <v>-0.97399999999999998</v>
      </c>
      <c r="H677" s="162">
        <f ca="1">VLOOKUP($A677,'BC.115+740'!$B$13:$X$4969,14,0)/1000</f>
        <v>2.802</v>
      </c>
      <c r="I677" s="162">
        <f ca="1">VLOOKUP($A677,'BC.115+740'!$B$13:$X$4969,15,0)/1000</f>
        <v>-1.198</v>
      </c>
      <c r="J677" s="162">
        <f ca="1">VLOOKUP($A677,'BC.115+740'!$B$13:$X$4969,20,0)/1000</f>
        <v>3.125</v>
      </c>
      <c r="K677" s="162">
        <f ca="1">VLOOKUP($A677,'BC.115+740'!$B$13:$X$4969,21,0)/1000</f>
        <v>-0.875</v>
      </c>
      <c r="L677" s="160">
        <f t="shared" ca="1" si="34"/>
        <v>-1014</v>
      </c>
      <c r="M677" s="161">
        <f t="shared" ca="1" si="35"/>
        <v>-1188</v>
      </c>
      <c r="N677" s="160">
        <f t="shared" ca="1" si="36"/>
        <v>-835</v>
      </c>
      <c r="O677" s="160"/>
    </row>
    <row r="678" spans="1:15">
      <c r="A678" s="164">
        <f>'BC.115+740'!B677</f>
        <v>45736</v>
      </c>
      <c r="B678" s="160">
        <f t="shared" si="33"/>
        <v>664</v>
      </c>
      <c r="C678" s="162">
        <f ca="1">'BC.115+740'!M677/1000</f>
        <v>4.5819999999999999</v>
      </c>
      <c r="D678" s="162">
        <f ca="1">'BC.115+740'!AA677</f>
        <v>5.6539999999999999</v>
      </c>
      <c r="E678" s="163">
        <f ca="1">'BC.115+740'!AB677</f>
        <v>3.3940000000000001</v>
      </c>
      <c r="F678" s="162">
        <f ca="1">VLOOKUP($A678,'BC.115+740'!$B$13:$X$4969,8,0)/1000</f>
        <v>3.016</v>
      </c>
      <c r="G678" s="162">
        <f ca="1">VLOOKUP($A678,'BC.115+740'!$B$13:$X$4969,9,0)/1000</f>
        <v>-0.98399999999999999</v>
      </c>
      <c r="H678" s="162">
        <f ca="1">VLOOKUP($A678,'BC.115+740'!$B$13:$X$4969,14,0)/1000</f>
        <v>2.7919999999999998</v>
      </c>
      <c r="I678" s="162">
        <f ca="1">VLOOKUP($A678,'BC.115+740'!$B$13:$X$4969,15,0)/1000</f>
        <v>-1.208</v>
      </c>
      <c r="J678" s="162">
        <f ca="1">VLOOKUP($A678,'BC.115+740'!$B$13:$X$4969,20,0)/1000</f>
        <v>3.1150000000000002</v>
      </c>
      <c r="K678" s="162">
        <f ca="1">VLOOKUP($A678,'BC.115+740'!$B$13:$X$4969,21,0)/1000</f>
        <v>-0.88500000000000001</v>
      </c>
      <c r="L678" s="160">
        <f t="shared" ca="1" si="34"/>
        <v>-1024</v>
      </c>
      <c r="M678" s="161">
        <f t="shared" ca="1" si="35"/>
        <v>-1198</v>
      </c>
      <c r="N678" s="160">
        <f t="shared" ca="1" si="36"/>
        <v>-845</v>
      </c>
      <c r="O678" s="160"/>
    </row>
    <row r="679" spans="1:15">
      <c r="A679" s="164">
        <f>'BC.115+740'!B678</f>
        <v>45737</v>
      </c>
      <c r="B679" s="160">
        <f t="shared" si="33"/>
        <v>665</v>
      </c>
      <c r="C679" s="162">
        <f ca="1">'BC.115+740'!M678/1000</f>
        <v>4.5720000000000001</v>
      </c>
      <c r="D679" s="162">
        <f ca="1">'BC.115+740'!AA678</f>
        <v>5.6539999999999999</v>
      </c>
      <c r="E679" s="163">
        <f ca="1">'BC.115+740'!AB678</f>
        <v>3.3740000000000001</v>
      </c>
      <c r="F679" s="162">
        <f ca="1">VLOOKUP($A679,'BC.115+740'!$B$13:$X$4969,8,0)/1000</f>
        <v>3.0059999999999998</v>
      </c>
      <c r="G679" s="162">
        <f ca="1">VLOOKUP($A679,'BC.115+740'!$B$13:$X$4969,9,0)/1000</f>
        <v>-0.99399999999999999</v>
      </c>
      <c r="H679" s="162">
        <f ca="1">VLOOKUP($A679,'BC.115+740'!$B$13:$X$4969,14,0)/1000</f>
        <v>2.782</v>
      </c>
      <c r="I679" s="162">
        <f ca="1">VLOOKUP($A679,'BC.115+740'!$B$13:$X$4969,15,0)/1000</f>
        <v>-1.218</v>
      </c>
      <c r="J679" s="162">
        <f ca="1">VLOOKUP($A679,'BC.115+740'!$B$13:$X$4969,20,0)/1000</f>
        <v>3.1059999999999999</v>
      </c>
      <c r="K679" s="162">
        <f ca="1">VLOOKUP($A679,'BC.115+740'!$B$13:$X$4969,21,0)/1000</f>
        <v>-0.89400000000000002</v>
      </c>
      <c r="L679" s="160">
        <f t="shared" ca="1" si="34"/>
        <v>-1034</v>
      </c>
      <c r="M679" s="161">
        <f t="shared" ca="1" si="35"/>
        <v>-1208</v>
      </c>
      <c r="N679" s="160">
        <f t="shared" ca="1" si="36"/>
        <v>-854</v>
      </c>
      <c r="O679" s="160"/>
    </row>
    <row r="680" spans="1:15">
      <c r="A680" s="164">
        <f>'BC.115+740'!B679</f>
        <v>45738</v>
      </c>
      <c r="B680" s="160">
        <f t="shared" si="33"/>
        <v>666</v>
      </c>
      <c r="C680" s="162">
        <f ca="1">'BC.115+740'!M679/1000</f>
        <v>4.5620000000000003</v>
      </c>
      <c r="D680" s="162">
        <f ca="1">'BC.115+740'!AA679</f>
        <v>5.6539999999999999</v>
      </c>
      <c r="E680" s="163">
        <f ca="1">'BC.115+740'!AB679</f>
        <v>3.3540000000000001</v>
      </c>
      <c r="F680" s="162">
        <f ca="1">VLOOKUP($A680,'BC.115+740'!$B$13:$X$4969,8,0)/1000</f>
        <v>2.996</v>
      </c>
      <c r="G680" s="162">
        <f ca="1">VLOOKUP($A680,'BC.115+740'!$B$13:$X$4969,9,0)/1000</f>
        <v>-1.004</v>
      </c>
      <c r="H680" s="162">
        <f ca="1">VLOOKUP($A680,'BC.115+740'!$B$13:$X$4969,14,0)/1000</f>
        <v>2.7719999999999998</v>
      </c>
      <c r="I680" s="162">
        <f ca="1">VLOOKUP($A680,'BC.115+740'!$B$13:$X$4969,15,0)/1000</f>
        <v>-1.228</v>
      </c>
      <c r="J680" s="162">
        <f ca="1">VLOOKUP($A680,'BC.115+740'!$B$13:$X$4969,20,0)/1000</f>
        <v>3.0960000000000001</v>
      </c>
      <c r="K680" s="162">
        <f ca="1">VLOOKUP($A680,'BC.115+740'!$B$13:$X$4969,21,0)/1000</f>
        <v>-0.90400000000000003</v>
      </c>
      <c r="L680" s="160">
        <f t="shared" ca="1" si="34"/>
        <v>-1044</v>
      </c>
      <c r="M680" s="161">
        <f t="shared" ca="1" si="35"/>
        <v>-1218</v>
      </c>
      <c r="N680" s="160">
        <f t="shared" ca="1" si="36"/>
        <v>-864</v>
      </c>
      <c r="O680" s="160"/>
    </row>
    <row r="681" spans="1:15">
      <c r="A681" s="164">
        <f>'BC.115+740'!B680</f>
        <v>45739</v>
      </c>
      <c r="B681" s="160">
        <f t="shared" si="33"/>
        <v>667</v>
      </c>
      <c r="C681" s="162">
        <f ca="1">'BC.115+740'!M680/1000</f>
        <v>4.5519999999999996</v>
      </c>
      <c r="D681" s="162">
        <f ca="1">'BC.115+740'!AA680</f>
        <v>5.6539999999999999</v>
      </c>
      <c r="E681" s="163">
        <f ca="1">'BC.115+740'!AB680</f>
        <v>3.3340000000000001</v>
      </c>
      <c r="F681" s="162">
        <f ca="1">VLOOKUP($A681,'BC.115+740'!$B$13:$X$4969,8,0)/1000</f>
        <v>2.9860000000000002</v>
      </c>
      <c r="G681" s="162">
        <f ca="1">VLOOKUP($A681,'BC.115+740'!$B$13:$X$4969,9,0)/1000</f>
        <v>-1.014</v>
      </c>
      <c r="H681" s="162">
        <f ca="1">VLOOKUP($A681,'BC.115+740'!$B$13:$X$4969,14,0)/1000</f>
        <v>2.762</v>
      </c>
      <c r="I681" s="162">
        <f ca="1">VLOOKUP($A681,'BC.115+740'!$B$13:$X$4969,15,0)/1000</f>
        <v>-1.238</v>
      </c>
      <c r="J681" s="162">
        <f ca="1">VLOOKUP($A681,'BC.115+740'!$B$13:$X$4969,20,0)/1000</f>
        <v>3.089</v>
      </c>
      <c r="K681" s="162">
        <f ca="1">VLOOKUP($A681,'BC.115+740'!$B$13:$X$4969,21,0)/1000</f>
        <v>-0.91100000000000003</v>
      </c>
      <c r="L681" s="160">
        <f t="shared" ca="1" si="34"/>
        <v>-1054</v>
      </c>
      <c r="M681" s="161">
        <f t="shared" ca="1" si="35"/>
        <v>-1228</v>
      </c>
      <c r="N681" s="160">
        <f t="shared" ca="1" si="36"/>
        <v>-871</v>
      </c>
      <c r="O681" s="160"/>
    </row>
    <row r="682" spans="1:15">
      <c r="A682" s="164">
        <f>'BC.115+740'!B681</f>
        <v>45740</v>
      </c>
      <c r="B682" s="160">
        <f t="shared" si="33"/>
        <v>668</v>
      </c>
      <c r="C682" s="162">
        <f ca="1">'BC.115+740'!M681/1000</f>
        <v>4.8419999999999996</v>
      </c>
      <c r="D682" s="162">
        <f ca="1">'BC.115+740'!AA681</f>
        <v>5.944</v>
      </c>
      <c r="E682" s="163">
        <f ca="1">'BC.115+740'!AB681</f>
        <v>3.6139999999999999</v>
      </c>
      <c r="F682" s="162">
        <f ca="1">VLOOKUP($A682,'BC.115+740'!$B$13:$X$4969,8,0)/1000</f>
        <v>2.976</v>
      </c>
      <c r="G682" s="162">
        <f ca="1">VLOOKUP($A682,'BC.115+740'!$B$13:$X$4969,9,0)/1000</f>
        <v>-1.024</v>
      </c>
      <c r="H682" s="162">
        <f ca="1">VLOOKUP($A682,'BC.115+740'!$B$13:$X$4969,14,0)/1000</f>
        <v>2.7519999999999998</v>
      </c>
      <c r="I682" s="162">
        <f ca="1">VLOOKUP($A682,'BC.115+740'!$B$13:$X$4969,15,0)/1000</f>
        <v>-1.248</v>
      </c>
      <c r="J682" s="162">
        <f ca="1">VLOOKUP($A682,'BC.115+740'!$B$13:$X$4969,20,0)/1000</f>
        <v>3.0790000000000002</v>
      </c>
      <c r="K682" s="162">
        <f ca="1">VLOOKUP($A682,'BC.115+740'!$B$13:$X$4969,21,0)/1000</f>
        <v>-0.92100000000000004</v>
      </c>
      <c r="L682" s="160">
        <f t="shared" ca="1" si="34"/>
        <v>-1064</v>
      </c>
      <c r="M682" s="161">
        <f t="shared" ca="1" si="35"/>
        <v>-1238</v>
      </c>
      <c r="N682" s="160">
        <f t="shared" ca="1" si="36"/>
        <v>-881</v>
      </c>
      <c r="O682" s="160"/>
    </row>
    <row r="683" spans="1:15">
      <c r="A683" s="164">
        <f>'BC.115+740'!B682</f>
        <v>45741</v>
      </c>
      <c r="B683" s="160">
        <f t="shared" si="33"/>
        <v>669</v>
      </c>
      <c r="C683" s="162">
        <f ca="1">'BC.115+740'!M682/1000</f>
        <v>4.8319999999999999</v>
      </c>
      <c r="D683" s="162">
        <f ca="1">'BC.115+740'!AA682</f>
        <v>5.944</v>
      </c>
      <c r="E683" s="163">
        <f ca="1">'BC.115+740'!AB682</f>
        <v>3.5939999999999999</v>
      </c>
      <c r="F683" s="162">
        <f ca="1">VLOOKUP($A683,'BC.115+740'!$B$13:$X$4969,8,0)/1000</f>
        <v>2.9660000000000002</v>
      </c>
      <c r="G683" s="162">
        <f ca="1">VLOOKUP($A683,'BC.115+740'!$B$13:$X$4969,9,0)/1000</f>
        <v>-1.034</v>
      </c>
      <c r="H683" s="162">
        <f ca="1">VLOOKUP($A683,'BC.115+740'!$B$13:$X$4969,14,0)/1000</f>
        <v>2.742</v>
      </c>
      <c r="I683" s="162">
        <f ca="1">VLOOKUP($A683,'BC.115+740'!$B$13:$X$4969,15,0)/1000</f>
        <v>-1.258</v>
      </c>
      <c r="J683" s="162">
        <f ca="1">VLOOKUP($A683,'BC.115+740'!$B$13:$X$4969,20,0)/1000</f>
        <v>3.073</v>
      </c>
      <c r="K683" s="162">
        <f ca="1">VLOOKUP($A683,'BC.115+740'!$B$13:$X$4969,21,0)/1000</f>
        <v>-0.92700000000000005</v>
      </c>
      <c r="L683" s="160">
        <f t="shared" ca="1" si="34"/>
        <v>-1074</v>
      </c>
      <c r="M683" s="161">
        <f t="shared" ca="1" si="35"/>
        <v>-1248</v>
      </c>
      <c r="N683" s="160">
        <f t="shared" ca="1" si="36"/>
        <v>-887</v>
      </c>
      <c r="O683" s="160"/>
    </row>
    <row r="684" spans="1:15">
      <c r="A684" s="164">
        <f>'BC.115+740'!B683</f>
        <v>45742</v>
      </c>
      <c r="B684" s="160">
        <f t="shared" si="33"/>
        <v>670</v>
      </c>
      <c r="C684" s="162">
        <f ca="1">'BC.115+740'!M683/1000</f>
        <v>4.8220000000000001</v>
      </c>
      <c r="D684" s="162">
        <f ca="1">'BC.115+740'!AA683</f>
        <v>5.944</v>
      </c>
      <c r="E684" s="163">
        <f ca="1">'BC.115+740'!AB683</f>
        <v>3.5739999999999998</v>
      </c>
      <c r="F684" s="162">
        <f ca="1">VLOOKUP($A684,'BC.115+740'!$B$13:$X$4969,8,0)/1000</f>
        <v>2.956</v>
      </c>
      <c r="G684" s="162">
        <f ca="1">VLOOKUP($A684,'BC.115+740'!$B$13:$X$4969,9,0)/1000</f>
        <v>-1.044</v>
      </c>
      <c r="H684" s="162">
        <f ca="1">VLOOKUP($A684,'BC.115+740'!$B$13:$X$4969,14,0)/1000</f>
        <v>2.7320000000000002</v>
      </c>
      <c r="I684" s="162">
        <f ca="1">VLOOKUP($A684,'BC.115+740'!$B$13:$X$4969,15,0)/1000</f>
        <v>-1.268</v>
      </c>
      <c r="J684" s="162">
        <f ca="1">VLOOKUP($A684,'BC.115+740'!$B$13:$X$4969,20,0)/1000</f>
        <v>3.0630000000000002</v>
      </c>
      <c r="K684" s="162">
        <f ca="1">VLOOKUP($A684,'BC.115+740'!$B$13:$X$4969,21,0)/1000</f>
        <v>-0.93700000000000006</v>
      </c>
      <c r="L684" s="160">
        <f t="shared" ca="1" si="34"/>
        <v>-1084</v>
      </c>
      <c r="M684" s="161">
        <f t="shared" ca="1" si="35"/>
        <v>-1258</v>
      </c>
      <c r="N684" s="160">
        <f t="shared" ca="1" si="36"/>
        <v>-897</v>
      </c>
      <c r="O684" s="160"/>
    </row>
    <row r="685" spans="1:15">
      <c r="A685" s="164">
        <f>'BC.115+740'!B684</f>
        <v>45743</v>
      </c>
      <c r="B685" s="160">
        <f t="shared" si="33"/>
        <v>671</v>
      </c>
      <c r="C685" s="162">
        <f ca="1">'BC.115+740'!M684/1000</f>
        <v>4.8120000000000003</v>
      </c>
      <c r="D685" s="162">
        <f ca="1">'BC.115+740'!AA684</f>
        <v>5.944</v>
      </c>
      <c r="E685" s="163">
        <f ca="1">'BC.115+740'!AB684</f>
        <v>3.5539999999999998</v>
      </c>
      <c r="F685" s="162">
        <f ca="1">VLOOKUP($A685,'BC.115+740'!$B$13:$X$4969,8,0)/1000</f>
        <v>2.9460000000000002</v>
      </c>
      <c r="G685" s="162">
        <f ca="1">VLOOKUP($A685,'BC.115+740'!$B$13:$X$4969,9,0)/1000</f>
        <v>-1.054</v>
      </c>
      <c r="H685" s="162">
        <f ca="1">VLOOKUP($A685,'BC.115+740'!$B$13:$X$4969,14,0)/1000</f>
        <v>2.722</v>
      </c>
      <c r="I685" s="162">
        <f ca="1">VLOOKUP($A685,'BC.115+740'!$B$13:$X$4969,15,0)/1000</f>
        <v>-1.278</v>
      </c>
      <c r="J685" s="162">
        <f ca="1">VLOOKUP($A685,'BC.115+740'!$B$13:$X$4969,20,0)/1000</f>
        <v>3.0550000000000002</v>
      </c>
      <c r="K685" s="162">
        <f ca="1">VLOOKUP($A685,'BC.115+740'!$B$13:$X$4969,21,0)/1000</f>
        <v>-0.94499999999999995</v>
      </c>
      <c r="L685" s="160">
        <f t="shared" ca="1" si="34"/>
        <v>-1094</v>
      </c>
      <c r="M685" s="161">
        <f t="shared" ca="1" si="35"/>
        <v>-1268</v>
      </c>
      <c r="N685" s="160">
        <f t="shared" ca="1" si="36"/>
        <v>-904.99999999999989</v>
      </c>
      <c r="O685" s="160"/>
    </row>
    <row r="686" spans="1:15">
      <c r="A686" s="164">
        <f>'BC.115+740'!B685</f>
        <v>45744</v>
      </c>
      <c r="B686" s="160">
        <f t="shared" si="33"/>
        <v>672</v>
      </c>
      <c r="C686" s="162">
        <f ca="1">'BC.115+740'!M685/1000</f>
        <v>4.8019999999999996</v>
      </c>
      <c r="D686" s="162">
        <f ca="1">'BC.115+740'!AA685</f>
        <v>5.944</v>
      </c>
      <c r="E686" s="163">
        <f ca="1">'BC.115+740'!AB685</f>
        <v>3.5339999999999998</v>
      </c>
      <c r="F686" s="162">
        <f ca="1">VLOOKUP($A686,'BC.115+740'!$B$13:$X$4969,8,0)/1000</f>
        <v>2.9359999999999999</v>
      </c>
      <c r="G686" s="162">
        <f ca="1">VLOOKUP($A686,'BC.115+740'!$B$13:$X$4969,9,0)/1000</f>
        <v>-1.0640000000000001</v>
      </c>
      <c r="H686" s="162">
        <f ca="1">VLOOKUP($A686,'BC.115+740'!$B$13:$X$4969,14,0)/1000</f>
        <v>2.7120000000000002</v>
      </c>
      <c r="I686" s="162">
        <f ca="1">VLOOKUP($A686,'BC.115+740'!$B$13:$X$4969,15,0)/1000</f>
        <v>-1.288</v>
      </c>
      <c r="J686" s="162">
        <f ca="1">VLOOKUP($A686,'BC.115+740'!$B$13:$X$4969,20,0)/1000</f>
        <v>3.0449999999999999</v>
      </c>
      <c r="K686" s="162">
        <f ca="1">VLOOKUP($A686,'BC.115+740'!$B$13:$X$4969,21,0)/1000</f>
        <v>-0.95499999999999996</v>
      </c>
      <c r="L686" s="160">
        <f t="shared" ca="1" si="34"/>
        <v>-1104</v>
      </c>
      <c r="M686" s="161">
        <f t="shared" ca="1" si="35"/>
        <v>-1278</v>
      </c>
      <c r="N686" s="160">
        <f t="shared" ca="1" si="36"/>
        <v>-914.99999999999989</v>
      </c>
      <c r="O686" s="160"/>
    </row>
    <row r="687" spans="1:15">
      <c r="A687" s="164">
        <f>'BC.115+740'!B686</f>
        <v>45745</v>
      </c>
      <c r="B687" s="160">
        <f t="shared" si="33"/>
        <v>673</v>
      </c>
      <c r="C687" s="162">
        <f ca="1">'BC.115+740'!M686/1000</f>
        <v>5.0919999999999996</v>
      </c>
      <c r="D687" s="162">
        <f ca="1">'BC.115+740'!AA686</f>
        <v>6.234</v>
      </c>
      <c r="E687" s="163">
        <f ca="1">'BC.115+740'!AB686</f>
        <v>3.8140000000000001</v>
      </c>
      <c r="F687" s="162">
        <f ca="1">VLOOKUP($A687,'BC.115+740'!$B$13:$X$4969,8,0)/1000</f>
        <v>2.9260000000000002</v>
      </c>
      <c r="G687" s="162">
        <f ca="1">VLOOKUP($A687,'BC.115+740'!$B$13:$X$4969,9,0)/1000</f>
        <v>-1.0740000000000001</v>
      </c>
      <c r="H687" s="162">
        <f ca="1">VLOOKUP($A687,'BC.115+740'!$B$13:$X$4969,14,0)/1000</f>
        <v>2.702</v>
      </c>
      <c r="I687" s="162">
        <f ca="1">VLOOKUP($A687,'BC.115+740'!$B$13:$X$4969,15,0)/1000</f>
        <v>-1.298</v>
      </c>
      <c r="J687" s="162">
        <f ca="1">VLOOKUP($A687,'BC.115+740'!$B$13:$X$4969,20,0)/1000</f>
        <v>3.0350000000000001</v>
      </c>
      <c r="K687" s="162">
        <f ca="1">VLOOKUP($A687,'BC.115+740'!$B$13:$X$4969,21,0)/1000</f>
        <v>-0.96499999999999997</v>
      </c>
      <c r="L687" s="160">
        <f t="shared" ca="1" si="34"/>
        <v>-1114</v>
      </c>
      <c r="M687" s="161">
        <f t="shared" ca="1" si="35"/>
        <v>-1288</v>
      </c>
      <c r="N687" s="160">
        <f t="shared" ca="1" si="36"/>
        <v>-924.99999999999989</v>
      </c>
      <c r="O687" s="160"/>
    </row>
    <row r="688" spans="1:15">
      <c r="A688" s="164">
        <f>'BC.115+740'!B687</f>
        <v>45746</v>
      </c>
      <c r="B688" s="160">
        <f t="shared" si="33"/>
        <v>674</v>
      </c>
      <c r="C688" s="162">
        <f ca="1">'BC.115+740'!M687/1000</f>
        <v>5.0819999999999999</v>
      </c>
      <c r="D688" s="162">
        <f ca="1">'BC.115+740'!AA687</f>
        <v>6.234</v>
      </c>
      <c r="E688" s="163">
        <f ca="1">'BC.115+740'!AB687</f>
        <v>3.794</v>
      </c>
      <c r="F688" s="162">
        <f ca="1">VLOOKUP($A688,'BC.115+740'!$B$13:$X$4969,8,0)/1000</f>
        <v>2.9159999999999999</v>
      </c>
      <c r="G688" s="162">
        <f ca="1">VLOOKUP($A688,'BC.115+740'!$B$13:$X$4969,9,0)/1000</f>
        <v>-1.0840000000000001</v>
      </c>
      <c r="H688" s="162">
        <f ca="1">VLOOKUP($A688,'BC.115+740'!$B$13:$X$4969,14,0)/1000</f>
        <v>2.6920000000000002</v>
      </c>
      <c r="I688" s="162">
        <f ca="1">VLOOKUP($A688,'BC.115+740'!$B$13:$X$4969,15,0)/1000</f>
        <v>-1.3080000000000001</v>
      </c>
      <c r="J688" s="162">
        <f ca="1">VLOOKUP($A688,'BC.115+740'!$B$13:$X$4969,20,0)/1000</f>
        <v>3.0259999999999998</v>
      </c>
      <c r="K688" s="162">
        <f ca="1">VLOOKUP($A688,'BC.115+740'!$B$13:$X$4969,21,0)/1000</f>
        <v>-0.97399999999999998</v>
      </c>
      <c r="L688" s="160">
        <f t="shared" ca="1" si="34"/>
        <v>-1124</v>
      </c>
      <c r="M688" s="161">
        <f t="shared" ca="1" si="35"/>
        <v>-1298</v>
      </c>
      <c r="N688" s="160">
        <f t="shared" ca="1" si="36"/>
        <v>-933.99999999999989</v>
      </c>
      <c r="O688" s="160"/>
    </row>
    <row r="689" spans="1:16">
      <c r="A689" s="164">
        <f>'BC.115+740'!B688</f>
        <v>45747</v>
      </c>
      <c r="B689" s="160">
        <f t="shared" si="33"/>
        <v>675</v>
      </c>
      <c r="C689" s="162">
        <f ca="1">'BC.115+740'!M688/1000</f>
        <v>5.0720000000000001</v>
      </c>
      <c r="D689" s="162">
        <f ca="1">'BC.115+740'!AA688</f>
        <v>6.234</v>
      </c>
      <c r="E689" s="163">
        <f ca="1">'BC.115+740'!AB688</f>
        <v>3.774</v>
      </c>
      <c r="F689" s="162">
        <f ca="1">VLOOKUP($A689,'BC.115+740'!$B$13:$X$4969,8,0)/1000</f>
        <v>2.9060000000000001</v>
      </c>
      <c r="G689" s="162">
        <f ca="1">VLOOKUP($A689,'BC.115+740'!$B$13:$X$4969,9,0)/1000</f>
        <v>-1.0940000000000001</v>
      </c>
      <c r="H689" s="162">
        <f ca="1">VLOOKUP($A689,'BC.115+740'!$B$13:$X$4969,14,0)/1000</f>
        <v>2.6819999999999999</v>
      </c>
      <c r="I689" s="162">
        <f ca="1">VLOOKUP($A689,'BC.115+740'!$B$13:$X$4969,15,0)/1000</f>
        <v>-1.3180000000000001</v>
      </c>
      <c r="J689" s="162">
        <f ca="1">VLOOKUP($A689,'BC.115+740'!$B$13:$X$4969,20,0)/1000</f>
        <v>3.016</v>
      </c>
      <c r="K689" s="162">
        <f ca="1">VLOOKUP($A689,'BC.115+740'!$B$13:$X$4969,21,0)/1000</f>
        <v>-0.98399999999999999</v>
      </c>
      <c r="L689" s="160">
        <f t="shared" ca="1" si="34"/>
        <v>-1134.0000000000002</v>
      </c>
      <c r="M689" s="161">
        <f t="shared" ca="1" si="35"/>
        <v>-1308</v>
      </c>
      <c r="N689" s="160">
        <f t="shared" ca="1" si="36"/>
        <v>-944</v>
      </c>
      <c r="O689" s="160"/>
    </row>
    <row r="690" spans="1:16">
      <c r="A690" s="164">
        <f>'BC.115+740'!B689</f>
        <v>45748</v>
      </c>
      <c r="B690" s="160">
        <f t="shared" si="33"/>
        <v>676</v>
      </c>
      <c r="C690" s="162">
        <f ca="1">'BC.115+740'!M689/1000</f>
        <v>5.0620000000000003</v>
      </c>
      <c r="D690" s="162">
        <f ca="1">'BC.115+740'!AA689</f>
        <v>6.234</v>
      </c>
      <c r="E690" s="163">
        <f ca="1">'BC.115+740'!AB689</f>
        <v>3.754</v>
      </c>
      <c r="F690" s="162">
        <f ca="1">VLOOKUP($A690,'BC.115+740'!$B$13:$X$4969,8,0)/1000</f>
        <v>2.8959999999999999</v>
      </c>
      <c r="G690" s="162">
        <f ca="1">VLOOKUP($A690,'BC.115+740'!$B$13:$X$4969,9,0)/1000</f>
        <v>-1.1040000000000001</v>
      </c>
      <c r="H690" s="162">
        <f ca="1">VLOOKUP($A690,'BC.115+740'!$B$13:$X$4969,14,0)/1000</f>
        <v>2.6720000000000002</v>
      </c>
      <c r="I690" s="162">
        <f ca="1">VLOOKUP($A690,'BC.115+740'!$B$13:$X$4969,15,0)/1000</f>
        <v>-1.3280000000000001</v>
      </c>
      <c r="J690" s="162">
        <f ca="1">VLOOKUP($A690,'BC.115+740'!$B$13:$X$4969,20,0)/1000</f>
        <v>3.01</v>
      </c>
      <c r="K690" s="162">
        <f ca="1">VLOOKUP($A690,'BC.115+740'!$B$13:$X$4969,21,0)/1000</f>
        <v>-0.99</v>
      </c>
      <c r="L690" s="160">
        <f t="shared" ca="1" si="34"/>
        <v>-1144.0000000000002</v>
      </c>
      <c r="M690" s="161">
        <f t="shared" ca="1" si="35"/>
        <v>-1318</v>
      </c>
      <c r="N690" s="160">
        <f t="shared" ca="1" si="36"/>
        <v>-950</v>
      </c>
      <c r="O690" s="160"/>
    </row>
    <row r="691" spans="1:16">
      <c r="A691" s="164">
        <f>'BC.115+740'!B690</f>
        <v>45749</v>
      </c>
      <c r="B691" s="160">
        <f t="shared" si="33"/>
        <v>677</v>
      </c>
      <c r="C691" s="162">
        <f ca="1">'BC.115+740'!M690/1000</f>
        <v>5.0519999999999996</v>
      </c>
      <c r="D691" s="162">
        <f ca="1">'BC.115+740'!AA690</f>
        <v>6.234</v>
      </c>
      <c r="E691" s="163">
        <f ca="1">'BC.115+740'!AB690</f>
        <v>3.734</v>
      </c>
      <c r="F691" s="162">
        <f ca="1">VLOOKUP($A691,'BC.115+740'!$B$13:$X$4969,8,0)/1000</f>
        <v>2.8860000000000001</v>
      </c>
      <c r="G691" s="162">
        <f ca="1">VLOOKUP($A691,'BC.115+740'!$B$13:$X$4969,9,0)/1000</f>
        <v>-1.1140000000000001</v>
      </c>
      <c r="H691" s="162">
        <f ca="1">VLOOKUP($A691,'BC.115+740'!$B$13:$X$4969,14,0)/1000</f>
        <v>2.6619999999999999</v>
      </c>
      <c r="I691" s="162">
        <f ca="1">VLOOKUP($A691,'BC.115+740'!$B$13:$X$4969,15,0)/1000</f>
        <v>-1.3380000000000001</v>
      </c>
      <c r="J691" s="162">
        <f ca="1">VLOOKUP($A691,'BC.115+740'!$B$13:$X$4969,20,0)/1000</f>
        <v>3.0019999999999998</v>
      </c>
      <c r="K691" s="162">
        <f ca="1">VLOOKUP($A691,'BC.115+740'!$B$13:$X$4969,21,0)/1000</f>
        <v>-0.998</v>
      </c>
      <c r="L691" s="160">
        <f t="shared" ca="1" si="34"/>
        <v>-1154.0000000000002</v>
      </c>
      <c r="M691" s="161">
        <f t="shared" ca="1" si="35"/>
        <v>-1328</v>
      </c>
      <c r="N691" s="160">
        <f t="shared" ca="1" si="36"/>
        <v>-958</v>
      </c>
      <c r="O691" s="160"/>
    </row>
    <row r="692" spans="1:16">
      <c r="A692" s="164">
        <f>'BC.115+740'!B691</f>
        <v>45750</v>
      </c>
      <c r="B692" s="160">
        <f t="shared" si="33"/>
        <v>678</v>
      </c>
      <c r="C692" s="162">
        <f ca="1">'BC.115+740'!M691/1000</f>
        <v>5.0419999999999998</v>
      </c>
      <c r="D692" s="162">
        <f ca="1">'BC.115+740'!AA691</f>
        <v>6.234</v>
      </c>
      <c r="E692" s="163">
        <f ca="1">'BC.115+740'!AB691</f>
        <v>3.714</v>
      </c>
      <c r="F692" s="162">
        <f ca="1">VLOOKUP($A692,'BC.115+740'!$B$13:$X$4969,8,0)/1000</f>
        <v>2.8759999999999999</v>
      </c>
      <c r="G692" s="162">
        <f ca="1">VLOOKUP($A692,'BC.115+740'!$B$13:$X$4969,9,0)/1000</f>
        <v>-1.1240000000000001</v>
      </c>
      <c r="H692" s="162">
        <f ca="1">VLOOKUP($A692,'BC.115+740'!$B$13:$X$4969,14,0)/1000</f>
        <v>2.6520000000000001</v>
      </c>
      <c r="I692" s="162">
        <f ca="1">VLOOKUP($A692,'BC.115+740'!$B$13:$X$4969,15,0)/1000</f>
        <v>-1.3480000000000001</v>
      </c>
      <c r="J692" s="162">
        <f ca="1">VLOOKUP($A692,'BC.115+740'!$B$13:$X$4969,20,0)/1000</f>
        <v>2.9950000000000001</v>
      </c>
      <c r="K692" s="162">
        <f ca="1">VLOOKUP($A692,'BC.115+740'!$B$13:$X$4969,21,0)/1000</f>
        <v>-1.0049999999999999</v>
      </c>
      <c r="L692" s="160">
        <f t="shared" ca="1" si="34"/>
        <v>-1164.0000000000002</v>
      </c>
      <c r="M692" s="161">
        <f t="shared" ca="1" si="35"/>
        <v>-1338</v>
      </c>
      <c r="N692" s="160">
        <f t="shared" ca="1" si="36"/>
        <v>-964.99999999999989</v>
      </c>
      <c r="O692" s="160"/>
    </row>
    <row r="693" spans="1:16">
      <c r="A693" s="164">
        <f>'BC.115+740'!B692</f>
        <v>45751</v>
      </c>
      <c r="B693" s="160">
        <f t="shared" si="33"/>
        <v>679</v>
      </c>
      <c r="C693" s="162">
        <f ca="1">'BC.115+740'!M692/1000</f>
        <v>5.032</v>
      </c>
      <c r="D693" s="162">
        <f ca="1">'BC.115+740'!AA692</f>
        <v>6.234</v>
      </c>
      <c r="E693" s="163">
        <f ca="1">'BC.115+740'!AB692</f>
        <v>3.694</v>
      </c>
      <c r="F693" s="162">
        <f ca="1">VLOOKUP($A693,'BC.115+740'!$B$13:$X$4969,8,0)/1000</f>
        <v>2.8660000000000001</v>
      </c>
      <c r="G693" s="162">
        <f ca="1">VLOOKUP($A693,'BC.115+740'!$B$13:$X$4969,9,0)/1000</f>
        <v>-1.1339999999999999</v>
      </c>
      <c r="H693" s="162">
        <f ca="1">VLOOKUP($A693,'BC.115+740'!$B$13:$X$4969,14,0)/1000</f>
        <v>2.6419999999999999</v>
      </c>
      <c r="I693" s="162">
        <f ca="1">VLOOKUP($A693,'BC.115+740'!$B$13:$X$4969,15,0)/1000</f>
        <v>-1.3580000000000001</v>
      </c>
      <c r="J693" s="162">
        <f ca="1">VLOOKUP($A693,'BC.115+740'!$B$13:$X$4969,20,0)/1000</f>
        <v>2.9849999999999999</v>
      </c>
      <c r="K693" s="162">
        <f ca="1">VLOOKUP($A693,'BC.115+740'!$B$13:$X$4969,21,0)/1000</f>
        <v>-1.0149999999999999</v>
      </c>
      <c r="L693" s="160">
        <f t="shared" ca="1" si="34"/>
        <v>-1174</v>
      </c>
      <c r="M693" s="161">
        <f t="shared" ca="1" si="35"/>
        <v>-1348</v>
      </c>
      <c r="N693" s="160">
        <f t="shared" ca="1" si="36"/>
        <v>-974.99999999999989</v>
      </c>
      <c r="O693" s="160"/>
    </row>
    <row r="694" spans="1:16" ht="15">
      <c r="A694" s="169">
        <f>'BC.115+740'!B693</f>
        <v>45752</v>
      </c>
      <c r="B694" s="165">
        <f t="shared" si="33"/>
        <v>680</v>
      </c>
      <c r="C694" s="167">
        <f ca="1">'BC.115+740'!M693/1000</f>
        <v>5.3220000000000001</v>
      </c>
      <c r="D694" s="167">
        <f ca="1">'BC.115+740'!AA693</f>
        <v>6.5250000000000004</v>
      </c>
      <c r="E694" s="168">
        <f ca="1">'BC.115+740'!AB693</f>
        <v>3.9740000000000002</v>
      </c>
      <c r="F694" s="167">
        <f ca="1">VLOOKUP($A694,'BC.115+740'!$B$13:$X$4969,8,0)/1000</f>
        <v>2.8559999999999999</v>
      </c>
      <c r="G694" s="167">
        <f ca="1">VLOOKUP($A694,'BC.115+740'!$B$13:$X$4969,9,0)/1000</f>
        <v>-1.1439999999999999</v>
      </c>
      <c r="H694" s="167">
        <f ca="1">VLOOKUP($A694,'BC.115+740'!$B$13:$X$4969,14,0)/1000</f>
        <v>2.6320000000000001</v>
      </c>
      <c r="I694" s="167">
        <f ca="1">VLOOKUP($A694,'BC.115+740'!$B$13:$X$4969,15,0)/1000</f>
        <v>-1.3680000000000001</v>
      </c>
      <c r="J694" s="167">
        <f ca="1">VLOOKUP($A694,'BC.115+740'!$B$13:$X$4969,20,0)/1000</f>
        <v>2.976</v>
      </c>
      <c r="K694" s="167">
        <f ca="1">VLOOKUP($A694,'BC.115+740'!$B$13:$X$4969,21,0)/1000</f>
        <v>-1.024</v>
      </c>
      <c r="L694" s="165">
        <f t="shared" ca="1" si="34"/>
        <v>-1184</v>
      </c>
      <c r="M694" s="166">
        <f t="shared" ca="1" si="35"/>
        <v>-1358</v>
      </c>
      <c r="N694" s="165">
        <f t="shared" ca="1" si="36"/>
        <v>-984</v>
      </c>
      <c r="O694" s="26" t="s">
        <v>0</v>
      </c>
      <c r="P694" s="191">
        <f ca="1">C694-M694/1000</f>
        <v>6.68</v>
      </c>
    </row>
    <row r="695" spans="1:16">
      <c r="A695" s="164">
        <f>'BC.115+740'!B694</f>
        <v>45755</v>
      </c>
      <c r="B695" s="160">
        <f t="shared" si="33"/>
        <v>681</v>
      </c>
      <c r="C695" s="162">
        <f ca="1">'BC.115+740'!M694/1000</f>
        <v>5.2960000000000003</v>
      </c>
      <c r="D695" s="162">
        <f ca="1">'BC.115+740'!AA694</f>
        <v>6.5250000000000004</v>
      </c>
      <c r="E695" s="163">
        <f ca="1">'BC.115+740'!AB694</f>
        <v>3.9220000000000002</v>
      </c>
      <c r="F695" s="162">
        <f ca="1">VLOOKUP($A695,'BC.115+740'!$B$13:$X$4969,8,0)/1000</f>
        <v>2.8319999999999999</v>
      </c>
      <c r="G695" s="162">
        <f ca="1">VLOOKUP($A695,'BC.115+740'!$B$13:$X$4969,9,0)/1000</f>
        <v>-1.1679999999999999</v>
      </c>
      <c r="H695" s="162">
        <f ca="1">VLOOKUP($A695,'BC.115+740'!$B$13:$X$4969,14,0)/1000</f>
        <v>2.6059999999999999</v>
      </c>
      <c r="I695" s="162">
        <f ca="1">VLOOKUP($A695,'BC.115+740'!$B$13:$X$4969,15,0)/1000</f>
        <v>-1.3939999999999999</v>
      </c>
      <c r="J695" s="162">
        <f ca="1">VLOOKUP($A695,'BC.115+740'!$B$13:$X$4969,20,0)/1000</f>
        <v>2.95</v>
      </c>
      <c r="K695" s="162">
        <f ca="1">VLOOKUP($A695,'BC.115+740'!$B$13:$X$4969,21,0)/1000</f>
        <v>-1.05</v>
      </c>
      <c r="L695" s="160">
        <f t="shared" ca="1" si="34"/>
        <v>-1208</v>
      </c>
      <c r="M695" s="161">
        <f t="shared" ca="1" si="35"/>
        <v>-1384</v>
      </c>
      <c r="N695" s="160">
        <f t="shared" ca="1" si="36"/>
        <v>-1010</v>
      </c>
      <c r="O695" s="160"/>
    </row>
    <row r="696" spans="1:16">
      <c r="A696" s="164">
        <f>'BC.115+740'!B695</f>
        <v>45759</v>
      </c>
      <c r="B696" s="160">
        <f t="shared" si="33"/>
        <v>682</v>
      </c>
      <c r="C696" s="162">
        <f ca="1">'BC.115+740'!M695/1000</f>
        <v>5.266</v>
      </c>
      <c r="D696" s="162">
        <f ca="1">'BC.115+740'!AA695</f>
        <v>6.5250000000000004</v>
      </c>
      <c r="E696" s="163">
        <f ca="1">'BC.115+740'!AB695</f>
        <v>3.8620000000000001</v>
      </c>
      <c r="F696" s="162">
        <f ca="1">VLOOKUP($A696,'BC.115+740'!$B$13:$X$4969,8,0)/1000</f>
        <v>2.7970000000000002</v>
      </c>
      <c r="G696" s="162">
        <f ca="1">VLOOKUP($A696,'BC.115+740'!$B$13:$X$4969,9,0)/1000</f>
        <v>-1.2030000000000001</v>
      </c>
      <c r="H696" s="162">
        <f ca="1">VLOOKUP($A696,'BC.115+740'!$B$13:$X$4969,14,0)/1000</f>
        <v>2.5760000000000001</v>
      </c>
      <c r="I696" s="162">
        <f ca="1">VLOOKUP($A696,'BC.115+740'!$B$13:$X$4969,15,0)/1000</f>
        <v>-1.4239999999999999</v>
      </c>
      <c r="J696" s="162">
        <f ca="1">VLOOKUP($A696,'BC.115+740'!$B$13:$X$4969,20,0)/1000</f>
        <v>2.9159999999999999</v>
      </c>
      <c r="K696" s="162">
        <f ca="1">VLOOKUP($A696,'BC.115+740'!$B$13:$X$4969,21,0)/1000</f>
        <v>-1.0840000000000001</v>
      </c>
      <c r="L696" s="160">
        <f t="shared" ca="1" si="34"/>
        <v>-1243</v>
      </c>
      <c r="M696" s="161">
        <f t="shared" ca="1" si="35"/>
        <v>-1414</v>
      </c>
      <c r="N696" s="160">
        <f t="shared" ca="1" si="36"/>
        <v>-1044</v>
      </c>
      <c r="O696" s="160"/>
    </row>
    <row r="697" spans="1:16">
      <c r="A697" s="164">
        <f>'BC.115+740'!B696</f>
        <v>45762</v>
      </c>
      <c r="B697" s="160">
        <f t="shared" si="33"/>
        <v>683</v>
      </c>
      <c r="C697" s="162">
        <f ca="1">'BC.115+740'!M696/1000</f>
        <v>5.2460000000000004</v>
      </c>
      <c r="D697" s="162">
        <f ca="1">'BC.115+740'!AA696</f>
        <v>6.5250000000000004</v>
      </c>
      <c r="E697" s="163">
        <f ca="1">'BC.115+740'!AB696</f>
        <v>3.8220000000000001</v>
      </c>
      <c r="F697" s="162">
        <f ca="1">VLOOKUP($A697,'BC.115+740'!$B$13:$X$4969,8,0)/1000</f>
        <v>2.7749999999999999</v>
      </c>
      <c r="G697" s="162">
        <f ca="1">VLOOKUP($A697,'BC.115+740'!$B$13:$X$4969,9,0)/1000</f>
        <v>-1.2250000000000001</v>
      </c>
      <c r="H697" s="162">
        <f ca="1">VLOOKUP($A697,'BC.115+740'!$B$13:$X$4969,14,0)/1000</f>
        <v>2.556</v>
      </c>
      <c r="I697" s="162">
        <f ca="1">VLOOKUP($A697,'BC.115+740'!$B$13:$X$4969,15,0)/1000</f>
        <v>-1.444</v>
      </c>
      <c r="J697" s="162">
        <f ca="1">VLOOKUP($A697,'BC.115+740'!$B$13:$X$4969,20,0)/1000</f>
        <v>2.891</v>
      </c>
      <c r="K697" s="162">
        <f ca="1">VLOOKUP($A697,'BC.115+740'!$B$13:$X$4969,21,0)/1000</f>
        <v>-1.109</v>
      </c>
      <c r="L697" s="160">
        <f t="shared" ca="1" si="34"/>
        <v>-1265.0000000000002</v>
      </c>
      <c r="M697" s="161">
        <f t="shared" ca="1" si="35"/>
        <v>-1434</v>
      </c>
      <c r="N697" s="160">
        <f t="shared" ca="1" si="36"/>
        <v>-1069</v>
      </c>
      <c r="O697" s="160"/>
    </row>
    <row r="698" spans="1:16">
      <c r="A698" s="164">
        <f>'BC.115+740'!B697</f>
        <v>45766</v>
      </c>
      <c r="B698" s="160">
        <f t="shared" si="33"/>
        <v>684</v>
      </c>
      <c r="C698" s="162">
        <f ca="1">'BC.115+740'!M697/1000</f>
        <v>5.226</v>
      </c>
      <c r="D698" s="162">
        <f ca="1">'BC.115+740'!AA697</f>
        <v>6.5250000000000004</v>
      </c>
      <c r="E698" s="163">
        <f ca="1">'BC.115+740'!AB697</f>
        <v>3.782</v>
      </c>
      <c r="F698" s="162">
        <f ca="1">VLOOKUP($A698,'BC.115+740'!$B$13:$X$4969,8,0)/1000</f>
        <v>2.742</v>
      </c>
      <c r="G698" s="162">
        <f ca="1">VLOOKUP($A698,'BC.115+740'!$B$13:$X$4969,9,0)/1000</f>
        <v>-1.258</v>
      </c>
      <c r="H698" s="162">
        <f ca="1">VLOOKUP($A698,'BC.115+740'!$B$13:$X$4969,14,0)/1000</f>
        <v>2.536</v>
      </c>
      <c r="I698" s="162">
        <f ca="1">VLOOKUP($A698,'BC.115+740'!$B$13:$X$4969,15,0)/1000</f>
        <v>-1.464</v>
      </c>
      <c r="J698" s="162">
        <f ca="1">VLOOKUP($A698,'BC.115+740'!$B$13:$X$4969,20,0)/1000</f>
        <v>2.859</v>
      </c>
      <c r="K698" s="162">
        <f ca="1">VLOOKUP($A698,'BC.115+740'!$B$13:$X$4969,21,0)/1000</f>
        <v>-1.141</v>
      </c>
      <c r="L698" s="160">
        <f t="shared" ca="1" si="34"/>
        <v>-1298</v>
      </c>
      <c r="M698" s="161">
        <f t="shared" ca="1" si="35"/>
        <v>-1454</v>
      </c>
      <c r="N698" s="160">
        <f t="shared" ca="1" si="36"/>
        <v>-1101</v>
      </c>
      <c r="O698" s="160"/>
    </row>
    <row r="699" spans="1:16">
      <c r="A699" s="164">
        <f>'BC.115+740'!B698</f>
        <v>45769</v>
      </c>
      <c r="B699" s="160">
        <f t="shared" si="33"/>
        <v>685</v>
      </c>
      <c r="C699" s="162">
        <f ca="1">'BC.115+740'!M698/1000</f>
        <v>5.1989999999999998</v>
      </c>
      <c r="D699" s="162">
        <f ca="1">'BC.115+740'!AA698</f>
        <v>6.5250000000000004</v>
      </c>
      <c r="E699" s="163">
        <f ca="1">'BC.115+740'!AB698</f>
        <v>3.7280000000000002</v>
      </c>
      <c r="F699" s="162">
        <f ca="1">VLOOKUP($A699,'BC.115+740'!$B$13:$X$4969,8,0)/1000</f>
        <v>2.72</v>
      </c>
      <c r="G699" s="162">
        <f ca="1">VLOOKUP($A699,'BC.115+740'!$B$13:$X$4969,9,0)/1000</f>
        <v>-1.28</v>
      </c>
      <c r="H699" s="162">
        <f ca="1">VLOOKUP($A699,'BC.115+740'!$B$13:$X$4969,14,0)/1000</f>
        <v>2.5089999999999999</v>
      </c>
      <c r="I699" s="162">
        <f ca="1">VLOOKUP($A699,'BC.115+740'!$B$13:$X$4969,15,0)/1000</f>
        <v>-1.4910000000000001</v>
      </c>
      <c r="J699" s="162">
        <f ca="1">VLOOKUP($A699,'BC.115+740'!$B$13:$X$4969,20,0)/1000</f>
        <v>2.8460000000000001</v>
      </c>
      <c r="K699" s="162">
        <f ca="1">VLOOKUP($A699,'BC.115+740'!$B$13:$X$4969,21,0)/1000</f>
        <v>-1.1539999999999999</v>
      </c>
      <c r="L699" s="160">
        <f t="shared" ca="1" si="34"/>
        <v>-1320</v>
      </c>
      <c r="M699" s="161">
        <f t="shared" ca="1" si="35"/>
        <v>-1481</v>
      </c>
      <c r="N699" s="160">
        <f t="shared" ca="1" si="36"/>
        <v>-1113.9999999999998</v>
      </c>
      <c r="O699" s="160"/>
    </row>
    <row r="700" spans="1:16">
      <c r="A700" s="164">
        <f>'BC.115+740'!B699</f>
        <v>45773</v>
      </c>
      <c r="B700" s="160">
        <f t="shared" si="33"/>
        <v>686</v>
      </c>
      <c r="C700" s="162">
        <f ca="1">'BC.115+740'!M699/1000</f>
        <v>5.1689999999999996</v>
      </c>
      <c r="D700" s="162">
        <f ca="1">'BC.115+740'!AA699</f>
        <v>6.5250000000000004</v>
      </c>
      <c r="E700" s="163">
        <f ca="1">'BC.115+740'!AB699</f>
        <v>3.6680000000000001</v>
      </c>
      <c r="F700" s="162">
        <f ca="1">VLOOKUP($A700,'BC.115+740'!$B$13:$X$4969,8,0)/1000</f>
        <v>2.6890000000000001</v>
      </c>
      <c r="G700" s="162">
        <f ca="1">VLOOKUP($A700,'BC.115+740'!$B$13:$X$4969,9,0)/1000</f>
        <v>-1.3109999999999999</v>
      </c>
      <c r="H700" s="162">
        <f ca="1">VLOOKUP($A700,'BC.115+740'!$B$13:$X$4969,14,0)/1000</f>
        <v>2.4790000000000001</v>
      </c>
      <c r="I700" s="162">
        <f ca="1">VLOOKUP($A700,'BC.115+740'!$B$13:$X$4969,15,0)/1000</f>
        <v>-1.5209999999999999</v>
      </c>
      <c r="J700" s="162">
        <f ca="1">VLOOKUP($A700,'BC.115+740'!$B$13:$X$4969,20,0)/1000</f>
        <v>2.8279999999999998</v>
      </c>
      <c r="K700" s="162">
        <f ca="1">VLOOKUP($A700,'BC.115+740'!$B$13:$X$4969,21,0)/1000</f>
        <v>-1.1719999999999999</v>
      </c>
      <c r="L700" s="160">
        <f t="shared" ca="1" si="34"/>
        <v>-1351</v>
      </c>
      <c r="M700" s="161">
        <f t="shared" ca="1" si="35"/>
        <v>-1511</v>
      </c>
      <c r="N700" s="160">
        <f t="shared" ca="1" si="36"/>
        <v>-1132</v>
      </c>
      <c r="O700" s="160"/>
    </row>
    <row r="701" spans="1:16">
      <c r="A701" s="164">
        <f>'BC.115+740'!B700</f>
        <v>45776</v>
      </c>
      <c r="B701" s="160">
        <f t="shared" si="33"/>
        <v>687</v>
      </c>
      <c r="C701" s="162">
        <f ca="1">'BC.115+740'!M700/1000</f>
        <v>5.1440000000000001</v>
      </c>
      <c r="D701" s="162">
        <f ca="1">'BC.115+740'!AA700</f>
        <v>6.5250000000000004</v>
      </c>
      <c r="E701" s="163">
        <f ca="1">'BC.115+740'!AB700</f>
        <v>3.6179999999999999</v>
      </c>
      <c r="F701" s="162">
        <f ca="1">VLOOKUP($A701,'BC.115+740'!$B$13:$X$4969,8,0)/1000</f>
        <v>2.673</v>
      </c>
      <c r="G701" s="162">
        <f ca="1">VLOOKUP($A701,'BC.115+740'!$B$13:$X$4969,9,0)/1000</f>
        <v>-1.327</v>
      </c>
      <c r="H701" s="162">
        <f ca="1">VLOOKUP($A701,'BC.115+740'!$B$13:$X$4969,14,0)/1000</f>
        <v>2.4540000000000002</v>
      </c>
      <c r="I701" s="162">
        <f ca="1">VLOOKUP($A701,'BC.115+740'!$B$13:$X$4969,15,0)/1000</f>
        <v>-1.546</v>
      </c>
      <c r="J701" s="162">
        <f ca="1">VLOOKUP($A701,'BC.115+740'!$B$13:$X$4969,20,0)/1000</f>
        <v>2.81</v>
      </c>
      <c r="K701" s="162">
        <f ca="1">VLOOKUP($A701,'BC.115+740'!$B$13:$X$4969,21,0)/1000</f>
        <v>-1.19</v>
      </c>
      <c r="L701" s="160">
        <f t="shared" ca="1" si="34"/>
        <v>-1367</v>
      </c>
      <c r="M701" s="161">
        <f t="shared" ca="1" si="35"/>
        <v>-1536</v>
      </c>
      <c r="N701" s="160">
        <f t="shared" ca="1" si="36"/>
        <v>-1150</v>
      </c>
      <c r="O701" s="160"/>
    </row>
    <row r="702" spans="1:16">
      <c r="A702" s="164">
        <f>'BC.115+740'!B701</f>
        <v>45780</v>
      </c>
      <c r="B702" s="160">
        <f t="shared" si="33"/>
        <v>688</v>
      </c>
      <c r="C702" s="162">
        <f ca="1">'BC.115+740'!M701/1000</f>
        <v>5.1109999999999998</v>
      </c>
      <c r="D702" s="162">
        <f ca="1">'BC.115+740'!AA701</f>
        <v>6.5250000000000004</v>
      </c>
      <c r="E702" s="163">
        <f ca="1">'BC.115+740'!AB701</f>
        <v>3.552</v>
      </c>
      <c r="F702" s="162">
        <f ca="1">VLOOKUP($A702,'BC.115+740'!$B$13:$X$4969,8,0)/1000</f>
        <v>2.6509999999999998</v>
      </c>
      <c r="G702" s="162">
        <f ca="1">VLOOKUP($A702,'BC.115+740'!$B$13:$X$4969,9,0)/1000</f>
        <v>-1.349</v>
      </c>
      <c r="H702" s="162">
        <f ca="1">VLOOKUP($A702,'BC.115+740'!$B$13:$X$4969,14,0)/1000</f>
        <v>2.4209999999999998</v>
      </c>
      <c r="I702" s="162">
        <f ca="1">VLOOKUP($A702,'BC.115+740'!$B$13:$X$4969,15,0)/1000</f>
        <v>-1.579</v>
      </c>
      <c r="J702" s="162">
        <f ca="1">VLOOKUP($A702,'BC.115+740'!$B$13:$X$4969,20,0)/1000</f>
        <v>2.7919999999999998</v>
      </c>
      <c r="K702" s="162">
        <f ca="1">VLOOKUP($A702,'BC.115+740'!$B$13:$X$4969,21,0)/1000</f>
        <v>-1.208</v>
      </c>
      <c r="L702" s="160">
        <f t="shared" ca="1" si="34"/>
        <v>-1389</v>
      </c>
      <c r="M702" s="161">
        <f t="shared" ca="1" si="35"/>
        <v>-1569</v>
      </c>
      <c r="N702" s="160">
        <f t="shared" ca="1" si="36"/>
        <v>-1168</v>
      </c>
      <c r="O702" s="160"/>
    </row>
    <row r="703" spans="1:16">
      <c r="A703" s="164">
        <f>'BC.115+740'!B702</f>
        <v>45787</v>
      </c>
      <c r="B703" s="160">
        <f t="shared" si="33"/>
        <v>689</v>
      </c>
      <c r="C703" s="162">
        <f ca="1">'BC.115+740'!M702/1000</f>
        <v>5.0759999999999996</v>
      </c>
      <c r="D703" s="162">
        <f ca="1">'BC.115+740'!AA702</f>
        <v>6.5250000000000004</v>
      </c>
      <c r="E703" s="163">
        <f ca="1">'BC.115+740'!AB702</f>
        <v>3.4820000000000002</v>
      </c>
      <c r="F703" s="162">
        <f ca="1">VLOOKUP($A703,'BC.115+740'!$B$13:$X$4969,8,0)/1000</f>
        <v>2.6259999999999999</v>
      </c>
      <c r="G703" s="162">
        <f ca="1">VLOOKUP($A703,'BC.115+740'!$B$13:$X$4969,9,0)/1000</f>
        <v>-1.3740000000000001</v>
      </c>
      <c r="H703" s="162">
        <f ca="1">VLOOKUP($A703,'BC.115+740'!$B$13:$X$4969,14,0)/1000</f>
        <v>2.3860000000000001</v>
      </c>
      <c r="I703" s="162">
        <f ca="1">VLOOKUP($A703,'BC.115+740'!$B$13:$X$4969,15,0)/1000</f>
        <v>-1.6140000000000001</v>
      </c>
      <c r="J703" s="162">
        <f ca="1">VLOOKUP($A703,'BC.115+740'!$B$13:$X$4969,20,0)/1000</f>
        <v>2.77</v>
      </c>
      <c r="K703" s="162">
        <f ca="1">VLOOKUP($A703,'BC.115+740'!$B$13:$X$4969,21,0)/1000</f>
        <v>-1.23</v>
      </c>
      <c r="L703" s="160">
        <f t="shared" ca="1" si="34"/>
        <v>-1414.0000000000002</v>
      </c>
      <c r="M703" s="161">
        <f t="shared" ca="1" si="35"/>
        <v>-1604</v>
      </c>
      <c r="N703" s="160">
        <f t="shared" ca="1" si="36"/>
        <v>-1190</v>
      </c>
      <c r="O703" s="160"/>
    </row>
    <row r="704" spans="1:16">
      <c r="A704" s="164">
        <f>'BC.115+740'!B703</f>
        <v>45794</v>
      </c>
      <c r="B704" s="160">
        <f t="shared" si="33"/>
        <v>690</v>
      </c>
      <c r="C704" s="162">
        <f ca="1">'BC.115+740'!M703/1000</f>
        <v>5.0460000000000003</v>
      </c>
      <c r="D704" s="162">
        <f ca="1">'BC.115+740'!AA703</f>
        <v>6.5250000000000004</v>
      </c>
      <c r="E704" s="163">
        <f ca="1">'BC.115+740'!AB703</f>
        <v>3.4220000000000002</v>
      </c>
      <c r="F704" s="162">
        <f ca="1">VLOOKUP($A704,'BC.115+740'!$B$13:$X$4969,8,0)/1000</f>
        <v>2.6019999999999999</v>
      </c>
      <c r="G704" s="162">
        <f ca="1">VLOOKUP($A704,'BC.115+740'!$B$13:$X$4969,9,0)/1000</f>
        <v>-1.3979999999999999</v>
      </c>
      <c r="H704" s="162">
        <f ca="1">VLOOKUP($A704,'BC.115+740'!$B$13:$X$4969,14,0)/1000</f>
        <v>2.3559999999999999</v>
      </c>
      <c r="I704" s="162">
        <f ca="1">VLOOKUP($A704,'BC.115+740'!$B$13:$X$4969,15,0)/1000</f>
        <v>-1.6439999999999999</v>
      </c>
      <c r="J704" s="162">
        <f ca="1">VLOOKUP($A704,'BC.115+740'!$B$13:$X$4969,20,0)/1000</f>
        <v>2.75</v>
      </c>
      <c r="K704" s="162">
        <f ca="1">VLOOKUP($A704,'BC.115+740'!$B$13:$X$4969,21,0)/1000</f>
        <v>-1.25</v>
      </c>
      <c r="L704" s="160">
        <f t="shared" ca="1" si="34"/>
        <v>-1438</v>
      </c>
      <c r="M704" s="161">
        <f t="shared" ca="1" si="35"/>
        <v>-1634</v>
      </c>
      <c r="N704" s="160">
        <f t="shared" ca="1" si="36"/>
        <v>-1210</v>
      </c>
      <c r="O704" s="160"/>
    </row>
    <row r="705" spans="1:15">
      <c r="A705" s="164">
        <f>'BC.115+740'!B704</f>
        <v>45801</v>
      </c>
      <c r="B705" s="160">
        <f t="shared" ref="B705:B714" si="37">+B704+1</f>
        <v>691</v>
      </c>
      <c r="C705" s="162">
        <f ca="1">'BC.115+740'!M704/1000</f>
        <v>5.0220000000000002</v>
      </c>
      <c r="D705" s="162">
        <f ca="1">'BC.115+740'!AA704</f>
        <v>6.5250000000000004</v>
      </c>
      <c r="E705" s="163">
        <f ca="1">'BC.115+740'!AB704</f>
        <v>3.3740000000000001</v>
      </c>
      <c r="F705" s="162">
        <f ca="1">VLOOKUP($A705,'BC.115+740'!$B$13:$X$4969,8,0)/1000</f>
        <v>2.58</v>
      </c>
      <c r="G705" s="162">
        <f ca="1">VLOOKUP($A705,'BC.115+740'!$B$13:$X$4969,9,0)/1000</f>
        <v>-1.42</v>
      </c>
      <c r="H705" s="162">
        <f ca="1">VLOOKUP($A705,'BC.115+740'!$B$13:$X$4969,14,0)/1000</f>
        <v>2.3319999999999999</v>
      </c>
      <c r="I705" s="162">
        <f ca="1">VLOOKUP($A705,'BC.115+740'!$B$13:$X$4969,15,0)/1000</f>
        <v>-1.6679999999999999</v>
      </c>
      <c r="J705" s="162">
        <f ca="1">VLOOKUP($A705,'BC.115+740'!$B$13:$X$4969,20,0)/1000</f>
        <v>2.7320000000000002</v>
      </c>
      <c r="K705" s="162">
        <f ca="1">VLOOKUP($A705,'BC.115+740'!$B$13:$X$4969,21,0)/1000</f>
        <v>-1.268</v>
      </c>
      <c r="L705" s="160">
        <f t="shared" ref="L705:L712" ca="1" si="38">(G705-$G$14)*1000</f>
        <v>-1460</v>
      </c>
      <c r="M705" s="161">
        <f t="shared" ref="M705:M712" ca="1" si="39">(I705-$I$14)*1000</f>
        <v>-1658</v>
      </c>
      <c r="N705" s="160">
        <f t="shared" ref="N705:N712" ca="1" si="40">(K705-$K$14)*1000</f>
        <v>-1228</v>
      </c>
      <c r="O705" s="160"/>
    </row>
    <row r="706" spans="1:15">
      <c r="A706" s="164">
        <f>'BC.115+740'!B705</f>
        <v>45808</v>
      </c>
      <c r="B706" s="160">
        <f t="shared" si="37"/>
        <v>692</v>
      </c>
      <c r="C706" s="162">
        <f ca="1">'BC.115+740'!M705/1000</f>
        <v>5</v>
      </c>
      <c r="D706" s="162">
        <f ca="1">'BC.115+740'!AA705</f>
        <v>6.5250000000000004</v>
      </c>
      <c r="E706" s="163">
        <f ca="1">'BC.115+740'!AB705</f>
        <v>3.33</v>
      </c>
      <c r="F706" s="162">
        <f ca="1">VLOOKUP($A706,'BC.115+740'!$B$13:$X$4969,8,0)/1000</f>
        <v>2.56</v>
      </c>
      <c r="G706" s="162">
        <f ca="1">VLOOKUP($A706,'BC.115+740'!$B$13:$X$4969,9,0)/1000</f>
        <v>-1.44</v>
      </c>
      <c r="H706" s="162">
        <f ca="1">VLOOKUP($A706,'BC.115+740'!$B$13:$X$4969,14,0)/1000</f>
        <v>2.31</v>
      </c>
      <c r="I706" s="162">
        <f ca="1">VLOOKUP($A706,'BC.115+740'!$B$13:$X$4969,15,0)/1000</f>
        <v>-1.69</v>
      </c>
      <c r="J706" s="162">
        <f ca="1">VLOOKUP($A706,'BC.115+740'!$B$13:$X$4969,20,0)/1000</f>
        <v>2.718</v>
      </c>
      <c r="K706" s="162">
        <f ca="1">VLOOKUP($A706,'BC.115+740'!$B$13:$X$4969,21,0)/1000</f>
        <v>-1.282</v>
      </c>
      <c r="L706" s="160">
        <f t="shared" ca="1" si="38"/>
        <v>-1480</v>
      </c>
      <c r="M706" s="161">
        <f t="shared" ca="1" si="39"/>
        <v>-1680</v>
      </c>
      <c r="N706" s="160">
        <f t="shared" ca="1" si="40"/>
        <v>-1242</v>
      </c>
      <c r="O706" s="160"/>
    </row>
    <row r="707" spans="1:15">
      <c r="A707" s="164">
        <f>'BC.115+740'!B706</f>
        <v>45815</v>
      </c>
      <c r="B707" s="160">
        <f t="shared" si="37"/>
        <v>693</v>
      </c>
      <c r="C707" s="162">
        <f ca="1">'BC.115+740'!M706/1000</f>
        <v>4.9850000000000003</v>
      </c>
      <c r="D707" s="162">
        <f ca="1">'BC.115+740'!AA706</f>
        <v>6.5250000000000004</v>
      </c>
      <c r="E707" s="163">
        <f ca="1">'BC.115+740'!AB706</f>
        <v>3.3</v>
      </c>
      <c r="F707" s="162">
        <f ca="1">VLOOKUP($A707,'BC.115+740'!$B$13:$X$4969,8,0)/1000</f>
        <v>2.544</v>
      </c>
      <c r="G707" s="162">
        <f ca="1">VLOOKUP($A707,'BC.115+740'!$B$13:$X$4969,9,0)/1000</f>
        <v>-1.456</v>
      </c>
      <c r="H707" s="162">
        <f ca="1">VLOOKUP($A707,'BC.115+740'!$B$13:$X$4969,14,0)/1000</f>
        <v>2.2949999999999999</v>
      </c>
      <c r="I707" s="162">
        <f ca="1">VLOOKUP($A707,'BC.115+740'!$B$13:$X$4969,15,0)/1000</f>
        <v>-1.7050000000000001</v>
      </c>
      <c r="J707" s="162">
        <f ca="1">VLOOKUP($A707,'BC.115+740'!$B$13:$X$4969,20,0)/1000</f>
        <v>2.7040000000000002</v>
      </c>
      <c r="K707" s="162">
        <f ca="1">VLOOKUP($A707,'BC.115+740'!$B$13:$X$4969,21,0)/1000</f>
        <v>-1.296</v>
      </c>
      <c r="L707" s="160">
        <f t="shared" ca="1" si="38"/>
        <v>-1496</v>
      </c>
      <c r="M707" s="161">
        <f t="shared" ca="1" si="39"/>
        <v>-1695</v>
      </c>
      <c r="N707" s="160">
        <f t="shared" ca="1" si="40"/>
        <v>-1256</v>
      </c>
      <c r="O707" s="160"/>
    </row>
    <row r="708" spans="1:15">
      <c r="A708" s="164">
        <f>'BC.115+740'!B707</f>
        <v>45822</v>
      </c>
      <c r="B708" s="160">
        <f t="shared" si="37"/>
        <v>694</v>
      </c>
      <c r="C708" s="162">
        <f ca="1">'BC.115+740'!M707/1000</f>
        <v>4.9729999999999999</v>
      </c>
      <c r="D708" s="162">
        <f ca="1">'BC.115+740'!AA707</f>
        <v>6.5250000000000004</v>
      </c>
      <c r="E708" s="163">
        <f ca="1">'BC.115+740'!AB707</f>
        <v>3.2759999999999998</v>
      </c>
      <c r="F708" s="162">
        <f ca="1">VLOOKUP($A708,'BC.115+740'!$B$13:$X$4969,8,0)/1000</f>
        <v>2.5289999999999999</v>
      </c>
      <c r="G708" s="162">
        <f ca="1">VLOOKUP($A708,'BC.115+740'!$B$13:$X$4969,9,0)/1000</f>
        <v>-1.4710000000000001</v>
      </c>
      <c r="H708" s="162">
        <f ca="1">VLOOKUP($A708,'BC.115+740'!$B$13:$X$4969,14,0)/1000</f>
        <v>2.2829999999999999</v>
      </c>
      <c r="I708" s="162">
        <f ca="1">VLOOKUP($A708,'BC.115+740'!$B$13:$X$4969,15,0)/1000</f>
        <v>-1.7170000000000001</v>
      </c>
      <c r="J708" s="162">
        <f ca="1">VLOOKUP($A708,'BC.115+740'!$B$13:$X$4969,20,0)/1000</f>
        <v>2.6909999999999998</v>
      </c>
      <c r="K708" s="162">
        <f ca="1">VLOOKUP($A708,'BC.115+740'!$B$13:$X$4969,21,0)/1000</f>
        <v>-1.3089999999999999</v>
      </c>
      <c r="L708" s="160">
        <f t="shared" ca="1" si="38"/>
        <v>-1511.0000000000002</v>
      </c>
      <c r="M708" s="161">
        <f t="shared" ca="1" si="39"/>
        <v>-1707</v>
      </c>
      <c r="N708" s="160">
        <f t="shared" ca="1" si="40"/>
        <v>-1269</v>
      </c>
      <c r="O708" s="160"/>
    </row>
    <row r="709" spans="1:15">
      <c r="A709" s="164">
        <f>'BC.115+740'!B708</f>
        <v>45829</v>
      </c>
      <c r="B709" s="160">
        <f t="shared" si="37"/>
        <v>695</v>
      </c>
      <c r="C709" s="162">
        <f ca="1">'BC.115+740'!M708/1000</f>
        <v>4.9589999999999996</v>
      </c>
      <c r="D709" s="162">
        <f ca="1">'BC.115+740'!AA708</f>
        <v>6.5250000000000004</v>
      </c>
      <c r="E709" s="163">
        <f ca="1">'BC.115+740'!AB708</f>
        <v>3.2480000000000002</v>
      </c>
      <c r="F709" s="162">
        <f ca="1">VLOOKUP($A709,'BC.115+740'!$B$13:$X$4969,8,0)/1000</f>
        <v>2.5169999999999999</v>
      </c>
      <c r="G709" s="162">
        <f ca="1">VLOOKUP($A709,'BC.115+740'!$B$13:$X$4969,9,0)/1000</f>
        <v>-1.4830000000000001</v>
      </c>
      <c r="H709" s="162">
        <f ca="1">VLOOKUP($A709,'BC.115+740'!$B$13:$X$4969,14,0)/1000</f>
        <v>2.2690000000000001</v>
      </c>
      <c r="I709" s="162">
        <f ca="1">VLOOKUP($A709,'BC.115+740'!$B$13:$X$4969,15,0)/1000</f>
        <v>-1.7310000000000001</v>
      </c>
      <c r="J709" s="162">
        <f ca="1">VLOOKUP($A709,'BC.115+740'!$B$13:$X$4969,20,0)/1000</f>
        <v>2.6779999999999999</v>
      </c>
      <c r="K709" s="162">
        <f ca="1">VLOOKUP($A709,'BC.115+740'!$B$13:$X$4969,21,0)/1000</f>
        <v>-1.3220000000000001</v>
      </c>
      <c r="L709" s="160">
        <f t="shared" ca="1" si="38"/>
        <v>-1523.0000000000002</v>
      </c>
      <c r="M709" s="161">
        <f t="shared" ca="1" si="39"/>
        <v>-1721</v>
      </c>
      <c r="N709" s="160">
        <f t="shared" ca="1" si="40"/>
        <v>-1282</v>
      </c>
      <c r="O709" s="160"/>
    </row>
    <row r="710" spans="1:15">
      <c r="A710" s="164">
        <f>'BC.115+740'!B709</f>
        <v>45836</v>
      </c>
      <c r="B710" s="160">
        <f t="shared" si="37"/>
        <v>696</v>
      </c>
      <c r="C710" s="162">
        <f ca="1">'BC.115+740'!M709/1000</f>
        <v>4.9489999999999998</v>
      </c>
      <c r="D710" s="162">
        <f ca="1">'BC.115+740'!AA709</f>
        <v>6.5250000000000004</v>
      </c>
      <c r="E710" s="163">
        <f ca="1">'BC.115+740'!AB709</f>
        <v>3.2280000000000002</v>
      </c>
      <c r="F710" s="162">
        <f ca="1">VLOOKUP($A710,'BC.115+740'!$B$13:$X$4969,8,0)/1000</f>
        <v>2.504</v>
      </c>
      <c r="G710" s="162">
        <f ca="1">VLOOKUP($A710,'BC.115+740'!$B$13:$X$4969,9,0)/1000</f>
        <v>-1.496</v>
      </c>
      <c r="H710" s="162">
        <f ca="1">VLOOKUP($A710,'BC.115+740'!$B$13:$X$4969,14,0)/1000</f>
        <v>2.2589999999999999</v>
      </c>
      <c r="I710" s="162">
        <f ca="1">VLOOKUP($A710,'BC.115+740'!$B$13:$X$4969,15,0)/1000</f>
        <v>-1.7410000000000001</v>
      </c>
      <c r="J710" s="162">
        <f ca="1">VLOOKUP($A710,'BC.115+740'!$B$13:$X$4969,20,0)/1000</f>
        <v>2.6659999999999999</v>
      </c>
      <c r="K710" s="162">
        <f ca="1">VLOOKUP($A710,'BC.115+740'!$B$13:$X$4969,21,0)/1000</f>
        <v>-1.3340000000000001</v>
      </c>
      <c r="L710" s="160">
        <f t="shared" ca="1" si="38"/>
        <v>-1536</v>
      </c>
      <c r="M710" s="161">
        <f t="shared" ca="1" si="39"/>
        <v>-1731</v>
      </c>
      <c r="N710" s="160">
        <f t="shared" ca="1" si="40"/>
        <v>-1294</v>
      </c>
      <c r="O710" s="160"/>
    </row>
    <row r="711" spans="1:15">
      <c r="A711" s="164">
        <f>'BC.115+740'!B710</f>
        <v>45843</v>
      </c>
      <c r="B711" s="160">
        <f t="shared" si="37"/>
        <v>697</v>
      </c>
      <c r="C711" s="162">
        <f ca="1">'BC.115+740'!M710/1000</f>
        <v>4.931</v>
      </c>
      <c r="D711" s="162">
        <f ca="1">'BC.115+740'!AA710</f>
        <v>6.5250000000000004</v>
      </c>
      <c r="E711" s="163">
        <f ca="1">'BC.115+740'!AB710</f>
        <v>3.1920000000000002</v>
      </c>
      <c r="F711" s="162">
        <f ca="1">VLOOKUP($A711,'BC.115+740'!$B$13:$X$4969,8,0)/1000</f>
        <v>2.4929999999999999</v>
      </c>
      <c r="G711" s="162">
        <f ca="1">VLOOKUP($A711,'BC.115+740'!$B$13:$X$4969,9,0)/1000</f>
        <v>-1.5069999999999999</v>
      </c>
      <c r="H711" s="162">
        <f ca="1">VLOOKUP($A711,'BC.115+740'!$B$13:$X$4969,14,0)/1000</f>
        <v>2.2410000000000001</v>
      </c>
      <c r="I711" s="162">
        <f ca="1">VLOOKUP($A711,'BC.115+740'!$B$13:$X$4969,15,0)/1000</f>
        <v>-1.7589999999999999</v>
      </c>
      <c r="J711" s="162">
        <f ca="1">VLOOKUP($A711,'BC.115+740'!$B$13:$X$4969,20,0)/1000</f>
        <v>2.6560000000000001</v>
      </c>
      <c r="K711" s="162">
        <f ca="1">VLOOKUP($A711,'BC.115+740'!$B$13:$X$4969,21,0)/1000</f>
        <v>-1.3440000000000001</v>
      </c>
      <c r="L711" s="160">
        <f t="shared" ca="1" si="38"/>
        <v>-1547</v>
      </c>
      <c r="M711" s="161">
        <f t="shared" ca="1" si="39"/>
        <v>-1749</v>
      </c>
      <c r="N711" s="160">
        <f t="shared" ca="1" si="40"/>
        <v>-1304</v>
      </c>
      <c r="O711" s="160"/>
    </row>
    <row r="712" spans="1:15">
      <c r="A712" s="164">
        <f>'BC.115+740'!B711</f>
        <v>45850</v>
      </c>
      <c r="B712" s="160">
        <f t="shared" si="37"/>
        <v>698</v>
      </c>
      <c r="C712" s="162">
        <f ca="1">'BC.115+740'!M711/1000</f>
        <v>4.9210000000000003</v>
      </c>
      <c r="D712" s="162">
        <f ca="1">'BC.115+740'!AA711</f>
        <v>6.5250000000000004</v>
      </c>
      <c r="E712" s="163">
        <f ca="1">'BC.115+740'!AB711</f>
        <v>3.1720000000000002</v>
      </c>
      <c r="F712" s="162">
        <f ca="1">VLOOKUP($A712,'BC.115+740'!$B$13:$X$4969,8,0)/1000</f>
        <v>2.4830000000000001</v>
      </c>
      <c r="G712" s="162">
        <f ca="1">VLOOKUP($A712,'BC.115+740'!$B$13:$X$4969,9,0)/1000</f>
        <v>-1.5169999999999999</v>
      </c>
      <c r="H712" s="162">
        <f ca="1">VLOOKUP($A712,'BC.115+740'!$B$13:$X$4969,14,0)/1000</f>
        <v>2.2309999999999999</v>
      </c>
      <c r="I712" s="162">
        <f ca="1">VLOOKUP($A712,'BC.115+740'!$B$13:$X$4969,15,0)/1000</f>
        <v>-1.7689999999999999</v>
      </c>
      <c r="J712" s="162">
        <f ca="1">VLOOKUP($A712,'BC.115+740'!$B$13:$X$4969,20,0)/1000</f>
        <v>2.649</v>
      </c>
      <c r="K712" s="162">
        <f ca="1">VLOOKUP($A712,'BC.115+740'!$B$13:$X$4969,21,0)/1000</f>
        <v>-1.351</v>
      </c>
      <c r="L712" s="160">
        <f t="shared" ca="1" si="38"/>
        <v>-1557</v>
      </c>
      <c r="M712" s="161">
        <f t="shared" ca="1" si="39"/>
        <v>-1759</v>
      </c>
      <c r="N712" s="160">
        <f t="shared" ca="1" si="40"/>
        <v>-1311</v>
      </c>
      <c r="O712" s="160"/>
    </row>
    <row r="713" spans="1:15">
      <c r="A713" s="164">
        <f>'BC.115+740'!B712</f>
        <v>45857</v>
      </c>
      <c r="B713" s="160">
        <f t="shared" si="37"/>
        <v>699</v>
      </c>
      <c r="C713" s="162">
        <f ca="1">'BC.115+740'!M712/1000</f>
        <v>4.9119999999999999</v>
      </c>
      <c r="D713" s="162">
        <f ca="1">'BC.115+740'!AA712</f>
        <v>6.5250000000000004</v>
      </c>
      <c r="E713" s="163">
        <f ca="1">'BC.115+740'!AB712</f>
        <v>3.1539999999999999</v>
      </c>
      <c r="F713" s="162">
        <f ca="1">VLOOKUP($A713,'BC.115+740'!$B$13:$X$4969,8,0)/1000</f>
        <v>2.4750000000000001</v>
      </c>
      <c r="G713" s="162">
        <f ca="1">VLOOKUP($A713,'BC.115+740'!$B$13:$X$4969,9,0)/1000</f>
        <v>-1.5249999999999999</v>
      </c>
      <c r="H713" s="162">
        <f ca="1">VLOOKUP($A713,'BC.115+740'!$B$13:$X$4969,14,0)/1000</f>
        <v>2.222</v>
      </c>
      <c r="I713" s="162">
        <f ca="1">VLOOKUP($A713,'BC.115+740'!$B$13:$X$4969,15,0)/1000</f>
        <v>-1.778</v>
      </c>
      <c r="J713" s="162">
        <f ca="1">VLOOKUP($A713,'BC.115+740'!$B$13:$X$4969,20,0)/1000</f>
        <v>2.6419999999999999</v>
      </c>
      <c r="K713" s="162">
        <f ca="1">VLOOKUP($A713,'BC.115+740'!$B$13:$X$4969,21,0)/1000</f>
        <v>-1.3580000000000001</v>
      </c>
      <c r="L713" s="160">
        <f t="shared" ref="L713" ca="1" si="41">(G713-$G$14)*1000</f>
        <v>-1565</v>
      </c>
      <c r="M713" s="161">
        <f t="shared" ref="M713" ca="1" si="42">(I713-$I$14)*1000</f>
        <v>-1768</v>
      </c>
      <c r="N713" s="160">
        <f t="shared" ref="N713" ca="1" si="43">(K713-$K$14)*1000</f>
        <v>-1318</v>
      </c>
      <c r="O713" s="160"/>
    </row>
    <row r="714" spans="1:15">
      <c r="A714" s="164">
        <f>'BC.115+740'!B713</f>
        <v>45864</v>
      </c>
      <c r="B714" s="160">
        <f t="shared" si="37"/>
        <v>700</v>
      </c>
      <c r="C714" s="162">
        <f ca="1">'BC.115+740'!M713/1000</f>
        <v>4.9059999999999997</v>
      </c>
      <c r="D714" s="162">
        <f ca="1">'BC.115+740'!AA713</f>
        <v>6.5250000000000004</v>
      </c>
      <c r="E714" s="163">
        <f ca="1">'BC.115+740'!AB713</f>
        <v>3.1419999999999999</v>
      </c>
      <c r="F714" s="162">
        <f ca="1">VLOOKUP($A714,'BC.115+740'!$B$13:$X$4969,8,0)/1000</f>
        <v>2.4670000000000001</v>
      </c>
      <c r="G714" s="162">
        <f ca="1">VLOOKUP($A714,'BC.115+740'!$B$13:$X$4969,9,0)/1000</f>
        <v>-1.5329999999999999</v>
      </c>
      <c r="H714" s="162">
        <f ca="1">VLOOKUP($A714,'BC.115+740'!$B$13:$X$4969,14,0)/1000</f>
        <v>2.2160000000000002</v>
      </c>
      <c r="I714" s="162">
        <f ca="1">VLOOKUP($A714,'BC.115+740'!$B$13:$X$4969,15,0)/1000</f>
        <v>-1.784</v>
      </c>
      <c r="J714" s="162">
        <f ca="1">VLOOKUP($A714,'BC.115+740'!$B$13:$X$4969,20,0)/1000</f>
        <v>2.637</v>
      </c>
      <c r="K714" s="162">
        <f ca="1">VLOOKUP($A714,'BC.115+740'!$B$13:$X$4969,21,0)/1000</f>
        <v>-1.363</v>
      </c>
      <c r="L714" s="160">
        <f t="shared" ref="L714" ca="1" si="44">(G714-$G$14)*1000</f>
        <v>-1573</v>
      </c>
      <c r="M714" s="161">
        <f t="shared" ref="M714" ca="1" si="45">(I714-$I$14)*1000</f>
        <v>-1774</v>
      </c>
      <c r="N714" s="160">
        <f t="shared" ref="N714" ca="1" si="46">(K714-$K$14)*1000</f>
        <v>-1323</v>
      </c>
      <c r="O714" s="160"/>
    </row>
    <row r="715" spans="1:15">
      <c r="A715" s="164"/>
      <c r="B715" s="160"/>
      <c r="C715" s="162"/>
      <c r="D715" s="162"/>
      <c r="E715" s="163"/>
      <c r="F715" s="162"/>
      <c r="G715" s="162"/>
      <c r="H715" s="162"/>
      <c r="I715" s="162"/>
      <c r="J715" s="162"/>
      <c r="K715" s="162"/>
      <c r="L715" s="160"/>
      <c r="M715" s="161"/>
      <c r="N715" s="160"/>
      <c r="O715" s="160"/>
    </row>
    <row r="716" spans="1:15">
      <c r="A716" s="164"/>
      <c r="B716" s="160"/>
      <c r="C716" s="162"/>
      <c r="D716" s="162"/>
      <c r="E716" s="163"/>
      <c r="F716" s="162"/>
      <c r="G716" s="162"/>
      <c r="H716" s="162"/>
      <c r="I716" s="162"/>
      <c r="J716" s="162"/>
      <c r="K716" s="162"/>
      <c r="L716" s="160"/>
      <c r="M716" s="161"/>
      <c r="N716" s="160"/>
      <c r="O716" s="160"/>
    </row>
    <row r="717" spans="1:15">
      <c r="A717" s="164"/>
      <c r="B717" s="160"/>
      <c r="C717" s="162"/>
      <c r="D717" s="162"/>
      <c r="E717" s="163"/>
      <c r="F717" s="162"/>
      <c r="G717" s="162"/>
      <c r="H717" s="162"/>
      <c r="I717" s="162"/>
      <c r="J717" s="162"/>
      <c r="K717" s="162"/>
      <c r="L717" s="160"/>
      <c r="M717" s="161"/>
      <c r="N717" s="160"/>
      <c r="O717" s="160"/>
    </row>
    <row r="718" spans="1:15">
      <c r="A718" s="164"/>
      <c r="B718" s="160"/>
      <c r="C718" s="162"/>
      <c r="D718" s="162"/>
      <c r="E718" s="163"/>
      <c r="F718" s="162"/>
      <c r="G718" s="162"/>
      <c r="H718" s="162"/>
      <c r="I718" s="162"/>
      <c r="J718" s="162"/>
      <c r="K718" s="162"/>
      <c r="L718" s="160"/>
      <c r="M718" s="161"/>
      <c r="N718" s="160"/>
      <c r="O718" s="160"/>
    </row>
    <row r="719" spans="1:15">
      <c r="A719" s="164"/>
      <c r="B719" s="160"/>
      <c r="C719" s="162"/>
      <c r="D719" s="162"/>
      <c r="E719" s="163"/>
      <c r="F719" s="162"/>
      <c r="G719" s="162"/>
      <c r="H719" s="162"/>
      <c r="I719" s="162"/>
      <c r="J719" s="162"/>
      <c r="K719" s="162"/>
      <c r="L719" s="160"/>
      <c r="M719" s="161"/>
      <c r="N719" s="160"/>
      <c r="O719" s="160"/>
    </row>
    <row r="720" spans="1:15">
      <c r="A720" s="164"/>
      <c r="B720" s="160"/>
      <c r="C720" s="162"/>
      <c r="D720" s="162"/>
      <c r="E720" s="163"/>
      <c r="F720" s="162"/>
      <c r="G720" s="162"/>
      <c r="H720" s="162"/>
      <c r="I720" s="162"/>
      <c r="J720" s="162"/>
      <c r="K720" s="162"/>
      <c r="L720" s="160"/>
      <c r="M720" s="161"/>
      <c r="N720" s="160"/>
      <c r="O720" s="160"/>
    </row>
    <row r="721" spans="1:15">
      <c r="A721" s="164"/>
      <c r="B721" s="160"/>
      <c r="C721" s="162"/>
      <c r="D721" s="162"/>
      <c r="E721" s="163"/>
      <c r="F721" s="162"/>
      <c r="G721" s="162"/>
      <c r="H721" s="162"/>
      <c r="I721" s="162"/>
      <c r="J721" s="162"/>
      <c r="K721" s="162"/>
      <c r="L721" s="160"/>
      <c r="M721" s="161"/>
      <c r="N721" s="160"/>
      <c r="O721" s="160"/>
    </row>
    <row r="722" spans="1:15">
      <c r="A722" s="164"/>
      <c r="B722" s="160"/>
      <c r="C722" s="162"/>
      <c r="D722" s="162"/>
      <c r="E722" s="163"/>
      <c r="F722" s="162"/>
      <c r="G722" s="162"/>
      <c r="H722" s="162"/>
      <c r="I722" s="162"/>
      <c r="J722" s="162"/>
      <c r="K722" s="162"/>
      <c r="L722" s="160"/>
      <c r="M722" s="161"/>
      <c r="N722" s="160"/>
      <c r="O722" s="160"/>
    </row>
    <row r="723" spans="1:15">
      <c r="A723" s="164"/>
      <c r="B723" s="160"/>
      <c r="C723" s="162"/>
      <c r="D723" s="162"/>
      <c r="E723" s="163"/>
      <c r="F723" s="162"/>
      <c r="G723" s="162"/>
      <c r="H723" s="162"/>
      <c r="I723" s="162"/>
      <c r="J723" s="162"/>
      <c r="K723" s="162"/>
      <c r="L723" s="160"/>
      <c r="M723" s="161"/>
      <c r="N723" s="160"/>
      <c r="O723" s="160"/>
    </row>
    <row r="724" spans="1:15">
      <c r="A724" s="164"/>
      <c r="B724" s="160"/>
      <c r="C724" s="162"/>
      <c r="D724" s="162"/>
      <c r="E724" s="163"/>
      <c r="F724" s="162"/>
      <c r="G724" s="162"/>
      <c r="H724" s="162"/>
      <c r="I724" s="162"/>
      <c r="J724" s="162"/>
      <c r="K724" s="162"/>
      <c r="L724" s="160"/>
      <c r="M724" s="161"/>
      <c r="N724" s="160"/>
      <c r="O724" s="160"/>
    </row>
    <row r="725" spans="1:15">
      <c r="A725" s="164"/>
      <c r="B725" s="160"/>
      <c r="C725" s="162"/>
      <c r="D725" s="162"/>
      <c r="E725" s="163"/>
      <c r="F725" s="162"/>
      <c r="G725" s="162"/>
      <c r="H725" s="162"/>
      <c r="I725" s="162"/>
      <c r="J725" s="162"/>
      <c r="K725" s="162"/>
      <c r="L725" s="160"/>
      <c r="M725" s="161"/>
      <c r="N725" s="160"/>
      <c r="O725" s="160"/>
    </row>
    <row r="726" spans="1:15">
      <c r="A726" s="164"/>
      <c r="B726" s="160"/>
      <c r="C726" s="162"/>
      <c r="D726" s="162"/>
      <c r="E726" s="163"/>
      <c r="F726" s="162"/>
      <c r="G726" s="162"/>
      <c r="H726" s="162"/>
      <c r="I726" s="162"/>
      <c r="J726" s="162"/>
      <c r="K726" s="162"/>
      <c r="L726" s="160"/>
      <c r="M726" s="161"/>
      <c r="N726" s="160"/>
      <c r="O726" s="160"/>
    </row>
    <row r="727" spans="1:15">
      <c r="A727" s="164"/>
      <c r="B727" s="160"/>
      <c r="C727" s="162"/>
      <c r="D727" s="162"/>
      <c r="E727" s="163"/>
      <c r="F727" s="162"/>
      <c r="G727" s="162"/>
      <c r="H727" s="162"/>
      <c r="I727" s="162"/>
      <c r="J727" s="162"/>
      <c r="K727" s="162"/>
      <c r="L727" s="160"/>
      <c r="M727" s="161"/>
      <c r="N727" s="160"/>
      <c r="O727" s="160"/>
    </row>
    <row r="728" spans="1:15">
      <c r="A728" s="164"/>
      <c r="B728" s="160"/>
      <c r="C728" s="162"/>
      <c r="D728" s="162"/>
      <c r="E728" s="163"/>
      <c r="F728" s="162"/>
      <c r="G728" s="162"/>
      <c r="H728" s="162"/>
      <c r="I728" s="162"/>
      <c r="J728" s="162"/>
      <c r="K728" s="162"/>
      <c r="L728" s="160"/>
      <c r="M728" s="161"/>
      <c r="N728" s="160"/>
      <c r="O728" s="160"/>
    </row>
    <row r="729" spans="1:15">
      <c r="A729" s="164"/>
      <c r="B729" s="160"/>
      <c r="C729" s="162"/>
      <c r="D729" s="162"/>
      <c r="E729" s="163"/>
      <c r="F729" s="162"/>
      <c r="G729" s="162"/>
      <c r="H729" s="162"/>
      <c r="I729" s="162"/>
      <c r="J729" s="162"/>
      <c r="K729" s="162"/>
      <c r="L729" s="160"/>
      <c r="M729" s="161"/>
      <c r="N729" s="160"/>
      <c r="O729" s="160"/>
    </row>
    <row r="730" spans="1:15">
      <c r="A730" s="164"/>
      <c r="B730" s="160"/>
      <c r="C730" s="162"/>
      <c r="D730" s="162"/>
      <c r="E730" s="163"/>
      <c r="F730" s="162"/>
      <c r="G730" s="162"/>
      <c r="H730" s="162"/>
      <c r="I730" s="162"/>
      <c r="J730" s="162"/>
      <c r="K730" s="162"/>
      <c r="L730" s="160"/>
      <c r="M730" s="161"/>
      <c r="N730" s="160"/>
      <c r="O730" s="160"/>
    </row>
    <row r="731" spans="1:15">
      <c r="A731" s="164"/>
      <c r="B731" s="160"/>
      <c r="C731" s="162"/>
      <c r="D731" s="162"/>
      <c r="E731" s="163"/>
      <c r="F731" s="162"/>
      <c r="G731" s="162"/>
      <c r="H731" s="162"/>
      <c r="I731" s="162"/>
      <c r="J731" s="162"/>
      <c r="K731" s="162"/>
      <c r="L731" s="160"/>
      <c r="M731" s="161"/>
      <c r="N731" s="160"/>
      <c r="O731" s="160"/>
    </row>
    <row r="732" spans="1:15">
      <c r="A732" s="164"/>
      <c r="B732" s="160"/>
      <c r="C732" s="162"/>
      <c r="D732" s="162"/>
      <c r="E732" s="163"/>
      <c r="F732" s="162"/>
      <c r="G732" s="162"/>
      <c r="H732" s="162"/>
      <c r="I732" s="162"/>
      <c r="J732" s="162"/>
      <c r="K732" s="162"/>
      <c r="L732" s="160"/>
      <c r="M732" s="161"/>
      <c r="N732" s="160"/>
      <c r="O732" s="160"/>
    </row>
    <row r="733" spans="1:15">
      <c r="A733" s="164"/>
      <c r="B733" s="160"/>
      <c r="C733" s="162"/>
      <c r="D733" s="162"/>
      <c r="E733" s="163"/>
      <c r="F733" s="162"/>
      <c r="G733" s="162"/>
      <c r="H733" s="162"/>
      <c r="I733" s="162"/>
      <c r="J733" s="162"/>
      <c r="K733" s="162"/>
      <c r="L733" s="160"/>
      <c r="M733" s="161"/>
      <c r="N733" s="160"/>
      <c r="O733" s="160"/>
    </row>
    <row r="734" spans="1:15">
      <c r="A734" s="164"/>
      <c r="B734" s="160"/>
      <c r="C734" s="162"/>
      <c r="D734" s="162"/>
      <c r="E734" s="163"/>
      <c r="F734" s="162"/>
      <c r="G734" s="162"/>
      <c r="H734" s="162"/>
      <c r="I734" s="162"/>
      <c r="J734" s="162"/>
      <c r="K734" s="162"/>
      <c r="L734" s="160"/>
      <c r="M734" s="161"/>
      <c r="N734" s="160"/>
      <c r="O734" s="160"/>
    </row>
    <row r="735" spans="1:15">
      <c r="A735" s="164"/>
      <c r="B735" s="160"/>
      <c r="C735" s="162"/>
      <c r="D735" s="162"/>
      <c r="E735" s="163"/>
      <c r="F735" s="162"/>
      <c r="G735" s="162"/>
      <c r="H735" s="162"/>
      <c r="I735" s="162"/>
      <c r="J735" s="162"/>
      <c r="K735" s="162"/>
      <c r="L735" s="160"/>
      <c r="M735" s="161"/>
      <c r="N735" s="160"/>
      <c r="O735" s="160"/>
    </row>
    <row r="736" spans="1:15">
      <c r="A736" s="164"/>
      <c r="B736" s="160"/>
      <c r="C736" s="162"/>
      <c r="D736" s="162"/>
      <c r="E736" s="163"/>
      <c r="F736" s="162"/>
      <c r="G736" s="162"/>
      <c r="H736" s="162"/>
      <c r="I736" s="162"/>
      <c r="J736" s="162"/>
      <c r="K736" s="162"/>
      <c r="L736" s="160"/>
      <c r="M736" s="161"/>
      <c r="N736" s="160"/>
      <c r="O736" s="160"/>
    </row>
    <row r="737" spans="1:15">
      <c r="A737" s="164"/>
      <c r="B737" s="160"/>
      <c r="C737" s="162"/>
      <c r="D737" s="162"/>
      <c r="E737" s="163"/>
      <c r="F737" s="162"/>
      <c r="G737" s="162"/>
      <c r="H737" s="162"/>
      <c r="I737" s="162"/>
      <c r="J737" s="162"/>
      <c r="K737" s="162"/>
      <c r="L737" s="160"/>
      <c r="M737" s="161"/>
      <c r="N737" s="160"/>
      <c r="O737" s="160"/>
    </row>
    <row r="738" spans="1:15">
      <c r="A738" s="164"/>
      <c r="B738" s="160"/>
      <c r="C738" s="162"/>
      <c r="D738" s="162"/>
      <c r="E738" s="163"/>
      <c r="F738" s="162"/>
      <c r="G738" s="162"/>
      <c r="H738" s="162"/>
      <c r="I738" s="162"/>
      <c r="J738" s="162"/>
      <c r="K738" s="162"/>
      <c r="L738" s="160"/>
      <c r="M738" s="161"/>
      <c r="N738" s="160"/>
      <c r="O738" s="160"/>
    </row>
    <row r="739" spans="1:15">
      <c r="A739" s="164"/>
      <c r="B739" s="160"/>
      <c r="C739" s="162"/>
      <c r="D739" s="162"/>
      <c r="E739" s="163"/>
      <c r="F739" s="162"/>
      <c r="G739" s="162"/>
      <c r="H739" s="162"/>
      <c r="I739" s="162"/>
      <c r="J739" s="162"/>
      <c r="K739" s="162"/>
      <c r="L739" s="160"/>
      <c r="M739" s="161"/>
      <c r="N739" s="160"/>
      <c r="O739" s="160"/>
    </row>
    <row r="740" spans="1:15">
      <c r="A740" s="164"/>
      <c r="B740" s="160"/>
      <c r="C740" s="162"/>
      <c r="D740" s="162"/>
      <c r="E740" s="163"/>
      <c r="F740" s="162"/>
      <c r="G740" s="162"/>
      <c r="H740" s="162"/>
      <c r="I740" s="162"/>
      <c r="J740" s="162"/>
      <c r="K740" s="162"/>
      <c r="L740" s="160"/>
      <c r="M740" s="161"/>
      <c r="N740" s="160"/>
      <c r="O740" s="160"/>
    </row>
    <row r="741" spans="1:15">
      <c r="A741" s="164"/>
      <c r="B741" s="160"/>
      <c r="C741" s="162"/>
      <c r="D741" s="162"/>
      <c r="E741" s="163"/>
      <c r="F741" s="162"/>
      <c r="G741" s="162"/>
      <c r="H741" s="162"/>
      <c r="I741" s="162"/>
      <c r="J741" s="162"/>
      <c r="K741" s="162"/>
      <c r="L741" s="160"/>
      <c r="M741" s="161"/>
      <c r="N741" s="160"/>
      <c r="O741" s="160"/>
    </row>
    <row r="742" spans="1:15">
      <c r="A742" s="164"/>
      <c r="B742" s="160"/>
      <c r="C742" s="162"/>
      <c r="D742" s="162"/>
      <c r="E742" s="163"/>
      <c r="F742" s="162"/>
      <c r="G742" s="162"/>
      <c r="H742" s="162"/>
      <c r="I742" s="162"/>
      <c r="J742" s="162"/>
      <c r="K742" s="162"/>
      <c r="L742" s="160"/>
      <c r="M742" s="161"/>
      <c r="N742" s="160"/>
      <c r="O742" s="160"/>
    </row>
    <row r="743" spans="1:15">
      <c r="A743" s="164"/>
      <c r="B743" s="160"/>
      <c r="C743" s="162"/>
      <c r="D743" s="162"/>
      <c r="E743" s="163"/>
      <c r="F743" s="162"/>
      <c r="G743" s="162"/>
      <c r="H743" s="162"/>
      <c r="I743" s="162"/>
      <c r="J743" s="162"/>
      <c r="K743" s="162"/>
      <c r="L743" s="160"/>
      <c r="M743" s="161"/>
      <c r="N743" s="160"/>
      <c r="O743" s="160"/>
    </row>
    <row r="744" spans="1:15">
      <c r="A744" s="164"/>
      <c r="B744" s="160"/>
      <c r="C744" s="162"/>
      <c r="D744" s="162"/>
      <c r="E744" s="163"/>
      <c r="F744" s="162"/>
      <c r="G744" s="162"/>
      <c r="H744" s="162"/>
      <c r="I744" s="162"/>
      <c r="J744" s="162"/>
      <c r="K744" s="162"/>
      <c r="L744" s="160"/>
      <c r="M744" s="161"/>
      <c r="N744" s="160"/>
      <c r="O744" s="160"/>
    </row>
    <row r="745" spans="1:15">
      <c r="A745" s="164"/>
      <c r="B745" s="160"/>
      <c r="C745" s="162"/>
      <c r="D745" s="162"/>
      <c r="E745" s="163"/>
      <c r="F745" s="162"/>
      <c r="G745" s="162"/>
      <c r="H745" s="162"/>
      <c r="I745" s="162"/>
      <c r="J745" s="162"/>
      <c r="K745" s="162"/>
      <c r="L745" s="160"/>
      <c r="M745" s="161"/>
      <c r="N745" s="160"/>
      <c r="O745" s="160"/>
    </row>
    <row r="746" spans="1:15">
      <c r="A746" s="164"/>
      <c r="B746" s="160"/>
      <c r="C746" s="162"/>
      <c r="D746" s="162"/>
      <c r="E746" s="163"/>
      <c r="F746" s="162"/>
      <c r="G746" s="162"/>
      <c r="H746" s="162"/>
      <c r="I746" s="162"/>
      <c r="J746" s="162"/>
      <c r="K746" s="162"/>
      <c r="L746" s="160"/>
      <c r="M746" s="161"/>
      <c r="N746" s="160"/>
      <c r="O746" s="160"/>
    </row>
    <row r="747" spans="1:15">
      <c r="A747" s="164"/>
      <c r="B747" s="160"/>
      <c r="C747" s="162"/>
      <c r="D747" s="162"/>
      <c r="E747" s="163"/>
      <c r="F747" s="162"/>
      <c r="G747" s="162"/>
      <c r="H747" s="162"/>
      <c r="I747" s="162"/>
      <c r="J747" s="162"/>
      <c r="K747" s="162"/>
      <c r="L747" s="160"/>
      <c r="M747" s="161"/>
      <c r="N747" s="160"/>
      <c r="O747" s="160"/>
    </row>
    <row r="748" spans="1:15">
      <c r="A748" s="164"/>
      <c r="B748" s="160"/>
      <c r="C748" s="162"/>
      <c r="D748" s="162"/>
      <c r="E748" s="163"/>
      <c r="F748" s="162"/>
      <c r="G748" s="162"/>
      <c r="H748" s="162"/>
      <c r="I748" s="162"/>
      <c r="J748" s="162"/>
      <c r="K748" s="162"/>
      <c r="L748" s="160"/>
      <c r="M748" s="161"/>
      <c r="N748" s="160"/>
      <c r="O748" s="160"/>
    </row>
    <row r="749" spans="1:15">
      <c r="A749" s="164"/>
      <c r="B749" s="160"/>
      <c r="C749" s="162"/>
      <c r="D749" s="162"/>
      <c r="E749" s="163"/>
      <c r="F749" s="162"/>
      <c r="G749" s="162"/>
      <c r="H749" s="162"/>
      <c r="I749" s="162"/>
      <c r="J749" s="162"/>
      <c r="K749" s="162"/>
      <c r="L749" s="160"/>
      <c r="M749" s="161"/>
      <c r="N749" s="160"/>
      <c r="O749" s="160"/>
    </row>
    <row r="750" spans="1:15">
      <c r="A750" s="164"/>
      <c r="B750" s="160"/>
      <c r="C750" s="162"/>
      <c r="D750" s="162"/>
      <c r="E750" s="163"/>
      <c r="F750" s="162"/>
      <c r="G750" s="162"/>
      <c r="H750" s="162"/>
      <c r="I750" s="162"/>
      <c r="J750" s="162"/>
      <c r="K750" s="162"/>
      <c r="L750" s="160"/>
      <c r="M750" s="161"/>
      <c r="N750" s="160"/>
      <c r="O750" s="160"/>
    </row>
    <row r="751" spans="1:15">
      <c r="A751" s="164"/>
      <c r="B751" s="160"/>
      <c r="C751" s="162"/>
      <c r="D751" s="162"/>
      <c r="E751" s="163"/>
      <c r="F751" s="162"/>
      <c r="G751" s="162"/>
      <c r="H751" s="162"/>
      <c r="I751" s="162"/>
      <c r="J751" s="162"/>
      <c r="K751" s="162"/>
      <c r="L751" s="160"/>
      <c r="M751" s="161"/>
      <c r="N751" s="160"/>
      <c r="O751" s="160"/>
    </row>
    <row r="752" spans="1:15">
      <c r="A752" s="164"/>
      <c r="B752" s="160"/>
      <c r="C752" s="162"/>
      <c r="D752" s="162"/>
      <c r="E752" s="163"/>
      <c r="F752" s="162"/>
      <c r="G752" s="162"/>
      <c r="H752" s="162"/>
      <c r="I752" s="162"/>
      <c r="J752" s="162"/>
      <c r="K752" s="162"/>
      <c r="L752" s="160"/>
      <c r="M752" s="161"/>
      <c r="N752" s="160"/>
      <c r="O752" s="160"/>
    </row>
    <row r="753" spans="1:15">
      <c r="A753" s="164"/>
      <c r="B753" s="160"/>
      <c r="C753" s="162"/>
      <c r="D753" s="162"/>
      <c r="E753" s="163"/>
      <c r="F753" s="162"/>
      <c r="G753" s="162"/>
      <c r="H753" s="162"/>
      <c r="I753" s="162"/>
      <c r="J753" s="162"/>
      <c r="K753" s="162"/>
      <c r="L753" s="160"/>
      <c r="M753" s="161"/>
      <c r="N753" s="160"/>
      <c r="O753" s="160"/>
    </row>
    <row r="754" spans="1:15">
      <c r="A754" s="164"/>
      <c r="B754" s="160"/>
      <c r="C754" s="162"/>
      <c r="D754" s="162"/>
      <c r="E754" s="163"/>
      <c r="F754" s="162"/>
      <c r="G754" s="162"/>
      <c r="H754" s="162"/>
      <c r="I754" s="162"/>
      <c r="J754" s="162"/>
      <c r="K754" s="162"/>
      <c r="L754" s="160"/>
      <c r="M754" s="161"/>
      <c r="N754" s="160"/>
      <c r="O754" s="160"/>
    </row>
    <row r="755" spans="1:15">
      <c r="A755" s="164"/>
      <c r="B755" s="160"/>
      <c r="C755" s="162"/>
      <c r="D755" s="162"/>
      <c r="E755" s="163"/>
      <c r="F755" s="162"/>
      <c r="G755" s="162"/>
      <c r="H755" s="162"/>
      <c r="I755" s="162"/>
      <c r="J755" s="162"/>
      <c r="K755" s="162"/>
      <c r="L755" s="160"/>
      <c r="M755" s="161"/>
      <c r="N755" s="160"/>
      <c r="O755" s="160"/>
    </row>
    <row r="756" spans="1:15">
      <c r="A756" s="164"/>
      <c r="B756" s="160"/>
      <c r="C756" s="162"/>
      <c r="D756" s="162"/>
      <c r="E756" s="163"/>
      <c r="F756" s="162"/>
      <c r="G756" s="162"/>
      <c r="H756" s="162"/>
      <c r="I756" s="162"/>
      <c r="J756" s="162"/>
      <c r="K756" s="162"/>
      <c r="L756" s="160"/>
      <c r="M756" s="161"/>
      <c r="N756" s="160"/>
      <c r="O756" s="160"/>
    </row>
    <row r="757" spans="1:15">
      <c r="A757" s="164"/>
      <c r="B757" s="160"/>
      <c r="C757" s="162"/>
      <c r="D757" s="162"/>
      <c r="E757" s="163"/>
      <c r="F757" s="162"/>
      <c r="G757" s="162"/>
      <c r="H757" s="162"/>
      <c r="I757" s="162"/>
      <c r="J757" s="162"/>
      <c r="K757" s="162"/>
      <c r="L757" s="160"/>
      <c r="M757" s="161"/>
      <c r="N757" s="160"/>
      <c r="O757" s="160"/>
    </row>
    <row r="758" spans="1:15">
      <c r="A758" s="164"/>
      <c r="B758" s="160"/>
      <c r="C758" s="162"/>
      <c r="D758" s="162"/>
      <c r="E758" s="163"/>
      <c r="F758" s="162"/>
      <c r="G758" s="162"/>
      <c r="H758" s="162"/>
      <c r="I758" s="162"/>
      <c r="J758" s="162"/>
      <c r="K758" s="162"/>
      <c r="L758" s="160"/>
      <c r="M758" s="161"/>
      <c r="N758" s="160"/>
      <c r="O758" s="160"/>
    </row>
    <row r="759" spans="1:15">
      <c r="A759" s="164"/>
      <c r="B759" s="160"/>
      <c r="C759" s="162"/>
      <c r="D759" s="162"/>
      <c r="E759" s="163"/>
      <c r="F759" s="162"/>
      <c r="G759" s="162"/>
      <c r="H759" s="162"/>
      <c r="I759" s="162"/>
      <c r="J759" s="162"/>
      <c r="K759" s="162"/>
      <c r="L759" s="160"/>
      <c r="M759" s="161"/>
      <c r="N759" s="160"/>
      <c r="O759" s="160"/>
    </row>
    <row r="760" spans="1:15">
      <c r="A760" s="164"/>
      <c r="B760" s="160"/>
      <c r="C760" s="162"/>
      <c r="D760" s="162"/>
      <c r="E760" s="163"/>
      <c r="F760" s="162"/>
      <c r="G760" s="162"/>
      <c r="H760" s="162"/>
      <c r="I760" s="162"/>
      <c r="J760" s="162"/>
      <c r="K760" s="162"/>
      <c r="L760" s="160"/>
      <c r="M760" s="161"/>
      <c r="N760" s="160"/>
      <c r="O760" s="160"/>
    </row>
    <row r="761" spans="1:15">
      <c r="A761" s="164"/>
      <c r="B761" s="160"/>
      <c r="C761" s="162"/>
      <c r="D761" s="162"/>
      <c r="E761" s="163"/>
      <c r="F761" s="162"/>
      <c r="G761" s="162"/>
      <c r="H761" s="162"/>
      <c r="I761" s="162"/>
      <c r="J761" s="162"/>
      <c r="K761" s="162"/>
      <c r="L761" s="160"/>
      <c r="M761" s="161"/>
      <c r="N761" s="160"/>
      <c r="O761" s="160"/>
    </row>
    <row r="762" spans="1:15">
      <c r="A762" s="164"/>
      <c r="B762" s="160"/>
      <c r="C762" s="162"/>
      <c r="D762" s="162"/>
      <c r="E762" s="163"/>
      <c r="F762" s="162"/>
      <c r="G762" s="162"/>
      <c r="H762" s="162"/>
      <c r="I762" s="162"/>
      <c r="J762" s="162"/>
      <c r="K762" s="162"/>
      <c r="L762" s="160"/>
      <c r="M762" s="161"/>
      <c r="N762" s="160"/>
      <c r="O762" s="160"/>
    </row>
    <row r="763" spans="1:15">
      <c r="A763" s="164"/>
      <c r="B763" s="160"/>
      <c r="C763" s="162"/>
      <c r="D763" s="162"/>
      <c r="E763" s="163"/>
      <c r="F763" s="162"/>
      <c r="G763" s="162"/>
      <c r="H763" s="162"/>
      <c r="I763" s="162"/>
      <c r="J763" s="162"/>
      <c r="K763" s="162"/>
      <c r="L763" s="160"/>
      <c r="M763" s="161"/>
      <c r="N763" s="160"/>
      <c r="O763" s="160"/>
    </row>
    <row r="764" spans="1:15">
      <c r="A764" s="164"/>
      <c r="B764" s="160"/>
      <c r="C764" s="162"/>
      <c r="D764" s="162"/>
      <c r="E764" s="163"/>
      <c r="F764" s="162"/>
      <c r="G764" s="162"/>
      <c r="H764" s="162"/>
      <c r="I764" s="162"/>
      <c r="J764" s="162"/>
      <c r="K764" s="162"/>
      <c r="L764" s="160"/>
      <c r="M764" s="161"/>
      <c r="N764" s="160"/>
      <c r="O764" s="160"/>
    </row>
    <row r="765" spans="1:15">
      <c r="A765" s="164"/>
      <c r="B765" s="160"/>
      <c r="C765" s="162"/>
      <c r="D765" s="162"/>
      <c r="E765" s="163"/>
      <c r="F765" s="162"/>
      <c r="G765" s="162"/>
      <c r="H765" s="162"/>
      <c r="I765" s="162"/>
      <c r="J765" s="162"/>
      <c r="K765" s="162"/>
      <c r="L765" s="160"/>
      <c r="M765" s="161"/>
      <c r="N765" s="160"/>
      <c r="O765" s="160"/>
    </row>
    <row r="766" spans="1:15">
      <c r="A766" s="164"/>
      <c r="B766" s="160"/>
      <c r="C766" s="162"/>
      <c r="D766" s="162"/>
      <c r="E766" s="163"/>
      <c r="F766" s="162"/>
      <c r="G766" s="162"/>
      <c r="H766" s="162"/>
      <c r="I766" s="162"/>
      <c r="J766" s="162"/>
      <c r="K766" s="162"/>
      <c r="L766" s="160"/>
      <c r="M766" s="161"/>
      <c r="N766" s="160"/>
      <c r="O766" s="160"/>
    </row>
    <row r="767" spans="1:15">
      <c r="A767" s="164"/>
      <c r="B767" s="160"/>
      <c r="C767" s="162"/>
      <c r="D767" s="162"/>
      <c r="E767" s="163"/>
      <c r="F767" s="162"/>
      <c r="G767" s="162"/>
      <c r="H767" s="162"/>
      <c r="I767" s="162"/>
      <c r="J767" s="162"/>
      <c r="K767" s="162"/>
      <c r="L767" s="160"/>
      <c r="M767" s="161"/>
      <c r="N767" s="160"/>
      <c r="O767" s="160"/>
    </row>
    <row r="768" spans="1:15">
      <c r="A768" s="164"/>
      <c r="B768" s="160"/>
      <c r="C768" s="162"/>
      <c r="D768" s="162"/>
      <c r="E768" s="163"/>
      <c r="F768" s="162"/>
      <c r="G768" s="162"/>
      <c r="H768" s="162"/>
      <c r="I768" s="162"/>
      <c r="J768" s="162"/>
      <c r="K768" s="162"/>
      <c r="L768" s="160"/>
      <c r="M768" s="161"/>
      <c r="N768" s="160"/>
      <c r="O768" s="160"/>
    </row>
    <row r="769" spans="1:15">
      <c r="A769" s="164"/>
      <c r="B769" s="160"/>
      <c r="C769" s="162"/>
      <c r="D769" s="162"/>
      <c r="E769" s="163"/>
      <c r="F769" s="162"/>
      <c r="G769" s="162"/>
      <c r="H769" s="162"/>
      <c r="I769" s="162"/>
      <c r="J769" s="162"/>
      <c r="K769" s="162"/>
      <c r="L769" s="160"/>
      <c r="M769" s="161"/>
      <c r="N769" s="160"/>
      <c r="O769" s="160"/>
    </row>
    <row r="770" spans="1:15">
      <c r="A770" s="164"/>
      <c r="B770" s="160"/>
      <c r="C770" s="162"/>
      <c r="D770" s="162"/>
      <c r="E770" s="163"/>
      <c r="F770" s="162"/>
      <c r="G770" s="162"/>
      <c r="H770" s="162"/>
      <c r="I770" s="162"/>
      <c r="J770" s="162"/>
      <c r="K770" s="162"/>
      <c r="L770" s="160"/>
      <c r="M770" s="161"/>
      <c r="N770" s="160"/>
      <c r="O770" s="160"/>
    </row>
    <row r="771" spans="1:15">
      <c r="A771" s="164"/>
      <c r="B771" s="160"/>
      <c r="C771" s="162"/>
      <c r="D771" s="162"/>
      <c r="E771" s="163"/>
      <c r="F771" s="162"/>
      <c r="G771" s="162"/>
      <c r="H771" s="162"/>
      <c r="I771" s="162"/>
      <c r="J771" s="162"/>
      <c r="K771" s="162"/>
      <c r="L771" s="160"/>
      <c r="M771" s="161"/>
      <c r="N771" s="160"/>
      <c r="O771" s="160"/>
    </row>
    <row r="772" spans="1:15">
      <c r="A772" s="164"/>
      <c r="B772" s="160"/>
      <c r="C772" s="162"/>
      <c r="D772" s="162"/>
      <c r="E772" s="163"/>
      <c r="F772" s="162"/>
      <c r="G772" s="162"/>
      <c r="H772" s="162"/>
      <c r="I772" s="162"/>
      <c r="J772" s="162"/>
      <c r="K772" s="162"/>
      <c r="L772" s="160"/>
      <c r="M772" s="161"/>
      <c r="N772" s="160"/>
      <c r="O772" s="160"/>
    </row>
    <row r="773" spans="1:15">
      <c r="A773" s="164"/>
      <c r="B773" s="160"/>
      <c r="C773" s="162"/>
      <c r="D773" s="162"/>
      <c r="E773" s="163"/>
      <c r="F773" s="162"/>
      <c r="G773" s="162"/>
      <c r="H773" s="162"/>
      <c r="I773" s="162"/>
      <c r="J773" s="162"/>
      <c r="K773" s="162"/>
      <c r="L773" s="160"/>
      <c r="M773" s="161"/>
      <c r="N773" s="160"/>
      <c r="O773" s="160"/>
    </row>
    <row r="774" spans="1:15">
      <c r="A774" s="164"/>
      <c r="B774" s="160"/>
      <c r="C774" s="162"/>
      <c r="D774" s="162"/>
      <c r="E774" s="163"/>
      <c r="F774" s="162"/>
      <c r="G774" s="162"/>
      <c r="H774" s="162"/>
      <c r="I774" s="162"/>
      <c r="J774" s="162"/>
      <c r="K774" s="162"/>
      <c r="L774" s="160"/>
      <c r="M774" s="161"/>
      <c r="N774" s="160"/>
      <c r="O774" s="160"/>
    </row>
    <row r="775" spans="1:15">
      <c r="A775" s="164"/>
      <c r="B775" s="160"/>
      <c r="C775" s="162"/>
      <c r="D775" s="162"/>
      <c r="E775" s="163"/>
      <c r="F775" s="162"/>
      <c r="G775" s="162"/>
      <c r="H775" s="162"/>
      <c r="I775" s="162"/>
      <c r="J775" s="162"/>
      <c r="K775" s="162"/>
      <c r="L775" s="160"/>
      <c r="M775" s="161"/>
      <c r="N775" s="160"/>
      <c r="O775" s="160"/>
    </row>
    <row r="776" spans="1:15">
      <c r="A776" s="164"/>
      <c r="B776" s="160"/>
      <c r="C776" s="162"/>
      <c r="D776" s="162"/>
      <c r="E776" s="163"/>
      <c r="F776" s="162"/>
      <c r="G776" s="162"/>
      <c r="H776" s="162"/>
      <c r="I776" s="162"/>
      <c r="J776" s="162"/>
      <c r="K776" s="162"/>
      <c r="L776" s="160"/>
      <c r="M776" s="161"/>
      <c r="N776" s="160"/>
      <c r="O776" s="160"/>
    </row>
    <row r="777" spans="1:15">
      <c r="A777" s="164"/>
      <c r="B777" s="160"/>
      <c r="C777" s="162"/>
      <c r="D777" s="162"/>
      <c r="E777" s="163"/>
      <c r="F777" s="162"/>
      <c r="G777" s="162"/>
      <c r="H777" s="162"/>
      <c r="I777" s="162"/>
      <c r="J777" s="162"/>
      <c r="K777" s="162"/>
      <c r="L777" s="160"/>
      <c r="M777" s="161"/>
      <c r="N777" s="160"/>
      <c r="O777" s="160"/>
    </row>
    <row r="778" spans="1:15">
      <c r="A778" s="164"/>
      <c r="B778" s="160"/>
      <c r="C778" s="162"/>
      <c r="D778" s="162"/>
      <c r="E778" s="163"/>
      <c r="F778" s="162"/>
      <c r="G778" s="162"/>
      <c r="H778" s="162"/>
      <c r="I778" s="162"/>
      <c r="J778" s="162"/>
      <c r="K778" s="162"/>
      <c r="L778" s="160"/>
      <c r="M778" s="161"/>
      <c r="N778" s="160"/>
      <c r="O778" s="160"/>
    </row>
    <row r="779" spans="1:15">
      <c r="A779" s="164"/>
      <c r="B779" s="160"/>
      <c r="C779" s="162"/>
      <c r="D779" s="162"/>
      <c r="E779" s="163"/>
      <c r="F779" s="162"/>
      <c r="G779" s="162"/>
      <c r="H779" s="162"/>
      <c r="I779" s="162"/>
      <c r="J779" s="162"/>
      <c r="K779" s="162"/>
      <c r="L779" s="160"/>
      <c r="M779" s="161"/>
      <c r="N779" s="160"/>
      <c r="O779" s="160"/>
    </row>
    <row r="780" spans="1:15">
      <c r="A780" s="164"/>
      <c r="B780" s="160"/>
      <c r="C780" s="162"/>
      <c r="D780" s="162"/>
      <c r="E780" s="163"/>
      <c r="F780" s="162"/>
      <c r="G780" s="162"/>
      <c r="H780" s="162"/>
      <c r="I780" s="162"/>
      <c r="J780" s="162"/>
      <c r="K780" s="162"/>
      <c r="L780" s="160"/>
      <c r="M780" s="161"/>
      <c r="N780" s="160"/>
      <c r="O780" s="160"/>
    </row>
    <row r="781" spans="1:15">
      <c r="A781" s="164"/>
      <c r="B781" s="160"/>
      <c r="C781" s="162"/>
      <c r="D781" s="162"/>
      <c r="E781" s="163"/>
      <c r="F781" s="162"/>
      <c r="G781" s="162"/>
      <c r="H781" s="162"/>
      <c r="I781" s="162"/>
      <c r="J781" s="162"/>
      <c r="K781" s="162"/>
      <c r="L781" s="160"/>
      <c r="M781" s="161"/>
      <c r="N781" s="160"/>
      <c r="O781" s="160"/>
    </row>
    <row r="782" spans="1:15">
      <c r="A782" s="164"/>
      <c r="B782" s="160"/>
      <c r="C782" s="162"/>
      <c r="D782" s="162"/>
      <c r="E782" s="163"/>
      <c r="F782" s="162"/>
      <c r="G782" s="162"/>
      <c r="H782" s="162"/>
      <c r="I782" s="162"/>
      <c r="J782" s="162"/>
      <c r="K782" s="162"/>
      <c r="L782" s="160"/>
      <c r="M782" s="161"/>
      <c r="N782" s="160"/>
      <c r="O782" s="160"/>
    </row>
    <row r="783" spans="1:15">
      <c r="A783" s="164"/>
      <c r="B783" s="160"/>
      <c r="C783" s="162"/>
      <c r="D783" s="162"/>
      <c r="E783" s="163"/>
      <c r="F783" s="162"/>
      <c r="G783" s="162"/>
      <c r="H783" s="162"/>
      <c r="I783" s="162"/>
      <c r="J783" s="162"/>
      <c r="K783" s="162"/>
      <c r="L783" s="160"/>
      <c r="M783" s="161"/>
      <c r="N783" s="160"/>
      <c r="O783" s="160"/>
    </row>
    <row r="784" spans="1:15">
      <c r="A784" s="164"/>
      <c r="B784" s="160"/>
      <c r="C784" s="162"/>
      <c r="D784" s="162"/>
      <c r="E784" s="163"/>
      <c r="F784" s="162"/>
      <c r="G784" s="162"/>
      <c r="H784" s="162"/>
      <c r="I784" s="162"/>
      <c r="J784" s="162"/>
      <c r="K784" s="162"/>
      <c r="L784" s="160"/>
      <c r="M784" s="161"/>
      <c r="N784" s="160"/>
      <c r="O784" s="160"/>
    </row>
    <row r="785" spans="1:15">
      <c r="A785" s="164"/>
      <c r="B785" s="160"/>
      <c r="C785" s="162"/>
      <c r="D785" s="162"/>
      <c r="E785" s="163"/>
      <c r="F785" s="162"/>
      <c r="G785" s="162"/>
      <c r="H785" s="162"/>
      <c r="I785" s="162"/>
      <c r="J785" s="162"/>
      <c r="K785" s="162"/>
      <c r="L785" s="160"/>
      <c r="M785" s="161"/>
      <c r="N785" s="160"/>
      <c r="O785" s="160"/>
    </row>
    <row r="786" spans="1:15">
      <c r="A786" s="164"/>
      <c r="B786" s="160"/>
      <c r="C786" s="162"/>
      <c r="D786" s="162"/>
      <c r="E786" s="163"/>
      <c r="F786" s="162"/>
      <c r="G786" s="162"/>
      <c r="H786" s="162"/>
      <c r="I786" s="162"/>
      <c r="J786" s="162"/>
      <c r="K786" s="162"/>
      <c r="L786" s="160"/>
      <c r="M786" s="161"/>
      <c r="N786" s="160"/>
      <c r="O786" s="160"/>
    </row>
    <row r="787" spans="1:15">
      <c r="A787" s="164"/>
      <c r="B787" s="160"/>
      <c r="C787" s="162"/>
      <c r="D787" s="162"/>
      <c r="E787" s="163"/>
      <c r="F787" s="162"/>
      <c r="G787" s="162"/>
      <c r="H787" s="162"/>
      <c r="I787" s="162"/>
      <c r="J787" s="162"/>
      <c r="K787" s="162"/>
      <c r="L787" s="160"/>
      <c r="M787" s="161"/>
      <c r="N787" s="160"/>
      <c r="O787" s="160"/>
    </row>
    <row r="788" spans="1:15">
      <c r="A788" s="164"/>
      <c r="B788" s="160"/>
      <c r="C788" s="162"/>
      <c r="D788" s="162"/>
      <c r="E788" s="163"/>
      <c r="F788" s="162"/>
      <c r="G788" s="162"/>
      <c r="H788" s="162"/>
      <c r="I788" s="162"/>
      <c r="J788" s="162"/>
      <c r="K788" s="162"/>
      <c r="L788" s="160"/>
      <c r="M788" s="161"/>
      <c r="N788" s="160"/>
      <c r="O788" s="160"/>
    </row>
    <row r="789" spans="1:15">
      <c r="A789" s="164"/>
      <c r="B789" s="160"/>
      <c r="C789" s="162"/>
      <c r="D789" s="162"/>
      <c r="E789" s="163"/>
      <c r="F789" s="162"/>
      <c r="G789" s="162"/>
      <c r="H789" s="162"/>
      <c r="I789" s="162"/>
      <c r="J789" s="162"/>
      <c r="K789" s="162"/>
      <c r="L789" s="160"/>
      <c r="M789" s="161"/>
      <c r="N789" s="160"/>
      <c r="O789" s="160"/>
    </row>
    <row r="790" spans="1:15">
      <c r="A790" s="164"/>
      <c r="B790" s="160"/>
      <c r="C790" s="162"/>
      <c r="D790" s="162"/>
      <c r="E790" s="163"/>
      <c r="F790" s="162"/>
      <c r="G790" s="162"/>
      <c r="H790" s="162"/>
      <c r="I790" s="162"/>
      <c r="J790" s="162"/>
      <c r="K790" s="162"/>
      <c r="L790" s="160"/>
      <c r="M790" s="161"/>
      <c r="N790" s="160"/>
      <c r="O790" s="160"/>
    </row>
    <row r="791" spans="1:15">
      <c r="A791" s="164"/>
      <c r="B791" s="160"/>
      <c r="C791" s="162"/>
      <c r="D791" s="162"/>
      <c r="E791" s="163"/>
      <c r="F791" s="162"/>
      <c r="G791" s="162"/>
      <c r="H791" s="162"/>
      <c r="I791" s="162"/>
      <c r="J791" s="162"/>
      <c r="K791" s="162"/>
      <c r="L791" s="160"/>
      <c r="M791" s="161"/>
      <c r="N791" s="160"/>
      <c r="O791" s="160"/>
    </row>
    <row r="792" spans="1:15">
      <c r="A792" s="164"/>
      <c r="B792" s="160"/>
      <c r="C792" s="162"/>
      <c r="D792" s="162"/>
      <c r="E792" s="163"/>
      <c r="F792" s="162"/>
      <c r="G792" s="162"/>
      <c r="H792" s="162"/>
      <c r="I792" s="162"/>
      <c r="J792" s="162"/>
      <c r="K792" s="162"/>
      <c r="L792" s="160"/>
      <c r="M792" s="161"/>
      <c r="N792" s="160"/>
      <c r="O792" s="160"/>
    </row>
    <row r="793" spans="1:15">
      <c r="A793" s="164"/>
      <c r="B793" s="160"/>
      <c r="C793" s="162"/>
      <c r="D793" s="162"/>
      <c r="E793" s="163"/>
      <c r="F793" s="162"/>
      <c r="G793" s="162"/>
      <c r="H793" s="162"/>
      <c r="I793" s="162"/>
      <c r="J793" s="162"/>
      <c r="K793" s="162"/>
      <c r="L793" s="160"/>
      <c r="M793" s="161"/>
      <c r="N793" s="160"/>
      <c r="O793" s="160"/>
    </row>
    <row r="794" spans="1:15">
      <c r="A794" s="164"/>
      <c r="B794" s="160"/>
      <c r="C794" s="162"/>
      <c r="D794" s="162"/>
      <c r="E794" s="163"/>
      <c r="F794" s="162"/>
      <c r="G794" s="162"/>
      <c r="H794" s="162"/>
      <c r="I794" s="162"/>
      <c r="J794" s="162"/>
      <c r="K794" s="162"/>
      <c r="L794" s="160"/>
      <c r="M794" s="161"/>
      <c r="N794" s="160"/>
      <c r="O794" s="160"/>
    </row>
    <row r="795" spans="1:15">
      <c r="A795" s="164"/>
      <c r="B795" s="160"/>
      <c r="C795" s="162"/>
      <c r="D795" s="162"/>
      <c r="E795" s="163"/>
      <c r="F795" s="162"/>
      <c r="G795" s="162"/>
      <c r="H795" s="162"/>
      <c r="I795" s="162"/>
      <c r="J795" s="162"/>
      <c r="K795" s="162"/>
      <c r="L795" s="160"/>
      <c r="M795" s="161"/>
      <c r="N795" s="160"/>
      <c r="O795" s="160"/>
    </row>
    <row r="796" spans="1:15">
      <c r="A796" s="164"/>
      <c r="B796" s="160"/>
      <c r="C796" s="162"/>
      <c r="D796" s="162"/>
      <c r="E796" s="163"/>
      <c r="F796" s="162"/>
      <c r="G796" s="162"/>
      <c r="H796" s="162"/>
      <c r="I796" s="162"/>
      <c r="J796" s="162"/>
      <c r="K796" s="162"/>
      <c r="L796" s="160"/>
      <c r="M796" s="161"/>
      <c r="N796" s="160"/>
      <c r="O796" s="160"/>
    </row>
    <row r="797" spans="1:15">
      <c r="A797" s="164"/>
      <c r="B797" s="160"/>
      <c r="C797" s="162"/>
      <c r="D797" s="162"/>
      <c r="E797" s="163"/>
      <c r="F797" s="162"/>
      <c r="G797" s="162"/>
      <c r="H797" s="162"/>
      <c r="I797" s="162"/>
      <c r="J797" s="162"/>
      <c r="K797" s="162"/>
      <c r="L797" s="160"/>
      <c r="M797" s="161"/>
      <c r="N797" s="160"/>
      <c r="O797" s="160"/>
    </row>
    <row r="798" spans="1:15">
      <c r="A798" s="164"/>
      <c r="B798" s="160"/>
      <c r="C798" s="162"/>
      <c r="D798" s="162"/>
      <c r="E798" s="163"/>
      <c r="F798" s="162"/>
      <c r="G798" s="162"/>
      <c r="H798" s="162"/>
      <c r="I798" s="162"/>
      <c r="J798" s="162"/>
      <c r="K798" s="162"/>
      <c r="L798" s="160"/>
      <c r="M798" s="161"/>
      <c r="N798" s="160"/>
      <c r="O798" s="160"/>
    </row>
    <row r="799" spans="1:15">
      <c r="A799" s="164"/>
      <c r="B799" s="160"/>
      <c r="C799" s="162"/>
      <c r="D799" s="162"/>
      <c r="E799" s="163"/>
      <c r="F799" s="162"/>
      <c r="G799" s="162"/>
      <c r="H799" s="162"/>
      <c r="I799" s="162"/>
      <c r="J799" s="162"/>
      <c r="K799" s="162"/>
      <c r="L799" s="160"/>
      <c r="M799" s="161"/>
      <c r="N799" s="160"/>
      <c r="O799" s="160"/>
    </row>
    <row r="800" spans="1:15">
      <c r="A800" s="164"/>
      <c r="B800" s="160"/>
      <c r="C800" s="162"/>
      <c r="D800" s="162"/>
      <c r="E800" s="163"/>
      <c r="F800" s="162"/>
      <c r="G800" s="162"/>
      <c r="H800" s="162"/>
      <c r="I800" s="162"/>
      <c r="J800" s="162"/>
      <c r="K800" s="162"/>
      <c r="L800" s="160"/>
      <c r="M800" s="161"/>
      <c r="N800" s="160"/>
      <c r="O800" s="160"/>
    </row>
    <row r="801" spans="1:15">
      <c r="A801" s="164"/>
      <c r="B801" s="160"/>
      <c r="C801" s="162"/>
      <c r="D801" s="162"/>
      <c r="E801" s="163"/>
      <c r="F801" s="162"/>
      <c r="G801" s="162"/>
      <c r="H801" s="162"/>
      <c r="I801" s="162"/>
      <c r="J801" s="162"/>
      <c r="K801" s="162"/>
      <c r="L801" s="160"/>
      <c r="M801" s="161"/>
      <c r="N801" s="160"/>
      <c r="O801" s="160"/>
    </row>
    <row r="802" spans="1:15">
      <c r="A802" s="164"/>
      <c r="B802" s="160"/>
      <c r="C802" s="162"/>
      <c r="D802" s="162"/>
      <c r="E802" s="163"/>
      <c r="F802" s="162"/>
      <c r="G802" s="162"/>
      <c r="H802" s="162"/>
      <c r="I802" s="162"/>
      <c r="J802" s="162"/>
      <c r="K802" s="162"/>
      <c r="L802" s="160"/>
      <c r="M802" s="161"/>
      <c r="N802" s="160"/>
      <c r="O802" s="160"/>
    </row>
    <row r="803" spans="1:15">
      <c r="A803" s="164"/>
      <c r="B803" s="160"/>
      <c r="C803" s="162"/>
      <c r="D803" s="162"/>
      <c r="E803" s="163"/>
      <c r="F803" s="162"/>
      <c r="G803" s="162"/>
      <c r="H803" s="162"/>
      <c r="I803" s="162"/>
      <c r="J803" s="162"/>
      <c r="K803" s="162"/>
      <c r="L803" s="160"/>
      <c r="M803" s="161"/>
      <c r="N803" s="160"/>
      <c r="O803" s="160"/>
    </row>
    <row r="804" spans="1:15">
      <c r="A804" s="164"/>
      <c r="B804" s="160"/>
      <c r="C804" s="162"/>
      <c r="D804" s="162"/>
      <c r="E804" s="163"/>
      <c r="F804" s="162"/>
      <c r="G804" s="162"/>
      <c r="H804" s="162"/>
      <c r="I804" s="162"/>
      <c r="J804" s="162"/>
      <c r="K804" s="162"/>
      <c r="L804" s="160"/>
      <c r="M804" s="161"/>
      <c r="N804" s="160"/>
      <c r="O804" s="160"/>
    </row>
    <row r="805" spans="1:15">
      <c r="A805" s="164"/>
      <c r="B805" s="160"/>
      <c r="C805" s="162"/>
      <c r="D805" s="162"/>
      <c r="E805" s="163"/>
      <c r="F805" s="162"/>
      <c r="G805" s="162"/>
      <c r="H805" s="162"/>
      <c r="I805" s="162"/>
      <c r="J805" s="162"/>
      <c r="K805" s="162"/>
      <c r="L805" s="160"/>
      <c r="M805" s="161"/>
      <c r="N805" s="160"/>
      <c r="O805" s="160"/>
    </row>
    <row r="806" spans="1:15">
      <c r="A806" s="164"/>
      <c r="B806" s="160"/>
      <c r="C806" s="162"/>
      <c r="D806" s="162"/>
      <c r="E806" s="163"/>
      <c r="F806" s="162"/>
      <c r="G806" s="162"/>
      <c r="H806" s="162"/>
      <c r="I806" s="162"/>
      <c r="J806" s="162"/>
      <c r="K806" s="162"/>
      <c r="L806" s="160"/>
      <c r="M806" s="161"/>
      <c r="N806" s="160"/>
      <c r="O806" s="160"/>
    </row>
    <row r="807" spans="1:15">
      <c r="A807" s="164"/>
      <c r="B807" s="160"/>
      <c r="C807" s="162"/>
      <c r="D807" s="162"/>
      <c r="E807" s="163"/>
      <c r="F807" s="162"/>
      <c r="G807" s="162"/>
      <c r="H807" s="162"/>
      <c r="I807" s="162"/>
      <c r="J807" s="162"/>
      <c r="K807" s="162"/>
      <c r="L807" s="160"/>
      <c r="M807" s="161"/>
      <c r="N807" s="160"/>
      <c r="O807" s="160"/>
    </row>
    <row r="808" spans="1:15">
      <c r="A808" s="164"/>
      <c r="B808" s="160"/>
      <c r="C808" s="162"/>
      <c r="D808" s="162"/>
      <c r="E808" s="163"/>
      <c r="F808" s="162"/>
      <c r="G808" s="162"/>
      <c r="H808" s="162"/>
      <c r="I808" s="162"/>
      <c r="J808" s="162"/>
      <c r="K808" s="162"/>
      <c r="L808" s="160"/>
      <c r="M808" s="161"/>
      <c r="N808" s="160"/>
      <c r="O808" s="160"/>
    </row>
    <row r="809" spans="1:15">
      <c r="A809" s="164"/>
      <c r="B809" s="160"/>
      <c r="C809" s="162"/>
      <c r="D809" s="162"/>
      <c r="E809" s="163"/>
      <c r="F809" s="162"/>
      <c r="G809" s="162"/>
      <c r="H809" s="162"/>
      <c r="I809" s="162"/>
      <c r="J809" s="162"/>
      <c r="K809" s="162"/>
      <c r="L809" s="160"/>
      <c r="M809" s="161"/>
      <c r="N809" s="160"/>
      <c r="O809" s="160"/>
    </row>
    <row r="810" spans="1:15">
      <c r="A810" s="164"/>
      <c r="B810" s="160"/>
      <c r="C810" s="162"/>
      <c r="D810" s="162"/>
      <c r="E810" s="163"/>
      <c r="F810" s="162"/>
      <c r="G810" s="162"/>
      <c r="H810" s="162"/>
      <c r="I810" s="162"/>
      <c r="J810" s="162"/>
      <c r="K810" s="162"/>
      <c r="L810" s="160"/>
      <c r="M810" s="161"/>
      <c r="N810" s="160"/>
      <c r="O810" s="160"/>
    </row>
    <row r="811" spans="1:15">
      <c r="A811" s="164"/>
      <c r="B811" s="160"/>
      <c r="C811" s="162"/>
      <c r="D811" s="162"/>
      <c r="E811" s="163"/>
      <c r="F811" s="162"/>
      <c r="G811" s="162"/>
      <c r="H811" s="162"/>
      <c r="I811" s="162"/>
      <c r="J811" s="162"/>
      <c r="K811" s="162"/>
      <c r="L811" s="160"/>
      <c r="M811" s="161"/>
      <c r="N811" s="160"/>
      <c r="O811" s="160"/>
    </row>
    <row r="812" spans="1:15">
      <c r="A812" s="164"/>
      <c r="B812" s="160"/>
      <c r="C812" s="162"/>
      <c r="D812" s="162"/>
      <c r="E812" s="163"/>
      <c r="F812" s="162"/>
      <c r="G812" s="162"/>
      <c r="H812" s="162"/>
      <c r="I812" s="162"/>
      <c r="J812" s="162"/>
      <c r="K812" s="162"/>
      <c r="L812" s="160"/>
      <c r="M812" s="161"/>
      <c r="N812" s="160"/>
      <c r="O812" s="160"/>
    </row>
    <row r="813" spans="1:15">
      <c r="A813" s="164"/>
      <c r="B813" s="160"/>
      <c r="C813" s="162"/>
      <c r="D813" s="162"/>
      <c r="E813" s="163"/>
      <c r="F813" s="162"/>
      <c r="G813" s="162"/>
      <c r="H813" s="162"/>
      <c r="I813" s="162"/>
      <c r="J813" s="162"/>
      <c r="K813" s="162"/>
      <c r="L813" s="160"/>
      <c r="M813" s="161"/>
      <c r="N813" s="160"/>
      <c r="O813" s="160"/>
    </row>
    <row r="814" spans="1:15">
      <c r="A814" s="164"/>
      <c r="B814" s="160"/>
      <c r="C814" s="162"/>
      <c r="D814" s="162"/>
      <c r="E814" s="163"/>
      <c r="F814" s="162"/>
      <c r="G814" s="162"/>
      <c r="H814" s="162"/>
      <c r="I814" s="162"/>
      <c r="J814" s="162"/>
      <c r="K814" s="162"/>
      <c r="L814" s="160"/>
      <c r="M814" s="161"/>
      <c r="N814" s="160"/>
      <c r="O814" s="160"/>
    </row>
    <row r="815" spans="1:15">
      <c r="A815" s="164"/>
      <c r="B815" s="160"/>
      <c r="C815" s="162"/>
      <c r="D815" s="162"/>
      <c r="E815" s="163"/>
      <c r="F815" s="162"/>
      <c r="G815" s="162"/>
      <c r="H815" s="162"/>
      <c r="I815" s="162"/>
      <c r="J815" s="162"/>
      <c r="K815" s="162"/>
      <c r="L815" s="160"/>
      <c r="M815" s="161"/>
      <c r="N815" s="160"/>
      <c r="O815" s="160"/>
    </row>
    <row r="816" spans="1:15">
      <c r="A816" s="164"/>
      <c r="B816" s="160"/>
      <c r="C816" s="162"/>
      <c r="D816" s="162"/>
      <c r="E816" s="163"/>
      <c r="F816" s="162"/>
      <c r="G816" s="162"/>
      <c r="H816" s="162"/>
      <c r="I816" s="162"/>
      <c r="J816" s="162"/>
      <c r="K816" s="162"/>
      <c r="L816" s="160"/>
      <c r="M816" s="161"/>
      <c r="N816" s="160"/>
      <c r="O816" s="160"/>
    </row>
    <row r="817" spans="1:15">
      <c r="A817" s="164"/>
      <c r="B817" s="160"/>
      <c r="C817" s="162"/>
      <c r="D817" s="162"/>
      <c r="E817" s="163"/>
      <c r="F817" s="162"/>
      <c r="G817" s="162"/>
      <c r="H817" s="162"/>
      <c r="I817" s="162"/>
      <c r="J817" s="162"/>
      <c r="K817" s="162"/>
      <c r="L817" s="160"/>
      <c r="M817" s="161"/>
      <c r="N817" s="160"/>
      <c r="O817" s="160"/>
    </row>
    <row r="818" spans="1:15">
      <c r="A818" s="164"/>
      <c r="B818" s="160"/>
      <c r="C818" s="162"/>
      <c r="D818" s="162"/>
      <c r="E818" s="163"/>
      <c r="F818" s="162"/>
      <c r="G818" s="162"/>
      <c r="H818" s="162"/>
      <c r="I818" s="162"/>
      <c r="J818" s="162"/>
      <c r="K818" s="162"/>
      <c r="L818" s="160"/>
      <c r="M818" s="161"/>
      <c r="N818" s="160"/>
      <c r="O818" s="160"/>
    </row>
    <row r="819" spans="1:15">
      <c r="A819" s="164"/>
      <c r="B819" s="160"/>
      <c r="C819" s="162"/>
      <c r="D819" s="162"/>
      <c r="E819" s="163"/>
      <c r="F819" s="162"/>
      <c r="G819" s="162"/>
      <c r="H819" s="162"/>
      <c r="I819" s="162"/>
      <c r="J819" s="162"/>
      <c r="K819" s="162"/>
      <c r="L819" s="160"/>
      <c r="M819" s="161"/>
      <c r="N819" s="160"/>
      <c r="O819" s="160"/>
    </row>
    <row r="820" spans="1:15">
      <c r="A820" s="164"/>
      <c r="B820" s="160"/>
      <c r="C820" s="162"/>
      <c r="D820" s="162"/>
      <c r="E820" s="163"/>
      <c r="F820" s="162"/>
      <c r="G820" s="162"/>
      <c r="H820" s="162"/>
      <c r="I820" s="162"/>
      <c r="J820" s="162"/>
      <c r="K820" s="162"/>
      <c r="L820" s="160"/>
      <c r="M820" s="161"/>
      <c r="N820" s="160"/>
      <c r="O820" s="160"/>
    </row>
    <row r="821" spans="1:15">
      <c r="A821" s="164"/>
      <c r="B821" s="160"/>
      <c r="C821" s="162"/>
      <c r="D821" s="162"/>
      <c r="E821" s="163"/>
      <c r="F821" s="162"/>
      <c r="G821" s="162"/>
      <c r="H821" s="162"/>
      <c r="I821" s="162"/>
      <c r="J821" s="162"/>
      <c r="K821" s="162"/>
      <c r="L821" s="160"/>
      <c r="M821" s="161"/>
      <c r="N821" s="160"/>
      <c r="O821" s="160"/>
    </row>
    <row r="822" spans="1:15">
      <c r="A822" s="164"/>
      <c r="B822" s="160"/>
      <c r="C822" s="162"/>
      <c r="D822" s="162"/>
      <c r="E822" s="163"/>
      <c r="F822" s="162"/>
      <c r="G822" s="162"/>
      <c r="H822" s="162"/>
      <c r="I822" s="162"/>
      <c r="J822" s="162"/>
      <c r="K822" s="162"/>
      <c r="L822" s="160"/>
      <c r="M822" s="161"/>
      <c r="N822" s="160"/>
      <c r="O822" s="160"/>
    </row>
    <row r="823" spans="1:15">
      <c r="A823" s="164"/>
      <c r="B823" s="160"/>
      <c r="C823" s="162"/>
      <c r="D823" s="162"/>
      <c r="E823" s="163"/>
      <c r="F823" s="162"/>
      <c r="G823" s="162"/>
      <c r="H823" s="162"/>
      <c r="I823" s="162"/>
      <c r="J823" s="162"/>
      <c r="K823" s="162"/>
      <c r="L823" s="160"/>
      <c r="M823" s="161"/>
      <c r="N823" s="160"/>
      <c r="O823" s="160"/>
    </row>
    <row r="824" spans="1:15">
      <c r="A824" s="164"/>
      <c r="B824" s="160"/>
      <c r="C824" s="162"/>
      <c r="D824" s="162"/>
      <c r="E824" s="163"/>
      <c r="F824" s="162"/>
      <c r="G824" s="162"/>
      <c r="H824" s="162"/>
      <c r="I824" s="162"/>
      <c r="J824" s="162"/>
      <c r="K824" s="162"/>
      <c r="L824" s="160"/>
      <c r="M824" s="161"/>
      <c r="N824" s="160"/>
      <c r="O824" s="160"/>
    </row>
    <row r="825" spans="1:15">
      <c r="A825" s="164"/>
      <c r="B825" s="160"/>
      <c r="C825" s="162"/>
      <c r="D825" s="162"/>
      <c r="E825" s="163"/>
      <c r="F825" s="162"/>
      <c r="G825" s="162"/>
      <c r="H825" s="162"/>
      <c r="I825" s="162"/>
      <c r="J825" s="162"/>
      <c r="K825" s="162"/>
      <c r="L825" s="160"/>
      <c r="M825" s="161"/>
      <c r="N825" s="160"/>
      <c r="O825" s="160"/>
    </row>
    <row r="826" spans="1:15">
      <c r="A826" s="164"/>
      <c r="B826" s="160"/>
      <c r="C826" s="162"/>
      <c r="D826" s="162"/>
      <c r="E826" s="163"/>
      <c r="F826" s="162"/>
      <c r="G826" s="162"/>
      <c r="H826" s="162"/>
      <c r="I826" s="162"/>
      <c r="J826" s="162"/>
      <c r="K826" s="162"/>
      <c r="L826" s="160"/>
      <c r="M826" s="161"/>
      <c r="N826" s="160"/>
      <c r="O826" s="160"/>
    </row>
    <row r="827" spans="1:15">
      <c r="A827" s="164"/>
      <c r="B827" s="160"/>
      <c r="C827" s="162"/>
      <c r="D827" s="162"/>
      <c r="E827" s="163"/>
      <c r="F827" s="162"/>
      <c r="G827" s="162"/>
      <c r="H827" s="162"/>
      <c r="I827" s="162"/>
      <c r="J827" s="162"/>
      <c r="K827" s="162"/>
      <c r="L827" s="160"/>
      <c r="M827" s="161"/>
      <c r="N827" s="160"/>
      <c r="O827" s="160"/>
    </row>
    <row r="828" spans="1:15">
      <c r="A828" s="164"/>
      <c r="B828" s="160"/>
      <c r="C828" s="162"/>
      <c r="D828" s="162"/>
      <c r="E828" s="163"/>
      <c r="F828" s="162"/>
      <c r="G828" s="162"/>
      <c r="H828" s="162"/>
      <c r="I828" s="162"/>
      <c r="J828" s="162"/>
      <c r="K828" s="162"/>
      <c r="L828" s="160"/>
      <c r="M828" s="161"/>
      <c r="N828" s="160"/>
      <c r="O828" s="160"/>
    </row>
    <row r="829" spans="1:15">
      <c r="A829" s="164"/>
      <c r="B829" s="160"/>
      <c r="C829" s="162"/>
      <c r="D829" s="162"/>
      <c r="E829" s="163"/>
      <c r="F829" s="162"/>
      <c r="G829" s="162"/>
      <c r="H829" s="162"/>
      <c r="I829" s="162"/>
      <c r="J829" s="162"/>
      <c r="K829" s="162"/>
      <c r="L829" s="160"/>
      <c r="M829" s="161"/>
      <c r="N829" s="160"/>
      <c r="O829" s="160"/>
    </row>
    <row r="830" spans="1:15">
      <c r="A830" s="164"/>
      <c r="B830" s="160"/>
      <c r="C830" s="162"/>
      <c r="D830" s="162"/>
      <c r="E830" s="163"/>
      <c r="F830" s="162"/>
      <c r="G830" s="162"/>
      <c r="H830" s="162"/>
      <c r="I830" s="162"/>
      <c r="J830" s="162"/>
      <c r="K830" s="162"/>
      <c r="L830" s="160"/>
      <c r="M830" s="161"/>
      <c r="N830" s="160"/>
      <c r="O830" s="160"/>
    </row>
    <row r="831" spans="1:15">
      <c r="A831" s="164"/>
      <c r="B831" s="160"/>
      <c r="C831" s="162"/>
      <c r="D831" s="162"/>
      <c r="E831" s="163"/>
      <c r="F831" s="162"/>
      <c r="G831" s="162"/>
      <c r="H831" s="162"/>
      <c r="I831" s="162"/>
      <c r="J831" s="162"/>
      <c r="K831" s="162"/>
      <c r="L831" s="160"/>
      <c r="M831" s="161"/>
      <c r="N831" s="160"/>
      <c r="O831" s="160"/>
    </row>
    <row r="832" spans="1:15">
      <c r="A832" s="164"/>
      <c r="B832" s="160"/>
      <c r="C832" s="162"/>
      <c r="D832" s="162"/>
      <c r="E832" s="163"/>
      <c r="F832" s="162"/>
      <c r="G832" s="162"/>
      <c r="H832" s="162"/>
      <c r="I832" s="162"/>
      <c r="J832" s="162"/>
      <c r="K832" s="162"/>
      <c r="L832" s="160"/>
      <c r="M832" s="161"/>
      <c r="N832" s="160"/>
      <c r="O832" s="160"/>
    </row>
    <row r="833" spans="1:15">
      <c r="A833" s="164"/>
      <c r="B833" s="160"/>
      <c r="C833" s="162"/>
      <c r="D833" s="162"/>
      <c r="E833" s="163"/>
      <c r="F833" s="162"/>
      <c r="G833" s="162"/>
      <c r="H833" s="162"/>
      <c r="I833" s="162"/>
      <c r="J833" s="162"/>
      <c r="K833" s="162"/>
      <c r="L833" s="160"/>
      <c r="M833" s="161"/>
      <c r="N833" s="160"/>
      <c r="O833" s="160"/>
    </row>
    <row r="834" spans="1:15">
      <c r="A834" s="164"/>
      <c r="B834" s="160"/>
      <c r="C834" s="162"/>
      <c r="D834" s="162"/>
      <c r="E834" s="163"/>
      <c r="F834" s="162"/>
      <c r="G834" s="162"/>
      <c r="H834" s="162"/>
      <c r="I834" s="162"/>
      <c r="J834" s="162"/>
      <c r="K834" s="162"/>
      <c r="L834" s="160"/>
      <c r="M834" s="161"/>
      <c r="N834" s="160"/>
      <c r="O834" s="160"/>
    </row>
    <row r="835" spans="1:15">
      <c r="A835" s="164"/>
      <c r="B835" s="160"/>
      <c r="C835" s="162"/>
      <c r="D835" s="162"/>
      <c r="E835" s="163"/>
      <c r="F835" s="162"/>
      <c r="G835" s="162"/>
      <c r="H835" s="162"/>
      <c r="I835" s="162"/>
      <c r="J835" s="162"/>
      <c r="K835" s="162"/>
      <c r="L835" s="160"/>
      <c r="M835" s="161"/>
      <c r="N835" s="160"/>
      <c r="O835" s="160"/>
    </row>
    <row r="836" spans="1:15">
      <c r="A836" s="164"/>
      <c r="B836" s="160"/>
      <c r="C836" s="162"/>
      <c r="D836" s="162"/>
      <c r="E836" s="163"/>
      <c r="F836" s="162"/>
      <c r="G836" s="162"/>
      <c r="H836" s="162"/>
      <c r="I836" s="162"/>
      <c r="J836" s="162"/>
      <c r="K836" s="162"/>
      <c r="L836" s="160"/>
      <c r="M836" s="161"/>
      <c r="N836" s="160"/>
      <c r="O836" s="160"/>
    </row>
    <row r="837" spans="1:15">
      <c r="A837" s="164"/>
      <c r="B837" s="160"/>
      <c r="C837" s="162"/>
      <c r="D837" s="162"/>
      <c r="E837" s="163"/>
      <c r="F837" s="162"/>
      <c r="G837" s="162"/>
      <c r="H837" s="162"/>
      <c r="I837" s="162"/>
      <c r="J837" s="162"/>
      <c r="K837" s="162"/>
      <c r="L837" s="160"/>
      <c r="M837" s="161"/>
      <c r="N837" s="160"/>
      <c r="O837" s="160"/>
    </row>
    <row r="838" spans="1:15">
      <c r="A838" s="164"/>
      <c r="B838" s="160"/>
      <c r="C838" s="162"/>
      <c r="D838" s="162"/>
      <c r="E838" s="163"/>
      <c r="F838" s="162"/>
      <c r="G838" s="162"/>
      <c r="H838" s="162"/>
      <c r="I838" s="162"/>
      <c r="J838" s="162"/>
      <c r="K838" s="162"/>
      <c r="L838" s="160"/>
      <c r="M838" s="161"/>
      <c r="N838" s="160"/>
      <c r="O838" s="160"/>
    </row>
    <row r="839" spans="1:15">
      <c r="A839" s="164"/>
      <c r="B839" s="160"/>
      <c r="C839" s="162"/>
      <c r="D839" s="162"/>
      <c r="E839" s="163"/>
      <c r="F839" s="162"/>
      <c r="G839" s="162"/>
      <c r="H839" s="162"/>
      <c r="I839" s="162"/>
      <c r="J839" s="162"/>
      <c r="K839" s="162"/>
      <c r="L839" s="160"/>
      <c r="M839" s="161"/>
      <c r="N839" s="160"/>
      <c r="O839" s="160"/>
    </row>
    <row r="840" spans="1:15">
      <c r="A840" s="164"/>
      <c r="B840" s="160"/>
      <c r="C840" s="162"/>
      <c r="D840" s="162"/>
      <c r="E840" s="163"/>
      <c r="F840" s="162"/>
      <c r="G840" s="162"/>
      <c r="H840" s="162"/>
      <c r="I840" s="162"/>
      <c r="J840" s="162"/>
      <c r="K840" s="162"/>
      <c r="L840" s="160"/>
      <c r="M840" s="161"/>
      <c r="N840" s="160"/>
      <c r="O840" s="160"/>
    </row>
    <row r="841" spans="1:15">
      <c r="A841" s="164"/>
      <c r="B841" s="160"/>
      <c r="C841" s="162"/>
      <c r="D841" s="162"/>
      <c r="E841" s="163"/>
      <c r="F841" s="162"/>
      <c r="G841" s="162"/>
      <c r="H841" s="162"/>
      <c r="I841" s="162"/>
      <c r="J841" s="162"/>
      <c r="K841" s="162"/>
      <c r="L841" s="160"/>
      <c r="M841" s="161"/>
      <c r="N841" s="160"/>
      <c r="O841" s="160"/>
    </row>
    <row r="842" spans="1:15">
      <c r="A842" s="164"/>
      <c r="B842" s="160"/>
      <c r="C842" s="162"/>
      <c r="D842" s="162"/>
      <c r="E842" s="163"/>
      <c r="F842" s="162"/>
      <c r="G842" s="162"/>
      <c r="H842" s="162"/>
      <c r="I842" s="162"/>
      <c r="J842" s="162"/>
      <c r="K842" s="162"/>
      <c r="L842" s="160"/>
      <c r="M842" s="161"/>
      <c r="N842" s="160"/>
      <c r="O842" s="160"/>
    </row>
    <row r="843" spans="1:15">
      <c r="A843" s="164"/>
      <c r="B843" s="160"/>
      <c r="C843" s="162"/>
      <c r="D843" s="162"/>
      <c r="E843" s="163"/>
      <c r="F843" s="162"/>
      <c r="G843" s="162"/>
      <c r="H843" s="162"/>
      <c r="I843" s="162"/>
      <c r="J843" s="162"/>
      <c r="K843" s="162"/>
      <c r="L843" s="160"/>
      <c r="M843" s="161"/>
      <c r="N843" s="160"/>
      <c r="O843" s="160"/>
    </row>
    <row r="844" spans="1:15">
      <c r="A844" s="164"/>
      <c r="B844" s="160"/>
      <c r="C844" s="162"/>
      <c r="D844" s="162"/>
      <c r="E844" s="163"/>
      <c r="F844" s="162"/>
      <c r="G844" s="162"/>
      <c r="H844" s="162"/>
      <c r="I844" s="162"/>
      <c r="J844" s="162"/>
      <c r="K844" s="162"/>
      <c r="L844" s="160"/>
      <c r="M844" s="161"/>
      <c r="N844" s="160"/>
      <c r="O844" s="160"/>
    </row>
    <row r="845" spans="1:15">
      <c r="A845" s="164"/>
      <c r="B845" s="160"/>
      <c r="C845" s="162"/>
      <c r="D845" s="162"/>
      <c r="E845" s="163"/>
      <c r="F845" s="162"/>
      <c r="G845" s="162"/>
      <c r="H845" s="162"/>
      <c r="I845" s="162"/>
      <c r="J845" s="162"/>
      <c r="K845" s="162"/>
      <c r="L845" s="160"/>
      <c r="M845" s="161"/>
      <c r="N845" s="160"/>
      <c r="O845" s="160"/>
    </row>
    <row r="846" spans="1:15">
      <c r="A846" s="164"/>
      <c r="B846" s="160"/>
      <c r="C846" s="162"/>
      <c r="D846" s="162"/>
      <c r="E846" s="163"/>
      <c r="F846" s="162"/>
      <c r="G846" s="162"/>
      <c r="H846" s="162"/>
      <c r="I846" s="162"/>
      <c r="J846" s="162"/>
      <c r="K846" s="162"/>
      <c r="L846" s="160"/>
      <c r="M846" s="161"/>
      <c r="N846" s="160"/>
      <c r="O846" s="160"/>
    </row>
    <row r="847" spans="1:15">
      <c r="A847" s="164"/>
      <c r="B847" s="160"/>
      <c r="C847" s="162"/>
      <c r="D847" s="162"/>
      <c r="E847" s="163"/>
      <c r="F847" s="162"/>
      <c r="G847" s="162"/>
      <c r="H847" s="162"/>
      <c r="I847" s="162"/>
      <c r="J847" s="162"/>
      <c r="K847" s="162"/>
      <c r="L847" s="160"/>
      <c r="M847" s="161"/>
      <c r="N847" s="160"/>
      <c r="O847" s="160"/>
    </row>
    <row r="848" spans="1:15">
      <c r="A848" s="164"/>
      <c r="B848" s="160"/>
      <c r="C848" s="162"/>
      <c r="D848" s="162"/>
      <c r="E848" s="163"/>
      <c r="F848" s="162"/>
      <c r="G848" s="162"/>
      <c r="H848" s="162"/>
      <c r="I848" s="162"/>
      <c r="J848" s="162"/>
      <c r="K848" s="162"/>
      <c r="L848" s="160"/>
      <c r="M848" s="161"/>
      <c r="N848" s="160"/>
      <c r="O848" s="160"/>
    </row>
    <row r="849" spans="1:15">
      <c r="A849" s="164"/>
      <c r="B849" s="160"/>
      <c r="C849" s="162"/>
      <c r="D849" s="162"/>
      <c r="E849" s="163"/>
      <c r="F849" s="162"/>
      <c r="G849" s="162"/>
      <c r="H849" s="162"/>
      <c r="I849" s="162"/>
      <c r="J849" s="162"/>
      <c r="K849" s="162"/>
      <c r="L849" s="160"/>
      <c r="M849" s="161"/>
      <c r="N849" s="160"/>
      <c r="O849" s="160"/>
    </row>
    <row r="850" spans="1:15">
      <c r="A850" s="164"/>
      <c r="B850" s="160"/>
      <c r="C850" s="162"/>
      <c r="D850" s="162"/>
      <c r="E850" s="163"/>
      <c r="F850" s="162"/>
      <c r="G850" s="162"/>
      <c r="H850" s="162"/>
      <c r="I850" s="162"/>
      <c r="J850" s="162"/>
      <c r="K850" s="162"/>
      <c r="L850" s="160"/>
      <c r="M850" s="161"/>
      <c r="N850" s="160"/>
      <c r="O850" s="160"/>
    </row>
    <row r="851" spans="1:15">
      <c r="A851" s="164"/>
      <c r="B851" s="160"/>
      <c r="C851" s="162"/>
      <c r="D851" s="162"/>
      <c r="E851" s="163"/>
      <c r="F851" s="162"/>
      <c r="G851" s="162"/>
      <c r="H851" s="162"/>
      <c r="I851" s="162"/>
      <c r="J851" s="162"/>
      <c r="K851" s="162"/>
      <c r="L851" s="160"/>
      <c r="M851" s="161"/>
      <c r="N851" s="160"/>
      <c r="O851" s="160"/>
    </row>
    <row r="852" spans="1:15">
      <c r="A852" s="164"/>
      <c r="B852" s="160"/>
      <c r="C852" s="162"/>
      <c r="D852" s="162"/>
      <c r="E852" s="163"/>
      <c r="F852" s="162"/>
      <c r="G852" s="162"/>
      <c r="H852" s="162"/>
      <c r="I852" s="162"/>
      <c r="J852" s="162"/>
      <c r="K852" s="162"/>
      <c r="L852" s="160"/>
      <c r="M852" s="161"/>
      <c r="N852" s="160"/>
      <c r="O852" s="160"/>
    </row>
    <row r="853" spans="1:15">
      <c r="A853" s="164"/>
      <c r="B853" s="160"/>
      <c r="C853" s="162"/>
      <c r="D853" s="162"/>
      <c r="E853" s="163"/>
      <c r="F853" s="162"/>
      <c r="G853" s="162"/>
      <c r="H853" s="162"/>
      <c r="I853" s="162"/>
      <c r="J853" s="162"/>
      <c r="K853" s="162"/>
      <c r="L853" s="160"/>
      <c r="M853" s="161"/>
      <c r="N853" s="160"/>
      <c r="O853" s="160"/>
    </row>
    <row r="854" spans="1:15">
      <c r="A854" s="164"/>
      <c r="B854" s="160"/>
      <c r="C854" s="162"/>
      <c r="D854" s="162"/>
      <c r="E854" s="163"/>
      <c r="F854" s="162"/>
      <c r="G854" s="162"/>
      <c r="H854" s="162"/>
      <c r="I854" s="162"/>
      <c r="J854" s="162"/>
      <c r="K854" s="162"/>
      <c r="L854" s="160"/>
      <c r="M854" s="161"/>
      <c r="N854" s="160"/>
      <c r="O854" s="160"/>
    </row>
    <row r="855" spans="1:15">
      <c r="A855" s="164"/>
      <c r="B855" s="160"/>
      <c r="C855" s="162"/>
      <c r="D855" s="162"/>
      <c r="E855" s="163"/>
      <c r="F855" s="162"/>
      <c r="G855" s="162"/>
      <c r="H855" s="162"/>
      <c r="I855" s="162"/>
      <c r="J855" s="162"/>
      <c r="K855" s="162"/>
      <c r="L855" s="160"/>
      <c r="M855" s="161"/>
      <c r="N855" s="160"/>
      <c r="O855" s="160"/>
    </row>
    <row r="856" spans="1:15">
      <c r="A856" s="164"/>
      <c r="B856" s="160"/>
      <c r="C856" s="162"/>
      <c r="D856" s="162"/>
      <c r="E856" s="163"/>
      <c r="F856" s="162"/>
      <c r="G856" s="162"/>
      <c r="H856" s="162"/>
      <c r="I856" s="162"/>
      <c r="J856" s="162"/>
      <c r="K856" s="162"/>
      <c r="L856" s="160"/>
      <c r="M856" s="161"/>
      <c r="N856" s="160"/>
      <c r="O856" s="160"/>
    </row>
    <row r="857" spans="1:15">
      <c r="A857" s="164"/>
      <c r="B857" s="160"/>
      <c r="C857" s="162"/>
      <c r="D857" s="162"/>
      <c r="E857" s="163"/>
      <c r="F857" s="162"/>
      <c r="G857" s="162"/>
      <c r="H857" s="162"/>
      <c r="I857" s="162"/>
      <c r="J857" s="162"/>
      <c r="K857" s="162"/>
      <c r="L857" s="160"/>
      <c r="M857" s="161"/>
      <c r="N857" s="160"/>
      <c r="O857" s="160"/>
    </row>
    <row r="858" spans="1:15">
      <c r="A858" s="164"/>
      <c r="B858" s="160"/>
      <c r="C858" s="162"/>
      <c r="D858" s="162"/>
      <c r="E858" s="163"/>
      <c r="F858" s="162"/>
      <c r="G858" s="162"/>
      <c r="H858" s="162"/>
      <c r="I858" s="162"/>
      <c r="J858" s="162"/>
      <c r="K858" s="162"/>
      <c r="L858" s="160"/>
      <c r="M858" s="161"/>
      <c r="N858" s="160"/>
      <c r="O858" s="160"/>
    </row>
    <row r="859" spans="1:15">
      <c r="A859" s="164"/>
      <c r="B859" s="160"/>
      <c r="C859" s="162"/>
      <c r="D859" s="162"/>
      <c r="E859" s="163"/>
      <c r="F859" s="162"/>
      <c r="G859" s="162"/>
      <c r="H859" s="162"/>
      <c r="I859" s="162"/>
      <c r="J859" s="162"/>
      <c r="K859" s="162"/>
      <c r="L859" s="160"/>
      <c r="M859" s="161"/>
      <c r="N859" s="160"/>
      <c r="O859" s="160"/>
    </row>
    <row r="860" spans="1:15">
      <c r="A860" s="164"/>
      <c r="B860" s="160"/>
      <c r="C860" s="162"/>
      <c r="D860" s="162"/>
      <c r="E860" s="163"/>
      <c r="F860" s="162"/>
      <c r="G860" s="162"/>
      <c r="H860" s="162"/>
      <c r="I860" s="162"/>
      <c r="J860" s="162"/>
      <c r="K860" s="162"/>
      <c r="L860" s="160"/>
      <c r="M860" s="161"/>
      <c r="N860" s="160"/>
      <c r="O860" s="160"/>
    </row>
    <row r="861" spans="1:15">
      <c r="A861" s="164"/>
      <c r="B861" s="160"/>
      <c r="C861" s="162"/>
      <c r="D861" s="162"/>
      <c r="E861" s="163"/>
      <c r="F861" s="162"/>
      <c r="G861" s="162"/>
      <c r="H861" s="162"/>
      <c r="I861" s="162"/>
      <c r="J861" s="162"/>
      <c r="K861" s="162"/>
      <c r="L861" s="160"/>
      <c r="M861" s="161"/>
      <c r="N861" s="160"/>
      <c r="O861" s="160"/>
    </row>
    <row r="862" spans="1:15">
      <c r="A862" s="164"/>
      <c r="B862" s="160"/>
      <c r="C862" s="162"/>
      <c r="D862" s="162"/>
      <c r="E862" s="163"/>
      <c r="F862" s="162"/>
      <c r="G862" s="162"/>
      <c r="H862" s="162"/>
      <c r="I862" s="162"/>
      <c r="J862" s="162"/>
      <c r="K862" s="162"/>
      <c r="L862" s="160"/>
      <c r="M862" s="161"/>
      <c r="N862" s="160"/>
      <c r="O862" s="160"/>
    </row>
    <row r="863" spans="1:15">
      <c r="A863" s="164"/>
      <c r="B863" s="160"/>
      <c r="C863" s="162"/>
      <c r="D863" s="162"/>
      <c r="E863" s="163"/>
      <c r="F863" s="162"/>
      <c r="G863" s="162"/>
      <c r="H863" s="162"/>
      <c r="I863" s="162"/>
      <c r="J863" s="162"/>
      <c r="K863" s="162"/>
      <c r="L863" s="160"/>
      <c r="M863" s="161"/>
      <c r="N863" s="160"/>
      <c r="O863" s="160"/>
    </row>
    <row r="864" spans="1:15">
      <c r="A864" s="164"/>
      <c r="B864" s="160"/>
      <c r="C864" s="162"/>
      <c r="D864" s="162"/>
      <c r="E864" s="163"/>
      <c r="F864" s="162"/>
      <c r="G864" s="162"/>
      <c r="H864" s="162"/>
      <c r="I864" s="162"/>
      <c r="J864" s="162"/>
      <c r="K864" s="162"/>
      <c r="L864" s="160"/>
      <c r="M864" s="161"/>
      <c r="N864" s="160"/>
      <c r="O864" s="160"/>
    </row>
    <row r="865" spans="1:15">
      <c r="A865" s="164"/>
      <c r="B865" s="160"/>
      <c r="C865" s="162"/>
      <c r="D865" s="162"/>
      <c r="E865" s="163"/>
      <c r="F865" s="162"/>
      <c r="G865" s="162"/>
      <c r="H865" s="162"/>
      <c r="I865" s="162"/>
      <c r="J865" s="162"/>
      <c r="K865" s="162"/>
      <c r="L865" s="160"/>
      <c r="M865" s="161"/>
      <c r="N865" s="160"/>
      <c r="O865" s="160"/>
    </row>
    <row r="866" spans="1:15">
      <c r="A866" s="164"/>
      <c r="B866" s="160"/>
      <c r="C866" s="162"/>
      <c r="D866" s="162"/>
      <c r="E866" s="163"/>
      <c r="F866" s="162"/>
      <c r="G866" s="162"/>
      <c r="H866" s="162"/>
      <c r="I866" s="162"/>
      <c r="J866" s="162"/>
      <c r="K866" s="162"/>
      <c r="L866" s="160"/>
      <c r="M866" s="161"/>
      <c r="N866" s="160"/>
      <c r="O866" s="160"/>
    </row>
    <row r="867" spans="1:15">
      <c r="A867" s="164"/>
      <c r="B867" s="160"/>
      <c r="C867" s="162"/>
      <c r="D867" s="162"/>
      <c r="E867" s="163"/>
      <c r="F867" s="162"/>
      <c r="G867" s="162"/>
      <c r="H867" s="162"/>
      <c r="I867" s="162"/>
      <c r="J867" s="162"/>
      <c r="K867" s="162"/>
      <c r="L867" s="160"/>
      <c r="M867" s="161"/>
      <c r="N867" s="160"/>
      <c r="O867" s="160"/>
    </row>
    <row r="868" spans="1:15">
      <c r="A868" s="164"/>
      <c r="B868" s="160"/>
      <c r="C868" s="162"/>
      <c r="D868" s="162"/>
      <c r="E868" s="163"/>
      <c r="F868" s="162"/>
      <c r="G868" s="162"/>
      <c r="H868" s="162"/>
      <c r="I868" s="162"/>
      <c r="J868" s="162"/>
      <c r="K868" s="162"/>
      <c r="L868" s="160"/>
      <c r="M868" s="161"/>
      <c r="N868" s="160"/>
      <c r="O868" s="160"/>
    </row>
    <row r="869" spans="1:15">
      <c r="A869" s="164"/>
      <c r="B869" s="160"/>
      <c r="C869" s="162"/>
      <c r="D869" s="162"/>
      <c r="E869" s="163"/>
      <c r="F869" s="162"/>
      <c r="G869" s="162"/>
      <c r="H869" s="162"/>
      <c r="I869" s="162"/>
      <c r="J869" s="162"/>
      <c r="K869" s="162"/>
      <c r="L869" s="160"/>
      <c r="M869" s="161"/>
      <c r="N869" s="160"/>
      <c r="O869" s="160"/>
    </row>
    <row r="870" spans="1:15">
      <c r="A870" s="164"/>
      <c r="B870" s="160"/>
      <c r="C870" s="162"/>
      <c r="D870" s="162"/>
      <c r="E870" s="163"/>
      <c r="F870" s="162"/>
      <c r="G870" s="162"/>
      <c r="H870" s="162"/>
      <c r="I870" s="162"/>
      <c r="J870" s="162"/>
      <c r="K870" s="162"/>
      <c r="L870" s="160"/>
      <c r="M870" s="161"/>
      <c r="N870" s="160"/>
      <c r="O870" s="160"/>
    </row>
    <row r="871" spans="1:15">
      <c r="A871" s="164"/>
      <c r="B871" s="160"/>
      <c r="C871" s="162"/>
      <c r="D871" s="162"/>
      <c r="E871" s="163"/>
      <c r="F871" s="162"/>
      <c r="G871" s="162"/>
      <c r="H871" s="162"/>
      <c r="I871" s="162"/>
      <c r="J871" s="162"/>
      <c r="K871" s="162"/>
      <c r="L871" s="160"/>
      <c r="M871" s="161"/>
      <c r="N871" s="160"/>
      <c r="O871" s="160"/>
    </row>
    <row r="872" spans="1:15">
      <c r="A872" s="164"/>
      <c r="B872" s="160"/>
      <c r="C872" s="162"/>
      <c r="D872" s="162"/>
      <c r="E872" s="163"/>
      <c r="F872" s="162"/>
      <c r="G872" s="162"/>
      <c r="H872" s="162"/>
      <c r="I872" s="162"/>
      <c r="J872" s="162"/>
      <c r="K872" s="162"/>
      <c r="L872" s="160"/>
      <c r="M872" s="161"/>
      <c r="N872" s="160"/>
      <c r="O872" s="160"/>
    </row>
    <row r="873" spans="1:15">
      <c r="A873" s="164"/>
      <c r="B873" s="160"/>
      <c r="C873" s="162"/>
      <c r="D873" s="162"/>
      <c r="E873" s="163"/>
      <c r="F873" s="162"/>
      <c r="G873" s="162"/>
      <c r="H873" s="162"/>
      <c r="I873" s="162"/>
      <c r="J873" s="162"/>
      <c r="K873" s="162"/>
      <c r="L873" s="160"/>
      <c r="M873" s="161"/>
      <c r="N873" s="160"/>
      <c r="O873" s="160"/>
    </row>
    <row r="874" spans="1:15">
      <c r="A874" s="164"/>
      <c r="B874" s="160"/>
      <c r="C874" s="162"/>
      <c r="D874" s="162"/>
      <c r="E874" s="163"/>
      <c r="F874" s="162"/>
      <c r="G874" s="162"/>
      <c r="H874" s="162"/>
      <c r="I874" s="162"/>
      <c r="J874" s="162"/>
      <c r="K874" s="162"/>
      <c r="L874" s="160"/>
      <c r="M874" s="161"/>
      <c r="N874" s="160"/>
      <c r="O874" s="160"/>
    </row>
    <row r="875" spans="1:15">
      <c r="A875" s="164"/>
      <c r="B875" s="160"/>
      <c r="C875" s="162"/>
      <c r="D875" s="162"/>
      <c r="E875" s="163"/>
      <c r="F875" s="162"/>
      <c r="G875" s="162"/>
      <c r="H875" s="162"/>
      <c r="I875" s="162"/>
      <c r="J875" s="162"/>
      <c r="K875" s="162"/>
      <c r="L875" s="160"/>
      <c r="M875" s="161"/>
      <c r="N875" s="160"/>
      <c r="O875" s="160"/>
    </row>
    <row r="876" spans="1:15">
      <c r="A876" s="164"/>
      <c r="B876" s="160"/>
      <c r="C876" s="162"/>
      <c r="D876" s="162"/>
      <c r="E876" s="163"/>
      <c r="F876" s="162"/>
      <c r="G876" s="162"/>
      <c r="H876" s="162"/>
      <c r="I876" s="162"/>
      <c r="J876" s="162"/>
      <c r="K876" s="162"/>
      <c r="L876" s="160"/>
      <c r="M876" s="161"/>
      <c r="N876" s="160"/>
      <c r="O876" s="160"/>
    </row>
    <row r="877" spans="1:15">
      <c r="A877" s="164"/>
      <c r="B877" s="160"/>
      <c r="C877" s="162"/>
      <c r="D877" s="162"/>
      <c r="E877" s="163"/>
      <c r="F877" s="162"/>
      <c r="G877" s="162"/>
      <c r="H877" s="162"/>
      <c r="I877" s="162"/>
      <c r="J877" s="162"/>
      <c r="K877" s="162"/>
      <c r="L877" s="160"/>
      <c r="M877" s="161"/>
      <c r="N877" s="160"/>
      <c r="O877" s="160"/>
    </row>
    <row r="878" spans="1:15">
      <c r="A878" s="164"/>
      <c r="B878" s="160"/>
      <c r="C878" s="162"/>
      <c r="D878" s="162"/>
      <c r="E878" s="163"/>
      <c r="F878" s="162"/>
      <c r="G878" s="162"/>
      <c r="H878" s="162"/>
      <c r="I878" s="162"/>
      <c r="J878" s="162"/>
      <c r="K878" s="162"/>
      <c r="L878" s="160"/>
      <c r="M878" s="161"/>
      <c r="N878" s="160"/>
      <c r="O878" s="160"/>
    </row>
    <row r="879" spans="1:15">
      <c r="A879" s="164"/>
      <c r="B879" s="160"/>
      <c r="C879" s="162"/>
      <c r="D879" s="162"/>
      <c r="E879" s="163"/>
      <c r="F879" s="162"/>
      <c r="G879" s="162"/>
      <c r="H879" s="162"/>
      <c r="I879" s="162"/>
      <c r="J879" s="162"/>
      <c r="K879" s="162"/>
      <c r="L879" s="160"/>
      <c r="M879" s="161"/>
      <c r="N879" s="160"/>
      <c r="O879" s="160"/>
    </row>
    <row r="880" spans="1:15">
      <c r="A880" s="164"/>
      <c r="B880" s="160"/>
      <c r="C880" s="162"/>
      <c r="D880" s="162"/>
      <c r="E880" s="163"/>
      <c r="F880" s="162"/>
      <c r="G880" s="162"/>
      <c r="H880" s="162"/>
      <c r="I880" s="162"/>
      <c r="J880" s="162"/>
      <c r="K880" s="162"/>
      <c r="L880" s="160"/>
      <c r="M880" s="161"/>
      <c r="N880" s="160"/>
      <c r="O880" s="160"/>
    </row>
    <row r="881" spans="1:15">
      <c r="A881" s="164"/>
      <c r="B881" s="160"/>
      <c r="C881" s="162"/>
      <c r="D881" s="162"/>
      <c r="E881" s="163"/>
      <c r="F881" s="162"/>
      <c r="G881" s="162"/>
      <c r="H881" s="162"/>
      <c r="I881" s="162"/>
      <c r="J881" s="162"/>
      <c r="K881" s="162"/>
      <c r="L881" s="160"/>
      <c r="M881" s="161"/>
      <c r="N881" s="160"/>
      <c r="O881" s="160"/>
    </row>
    <row r="882" spans="1:15">
      <c r="A882" s="164"/>
      <c r="B882" s="160"/>
      <c r="C882" s="162"/>
      <c r="D882" s="162"/>
      <c r="E882" s="163"/>
      <c r="F882" s="162"/>
      <c r="G882" s="162"/>
      <c r="H882" s="162"/>
      <c r="I882" s="162"/>
      <c r="J882" s="162"/>
      <c r="K882" s="162"/>
      <c r="L882" s="160"/>
      <c r="M882" s="161"/>
      <c r="N882" s="160"/>
      <c r="O882" s="160"/>
    </row>
    <row r="883" spans="1:15">
      <c r="A883" s="164"/>
      <c r="B883" s="160"/>
      <c r="C883" s="162"/>
      <c r="D883" s="162"/>
      <c r="E883" s="163"/>
      <c r="F883" s="162"/>
      <c r="G883" s="162"/>
      <c r="H883" s="162"/>
      <c r="I883" s="162"/>
      <c r="J883" s="162"/>
      <c r="K883" s="162"/>
      <c r="L883" s="160"/>
      <c r="M883" s="161"/>
      <c r="N883" s="160"/>
      <c r="O883" s="160"/>
    </row>
    <row r="884" spans="1:15">
      <c r="A884" s="164"/>
      <c r="B884" s="160"/>
      <c r="C884" s="162"/>
      <c r="D884" s="162"/>
      <c r="E884" s="163"/>
      <c r="F884" s="162"/>
      <c r="G884" s="162"/>
      <c r="H884" s="162"/>
      <c r="I884" s="162"/>
      <c r="J884" s="162"/>
      <c r="K884" s="162"/>
      <c r="L884" s="160"/>
      <c r="M884" s="161"/>
      <c r="N884" s="160"/>
      <c r="O884" s="160"/>
    </row>
    <row r="885" spans="1:15">
      <c r="A885" s="164"/>
      <c r="B885" s="160"/>
      <c r="C885" s="162"/>
      <c r="D885" s="162"/>
      <c r="E885" s="163"/>
      <c r="F885" s="162"/>
      <c r="G885" s="162"/>
      <c r="H885" s="162"/>
      <c r="I885" s="162"/>
      <c r="J885" s="162"/>
      <c r="K885" s="162"/>
      <c r="L885" s="160"/>
      <c r="M885" s="161"/>
      <c r="N885" s="160"/>
      <c r="O885" s="160"/>
    </row>
    <row r="886" spans="1:15">
      <c r="A886" s="164"/>
      <c r="B886" s="160"/>
      <c r="C886" s="162"/>
      <c r="D886" s="162"/>
      <c r="E886" s="163"/>
      <c r="F886" s="162"/>
      <c r="G886" s="162"/>
      <c r="H886" s="162"/>
      <c r="I886" s="162"/>
      <c r="J886" s="162"/>
      <c r="K886" s="162"/>
      <c r="L886" s="160"/>
      <c r="M886" s="161"/>
      <c r="N886" s="160"/>
      <c r="O886" s="160"/>
    </row>
    <row r="887" spans="1:15">
      <c r="A887" s="164"/>
      <c r="B887" s="160"/>
      <c r="C887" s="162"/>
      <c r="D887" s="162"/>
      <c r="E887" s="163"/>
      <c r="F887" s="162"/>
      <c r="G887" s="162"/>
      <c r="H887" s="162"/>
      <c r="I887" s="162"/>
      <c r="J887" s="162"/>
      <c r="K887" s="162"/>
      <c r="L887" s="160"/>
      <c r="M887" s="161"/>
      <c r="N887" s="160"/>
      <c r="O887" s="160"/>
    </row>
    <row r="888" spans="1:15">
      <c r="A888" s="164"/>
      <c r="B888" s="160"/>
      <c r="C888" s="162"/>
      <c r="D888" s="162"/>
      <c r="E888" s="163"/>
      <c r="F888" s="162"/>
      <c r="G888" s="162"/>
      <c r="H888" s="162"/>
      <c r="I888" s="162"/>
      <c r="J888" s="162"/>
      <c r="K888" s="162"/>
      <c r="L888" s="160"/>
      <c r="M888" s="161"/>
      <c r="N888" s="160"/>
      <c r="O888" s="160"/>
    </row>
    <row r="889" spans="1:15">
      <c r="A889" s="164"/>
      <c r="B889" s="160"/>
      <c r="C889" s="162"/>
      <c r="D889" s="162"/>
      <c r="E889" s="163"/>
      <c r="F889" s="162"/>
      <c r="G889" s="162"/>
      <c r="H889" s="162"/>
      <c r="I889" s="162"/>
      <c r="J889" s="162"/>
      <c r="K889" s="162"/>
      <c r="L889" s="160"/>
      <c r="M889" s="161"/>
      <c r="N889" s="160"/>
      <c r="O889" s="160"/>
    </row>
    <row r="890" spans="1:15">
      <c r="A890" s="164"/>
      <c r="B890" s="160"/>
      <c r="C890" s="162"/>
      <c r="D890" s="162"/>
      <c r="E890" s="163"/>
      <c r="F890" s="162"/>
      <c r="G890" s="162"/>
      <c r="H890" s="162"/>
      <c r="I890" s="162"/>
      <c r="J890" s="162"/>
      <c r="K890" s="162"/>
      <c r="L890" s="160"/>
      <c r="M890" s="161"/>
      <c r="N890" s="160"/>
      <c r="O890" s="160"/>
    </row>
    <row r="891" spans="1:15">
      <c r="A891" s="164"/>
      <c r="B891" s="160"/>
      <c r="C891" s="162"/>
      <c r="D891" s="162"/>
      <c r="E891" s="163"/>
      <c r="F891" s="162"/>
      <c r="G891" s="162"/>
      <c r="H891" s="162"/>
      <c r="I891" s="162"/>
      <c r="J891" s="162"/>
      <c r="K891" s="162"/>
      <c r="L891" s="160"/>
      <c r="M891" s="161"/>
      <c r="N891" s="160"/>
      <c r="O891" s="160"/>
    </row>
    <row r="892" spans="1:15">
      <c r="A892" s="164"/>
      <c r="B892" s="160"/>
      <c r="C892" s="162"/>
      <c r="D892" s="162"/>
      <c r="E892" s="163"/>
      <c r="F892" s="162"/>
      <c r="G892" s="162"/>
      <c r="H892" s="162"/>
      <c r="I892" s="162"/>
      <c r="J892" s="162"/>
      <c r="K892" s="162"/>
      <c r="L892" s="160"/>
      <c r="M892" s="161"/>
      <c r="N892" s="160"/>
      <c r="O892" s="160"/>
    </row>
    <row r="893" spans="1:15">
      <c r="A893" s="164"/>
      <c r="B893" s="160"/>
      <c r="C893" s="162"/>
      <c r="D893" s="162"/>
      <c r="E893" s="163"/>
      <c r="F893" s="162"/>
      <c r="G893" s="162"/>
      <c r="H893" s="162"/>
      <c r="I893" s="162"/>
      <c r="J893" s="162"/>
      <c r="K893" s="162"/>
      <c r="L893" s="160"/>
      <c r="M893" s="161"/>
      <c r="N893" s="160"/>
      <c r="O893" s="160"/>
    </row>
    <row r="894" spans="1:15">
      <c r="A894" s="164"/>
      <c r="B894" s="160"/>
      <c r="C894" s="162"/>
      <c r="D894" s="162"/>
      <c r="E894" s="163"/>
      <c r="F894" s="162"/>
      <c r="G894" s="162"/>
      <c r="H894" s="162"/>
      <c r="I894" s="162"/>
      <c r="J894" s="162"/>
      <c r="K894" s="162"/>
      <c r="L894" s="160"/>
      <c r="M894" s="161"/>
      <c r="N894" s="160"/>
      <c r="O894" s="160"/>
    </row>
    <row r="895" spans="1:15">
      <c r="A895" s="164"/>
      <c r="B895" s="160"/>
      <c r="C895" s="162"/>
      <c r="D895" s="162"/>
      <c r="E895" s="163"/>
      <c r="F895" s="162"/>
      <c r="G895" s="162"/>
      <c r="H895" s="162"/>
      <c r="I895" s="162"/>
      <c r="J895" s="162"/>
      <c r="K895" s="162"/>
      <c r="L895" s="160"/>
      <c r="M895" s="161"/>
      <c r="N895" s="160"/>
      <c r="O895" s="160"/>
    </row>
    <row r="896" spans="1:15">
      <c r="A896" s="164"/>
      <c r="B896" s="160"/>
      <c r="C896" s="162"/>
      <c r="D896" s="162"/>
      <c r="E896" s="163"/>
      <c r="F896" s="162"/>
      <c r="G896" s="162"/>
      <c r="H896" s="162"/>
      <c r="I896" s="162"/>
      <c r="J896" s="162"/>
      <c r="K896" s="162"/>
      <c r="L896" s="160"/>
      <c r="M896" s="161"/>
      <c r="N896" s="160"/>
      <c r="O896" s="160"/>
    </row>
    <row r="897" spans="1:15">
      <c r="A897" s="164"/>
      <c r="B897" s="160"/>
      <c r="C897" s="162"/>
      <c r="D897" s="162"/>
      <c r="E897" s="163"/>
      <c r="F897" s="162"/>
      <c r="G897" s="162"/>
      <c r="H897" s="162"/>
      <c r="I897" s="162"/>
      <c r="J897" s="162"/>
      <c r="K897" s="162"/>
      <c r="L897" s="160"/>
      <c r="M897" s="161"/>
      <c r="N897" s="160"/>
      <c r="O897" s="160"/>
    </row>
    <row r="898" spans="1:15">
      <c r="A898" s="164"/>
      <c r="B898" s="160"/>
      <c r="C898" s="162"/>
      <c r="D898" s="162"/>
      <c r="E898" s="163"/>
      <c r="F898" s="162"/>
      <c r="G898" s="162"/>
      <c r="H898" s="162"/>
      <c r="I898" s="162"/>
      <c r="J898" s="162"/>
      <c r="K898" s="162"/>
      <c r="L898" s="160"/>
      <c r="M898" s="161"/>
      <c r="N898" s="160"/>
      <c r="O898" s="160"/>
    </row>
    <row r="899" spans="1:15">
      <c r="A899" s="164"/>
      <c r="B899" s="160"/>
      <c r="C899" s="162"/>
      <c r="D899" s="162"/>
      <c r="E899" s="163"/>
      <c r="F899" s="162"/>
      <c r="G899" s="162"/>
      <c r="H899" s="162"/>
      <c r="I899" s="162"/>
      <c r="J899" s="162"/>
      <c r="K899" s="162"/>
      <c r="L899" s="160"/>
      <c r="M899" s="161"/>
      <c r="N899" s="160"/>
      <c r="O899" s="160"/>
    </row>
    <row r="900" spans="1:15">
      <c r="A900" s="164"/>
      <c r="B900" s="160"/>
      <c r="C900" s="162"/>
      <c r="D900" s="162"/>
      <c r="E900" s="163"/>
      <c r="F900" s="162"/>
      <c r="G900" s="162"/>
      <c r="H900" s="162"/>
      <c r="I900" s="162"/>
      <c r="J900" s="162"/>
      <c r="K900" s="162"/>
      <c r="L900" s="160"/>
      <c r="M900" s="161"/>
      <c r="N900" s="160"/>
      <c r="O900" s="160"/>
    </row>
    <row r="901" spans="1:15">
      <c r="A901" s="164"/>
      <c r="B901" s="160"/>
      <c r="C901" s="162"/>
      <c r="D901" s="162"/>
      <c r="E901" s="163"/>
      <c r="F901" s="162"/>
      <c r="G901" s="162"/>
      <c r="H901" s="162"/>
      <c r="I901" s="162"/>
      <c r="J901" s="162"/>
      <c r="K901" s="162"/>
      <c r="L901" s="160"/>
      <c r="M901" s="161"/>
      <c r="N901" s="160"/>
      <c r="O901" s="160"/>
    </row>
    <row r="902" spans="1:15">
      <c r="A902" s="164"/>
      <c r="B902" s="160"/>
      <c r="C902" s="162"/>
      <c r="D902" s="162"/>
      <c r="E902" s="163"/>
      <c r="F902" s="162"/>
      <c r="G902" s="162"/>
      <c r="H902" s="162"/>
      <c r="I902" s="162"/>
      <c r="J902" s="162"/>
      <c r="K902" s="162"/>
      <c r="L902" s="160"/>
      <c r="M902" s="161"/>
      <c r="N902" s="160"/>
      <c r="O902" s="160"/>
    </row>
    <row r="903" spans="1:15">
      <c r="A903" s="164"/>
      <c r="B903" s="160"/>
      <c r="C903" s="162"/>
      <c r="D903" s="162"/>
      <c r="E903" s="163"/>
      <c r="F903" s="162"/>
      <c r="G903" s="162"/>
      <c r="H903" s="162"/>
      <c r="I903" s="162"/>
      <c r="J903" s="162"/>
      <c r="K903" s="162"/>
      <c r="L903" s="160"/>
      <c r="M903" s="161"/>
      <c r="N903" s="160"/>
      <c r="O903" s="160"/>
    </row>
    <row r="904" spans="1:15">
      <c r="A904" s="164"/>
      <c r="B904" s="160"/>
      <c r="C904" s="162"/>
      <c r="D904" s="162"/>
      <c r="E904" s="163"/>
      <c r="F904" s="162"/>
      <c r="G904" s="162"/>
      <c r="H904" s="162"/>
      <c r="I904" s="162"/>
      <c r="J904" s="162"/>
      <c r="K904" s="162"/>
      <c r="L904" s="160"/>
      <c r="M904" s="161"/>
      <c r="N904" s="160"/>
      <c r="O904" s="160"/>
    </row>
    <row r="905" spans="1:15">
      <c r="A905" s="164"/>
      <c r="B905" s="160"/>
      <c r="C905" s="162"/>
      <c r="D905" s="162"/>
      <c r="E905" s="163"/>
      <c r="F905" s="162"/>
      <c r="G905" s="162"/>
      <c r="H905" s="162"/>
      <c r="I905" s="162"/>
      <c r="J905" s="162"/>
      <c r="K905" s="162"/>
      <c r="L905" s="160"/>
      <c r="M905" s="161"/>
      <c r="N905" s="160"/>
      <c r="O905" s="160"/>
    </row>
    <row r="906" spans="1:15">
      <c r="A906" s="164"/>
      <c r="B906" s="160"/>
      <c r="C906" s="162"/>
      <c r="D906" s="162"/>
      <c r="E906" s="163"/>
      <c r="F906" s="162"/>
      <c r="G906" s="162"/>
      <c r="H906" s="162"/>
      <c r="I906" s="162"/>
      <c r="J906" s="162"/>
      <c r="K906" s="162"/>
      <c r="L906" s="160"/>
      <c r="M906" s="161"/>
      <c r="N906" s="160"/>
      <c r="O906" s="160"/>
    </row>
    <row r="907" spans="1:15">
      <c r="A907" s="164"/>
      <c r="B907" s="160"/>
      <c r="C907" s="162"/>
      <c r="D907" s="162"/>
      <c r="E907" s="163"/>
      <c r="F907" s="162"/>
      <c r="G907" s="162"/>
      <c r="H907" s="162"/>
      <c r="I907" s="162"/>
      <c r="J907" s="162"/>
      <c r="K907" s="162"/>
      <c r="L907" s="160"/>
      <c r="M907" s="161"/>
      <c r="N907" s="160"/>
      <c r="O907" s="160"/>
    </row>
    <row r="908" spans="1:15">
      <c r="A908" s="164"/>
      <c r="B908" s="160"/>
      <c r="C908" s="162"/>
      <c r="D908" s="162"/>
      <c r="E908" s="163"/>
      <c r="F908" s="162"/>
      <c r="G908" s="162"/>
      <c r="H908" s="162"/>
      <c r="I908" s="162"/>
      <c r="J908" s="162"/>
      <c r="K908" s="162"/>
      <c r="L908" s="160"/>
      <c r="M908" s="161"/>
      <c r="N908" s="160"/>
      <c r="O908" s="160"/>
    </row>
  </sheetData>
  <mergeCells count="24">
    <mergeCell ref="A5:E5"/>
    <mergeCell ref="F5:J5"/>
    <mergeCell ref="K5:O5"/>
    <mergeCell ref="A1:O1"/>
    <mergeCell ref="A2:O2"/>
    <mergeCell ref="A3:O3"/>
    <mergeCell ref="A4:E4"/>
    <mergeCell ref="F4:J4"/>
    <mergeCell ref="K4:O4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J12:K12"/>
    <mergeCell ref="L12:L13"/>
    <mergeCell ref="M12:M13"/>
    <mergeCell ref="N12:N13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B173-0C5B-4FA4-B8C0-76319F4C455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115+740</vt:lpstr>
      <vt:lpstr>BC.115+740</vt:lpstr>
      <vt:lpstr>SL.115+740</vt:lpstr>
      <vt:lpstr>Sheet1</vt:lpstr>
      <vt:lpstr>'115+740'!Print_Area</vt:lpstr>
      <vt:lpstr>'BC.115+740'!Print_Area</vt:lpstr>
      <vt:lpstr>'SL.115+740'!Print_Area</vt:lpstr>
      <vt:lpstr>'115+740'!Print_Titles</vt:lpstr>
      <vt:lpstr>'BC.115+740'!Print_Titles</vt:lpstr>
      <vt:lpstr>'SL.115+740'!Print_Titles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2025-07-11T13:44:17Z</dcterms:created>
  <dcterms:modified xsi:type="dcterms:W3CDTF">2025-07-28T05:18:31Z</dcterms:modified>
</cp:coreProperties>
</file>